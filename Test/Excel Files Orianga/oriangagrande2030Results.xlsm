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7" i="20" l="1"/>
  <c r="S16" i="20"/>
  <c r="S15" i="20"/>
  <c r="T19" i="20"/>
  <c r="S14" i="20"/>
  <c r="H40" i="20"/>
  <c r="H39" i="20"/>
  <c r="S39" i="20"/>
  <c r="H38" i="20"/>
  <c r="H35" i="20"/>
  <c r="S42" i="20"/>
  <c r="H34" i="20"/>
  <c r="H33" i="20"/>
  <c r="H30" i="20"/>
  <c r="H29" i="20"/>
  <c r="H28" i="20"/>
  <c r="S40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L116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S8" i="20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H138" i="12"/>
  <c r="I137" i="12"/>
  <c r="J137" i="12"/>
  <c r="K137" i="12"/>
  <c r="L137" i="12"/>
  <c r="L138" i="12"/>
  <c r="M137" i="12"/>
  <c r="N137" i="12"/>
  <c r="O137" i="12"/>
  <c r="D138" i="12"/>
  <c r="E138" i="12"/>
  <c r="F138" i="12"/>
  <c r="G138" i="12"/>
  <c r="I138" i="12"/>
  <c r="J138" i="12"/>
  <c r="K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L116" i="13"/>
  <c r="M115" i="13"/>
  <c r="N115" i="13"/>
  <c r="O115" i="13"/>
  <c r="D116" i="13"/>
  <c r="H7" i="20"/>
  <c r="E116" i="13"/>
  <c r="F116" i="13"/>
  <c r="G116" i="13"/>
  <c r="H116" i="13"/>
  <c r="I116" i="13"/>
  <c r="J116" i="13"/>
  <c r="K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20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L138" i="13"/>
  <c r="M137" i="13"/>
  <c r="N137" i="13"/>
  <c r="O137" i="13"/>
  <c r="D138" i="13"/>
  <c r="E138" i="13"/>
  <c r="F138" i="13"/>
  <c r="G138" i="13"/>
  <c r="H138" i="13"/>
  <c r="I138" i="13"/>
  <c r="J138" i="13"/>
  <c r="K138" i="13"/>
  <c r="M138" i="13"/>
  <c r="N138" i="13"/>
  <c r="O138" i="13"/>
  <c r="AY260" i="14"/>
  <c r="AZ14" i="14"/>
  <c r="AY259" i="14"/>
  <c r="AY181" i="14"/>
  <c r="AY179" i="14"/>
  <c r="AY177" i="14"/>
  <c r="AY175" i="14"/>
  <c r="AX259" i="14"/>
  <c r="AY14" i="14"/>
  <c r="AX181" i="14"/>
  <c r="AX179" i="14"/>
  <c r="AX177" i="14"/>
  <c r="AX175" i="14"/>
  <c r="AW260" i="14"/>
  <c r="AX14" i="14"/>
  <c r="AW259" i="14"/>
  <c r="AW181" i="14"/>
  <c r="AW179" i="14"/>
  <c r="AW177" i="14"/>
  <c r="AW175" i="14"/>
  <c r="AW14" i="14"/>
  <c r="AV259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T259" i="14"/>
  <c r="AU14" i="14"/>
  <c r="AT181" i="14"/>
  <c r="AT179" i="14"/>
  <c r="AT260" i="14"/>
  <c r="AT177" i="14"/>
  <c r="AT175" i="14"/>
  <c r="AS259" i="14"/>
  <c r="AT14" i="14"/>
  <c r="AS181" i="14"/>
  <c r="AS179" i="14"/>
  <c r="AS177" i="14"/>
  <c r="AS260" i="14"/>
  <c r="AS175" i="14"/>
  <c r="AS14" i="14"/>
  <c r="AR259" i="14"/>
  <c r="AR181" i="14"/>
  <c r="AR179" i="14"/>
  <c r="AR177" i="14"/>
  <c r="AR175" i="14"/>
  <c r="AR14" i="14"/>
  <c r="AQ259" i="14"/>
  <c r="AQ181" i="14"/>
  <c r="AQ179" i="14"/>
  <c r="AQ177" i="14"/>
  <c r="AQ175" i="14"/>
  <c r="AQ260" i="14"/>
  <c r="AP259" i="14"/>
  <c r="AQ14" i="14"/>
  <c r="AP181" i="14"/>
  <c r="AP179" i="14"/>
  <c r="AP177" i="14"/>
  <c r="AP175" i="14"/>
  <c r="AP14" i="14"/>
  <c r="AO259" i="14"/>
  <c r="AO181" i="14"/>
  <c r="AO179" i="14"/>
  <c r="AO177" i="14"/>
  <c r="AO175" i="14"/>
  <c r="AO260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177" i="14"/>
  <c r="AM175" i="14"/>
  <c r="AL259" i="14"/>
  <c r="AM14" i="14"/>
  <c r="AL181" i="14"/>
  <c r="AL179" i="14"/>
  <c r="AL260" i="14"/>
  <c r="AL177" i="14"/>
  <c r="AL175" i="14"/>
  <c r="AK259" i="14"/>
  <c r="AL14" i="14"/>
  <c r="AK181" i="14"/>
  <c r="AK179" i="14"/>
  <c r="AK177" i="14"/>
  <c r="AK260" i="14"/>
  <c r="AK175" i="14"/>
  <c r="AK14" i="14"/>
  <c r="AJ259" i="14"/>
  <c r="AJ181" i="14"/>
  <c r="AJ179" i="14"/>
  <c r="AJ177" i="14"/>
  <c r="AJ175" i="14"/>
  <c r="AJ14" i="14"/>
  <c r="AI259" i="14"/>
  <c r="AI181" i="14"/>
  <c r="AI179" i="14"/>
  <c r="AI177" i="14"/>
  <c r="AI175" i="14"/>
  <c r="AI260" i="14"/>
  <c r="AH259" i="14"/>
  <c r="AI14" i="14"/>
  <c r="AH181" i="14"/>
  <c r="AH179" i="14"/>
  <c r="AH177" i="14"/>
  <c r="AH175" i="14"/>
  <c r="AH14" i="14"/>
  <c r="AG259" i="14"/>
  <c r="AG181" i="14"/>
  <c r="AG179" i="14"/>
  <c r="AG177" i="14"/>
  <c r="AG175" i="14"/>
  <c r="AG260" i="14"/>
  <c r="AG14" i="14"/>
  <c r="AF259" i="14"/>
  <c r="AF181" i="14"/>
  <c r="AF179" i="14"/>
  <c r="AF177" i="14"/>
  <c r="AF175" i="14"/>
  <c r="AF260" i="14"/>
  <c r="AF14" i="14"/>
  <c r="AE259" i="14"/>
  <c r="AE181" i="14"/>
  <c r="AE179" i="14"/>
  <c r="AE177" i="14"/>
  <c r="AE175" i="14"/>
  <c r="AD259" i="14"/>
  <c r="AE14" i="14"/>
  <c r="AD181" i="14"/>
  <c r="AD179" i="14"/>
  <c r="AD260" i="14"/>
  <c r="AD177" i="14"/>
  <c r="AD175" i="14"/>
  <c r="AC259" i="14"/>
  <c r="AD14" i="14"/>
  <c r="AC181" i="14"/>
  <c r="AC179" i="14"/>
  <c r="AC177" i="14"/>
  <c r="AC260" i="14"/>
  <c r="AC175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AA260" i="14"/>
  <c r="Z259" i="14"/>
  <c r="AA14" i="14"/>
  <c r="Z181" i="14"/>
  <c r="Z179" i="14"/>
  <c r="Z177" i="14"/>
  <c r="Z175" i="14"/>
  <c r="Z14" i="14"/>
  <c r="Y259" i="14"/>
  <c r="Y181" i="14"/>
  <c r="Y179" i="14"/>
  <c r="Y177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177" i="14"/>
  <c r="W175" i="14"/>
  <c r="W260" i="14"/>
  <c r="V259" i="14"/>
  <c r="W14" i="14"/>
  <c r="V181" i="14"/>
  <c r="V179" i="14"/>
  <c r="V177" i="14"/>
  <c r="V175" i="14"/>
  <c r="U259" i="14"/>
  <c r="V14" i="14"/>
  <c r="U181" i="14"/>
  <c r="U179" i="14"/>
  <c r="U260" i="14"/>
  <c r="U177" i="14"/>
  <c r="U175" i="14"/>
  <c r="U14" i="14"/>
  <c r="T259" i="14"/>
  <c r="T181" i="14"/>
  <c r="T179" i="14"/>
  <c r="T177" i="14"/>
  <c r="T175" i="14"/>
  <c r="S260" i="14"/>
  <c r="T14" i="14"/>
  <c r="S259" i="14"/>
  <c r="S181" i="14"/>
  <c r="S179" i="14"/>
  <c r="S177" i="14"/>
  <c r="S175" i="14"/>
  <c r="R259" i="14"/>
  <c r="S14" i="14"/>
  <c r="R181" i="14"/>
  <c r="R179" i="14"/>
  <c r="R177" i="14"/>
  <c r="R175" i="14"/>
  <c r="Q260" i="14"/>
  <c r="R14" i="14"/>
  <c r="Q259" i="14"/>
  <c r="Q181" i="14"/>
  <c r="Q179" i="14"/>
  <c r="Q177" i="14"/>
  <c r="Q175" i="14"/>
  <c r="Q14" i="14"/>
  <c r="P259" i="14"/>
  <c r="P181" i="14"/>
  <c r="P179" i="14"/>
  <c r="P177" i="14"/>
  <c r="P175" i="14"/>
  <c r="P260" i="14"/>
  <c r="P14" i="14"/>
  <c r="O259" i="14"/>
  <c r="O181" i="14"/>
  <c r="O179" i="14"/>
  <c r="O177" i="14"/>
  <c r="O175" i="14"/>
  <c r="N259" i="14"/>
  <c r="O14" i="14"/>
  <c r="N181" i="14"/>
  <c r="N179" i="14"/>
  <c r="N260" i="14"/>
  <c r="N177" i="14"/>
  <c r="N175" i="14"/>
  <c r="M259" i="14"/>
  <c r="N14" i="14"/>
  <c r="M181" i="14"/>
  <c r="M179" i="14"/>
  <c r="M177" i="14"/>
  <c r="M260" i="14"/>
  <c r="M175" i="14"/>
  <c r="M14" i="14"/>
  <c r="L259" i="14"/>
  <c r="L181" i="14"/>
  <c r="L179" i="14"/>
  <c r="L177" i="14"/>
  <c r="L175" i="14"/>
  <c r="L14" i="14"/>
  <c r="K259" i="14"/>
  <c r="K181" i="14"/>
  <c r="K179" i="14"/>
  <c r="K177" i="14"/>
  <c r="K175" i="14"/>
  <c r="K260" i="14"/>
  <c r="J259" i="14"/>
  <c r="K14" i="14"/>
  <c r="J181" i="14"/>
  <c r="J179" i="14"/>
  <c r="J177" i="14"/>
  <c r="J175" i="14"/>
  <c r="J14" i="14"/>
  <c r="I259" i="14"/>
  <c r="I181" i="14"/>
  <c r="I179" i="14"/>
  <c r="I177" i="14"/>
  <c r="I175" i="14"/>
  <c r="I260" i="14"/>
  <c r="I14" i="14"/>
  <c r="H259" i="14"/>
  <c r="H181" i="14"/>
  <c r="H179" i="14"/>
  <c r="H177" i="14"/>
  <c r="H175" i="14"/>
  <c r="H260" i="14"/>
  <c r="H14" i="14"/>
  <c r="G259" i="14"/>
  <c r="G181" i="14"/>
  <c r="G179" i="14"/>
  <c r="G177" i="14"/>
  <c r="G175" i="14"/>
  <c r="F259" i="14"/>
  <c r="G14" i="14"/>
  <c r="F181" i="14"/>
  <c r="F179" i="14"/>
  <c r="F260" i="14"/>
  <c r="F177" i="14"/>
  <c r="F175" i="14"/>
  <c r="E259" i="14"/>
  <c r="F14" i="14"/>
  <c r="E181" i="14"/>
  <c r="E179" i="14"/>
  <c r="E177" i="14"/>
  <c r="E260" i="14"/>
  <c r="E175" i="14"/>
  <c r="E14" i="14"/>
  <c r="D181" i="14"/>
  <c r="D179" i="14"/>
  <c r="D177" i="14"/>
  <c r="D175" i="14"/>
  <c r="AZ14" i="15"/>
  <c r="AY259" i="15"/>
  <c r="AY181" i="15"/>
  <c r="AY179" i="15"/>
  <c r="AY177" i="15"/>
  <c r="AY175" i="15"/>
  <c r="AY260" i="15"/>
  <c r="AX259" i="15"/>
  <c r="AY14" i="15"/>
  <c r="AX181" i="15"/>
  <c r="AX179" i="15"/>
  <c r="AX177" i="15"/>
  <c r="AX175" i="15"/>
  <c r="AX14" i="15"/>
  <c r="AW259" i="15"/>
  <c r="AW181" i="15"/>
  <c r="AW179" i="15"/>
  <c r="AW177" i="15"/>
  <c r="AW175" i="15"/>
  <c r="AW260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T259" i="15"/>
  <c r="AU14" i="15"/>
  <c r="AT181" i="15"/>
  <c r="AT179" i="15"/>
  <c r="AT260" i="15"/>
  <c r="AT177" i="15"/>
  <c r="AT175" i="15"/>
  <c r="AS259" i="15"/>
  <c r="AT14" i="15"/>
  <c r="AS181" i="15"/>
  <c r="AS179" i="15"/>
  <c r="AS177" i="15"/>
  <c r="AS260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Q260" i="15"/>
  <c r="AP259" i="15"/>
  <c r="AQ14" i="15"/>
  <c r="AP181" i="15"/>
  <c r="AP179" i="15"/>
  <c r="AP177" i="15"/>
  <c r="AP175" i="15"/>
  <c r="AP14" i="15"/>
  <c r="AO259" i="15"/>
  <c r="AO181" i="15"/>
  <c r="AO179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M260" i="15"/>
  <c r="AL259" i="15"/>
  <c r="AM14" i="15"/>
  <c r="AL181" i="15"/>
  <c r="AL179" i="15"/>
  <c r="AL177" i="15"/>
  <c r="AL175" i="15"/>
  <c r="AK259" i="15"/>
  <c r="AL14" i="15"/>
  <c r="AK181" i="15"/>
  <c r="AK179" i="15"/>
  <c r="AK260" i="15"/>
  <c r="AK177" i="15"/>
  <c r="AK175" i="15"/>
  <c r="AK14" i="15"/>
  <c r="AJ259" i="15"/>
  <c r="AJ181" i="15"/>
  <c r="AJ179" i="15"/>
  <c r="AJ177" i="15"/>
  <c r="AJ175" i="15"/>
  <c r="AI260" i="15"/>
  <c r="AJ14" i="15"/>
  <c r="AI259" i="15"/>
  <c r="AI181" i="15"/>
  <c r="AI179" i="15"/>
  <c r="AI177" i="15"/>
  <c r="AI175" i="15"/>
  <c r="AH259" i="15"/>
  <c r="AI14" i="15"/>
  <c r="AH181" i="15"/>
  <c r="AH179" i="15"/>
  <c r="AH177" i="15"/>
  <c r="AH175" i="15"/>
  <c r="AG260" i="15"/>
  <c r="AH14" i="15"/>
  <c r="AG259" i="15"/>
  <c r="AG181" i="15"/>
  <c r="AG179" i="15"/>
  <c r="AG177" i="15"/>
  <c r="AG175" i="15"/>
  <c r="AG14" i="15"/>
  <c r="AF259" i="15"/>
  <c r="AF181" i="15"/>
  <c r="AF179" i="15"/>
  <c r="AF177" i="15"/>
  <c r="AF175" i="15"/>
  <c r="AF260" i="15"/>
  <c r="AF14" i="15"/>
  <c r="AE259" i="15"/>
  <c r="AE181" i="15"/>
  <c r="AE179" i="15"/>
  <c r="AE177" i="15"/>
  <c r="AE175" i="15"/>
  <c r="AD259" i="15"/>
  <c r="AE14" i="15"/>
  <c r="AD181" i="15"/>
  <c r="AD179" i="15"/>
  <c r="AD260" i="15"/>
  <c r="AD177" i="15"/>
  <c r="AD175" i="15"/>
  <c r="AC259" i="15"/>
  <c r="AD14" i="15"/>
  <c r="AC181" i="15"/>
  <c r="AC179" i="15"/>
  <c r="AC177" i="15"/>
  <c r="AC260" i="15"/>
  <c r="AC175" i="15"/>
  <c r="AC14" i="15"/>
  <c r="AB259" i="15"/>
  <c r="AB181" i="15"/>
  <c r="AB179" i="15"/>
  <c r="AB177" i="15"/>
  <c r="AB175" i="15"/>
  <c r="AB14" i="15"/>
  <c r="AA259" i="15"/>
  <c r="AA181" i="15"/>
  <c r="AA179" i="15"/>
  <c r="AA177" i="15"/>
  <c r="AA175" i="15"/>
  <c r="AA260" i="15"/>
  <c r="Z259" i="15"/>
  <c r="AA14" i="15"/>
  <c r="Z181" i="15"/>
  <c r="Z179" i="15"/>
  <c r="Z177" i="15"/>
  <c r="Z175" i="15"/>
  <c r="Z14" i="15"/>
  <c r="Y259" i="15"/>
  <c r="Y181" i="15"/>
  <c r="Y179" i="15"/>
  <c r="Y177" i="15"/>
  <c r="Y175" i="15"/>
  <c r="Y260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V259" i="15"/>
  <c r="W14" i="15"/>
  <c r="V181" i="15"/>
  <c r="V179" i="15"/>
  <c r="V260" i="15"/>
  <c r="V177" i="15"/>
  <c r="V175" i="15"/>
  <c r="U259" i="15"/>
  <c r="V14" i="15"/>
  <c r="U181" i="15"/>
  <c r="U179" i="15"/>
  <c r="U177" i="15"/>
  <c r="U260" i="15"/>
  <c r="U175" i="15"/>
  <c r="U14" i="15"/>
  <c r="T259" i="15"/>
  <c r="T181" i="15"/>
  <c r="T179" i="15"/>
  <c r="T177" i="15"/>
  <c r="T175" i="15"/>
  <c r="T14" i="15"/>
  <c r="S259" i="15"/>
  <c r="S181" i="15"/>
  <c r="S179" i="15"/>
  <c r="S177" i="15"/>
  <c r="S175" i="15"/>
  <c r="S260" i="15"/>
  <c r="R259" i="15"/>
  <c r="S14" i="15"/>
  <c r="R181" i="15"/>
  <c r="R179" i="15"/>
  <c r="R177" i="15"/>
  <c r="R175" i="15"/>
  <c r="R14" i="15"/>
  <c r="Q259" i="15"/>
  <c r="Q181" i="15"/>
  <c r="Q179" i="15"/>
  <c r="Q177" i="15"/>
  <c r="Q175" i="15"/>
  <c r="Q260" i="15"/>
  <c r="Q14" i="15"/>
  <c r="P259" i="15"/>
  <c r="P181" i="15"/>
  <c r="P179" i="15"/>
  <c r="P177" i="15"/>
  <c r="P175" i="15"/>
  <c r="P260" i="15"/>
  <c r="P14" i="15"/>
  <c r="O259" i="15"/>
  <c r="O181" i="15"/>
  <c r="O179" i="15"/>
  <c r="O177" i="15"/>
  <c r="O175" i="15"/>
  <c r="N259" i="15"/>
  <c r="O14" i="15"/>
  <c r="N181" i="15"/>
  <c r="N179" i="15"/>
  <c r="N260" i="15"/>
  <c r="N177" i="15"/>
  <c r="N175" i="15"/>
  <c r="M259" i="15"/>
  <c r="N14" i="15"/>
  <c r="M181" i="15"/>
  <c r="M179" i="15"/>
  <c r="M177" i="15"/>
  <c r="M260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K260" i="15"/>
  <c r="J259" i="15"/>
  <c r="K14" i="15"/>
  <c r="J181" i="15"/>
  <c r="J179" i="15"/>
  <c r="J177" i="15"/>
  <c r="J175" i="15"/>
  <c r="J14" i="15"/>
  <c r="I259" i="15"/>
  <c r="I181" i="15"/>
  <c r="I179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G260" i="15"/>
  <c r="F259" i="15"/>
  <c r="G14" i="15"/>
  <c r="F181" i="15"/>
  <c r="F179" i="15"/>
  <c r="F177" i="15"/>
  <c r="F175" i="15"/>
  <c r="E259" i="15"/>
  <c r="F14" i="15"/>
  <c r="E181" i="15"/>
  <c r="E179" i="15"/>
  <c r="E260" i="15"/>
  <c r="E177" i="15"/>
  <c r="E175" i="15"/>
  <c r="E14" i="15"/>
  <c r="D181" i="15"/>
  <c r="D179" i="15"/>
  <c r="D177" i="15"/>
  <c r="D175" i="15"/>
  <c r="AY260" i="16"/>
  <c r="AZ14" i="16"/>
  <c r="AY259" i="16"/>
  <c r="AY181" i="16"/>
  <c r="AY179" i="16"/>
  <c r="AY177" i="16"/>
  <c r="AY175" i="16"/>
  <c r="AX259" i="16"/>
  <c r="AY14" i="16"/>
  <c r="AX181" i="16"/>
  <c r="AX179" i="16"/>
  <c r="AX177" i="16"/>
  <c r="AX175" i="16"/>
  <c r="AW260" i="16"/>
  <c r="AX14" i="16"/>
  <c r="AW259" i="16"/>
  <c r="AW181" i="16"/>
  <c r="AW179" i="16"/>
  <c r="AW177" i="16"/>
  <c r="AW175" i="16"/>
  <c r="AW14" i="16"/>
  <c r="AV259" i="16"/>
  <c r="AV181" i="16"/>
  <c r="AV179" i="16"/>
  <c r="AV177" i="16"/>
  <c r="AV175" i="16"/>
  <c r="AV260" i="16"/>
  <c r="AV14" i="16"/>
  <c r="AU259" i="16"/>
  <c r="AU181" i="16"/>
  <c r="AU179" i="16"/>
  <c r="AU177" i="16"/>
  <c r="AU175" i="16"/>
  <c r="AT259" i="16"/>
  <c r="AU14" i="16"/>
  <c r="AT181" i="16"/>
  <c r="AT179" i="16"/>
  <c r="AT260" i="16"/>
  <c r="AT177" i="16"/>
  <c r="AT175" i="16"/>
  <c r="AS259" i="16"/>
  <c r="AT14" i="16"/>
  <c r="AS181" i="16"/>
  <c r="AS179" i="16"/>
  <c r="AS177" i="16"/>
  <c r="AS260" i="16"/>
  <c r="AS175" i="16"/>
  <c r="AS14" i="16"/>
  <c r="AR259" i="16"/>
  <c r="AR181" i="16"/>
  <c r="AR179" i="16"/>
  <c r="AR177" i="16"/>
  <c r="AR175" i="16"/>
  <c r="AR14" i="16"/>
  <c r="AQ259" i="16"/>
  <c r="AQ181" i="16"/>
  <c r="AQ179" i="16"/>
  <c r="AQ177" i="16"/>
  <c r="AQ175" i="16"/>
  <c r="AQ260" i="16"/>
  <c r="AP259" i="16"/>
  <c r="AQ14" i="16"/>
  <c r="AP181" i="16"/>
  <c r="AP179" i="16"/>
  <c r="AP177" i="16"/>
  <c r="AP175" i="16"/>
  <c r="AP14" i="16"/>
  <c r="AO259" i="16"/>
  <c r="AO181" i="16"/>
  <c r="AO179" i="16"/>
  <c r="AO177" i="16"/>
  <c r="AO175" i="16"/>
  <c r="AO260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L259" i="16"/>
  <c r="AM14" i="16"/>
  <c r="AL181" i="16"/>
  <c r="AL179" i="16"/>
  <c r="AL260" i="16"/>
  <c r="AL177" i="16"/>
  <c r="AL175" i="16"/>
  <c r="AK259" i="16"/>
  <c r="AL14" i="16"/>
  <c r="AK181" i="16"/>
  <c r="AK179" i="16"/>
  <c r="AK177" i="16"/>
  <c r="AK260" i="16"/>
  <c r="AK175" i="16"/>
  <c r="AK14" i="16"/>
  <c r="AJ259" i="16"/>
  <c r="AJ181" i="16"/>
  <c r="AJ179" i="16"/>
  <c r="AJ177" i="16"/>
  <c r="AJ175" i="16"/>
  <c r="AJ14" i="16"/>
  <c r="AI259" i="16"/>
  <c r="AI181" i="16"/>
  <c r="AI179" i="16"/>
  <c r="AI177" i="16"/>
  <c r="AI175" i="16"/>
  <c r="AI260" i="16"/>
  <c r="AH259" i="16"/>
  <c r="AI14" i="16"/>
  <c r="AH181" i="16"/>
  <c r="AH179" i="16"/>
  <c r="AH177" i="16"/>
  <c r="AH175" i="16"/>
  <c r="AH14" i="16"/>
  <c r="AG259" i="16"/>
  <c r="AG181" i="16"/>
  <c r="AG179" i="16"/>
  <c r="AG177" i="16"/>
  <c r="AG175" i="16"/>
  <c r="AG260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D259" i="16"/>
  <c r="AE14" i="16"/>
  <c r="AD181" i="16"/>
  <c r="AD179" i="16"/>
  <c r="AD260" i="16"/>
  <c r="AD177" i="16"/>
  <c r="AD175" i="16"/>
  <c r="AC259" i="16"/>
  <c r="AD14" i="16"/>
  <c r="AC181" i="16"/>
  <c r="AC179" i="16"/>
  <c r="AC177" i="16"/>
  <c r="AC260" i="16"/>
  <c r="AC175" i="16"/>
  <c r="AC14" i="16"/>
  <c r="AB259" i="16"/>
  <c r="AB181" i="16"/>
  <c r="AB179" i="16"/>
  <c r="AB177" i="16"/>
  <c r="AB175" i="16"/>
  <c r="AB260" i="16"/>
  <c r="AB14" i="16"/>
  <c r="AA259" i="16"/>
  <c r="AA181" i="16"/>
  <c r="AA179" i="16"/>
  <c r="AA177" i="16"/>
  <c r="AA175" i="16"/>
  <c r="AA260" i="16"/>
  <c r="Z259" i="16"/>
  <c r="AA14" i="16"/>
  <c r="Z181" i="16"/>
  <c r="Z179" i="16"/>
  <c r="Z177" i="16"/>
  <c r="Z175" i="16"/>
  <c r="Z14" i="16"/>
  <c r="Y259" i="16"/>
  <c r="Y181" i="16"/>
  <c r="Y179" i="16"/>
  <c r="Y177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177" i="16"/>
  <c r="W175" i="16"/>
  <c r="W260" i="16"/>
  <c r="V259" i="16"/>
  <c r="W14" i="16"/>
  <c r="V181" i="16"/>
  <c r="V179" i="16"/>
  <c r="V177" i="16"/>
  <c r="V175" i="16"/>
  <c r="U259" i="16"/>
  <c r="V14" i="16"/>
  <c r="U181" i="16"/>
  <c r="U179" i="16"/>
  <c r="U260" i="16"/>
  <c r="U177" i="16"/>
  <c r="U175" i="16"/>
  <c r="U14" i="16"/>
  <c r="T259" i="16"/>
  <c r="T181" i="16"/>
  <c r="T179" i="16"/>
  <c r="T177" i="16"/>
  <c r="T175" i="16"/>
  <c r="S260" i="16"/>
  <c r="T14" i="16"/>
  <c r="S259" i="16"/>
  <c r="S181" i="16"/>
  <c r="S179" i="16"/>
  <c r="S177" i="16"/>
  <c r="S175" i="16"/>
  <c r="R259" i="16"/>
  <c r="S14" i="16"/>
  <c r="R181" i="16"/>
  <c r="R179" i="16"/>
  <c r="R177" i="16"/>
  <c r="R175" i="16"/>
  <c r="Q260" i="16"/>
  <c r="R14" i="16"/>
  <c r="Q259" i="16"/>
  <c r="Q181" i="16"/>
  <c r="Q179" i="16"/>
  <c r="Q177" i="16"/>
  <c r="Q175" i="16"/>
  <c r="Q14" i="16"/>
  <c r="P259" i="16"/>
  <c r="P181" i="16"/>
  <c r="P179" i="16"/>
  <c r="P177" i="16"/>
  <c r="P175" i="16"/>
  <c r="P260" i="16"/>
  <c r="P14" i="16"/>
  <c r="O259" i="16"/>
  <c r="O181" i="16"/>
  <c r="O179" i="16"/>
  <c r="O177" i="16"/>
  <c r="O175" i="16"/>
  <c r="N259" i="16"/>
  <c r="O14" i="16"/>
  <c r="N181" i="16"/>
  <c r="N179" i="16"/>
  <c r="N260" i="16"/>
  <c r="N177" i="16"/>
  <c r="N175" i="16"/>
  <c r="M259" i="16"/>
  <c r="N14" i="16"/>
  <c r="M181" i="16"/>
  <c r="M179" i="16"/>
  <c r="M177" i="16"/>
  <c r="M260" i="16"/>
  <c r="M175" i="16"/>
  <c r="M14" i="16"/>
  <c r="L259" i="16"/>
  <c r="L181" i="16"/>
  <c r="L179" i="16"/>
  <c r="L177" i="16"/>
  <c r="L175" i="16"/>
  <c r="L14" i="16"/>
  <c r="K259" i="16"/>
  <c r="K181" i="16"/>
  <c r="K179" i="16"/>
  <c r="K177" i="16"/>
  <c r="K175" i="16"/>
  <c r="K260" i="16"/>
  <c r="J259" i="16"/>
  <c r="K14" i="16"/>
  <c r="J181" i="16"/>
  <c r="J179" i="16"/>
  <c r="J177" i="16"/>
  <c r="J175" i="16"/>
  <c r="J14" i="16"/>
  <c r="I259" i="16"/>
  <c r="I181" i="16"/>
  <c r="I179" i="16"/>
  <c r="I177" i="16"/>
  <c r="I175" i="16"/>
  <c r="I260" i="16"/>
  <c r="I14" i="16"/>
  <c r="H259" i="16"/>
  <c r="H181" i="16"/>
  <c r="H179" i="16"/>
  <c r="H177" i="16"/>
  <c r="H175" i="16"/>
  <c r="H260" i="16"/>
  <c r="H14" i="16"/>
  <c r="G259" i="16"/>
  <c r="G181" i="16"/>
  <c r="G179" i="16"/>
  <c r="G177" i="16"/>
  <c r="G175" i="16"/>
  <c r="F259" i="16"/>
  <c r="G14" i="16"/>
  <c r="F181" i="16"/>
  <c r="F179" i="16"/>
  <c r="F260" i="16"/>
  <c r="F177" i="16"/>
  <c r="F175" i="16"/>
  <c r="E259" i="16"/>
  <c r="F14" i="16"/>
  <c r="E181" i="16"/>
  <c r="E179" i="16"/>
  <c r="E177" i="16"/>
  <c r="E260" i="16"/>
  <c r="E175" i="16"/>
  <c r="E14" i="16"/>
  <c r="D181" i="16"/>
  <c r="D179" i="16"/>
  <c r="D177" i="16"/>
  <c r="D175" i="16"/>
  <c r="AY14" i="17"/>
  <c r="AY10" i="17"/>
  <c r="AY15" i="17"/>
  <c r="AY16" i="17"/>
  <c r="AY13" i="17"/>
  <c r="AY17" i="17"/>
  <c r="AY29" i="17"/>
  <c r="AX14" i="17"/>
  <c r="AX15" i="17"/>
  <c r="AX16" i="17"/>
  <c r="AX10" i="17"/>
  <c r="AX13" i="17"/>
  <c r="AX17" i="17"/>
  <c r="AX29" i="17"/>
  <c r="AW14" i="17"/>
  <c r="AW15" i="17"/>
  <c r="AW16" i="17"/>
  <c r="AW10" i="17"/>
  <c r="AW13" i="17"/>
  <c r="AW17" i="17"/>
  <c r="AW29" i="17"/>
  <c r="AV14" i="17"/>
  <c r="AV15" i="17"/>
  <c r="AV16" i="17"/>
  <c r="AV17" i="17"/>
  <c r="AV29" i="17"/>
  <c r="AU14" i="17"/>
  <c r="AU15" i="17"/>
  <c r="AU16" i="17"/>
  <c r="AU10" i="17"/>
  <c r="AU13" i="17"/>
  <c r="AU17" i="17"/>
  <c r="AU29" i="17"/>
  <c r="AT14" i="17"/>
  <c r="AT15" i="17"/>
  <c r="AT16" i="17"/>
  <c r="AT17" i="17"/>
  <c r="AT29" i="17"/>
  <c r="AS14" i="17"/>
  <c r="AS15" i="17"/>
  <c r="AS16" i="17"/>
  <c r="AS10" i="17"/>
  <c r="AS13" i="17"/>
  <c r="AS17" i="17"/>
  <c r="AS29" i="17"/>
  <c r="AR14" i="17"/>
  <c r="AR15" i="17"/>
  <c r="AR10" i="17"/>
  <c r="AR13" i="17"/>
  <c r="AR16" i="17"/>
  <c r="AR17" i="17"/>
  <c r="AR29" i="17"/>
  <c r="AQ14" i="17"/>
  <c r="AQ15" i="17"/>
  <c r="AQ16" i="17"/>
  <c r="AQ10" i="17"/>
  <c r="AQ13" i="17"/>
  <c r="AQ17" i="17"/>
  <c r="AQ29" i="17"/>
  <c r="AP14" i="17"/>
  <c r="AP15" i="17"/>
  <c r="AP16" i="17"/>
  <c r="AP17" i="17"/>
  <c r="AP29" i="17"/>
  <c r="AO14" i="17"/>
  <c r="AO15" i="17"/>
  <c r="AO16" i="17"/>
  <c r="AO10" i="17"/>
  <c r="AO13" i="17"/>
  <c r="AO17" i="17"/>
  <c r="AO29" i="17"/>
  <c r="AN14" i="17"/>
  <c r="AN15" i="17"/>
  <c r="AN16" i="17"/>
  <c r="AN17" i="17"/>
  <c r="AN29" i="17"/>
  <c r="AM15" i="17"/>
  <c r="AM17" i="17"/>
  <c r="AM21" i="17"/>
  <c r="AM22" i="17"/>
  <c r="AM56" i="17"/>
  <c r="AM24" i="17"/>
  <c r="AM29" i="17"/>
  <c r="AM34" i="17"/>
  <c r="AM40" i="17"/>
  <c r="AM45" i="17"/>
  <c r="AM51" i="17"/>
  <c r="AM62" i="17"/>
  <c r="AL14" i="17"/>
  <c r="AL15" i="17"/>
  <c r="AL16" i="17"/>
  <c r="AL17" i="17"/>
  <c r="AL29" i="17"/>
  <c r="AK14" i="17"/>
  <c r="AK15" i="17"/>
  <c r="AK16" i="17"/>
  <c r="AK10" i="17"/>
  <c r="AK13" i="17"/>
  <c r="AK17" i="17"/>
  <c r="AK29" i="17"/>
  <c r="AJ14" i="17"/>
  <c r="AJ15" i="17"/>
  <c r="AJ10" i="17"/>
  <c r="AJ13" i="17"/>
  <c r="AJ16" i="17"/>
  <c r="AJ17" i="17"/>
  <c r="AJ21" i="17"/>
  <c r="AJ29" i="17"/>
  <c r="AI14" i="17"/>
  <c r="AI15" i="17"/>
  <c r="AI16" i="17"/>
  <c r="AI10" i="17"/>
  <c r="AI13" i="17"/>
  <c r="AI17" i="17"/>
  <c r="AI29" i="17"/>
  <c r="AH14" i="17"/>
  <c r="AH15" i="17"/>
  <c r="AH10" i="17"/>
  <c r="AH13" i="17"/>
  <c r="AH16" i="17"/>
  <c r="AH17" i="17"/>
  <c r="AH29" i="17"/>
  <c r="AG14" i="17"/>
  <c r="AG15" i="17"/>
  <c r="AG16" i="17"/>
  <c r="AG10" i="17"/>
  <c r="AG13" i="17"/>
  <c r="AG17" i="17"/>
  <c r="AG29" i="17"/>
  <c r="AF14" i="17"/>
  <c r="AF15" i="17"/>
  <c r="AF10" i="17"/>
  <c r="AF13" i="17"/>
  <c r="AF16" i="17"/>
  <c r="AF17" i="17"/>
  <c r="AF29" i="17"/>
  <c r="AE14" i="17"/>
  <c r="AE15" i="17"/>
  <c r="AE16" i="17"/>
  <c r="AE10" i="17"/>
  <c r="AE13" i="17"/>
  <c r="AE17" i="17"/>
  <c r="AE29" i="17"/>
  <c r="AD14" i="17"/>
  <c r="AD15" i="17"/>
  <c r="AD10" i="17"/>
  <c r="AD13" i="17"/>
  <c r="AD16" i="17"/>
  <c r="AD17" i="17"/>
  <c r="AD29" i="17"/>
  <c r="AC15" i="17"/>
  <c r="AC21" i="17"/>
  <c r="AC22" i="17"/>
  <c r="AC56" i="17"/>
  <c r="AC24" i="17"/>
  <c r="AC29" i="17"/>
  <c r="AC34" i="17"/>
  <c r="AC40" i="17"/>
  <c r="AC45" i="17"/>
  <c r="AC51" i="17"/>
  <c r="AC62" i="17"/>
  <c r="AB14" i="17"/>
  <c r="AB15" i="17"/>
  <c r="AC16" i="17"/>
  <c r="AB16" i="17"/>
  <c r="AC17" i="17"/>
  <c r="AB10" i="17"/>
  <c r="AB13" i="17"/>
  <c r="AC14" i="17"/>
  <c r="AB17" i="17"/>
  <c r="AB29" i="17"/>
  <c r="AA14" i="17"/>
  <c r="AA15" i="17"/>
  <c r="AA10" i="17"/>
  <c r="AA13" i="17"/>
  <c r="AA16" i="17"/>
  <c r="AA17" i="17"/>
  <c r="AA29" i="17"/>
  <c r="Z14" i="17"/>
  <c r="Z15" i="17"/>
  <c r="Z16" i="17"/>
  <c r="Z10" i="17"/>
  <c r="Z13" i="17"/>
  <c r="Z17" i="17"/>
  <c r="Z29" i="17"/>
  <c r="Y14" i="17"/>
  <c r="Y15" i="17"/>
  <c r="Y10" i="17"/>
  <c r="Y13" i="17"/>
  <c r="Y16" i="17"/>
  <c r="Y17" i="17"/>
  <c r="Y29" i="17"/>
  <c r="X14" i="17"/>
  <c r="X15" i="17"/>
  <c r="X16" i="17"/>
  <c r="X10" i="17"/>
  <c r="X13" i="17"/>
  <c r="X17" i="17"/>
  <c r="X29" i="17"/>
  <c r="W14" i="17"/>
  <c r="W15" i="17"/>
  <c r="W10" i="17"/>
  <c r="W13" i="17"/>
  <c r="X21" i="17"/>
  <c r="X23" i="17"/>
  <c r="W16" i="17"/>
  <c r="W17" i="17"/>
  <c r="W29" i="17"/>
  <c r="V14" i="17"/>
  <c r="V15" i="17"/>
  <c r="V16" i="17"/>
  <c r="V10" i="17"/>
  <c r="V13" i="17"/>
  <c r="V17" i="17"/>
  <c r="V29" i="17"/>
  <c r="U14" i="17"/>
  <c r="U15" i="17"/>
  <c r="U10" i="17"/>
  <c r="U13" i="17"/>
  <c r="U16" i="17"/>
  <c r="U17" i="17"/>
  <c r="U29" i="17"/>
  <c r="T14" i="17"/>
  <c r="T15" i="17"/>
  <c r="T16" i="17"/>
  <c r="T10" i="17"/>
  <c r="T13" i="17"/>
  <c r="T17" i="17"/>
  <c r="T29" i="17"/>
  <c r="S14" i="17"/>
  <c r="S15" i="17"/>
  <c r="S10" i="17"/>
  <c r="S13" i="17"/>
  <c r="S16" i="17"/>
  <c r="S17" i="17"/>
  <c r="S29" i="17"/>
  <c r="R14" i="17"/>
  <c r="R15" i="17"/>
  <c r="R16" i="17"/>
  <c r="R10" i="17"/>
  <c r="R13" i="17"/>
  <c r="R17" i="17"/>
  <c r="R29" i="17"/>
  <c r="Q14" i="17"/>
  <c r="Q15" i="17"/>
  <c r="Q10" i="17"/>
  <c r="Q13" i="17"/>
  <c r="Q16" i="17"/>
  <c r="Q17" i="17"/>
  <c r="Q29" i="17"/>
  <c r="P14" i="17"/>
  <c r="P15" i="17"/>
  <c r="P16" i="17"/>
  <c r="P10" i="17"/>
  <c r="P13" i="17"/>
  <c r="P17" i="17"/>
  <c r="P29" i="17"/>
  <c r="O14" i="17"/>
  <c r="O15" i="17"/>
  <c r="O10" i="17"/>
  <c r="O13" i="17"/>
  <c r="P21" i="17"/>
  <c r="P23" i="17"/>
  <c r="O16" i="17"/>
  <c r="O17" i="17"/>
  <c r="O29" i="17"/>
  <c r="N14" i="17"/>
  <c r="N15" i="17"/>
  <c r="N16" i="17"/>
  <c r="N10" i="17"/>
  <c r="N13" i="17"/>
  <c r="N17" i="17"/>
  <c r="N29" i="17"/>
  <c r="M14" i="17"/>
  <c r="M15" i="17"/>
  <c r="M10" i="17"/>
  <c r="M13" i="17"/>
  <c r="M16" i="17"/>
  <c r="M17" i="17"/>
  <c r="M29" i="17"/>
  <c r="L14" i="17"/>
  <c r="L15" i="17"/>
  <c r="L16" i="17"/>
  <c r="L10" i="17"/>
  <c r="L13" i="17"/>
  <c r="L17" i="17"/>
  <c r="L29" i="17"/>
  <c r="K14" i="17"/>
  <c r="K15" i="17"/>
  <c r="K10" i="17"/>
  <c r="K13" i="17"/>
  <c r="K16" i="17"/>
  <c r="K17" i="17"/>
  <c r="K29" i="17"/>
  <c r="J14" i="17"/>
  <c r="J15" i="17"/>
  <c r="J16" i="17"/>
  <c r="J10" i="17"/>
  <c r="J13" i="17"/>
  <c r="J17" i="17"/>
  <c r="J29" i="17"/>
  <c r="I14" i="17"/>
  <c r="I15" i="17"/>
  <c r="I10" i="17"/>
  <c r="I13" i="17"/>
  <c r="I16" i="17"/>
  <c r="I17" i="17"/>
  <c r="I29" i="17"/>
  <c r="H14" i="17"/>
  <c r="H15" i="17"/>
  <c r="H16" i="17"/>
  <c r="H10" i="17"/>
  <c r="H13" i="17"/>
  <c r="H17" i="17"/>
  <c r="H29" i="17"/>
  <c r="G14" i="17"/>
  <c r="G15" i="17"/>
  <c r="G10" i="17"/>
  <c r="G13" i="17"/>
  <c r="H21" i="17"/>
  <c r="H23" i="17"/>
  <c r="G16" i="17"/>
  <c r="G17" i="17"/>
  <c r="G29" i="17"/>
  <c r="F14" i="17"/>
  <c r="F15" i="17"/>
  <c r="F16" i="17"/>
  <c r="F10" i="17"/>
  <c r="F13" i="17"/>
  <c r="F17" i="17"/>
  <c r="F29" i="17"/>
  <c r="E14" i="17"/>
  <c r="E15" i="17"/>
  <c r="E10" i="17"/>
  <c r="E13" i="17"/>
  <c r="E16" i="17"/>
  <c r="E17" i="17"/>
  <c r="E29" i="17"/>
  <c r="D14" i="17"/>
  <c r="D15" i="17"/>
  <c r="D16" i="17"/>
  <c r="D10" i="17"/>
  <c r="D17" i="17"/>
  <c r="D27" i="17"/>
  <c r="D30" i="17"/>
  <c r="D29" i="17"/>
  <c r="E27" i="17"/>
  <c r="AY14" i="18"/>
  <c r="AY15" i="18"/>
  <c r="AY16" i="18"/>
  <c r="AY10" i="18"/>
  <c r="AY13" i="18"/>
  <c r="AY17" i="18"/>
  <c r="AY29" i="18"/>
  <c r="AX14" i="18"/>
  <c r="AX15" i="18"/>
  <c r="AX10" i="18"/>
  <c r="AX13" i="18"/>
  <c r="AX16" i="18"/>
  <c r="AX17" i="18"/>
  <c r="AX29" i="18"/>
  <c r="AW14" i="18"/>
  <c r="AW15" i="18"/>
  <c r="AW16" i="18"/>
  <c r="AW10" i="18"/>
  <c r="AW13" i="18"/>
  <c r="AW17" i="18"/>
  <c r="AW29" i="18"/>
  <c r="AV14" i="18"/>
  <c r="AV15" i="18"/>
  <c r="AV10" i="18"/>
  <c r="AV13" i="18"/>
  <c r="AV16" i="18"/>
  <c r="AV17" i="18"/>
  <c r="AV29" i="18"/>
  <c r="AU14" i="18"/>
  <c r="AU15" i="18"/>
  <c r="AU16" i="18"/>
  <c r="AU10" i="18"/>
  <c r="AU13" i="18"/>
  <c r="AU17" i="18"/>
  <c r="AU29" i="18"/>
  <c r="AT14" i="18"/>
  <c r="AT15" i="18"/>
  <c r="AT10" i="18"/>
  <c r="AT13" i="18"/>
  <c r="AT16" i="18"/>
  <c r="AT17" i="18"/>
  <c r="AT29" i="18"/>
  <c r="AS14" i="18"/>
  <c r="AS15" i="18"/>
  <c r="AS16" i="18"/>
  <c r="AS10" i="18"/>
  <c r="AS13" i="18"/>
  <c r="AS17" i="18"/>
  <c r="AS29" i="18"/>
  <c r="AR14" i="18"/>
  <c r="AR15" i="18"/>
  <c r="AR10" i="18"/>
  <c r="AR13" i="18"/>
  <c r="AR16" i="18"/>
  <c r="AR17" i="18"/>
  <c r="AR29" i="18"/>
  <c r="AQ15" i="18"/>
  <c r="AQ16" i="18"/>
  <c r="AQ21" i="18"/>
  <c r="AQ23" i="18"/>
  <c r="AQ22" i="18"/>
  <c r="AQ29" i="18"/>
  <c r="AP14" i="18"/>
  <c r="AP15" i="18"/>
  <c r="AP16" i="18"/>
  <c r="AQ17" i="18"/>
  <c r="AP10" i="18"/>
  <c r="AP13" i="18"/>
  <c r="AQ14" i="18"/>
  <c r="AQ10" i="18"/>
  <c r="AQ13" i="18"/>
  <c r="AP17" i="18"/>
  <c r="AP29" i="18"/>
  <c r="AO14" i="18"/>
  <c r="AO15" i="18"/>
  <c r="AO16" i="18"/>
  <c r="AO17" i="18"/>
  <c r="AO29" i="18"/>
  <c r="AN14" i="18"/>
  <c r="AN15" i="18"/>
  <c r="AN16" i="18"/>
  <c r="AN17" i="18"/>
  <c r="AN29" i="18"/>
  <c r="AM14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7" i="18"/>
  <c r="AK29" i="18"/>
  <c r="AJ14" i="18"/>
  <c r="AJ15" i="18"/>
  <c r="AJ16" i="18"/>
  <c r="AJ17" i="18"/>
  <c r="AJ29" i="18"/>
  <c r="AI14" i="18"/>
  <c r="AI15" i="18"/>
  <c r="AI16" i="18"/>
  <c r="AI17" i="18"/>
  <c r="AI29" i="18"/>
  <c r="AH14" i="18"/>
  <c r="AH15" i="18"/>
  <c r="AH16" i="18"/>
  <c r="AH17" i="18"/>
  <c r="AH29" i="18"/>
  <c r="AG14" i="18"/>
  <c r="AG15" i="18"/>
  <c r="AG16" i="18"/>
  <c r="AG17" i="18"/>
  <c r="AG29" i="18"/>
  <c r="AF14" i="18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5" i="18"/>
  <c r="AA16" i="18"/>
  <c r="AA17" i="18"/>
  <c r="AA29" i="18"/>
  <c r="Z14" i="18"/>
  <c r="Z15" i="18"/>
  <c r="Z16" i="18"/>
  <c r="Z17" i="18"/>
  <c r="Z29" i="18"/>
  <c r="Y14" i="18"/>
  <c r="Y15" i="18"/>
  <c r="Y16" i="18"/>
  <c r="Y17" i="18"/>
  <c r="Y29" i="18"/>
  <c r="X14" i="18"/>
  <c r="X15" i="18"/>
  <c r="X16" i="18"/>
  <c r="X17" i="18"/>
  <c r="X29" i="18"/>
  <c r="W14" i="18"/>
  <c r="W15" i="18"/>
  <c r="W16" i="18"/>
  <c r="W17" i="18"/>
  <c r="W29" i="18"/>
  <c r="V14" i="18"/>
  <c r="V15" i="18"/>
  <c r="V16" i="18"/>
  <c r="V17" i="18"/>
  <c r="V29" i="18"/>
  <c r="U15" i="18"/>
  <c r="U17" i="18"/>
  <c r="U21" i="18"/>
  <c r="U55" i="18"/>
  <c r="U57" i="18"/>
  <c r="U22" i="18"/>
  <c r="U24" i="18"/>
  <c r="U29" i="18"/>
  <c r="U34" i="18"/>
  <c r="U40" i="18"/>
  <c r="U45" i="18"/>
  <c r="U51" i="18"/>
  <c r="U56" i="18"/>
  <c r="U62" i="18"/>
  <c r="T14" i="18"/>
  <c r="T15" i="18"/>
  <c r="U16" i="18"/>
  <c r="T16" i="18"/>
  <c r="T17" i="18"/>
  <c r="T29" i="18"/>
  <c r="S14" i="18"/>
  <c r="S15" i="18"/>
  <c r="S16" i="18"/>
  <c r="S17" i="18"/>
  <c r="S29" i="18"/>
  <c r="R14" i="18"/>
  <c r="R15" i="18"/>
  <c r="R16" i="18"/>
  <c r="R17" i="18"/>
  <c r="R29" i="18"/>
  <c r="Q14" i="18"/>
  <c r="Q15" i="18"/>
  <c r="Q16" i="18"/>
  <c r="Q17" i="18"/>
  <c r="Q29" i="18"/>
  <c r="P14" i="18"/>
  <c r="P15" i="18"/>
  <c r="P16" i="18"/>
  <c r="P17" i="18"/>
  <c r="P29" i="18"/>
  <c r="O14" i="18"/>
  <c r="O15" i="18"/>
  <c r="O16" i="18"/>
  <c r="O17" i="18"/>
  <c r="O29" i="18"/>
  <c r="N14" i="18"/>
  <c r="N15" i="18"/>
  <c r="N16" i="18"/>
  <c r="N17" i="18"/>
  <c r="N29" i="18"/>
  <c r="M14" i="18"/>
  <c r="M15" i="18"/>
  <c r="M16" i="18"/>
  <c r="M17" i="18"/>
  <c r="M29" i="18"/>
  <c r="L14" i="18"/>
  <c r="L15" i="18"/>
  <c r="L16" i="18"/>
  <c r="L17" i="18"/>
  <c r="L29" i="18"/>
  <c r="K15" i="18"/>
  <c r="K16" i="18"/>
  <c r="K21" i="18"/>
  <c r="K55" i="18"/>
  <c r="K22" i="18"/>
  <c r="K23" i="18"/>
  <c r="K24" i="18"/>
  <c r="K29" i="18"/>
  <c r="K34" i="18"/>
  <c r="K40" i="18"/>
  <c r="K45" i="18"/>
  <c r="K51" i="18"/>
  <c r="K56" i="18"/>
  <c r="K62" i="18"/>
  <c r="K57" i="18"/>
  <c r="K61" i="18"/>
  <c r="J14" i="18"/>
  <c r="J15" i="18"/>
  <c r="J16" i="18"/>
  <c r="K17" i="18"/>
  <c r="J17" i="18"/>
  <c r="J29" i="18"/>
  <c r="I14" i="18"/>
  <c r="I15" i="18"/>
  <c r="I16" i="18"/>
  <c r="I17" i="18"/>
  <c r="I29" i="18"/>
  <c r="H14" i="18"/>
  <c r="H15" i="18"/>
  <c r="H16" i="18"/>
  <c r="H17" i="18"/>
  <c r="H29" i="18"/>
  <c r="G14" i="18"/>
  <c r="G15" i="18"/>
  <c r="G16" i="18"/>
  <c r="G17" i="18"/>
  <c r="G29" i="18"/>
  <c r="F14" i="18"/>
  <c r="F15" i="18"/>
  <c r="F16" i="18"/>
  <c r="F17" i="18"/>
  <c r="F29" i="18"/>
  <c r="E14" i="18"/>
  <c r="E15" i="18"/>
  <c r="E16" i="18"/>
  <c r="E17" i="18"/>
  <c r="AZ17" i="18"/>
  <c r="E27" i="18"/>
  <c r="F27" i="18"/>
  <c r="E29" i="18"/>
  <c r="D14" i="18"/>
  <c r="D15" i="18"/>
  <c r="D16" i="18"/>
  <c r="D17" i="18"/>
  <c r="D27" i="18"/>
  <c r="D29" i="18"/>
  <c r="D30" i="18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AS21" i="18"/>
  <c r="S21" i="17"/>
  <c r="B22" i="18"/>
  <c r="D22" i="18"/>
  <c r="D21" i="18"/>
  <c r="AA21" i="17"/>
  <c r="G27" i="18"/>
  <c r="F30" i="18"/>
  <c r="AY21" i="18"/>
  <c r="E30" i="17"/>
  <c r="F27" i="17"/>
  <c r="K21" i="17"/>
  <c r="AT21" i="17"/>
  <c r="AU21" i="18"/>
  <c r="AW22" i="18"/>
  <c r="AW21" i="18"/>
  <c r="AR21" i="18"/>
  <c r="AI21" i="17"/>
  <c r="S31" i="20"/>
  <c r="T32" i="20"/>
  <c r="AT21" i="18"/>
  <c r="AV21" i="18"/>
  <c r="AX21" i="18"/>
  <c r="I21" i="17"/>
  <c r="Q21" i="17"/>
  <c r="AJ23" i="17"/>
  <c r="AJ55" i="17"/>
  <c r="AQ33" i="18"/>
  <c r="Y21" i="17"/>
  <c r="T11" i="20"/>
  <c r="H8" i="20"/>
  <c r="S9" i="20"/>
  <c r="H9" i="20"/>
  <c r="B22" i="17"/>
  <c r="AF22" i="17"/>
  <c r="D21" i="17"/>
  <c r="E10" i="18"/>
  <c r="E13" i="18"/>
  <c r="G10" i="18"/>
  <c r="G13" i="18"/>
  <c r="I10" i="18"/>
  <c r="I13" i="18"/>
  <c r="L10" i="18"/>
  <c r="L13" i="18"/>
  <c r="N10" i="18"/>
  <c r="N13" i="18"/>
  <c r="P10" i="18"/>
  <c r="P13" i="18"/>
  <c r="R10" i="18"/>
  <c r="R13" i="18"/>
  <c r="T10" i="18"/>
  <c r="T13" i="18"/>
  <c r="U14" i="18"/>
  <c r="U10" i="18"/>
  <c r="U13" i="18"/>
  <c r="U44" i="18"/>
  <c r="U33" i="18"/>
  <c r="W10" i="18"/>
  <c r="W13" i="18"/>
  <c r="Y10" i="18"/>
  <c r="Y13" i="18"/>
  <c r="AA10" i="18"/>
  <c r="AA13" i="18"/>
  <c r="AC10" i="18"/>
  <c r="AC13" i="18"/>
  <c r="AE10" i="18"/>
  <c r="AE13" i="18"/>
  <c r="AG10" i="18"/>
  <c r="AG13" i="18"/>
  <c r="AI10" i="18"/>
  <c r="AI13" i="18"/>
  <c r="AK10" i="18"/>
  <c r="AK13" i="18"/>
  <c r="AM10" i="18"/>
  <c r="AM13" i="18"/>
  <c r="AO10" i="18"/>
  <c r="AO13" i="18"/>
  <c r="AQ44" i="18"/>
  <c r="F21" i="17"/>
  <c r="G21" i="17"/>
  <c r="H44" i="17"/>
  <c r="N21" i="17"/>
  <c r="O21" i="17"/>
  <c r="P44" i="17"/>
  <c r="V21" i="17"/>
  <c r="W21" i="17"/>
  <c r="X44" i="17"/>
  <c r="AG22" i="17"/>
  <c r="AG21" i="17"/>
  <c r="AH21" i="17"/>
  <c r="AJ44" i="17"/>
  <c r="AL22" i="17"/>
  <c r="AP21" i="17"/>
  <c r="AS21" i="17"/>
  <c r="U61" i="18"/>
  <c r="U23" i="18"/>
  <c r="AQ55" i="18"/>
  <c r="D13" i="17"/>
  <c r="L21" i="17"/>
  <c r="M21" i="17"/>
  <c r="T21" i="17"/>
  <c r="U21" i="17"/>
  <c r="AB21" i="17"/>
  <c r="AC10" i="17"/>
  <c r="AC13" i="17"/>
  <c r="AC23" i="17"/>
  <c r="AC33" i="17"/>
  <c r="AC44" i="17"/>
  <c r="AC55" i="17"/>
  <c r="AE22" i="17"/>
  <c r="AE21" i="17"/>
  <c r="AF21" i="17"/>
  <c r="AJ33" i="17"/>
  <c r="AM16" i="17"/>
  <c r="AL10" i="17"/>
  <c r="AL13" i="17"/>
  <c r="AM14" i="17"/>
  <c r="AP10" i="17"/>
  <c r="AP13" i="17"/>
  <c r="AR21" i="17"/>
  <c r="D10" i="18"/>
  <c r="E30" i="18"/>
  <c r="F10" i="18"/>
  <c r="F13" i="18"/>
  <c r="H10" i="18"/>
  <c r="H13" i="18"/>
  <c r="J10" i="18"/>
  <c r="J13" i="18"/>
  <c r="K14" i="18"/>
  <c r="K10" i="18"/>
  <c r="K13" i="18"/>
  <c r="K44" i="18"/>
  <c r="K33" i="18"/>
  <c r="M10" i="18"/>
  <c r="M13" i="18"/>
  <c r="O10" i="18"/>
  <c r="O13" i="18"/>
  <c r="Q10" i="18"/>
  <c r="Q13" i="18"/>
  <c r="S10" i="18"/>
  <c r="S13" i="18"/>
  <c r="V10" i="18"/>
  <c r="V13" i="18"/>
  <c r="X10" i="18"/>
  <c r="X13" i="18"/>
  <c r="Z10" i="18"/>
  <c r="Z13" i="18"/>
  <c r="AB10" i="18"/>
  <c r="AB13" i="18"/>
  <c r="AD10" i="18"/>
  <c r="AD13" i="18"/>
  <c r="AF10" i="18"/>
  <c r="AF13" i="18"/>
  <c r="AH10" i="18"/>
  <c r="AH13" i="18"/>
  <c r="AJ10" i="18"/>
  <c r="AJ13" i="18"/>
  <c r="AL10" i="18"/>
  <c r="AL13" i="18"/>
  <c r="AN10" i="18"/>
  <c r="AN13" i="18"/>
  <c r="AQ56" i="18"/>
  <c r="AQ62" i="18"/>
  <c r="AQ24" i="18"/>
  <c r="AQ34" i="18"/>
  <c r="AQ40" i="18"/>
  <c r="AQ45" i="18"/>
  <c r="AQ51" i="18"/>
  <c r="H55" i="17"/>
  <c r="H33" i="17"/>
  <c r="J21" i="17"/>
  <c r="P55" i="17"/>
  <c r="P33" i="17"/>
  <c r="R21" i="17"/>
  <c r="X55" i="17"/>
  <c r="X33" i="17"/>
  <c r="Z21" i="17"/>
  <c r="AK21" i="17"/>
  <c r="AL21" i="17"/>
  <c r="AV21" i="17"/>
  <c r="V260" i="16"/>
  <c r="F260" i="15"/>
  <c r="AL260" i="15"/>
  <c r="V260" i="14"/>
  <c r="AN10" i="17"/>
  <c r="AN13" i="17"/>
  <c r="AV10" i="17"/>
  <c r="AV13" i="17"/>
  <c r="AX21" i="17"/>
  <c r="AY21" i="17"/>
  <c r="AY22" i="17"/>
  <c r="O260" i="16"/>
  <c r="T260" i="16"/>
  <c r="Y260" i="16"/>
  <c r="AU260" i="16"/>
  <c r="D260" i="15"/>
  <c r="D259" i="15"/>
  <c r="AZ259" i="15"/>
  <c r="BA14" i="15"/>
  <c r="I260" i="15"/>
  <c r="AE260" i="15"/>
  <c r="AJ260" i="15"/>
  <c r="AO260" i="15"/>
  <c r="O260" i="14"/>
  <c r="T260" i="14"/>
  <c r="Y260" i="14"/>
  <c r="AU260" i="14"/>
  <c r="AZ17" i="17"/>
  <c r="AM23" i="17"/>
  <c r="AM33" i="17"/>
  <c r="AM44" i="17"/>
  <c r="AM55" i="17"/>
  <c r="AT10" i="17"/>
  <c r="AT13" i="17"/>
  <c r="G260" i="16"/>
  <c r="L260" i="16"/>
  <c r="AM260" i="16"/>
  <c r="AR260" i="16"/>
  <c r="W260" i="15"/>
  <c r="AB260" i="15"/>
  <c r="G260" i="14"/>
  <c r="L260" i="14"/>
  <c r="AM260" i="14"/>
  <c r="AR260" i="14"/>
  <c r="D260" i="16"/>
  <c r="D259" i="16"/>
  <c r="AZ259" i="16"/>
  <c r="BA14" i="16"/>
  <c r="AE260" i="16"/>
  <c r="AJ260" i="16"/>
  <c r="O260" i="15"/>
  <c r="T260" i="15"/>
  <c r="AU260" i="15"/>
  <c r="D260" i="14"/>
  <c r="D259" i="14"/>
  <c r="AZ259" i="14"/>
  <c r="BA14" i="14"/>
  <c r="AE260" i="14"/>
  <c r="AJ260" i="14"/>
  <c r="J260" i="16"/>
  <c r="R260" i="16"/>
  <c r="Z260" i="16"/>
  <c r="AH260" i="16"/>
  <c r="AP260" i="16"/>
  <c r="AX260" i="16"/>
  <c r="J260" i="15"/>
  <c r="R260" i="15"/>
  <c r="Z260" i="15"/>
  <c r="AH260" i="15"/>
  <c r="AP260" i="15"/>
  <c r="AX260" i="15"/>
  <c r="J260" i="14"/>
  <c r="R260" i="14"/>
  <c r="Z260" i="14"/>
  <c r="AH260" i="14"/>
  <c r="AP260" i="14"/>
  <c r="AX260" i="14"/>
  <c r="S36" i="20"/>
  <c r="T43" i="20"/>
  <c r="AF56" i="17"/>
  <c r="AF62" i="17"/>
  <c r="AF34" i="17"/>
  <c r="AF40" i="17"/>
  <c r="AF24" i="17"/>
  <c r="AF45" i="17"/>
  <c r="AF51" i="17"/>
  <c r="AK23" i="17"/>
  <c r="AK33" i="17"/>
  <c r="AK44" i="17"/>
  <c r="AK55" i="17"/>
  <c r="H39" i="17"/>
  <c r="N22" i="18"/>
  <c r="N21" i="18"/>
  <c r="AJ39" i="17"/>
  <c r="AL56" i="17"/>
  <c r="AL62" i="17"/>
  <c r="AL34" i="17"/>
  <c r="AL40" i="17"/>
  <c r="AL24" i="17"/>
  <c r="AL45" i="17"/>
  <c r="AL51" i="17"/>
  <c r="F23" i="17"/>
  <c r="F44" i="17"/>
  <c r="F55" i="17"/>
  <c r="F33" i="17"/>
  <c r="T45" i="20"/>
  <c r="AV23" i="18"/>
  <c r="AV55" i="18"/>
  <c r="AV44" i="18"/>
  <c r="AV33" i="18"/>
  <c r="AT22" i="17"/>
  <c r="AS23" i="18"/>
  <c r="AS33" i="18"/>
  <c r="AS44" i="18"/>
  <c r="AS55" i="18"/>
  <c r="AM39" i="17"/>
  <c r="AM35" i="17"/>
  <c r="AY33" i="17"/>
  <c r="AY44" i="17"/>
  <c r="AY55" i="17"/>
  <c r="AY23" i="17"/>
  <c r="AV22" i="17"/>
  <c r="AK22" i="17"/>
  <c r="X61" i="17"/>
  <c r="P61" i="17"/>
  <c r="H61" i="17"/>
  <c r="AK22" i="18"/>
  <c r="AK21" i="18"/>
  <c r="AC22" i="18"/>
  <c r="AC21" i="18"/>
  <c r="T22" i="18"/>
  <c r="T21" i="18"/>
  <c r="K35" i="18"/>
  <c r="K39" i="18"/>
  <c r="G22" i="18"/>
  <c r="G21" i="18"/>
  <c r="AQ21" i="17"/>
  <c r="AQ22" i="17"/>
  <c r="AJ22" i="17"/>
  <c r="AC57" i="17"/>
  <c r="AC61" i="17"/>
  <c r="AD22" i="17"/>
  <c r="AD21" i="17"/>
  <c r="U22" i="17"/>
  <c r="M22" i="17"/>
  <c r="AS22" i="17"/>
  <c r="AJ50" i="17"/>
  <c r="X50" i="17"/>
  <c r="P50" i="17"/>
  <c r="H50" i="17"/>
  <c r="AQ46" i="18"/>
  <c r="AQ50" i="18"/>
  <c r="AJ22" i="18"/>
  <c r="AJ21" i="18"/>
  <c r="AB22" i="18"/>
  <c r="AB21" i="18"/>
  <c r="U46" i="18"/>
  <c r="U50" i="18"/>
  <c r="O22" i="18"/>
  <c r="O21" i="18"/>
  <c r="F22" i="18"/>
  <c r="F21" i="18"/>
  <c r="Y23" i="17"/>
  <c r="Y33" i="17"/>
  <c r="Y44" i="17"/>
  <c r="Y55" i="17"/>
  <c r="I23" i="17"/>
  <c r="I33" i="17"/>
  <c r="I44" i="17"/>
  <c r="I55" i="17"/>
  <c r="AT23" i="18"/>
  <c r="AT55" i="18"/>
  <c r="AT44" i="18"/>
  <c r="AT33" i="18"/>
  <c r="AR23" i="18"/>
  <c r="AR55" i="18"/>
  <c r="AR44" i="18"/>
  <c r="AR33" i="18"/>
  <c r="AU23" i="18"/>
  <c r="AU33" i="18"/>
  <c r="AU44" i="18"/>
  <c r="AU55" i="18"/>
  <c r="K23" i="17"/>
  <c r="K33" i="17"/>
  <c r="K44" i="17"/>
  <c r="K55" i="17"/>
  <c r="AY23" i="18"/>
  <c r="AY33" i="18"/>
  <c r="AY44" i="18"/>
  <c r="AY55" i="18"/>
  <c r="AA23" i="17"/>
  <c r="AA33" i="17"/>
  <c r="AA44" i="17"/>
  <c r="AA55" i="17"/>
  <c r="S23" i="17"/>
  <c r="S33" i="17"/>
  <c r="S44" i="17"/>
  <c r="S55" i="17"/>
  <c r="AS22" i="18"/>
  <c r="AM46" i="17"/>
  <c r="AM50" i="17"/>
  <c r="AY24" i="17"/>
  <c r="AY56" i="17"/>
  <c r="AY62" i="17"/>
  <c r="AY45" i="17"/>
  <c r="AY51" i="17"/>
  <c r="AY34" i="17"/>
  <c r="AY40" i="17"/>
  <c r="AO21" i="17"/>
  <c r="AO22" i="17"/>
  <c r="X39" i="17"/>
  <c r="P39" i="17"/>
  <c r="AM22" i="18"/>
  <c r="AM21" i="18"/>
  <c r="AE22" i="18"/>
  <c r="AE21" i="18"/>
  <c r="I22" i="18"/>
  <c r="I21" i="18"/>
  <c r="AE56" i="17"/>
  <c r="AE62" i="17"/>
  <c r="AE45" i="17"/>
  <c r="AE51" i="17"/>
  <c r="AE34" i="17"/>
  <c r="AE40" i="17"/>
  <c r="AE24" i="17"/>
  <c r="M23" i="17"/>
  <c r="M33" i="17"/>
  <c r="M44" i="17"/>
  <c r="M55" i="17"/>
  <c r="E22" i="17"/>
  <c r="E21" i="17"/>
  <c r="AG56" i="17"/>
  <c r="AG62" i="17"/>
  <c r="AG45" i="17"/>
  <c r="AG51" i="17"/>
  <c r="AG34" i="17"/>
  <c r="AG40" i="17"/>
  <c r="AG24" i="17"/>
  <c r="N23" i="17"/>
  <c r="N44" i="17"/>
  <c r="N55" i="17"/>
  <c r="N33" i="17"/>
  <c r="AL22" i="18"/>
  <c r="AL21" i="18"/>
  <c r="U35" i="18"/>
  <c r="U39" i="18"/>
  <c r="H22" i="18"/>
  <c r="H21" i="18"/>
  <c r="AP22" i="17"/>
  <c r="AX22" i="17"/>
  <c r="AR22" i="17"/>
  <c r="Z22" i="17"/>
  <c r="R22" i="17"/>
  <c r="J22" i="17"/>
  <c r="AB22" i="17"/>
  <c r="D22" i="17"/>
  <c r="L22" i="17"/>
  <c r="T22" i="17"/>
  <c r="AI22" i="17"/>
  <c r="D45" i="18"/>
  <c r="D51" i="18"/>
  <c r="D34" i="18"/>
  <c r="D40" i="18"/>
  <c r="D56" i="18"/>
  <c r="D62" i="18"/>
  <c r="D24" i="18"/>
  <c r="AU21" i="17"/>
  <c r="AU22" i="17"/>
  <c r="AX23" i="17"/>
  <c r="AX33" i="17"/>
  <c r="AX44" i="17"/>
  <c r="AX55" i="17"/>
  <c r="AV23" i="17"/>
  <c r="AV33" i="17"/>
  <c r="AV55" i="17"/>
  <c r="AV44" i="17"/>
  <c r="AH22" i="17"/>
  <c r="V22" i="17"/>
  <c r="N22" i="17"/>
  <c r="F22" i="17"/>
  <c r="AI22" i="18"/>
  <c r="AI21" i="18"/>
  <c r="AA22" i="18"/>
  <c r="AA21" i="18"/>
  <c r="R22" i="18"/>
  <c r="R21" i="18"/>
  <c r="K46" i="18"/>
  <c r="K50" i="18"/>
  <c r="AM10" i="17"/>
  <c r="AM13" i="17"/>
  <c r="AF23" i="17"/>
  <c r="AF55" i="17"/>
  <c r="AF44" i="17"/>
  <c r="AF33" i="17"/>
  <c r="AC46" i="17"/>
  <c r="AC50" i="17"/>
  <c r="AB23" i="17"/>
  <c r="AB44" i="17"/>
  <c r="AB33" i="17"/>
  <c r="AB55" i="17"/>
  <c r="T23" i="17"/>
  <c r="T44" i="17"/>
  <c r="T33" i="17"/>
  <c r="T55" i="17"/>
  <c r="L23" i="17"/>
  <c r="L44" i="17"/>
  <c r="L33" i="17"/>
  <c r="L55" i="17"/>
  <c r="AQ57" i="18"/>
  <c r="AQ61" i="18"/>
  <c r="AS23" i="17"/>
  <c r="AS44" i="17"/>
  <c r="AS33" i="17"/>
  <c r="AS55" i="17"/>
  <c r="AH23" i="17"/>
  <c r="AH55" i="17"/>
  <c r="AH33" i="17"/>
  <c r="AH44" i="17"/>
  <c r="W23" i="17"/>
  <c r="W33" i="17"/>
  <c r="W44" i="17"/>
  <c r="W55" i="17"/>
  <c r="O23" i="17"/>
  <c r="O33" i="17"/>
  <c r="O44" i="17"/>
  <c r="O55" i="17"/>
  <c r="G23" i="17"/>
  <c r="G33" i="17"/>
  <c r="G44" i="17"/>
  <c r="G55" i="17"/>
  <c r="AP21" i="18"/>
  <c r="AP22" i="18"/>
  <c r="AH22" i="18"/>
  <c r="AH21" i="18"/>
  <c r="Z22" i="18"/>
  <c r="Z21" i="18"/>
  <c r="V22" i="18"/>
  <c r="V21" i="18"/>
  <c r="M22" i="18"/>
  <c r="M21" i="18"/>
  <c r="AQ39" i="18"/>
  <c r="AQ35" i="18"/>
  <c r="Y22" i="17"/>
  <c r="I22" i="17"/>
  <c r="AX22" i="18"/>
  <c r="AU22" i="18"/>
  <c r="K22" i="17"/>
  <c r="AY22" i="18"/>
  <c r="AA22" i="17"/>
  <c r="S22" i="17"/>
  <c r="AR22" i="18"/>
  <c r="W22" i="18"/>
  <c r="W21" i="18"/>
  <c r="AR23" i="17"/>
  <c r="AR55" i="17"/>
  <c r="AR44" i="17"/>
  <c r="AR33" i="17"/>
  <c r="U23" i="17"/>
  <c r="U33" i="17"/>
  <c r="U44" i="17"/>
  <c r="U55" i="17"/>
  <c r="V23" i="17"/>
  <c r="V44" i="17"/>
  <c r="V33" i="17"/>
  <c r="V55" i="17"/>
  <c r="AD22" i="18"/>
  <c r="AD21" i="18"/>
  <c r="Q22" i="18"/>
  <c r="Q21" i="18"/>
  <c r="Q22" i="17"/>
  <c r="AW56" i="18"/>
  <c r="AW62" i="18"/>
  <c r="AW45" i="18"/>
  <c r="AW51" i="18"/>
  <c r="AW34" i="18"/>
  <c r="AW40" i="18"/>
  <c r="AW24" i="18"/>
  <c r="H27" i="18"/>
  <c r="G30" i="18"/>
  <c r="AZ260" i="14"/>
  <c r="AZ260" i="16"/>
  <c r="AM61" i="17"/>
  <c r="AM57" i="17"/>
  <c r="AZ260" i="15"/>
  <c r="AW21" i="17"/>
  <c r="AW22" i="17"/>
  <c r="AL23" i="17"/>
  <c r="AL55" i="17"/>
  <c r="AL33" i="17"/>
  <c r="AL44" i="17"/>
  <c r="Z23" i="17"/>
  <c r="Z33" i="17"/>
  <c r="Z55" i="17"/>
  <c r="Z44" i="17"/>
  <c r="R23" i="17"/>
  <c r="R33" i="17"/>
  <c r="R55" i="17"/>
  <c r="R44" i="17"/>
  <c r="J23" i="17"/>
  <c r="J33" i="17"/>
  <c r="J55" i="17"/>
  <c r="J44" i="17"/>
  <c r="AO22" i="18"/>
  <c r="AO21" i="18"/>
  <c r="AG22" i="18"/>
  <c r="AG21" i="18"/>
  <c r="Y22" i="18"/>
  <c r="Y21" i="18"/>
  <c r="P22" i="18"/>
  <c r="P21" i="18"/>
  <c r="L22" i="18"/>
  <c r="L21" i="18"/>
  <c r="AZ10" i="18"/>
  <c r="D13" i="18"/>
  <c r="AE23" i="17"/>
  <c r="AE33" i="17"/>
  <c r="AE44" i="17"/>
  <c r="AE55" i="17"/>
  <c r="AC39" i="17"/>
  <c r="AC35" i="17"/>
  <c r="X22" i="17"/>
  <c r="P22" i="17"/>
  <c r="H22" i="17"/>
  <c r="AP23" i="17"/>
  <c r="AP44" i="17"/>
  <c r="AP33" i="17"/>
  <c r="AP55" i="17"/>
  <c r="AG23" i="17"/>
  <c r="AG33" i="17"/>
  <c r="AG44" i="17"/>
  <c r="AG55" i="17"/>
  <c r="W22" i="17"/>
  <c r="O22" i="17"/>
  <c r="G22" i="17"/>
  <c r="AN22" i="18"/>
  <c r="AN21" i="18"/>
  <c r="AF22" i="18"/>
  <c r="AF21" i="18"/>
  <c r="X22" i="18"/>
  <c r="X21" i="18"/>
  <c r="S22" i="18"/>
  <c r="S21" i="18"/>
  <c r="J22" i="18"/>
  <c r="J21" i="18"/>
  <c r="D23" i="17"/>
  <c r="D55" i="17"/>
  <c r="D44" i="17"/>
  <c r="D33" i="17"/>
  <c r="AJ61" i="17"/>
  <c r="Q23" i="17"/>
  <c r="Q33" i="17"/>
  <c r="Q44" i="17"/>
  <c r="Q55" i="17"/>
  <c r="AX23" i="18"/>
  <c r="AX55" i="18"/>
  <c r="AX44" i="18"/>
  <c r="AX33" i="18"/>
  <c r="AI23" i="17"/>
  <c r="AI33" i="17"/>
  <c r="AI44" i="17"/>
  <c r="AI55" i="17"/>
  <c r="AW23" i="18"/>
  <c r="AW33" i="18"/>
  <c r="AW44" i="18"/>
  <c r="AW55" i="18"/>
  <c r="AT23" i="17"/>
  <c r="AT55" i="17"/>
  <c r="AT33" i="17"/>
  <c r="AT44" i="17"/>
  <c r="F30" i="17"/>
  <c r="G27" i="17"/>
  <c r="D55" i="18"/>
  <c r="D23" i="18"/>
  <c r="D44" i="18"/>
  <c r="D33" i="18"/>
  <c r="AT22" i="18"/>
  <c r="AV22" i="18"/>
  <c r="D57" i="18"/>
  <c r="D61" i="18"/>
  <c r="Q57" i="17"/>
  <c r="Q61" i="17"/>
  <c r="X45" i="18"/>
  <c r="X51" i="18"/>
  <c r="X34" i="18"/>
  <c r="X40" i="18"/>
  <c r="X24" i="18"/>
  <c r="X56" i="18"/>
  <c r="X62" i="18"/>
  <c r="AO45" i="18"/>
  <c r="AO51" i="18"/>
  <c r="AO24" i="18"/>
  <c r="AO56" i="18"/>
  <c r="AO62" i="18"/>
  <c r="AO34" i="18"/>
  <c r="AO40" i="18"/>
  <c r="V39" i="17"/>
  <c r="AY56" i="18"/>
  <c r="AY62" i="18"/>
  <c r="AY45" i="18"/>
  <c r="AY51" i="18"/>
  <c r="AY34" i="18"/>
  <c r="AY40" i="18"/>
  <c r="AY24" i="18"/>
  <c r="Z55" i="18"/>
  <c r="Z23" i="18"/>
  <c r="Z33" i="18"/>
  <c r="Z44" i="18"/>
  <c r="W39" i="17"/>
  <c r="T61" i="17"/>
  <c r="AP56" i="17"/>
  <c r="AP62" i="17"/>
  <c r="AP24" i="17"/>
  <c r="AP34" i="17"/>
  <c r="AP40" i="17"/>
  <c r="AP45" i="17"/>
  <c r="AP51" i="17"/>
  <c r="N61" i="17"/>
  <c r="AO23" i="17"/>
  <c r="AO55" i="17"/>
  <c r="AO33" i="17"/>
  <c r="AO44" i="17"/>
  <c r="AY61" i="18"/>
  <c r="I57" i="17"/>
  <c r="I61" i="17"/>
  <c r="AJ55" i="18"/>
  <c r="AJ23" i="18"/>
  <c r="AJ44" i="18"/>
  <c r="AJ33" i="18"/>
  <c r="AS56" i="17"/>
  <c r="AS62" i="17"/>
  <c r="AS45" i="17"/>
  <c r="AS51" i="17"/>
  <c r="AS34" i="17"/>
  <c r="AS40" i="17"/>
  <c r="AS24" i="17"/>
  <c r="T45" i="18"/>
  <c r="T51" i="18"/>
  <c r="T24" i="18"/>
  <c r="T56" i="18"/>
  <c r="T62" i="18"/>
  <c r="T34" i="18"/>
  <c r="T40" i="18"/>
  <c r="AK50" i="17"/>
  <c r="D35" i="18"/>
  <c r="D39" i="18"/>
  <c r="AT39" i="17"/>
  <c r="AW46" i="18"/>
  <c r="AW50" i="18"/>
  <c r="AI50" i="17"/>
  <c r="AX50" i="18"/>
  <c r="Q50" i="17"/>
  <c r="D61" i="17"/>
  <c r="S55" i="18"/>
  <c r="S23" i="18"/>
  <c r="S44" i="18"/>
  <c r="S33" i="18"/>
  <c r="AF55" i="18"/>
  <c r="AF23" i="18"/>
  <c r="AF44" i="18"/>
  <c r="AF33" i="18"/>
  <c r="G56" i="17"/>
  <c r="G62" i="17"/>
  <c r="G24" i="17"/>
  <c r="G34" i="17"/>
  <c r="G40" i="17"/>
  <c r="G45" i="17"/>
  <c r="G51" i="17"/>
  <c r="AG46" i="17"/>
  <c r="AG50" i="17"/>
  <c r="AP39" i="17"/>
  <c r="AP35" i="17"/>
  <c r="P56" i="17"/>
  <c r="P34" i="17"/>
  <c r="P24" i="17"/>
  <c r="P45" i="17"/>
  <c r="AE61" i="17"/>
  <c r="AE57" i="17"/>
  <c r="E22" i="18"/>
  <c r="E21" i="18"/>
  <c r="P55" i="18"/>
  <c r="P23" i="18"/>
  <c r="P33" i="18"/>
  <c r="P44" i="18"/>
  <c r="AG55" i="18"/>
  <c r="AG23" i="18"/>
  <c r="AG33" i="18"/>
  <c r="AG44" i="18"/>
  <c r="J50" i="17"/>
  <c r="R46" i="17"/>
  <c r="R50" i="17"/>
  <c r="Z50" i="17"/>
  <c r="AL46" i="17"/>
  <c r="AL50" i="17"/>
  <c r="AW56" i="17"/>
  <c r="AW62" i="17"/>
  <c r="AW24" i="17"/>
  <c r="AW34" i="17"/>
  <c r="AW40" i="17"/>
  <c r="AW45" i="17"/>
  <c r="AW51" i="17"/>
  <c r="I27" i="18"/>
  <c r="H30" i="18"/>
  <c r="AD55" i="18"/>
  <c r="AD23" i="18"/>
  <c r="AD33" i="18"/>
  <c r="AD44" i="18"/>
  <c r="V46" i="17"/>
  <c r="V50" i="17"/>
  <c r="U39" i="17"/>
  <c r="AR57" i="17"/>
  <c r="AR61" i="17"/>
  <c r="AR56" i="18"/>
  <c r="AR62" i="18"/>
  <c r="AR34" i="18"/>
  <c r="AR40" i="18"/>
  <c r="AR24" i="18"/>
  <c r="AR45" i="18"/>
  <c r="AR51" i="18"/>
  <c r="K56" i="17"/>
  <c r="K62" i="17"/>
  <c r="K24" i="17"/>
  <c r="K34" i="17"/>
  <c r="K40" i="17"/>
  <c r="K45" i="17"/>
  <c r="K51" i="17"/>
  <c r="Y56" i="17"/>
  <c r="Y62" i="17"/>
  <c r="Y24" i="17"/>
  <c r="Y34" i="17"/>
  <c r="Y40" i="17"/>
  <c r="Y45" i="17"/>
  <c r="Y51" i="17"/>
  <c r="M45" i="18"/>
  <c r="M51" i="18"/>
  <c r="M34" i="18"/>
  <c r="M40" i="18"/>
  <c r="M56" i="18"/>
  <c r="M62" i="18"/>
  <c r="M24" i="18"/>
  <c r="Z45" i="18"/>
  <c r="Z51" i="18"/>
  <c r="Z34" i="18"/>
  <c r="Z40" i="18"/>
  <c r="Z24" i="18"/>
  <c r="Z56" i="18"/>
  <c r="Z62" i="18"/>
  <c r="AP23" i="18"/>
  <c r="AP44" i="18"/>
  <c r="AP33" i="18"/>
  <c r="AP55" i="18"/>
  <c r="L39" i="17"/>
  <c r="T39" i="17"/>
  <c r="AB39" i="17"/>
  <c r="R55" i="18"/>
  <c r="R23" i="18"/>
  <c r="R33" i="18"/>
  <c r="R44" i="18"/>
  <c r="AI55" i="18"/>
  <c r="AI23" i="18"/>
  <c r="AI33" i="18"/>
  <c r="AI44" i="18"/>
  <c r="V56" i="17"/>
  <c r="V62" i="17"/>
  <c r="V34" i="17"/>
  <c r="V40" i="17"/>
  <c r="V24" i="17"/>
  <c r="V45" i="17"/>
  <c r="V51" i="17"/>
  <c r="AV39" i="17"/>
  <c r="AX39" i="17"/>
  <c r="D56" i="17"/>
  <c r="D62" i="17"/>
  <c r="D24" i="17"/>
  <c r="D34" i="17"/>
  <c r="D40" i="17"/>
  <c r="D45" i="17"/>
  <c r="D51" i="17"/>
  <c r="Z56" i="17"/>
  <c r="Z62" i="17"/>
  <c r="Z45" i="17"/>
  <c r="Z51" i="17"/>
  <c r="Z34" i="17"/>
  <c r="Z40" i="17"/>
  <c r="Z24" i="17"/>
  <c r="H55" i="18"/>
  <c r="H23" i="18"/>
  <c r="H44" i="18"/>
  <c r="H33" i="18"/>
  <c r="AL55" i="18"/>
  <c r="AL23" i="18"/>
  <c r="AL44" i="18"/>
  <c r="AL33" i="18"/>
  <c r="N50" i="17"/>
  <c r="M57" i="17"/>
  <c r="M61" i="17"/>
  <c r="I55" i="18"/>
  <c r="I23" i="18"/>
  <c r="I33" i="18"/>
  <c r="I44" i="18"/>
  <c r="AM55" i="18"/>
  <c r="AM23" i="18"/>
  <c r="AM33" i="18"/>
  <c r="AM44" i="18"/>
  <c r="S50" i="17"/>
  <c r="AA50" i="17"/>
  <c r="AY46" i="18"/>
  <c r="AY50" i="18"/>
  <c r="K46" i="17"/>
  <c r="K50" i="17"/>
  <c r="AU50" i="18"/>
  <c r="AR46" i="18"/>
  <c r="AR50" i="18"/>
  <c r="AT50" i="18"/>
  <c r="I50" i="17"/>
  <c r="Y46" i="17"/>
  <c r="Y50" i="17"/>
  <c r="F45" i="18"/>
  <c r="F51" i="18"/>
  <c r="F34" i="18"/>
  <c r="F40" i="18"/>
  <c r="F24" i="18"/>
  <c r="F56" i="18"/>
  <c r="F62" i="18"/>
  <c r="AJ45" i="18"/>
  <c r="AJ51" i="18"/>
  <c r="AJ34" i="18"/>
  <c r="AJ40" i="18"/>
  <c r="AJ56" i="18"/>
  <c r="AJ62" i="18"/>
  <c r="AJ24" i="18"/>
  <c r="AZ10" i="17"/>
  <c r="AD56" i="17"/>
  <c r="AD62" i="17"/>
  <c r="AD34" i="17"/>
  <c r="AD40" i="17"/>
  <c r="AD24" i="17"/>
  <c r="AD45" i="17"/>
  <c r="AD51" i="17"/>
  <c r="AQ56" i="17"/>
  <c r="AQ62" i="17"/>
  <c r="AQ45" i="17"/>
  <c r="AQ51" i="17"/>
  <c r="AQ24" i="17"/>
  <c r="AQ34" i="17"/>
  <c r="AQ40" i="17"/>
  <c r="AC55" i="18"/>
  <c r="AC23" i="18"/>
  <c r="AC33" i="18"/>
  <c r="AC44" i="18"/>
  <c r="AS39" i="18"/>
  <c r="AV50" i="18"/>
  <c r="F39" i="17"/>
  <c r="AK39" i="17"/>
  <c r="AK35" i="17"/>
  <c r="AT50" i="17"/>
  <c r="AI61" i="17"/>
  <c r="AI57" i="17"/>
  <c r="D46" i="17"/>
  <c r="D50" i="17"/>
  <c r="AN45" i="18"/>
  <c r="AN51" i="18"/>
  <c r="AN34" i="18"/>
  <c r="AN40" i="18"/>
  <c r="AN24" i="18"/>
  <c r="AN56" i="18"/>
  <c r="AN62" i="18"/>
  <c r="H56" i="17"/>
  <c r="H34" i="17"/>
  <c r="H24" i="17"/>
  <c r="H45" i="17"/>
  <c r="Y45" i="18"/>
  <c r="Y51" i="18"/>
  <c r="Y24" i="18"/>
  <c r="Y56" i="18"/>
  <c r="Y62" i="18"/>
  <c r="Y34" i="18"/>
  <c r="Y40" i="18"/>
  <c r="U50" i="17"/>
  <c r="W45" i="18"/>
  <c r="W51" i="18"/>
  <c r="W24" i="18"/>
  <c r="W56" i="18"/>
  <c r="W62" i="18"/>
  <c r="W34" i="18"/>
  <c r="W40" i="18"/>
  <c r="I56" i="17"/>
  <c r="I62" i="17"/>
  <c r="I24" i="17"/>
  <c r="I34" i="17"/>
  <c r="I40" i="17"/>
  <c r="I45" i="17"/>
  <c r="I51" i="17"/>
  <c r="AP56" i="18"/>
  <c r="AP62" i="18"/>
  <c r="AP45" i="18"/>
  <c r="AP51" i="18"/>
  <c r="AP24" i="18"/>
  <c r="AP34" i="18"/>
  <c r="AP40" i="18"/>
  <c r="O39" i="17"/>
  <c r="AH61" i="17"/>
  <c r="AH57" i="17"/>
  <c r="L61" i="17"/>
  <c r="AB61" i="17"/>
  <c r="AB57" i="17"/>
  <c r="AF61" i="17"/>
  <c r="AF57" i="17"/>
  <c r="N56" i="17"/>
  <c r="N62" i="17"/>
  <c r="N34" i="17"/>
  <c r="N40" i="17"/>
  <c r="N24" i="17"/>
  <c r="N45" i="17"/>
  <c r="N51" i="17"/>
  <c r="AV61" i="17"/>
  <c r="AU23" i="17"/>
  <c r="AU55" i="17"/>
  <c r="AU44" i="17"/>
  <c r="AU33" i="17"/>
  <c r="R56" i="17"/>
  <c r="R62" i="17"/>
  <c r="R45" i="17"/>
  <c r="R51" i="17"/>
  <c r="R34" i="17"/>
  <c r="R40" i="17"/>
  <c r="R24" i="17"/>
  <c r="E56" i="17"/>
  <c r="E62" i="17"/>
  <c r="E24" i="17"/>
  <c r="E34" i="17"/>
  <c r="E40" i="17"/>
  <c r="E45" i="17"/>
  <c r="E51" i="17"/>
  <c r="S61" i="17"/>
  <c r="AA61" i="17"/>
  <c r="AU61" i="18"/>
  <c r="AT39" i="18"/>
  <c r="AT35" i="18"/>
  <c r="Y57" i="17"/>
  <c r="Y61" i="17"/>
  <c r="AD23" i="17"/>
  <c r="AD55" i="17"/>
  <c r="AD33" i="17"/>
  <c r="AD44" i="17"/>
  <c r="G45" i="18"/>
  <c r="G51" i="18"/>
  <c r="G24" i="18"/>
  <c r="G56" i="18"/>
  <c r="G62" i="18"/>
  <c r="G34" i="18"/>
  <c r="G40" i="18"/>
  <c r="AV56" i="17"/>
  <c r="AV62" i="17"/>
  <c r="AV24" i="17"/>
  <c r="AV34" i="17"/>
  <c r="AV40" i="17"/>
  <c r="AV45" i="17"/>
  <c r="AV51" i="17"/>
  <c r="AS50" i="18"/>
  <c r="AV39" i="18"/>
  <c r="D46" i="18"/>
  <c r="D50" i="18"/>
  <c r="G30" i="17"/>
  <c r="H27" i="17"/>
  <c r="AT61" i="17"/>
  <c r="AW39" i="18"/>
  <c r="AW35" i="18"/>
  <c r="AI39" i="17"/>
  <c r="AX61" i="18"/>
  <c r="Q39" i="17"/>
  <c r="D39" i="17"/>
  <c r="S45" i="18"/>
  <c r="S51" i="18"/>
  <c r="S34" i="18"/>
  <c r="S40" i="18"/>
  <c r="S24" i="18"/>
  <c r="S56" i="18"/>
  <c r="S62" i="18"/>
  <c r="AF45" i="18"/>
  <c r="AF51" i="18"/>
  <c r="AF34" i="18"/>
  <c r="AF40" i="18"/>
  <c r="AF24" i="18"/>
  <c r="AF56" i="18"/>
  <c r="AF62" i="18"/>
  <c r="O56" i="17"/>
  <c r="O62" i="17"/>
  <c r="O24" i="17"/>
  <c r="O34" i="17"/>
  <c r="O40" i="17"/>
  <c r="O45" i="17"/>
  <c r="O51" i="17"/>
  <c r="AG39" i="17"/>
  <c r="AG35" i="17"/>
  <c r="AP46" i="17"/>
  <c r="AP50" i="17"/>
  <c r="X56" i="17"/>
  <c r="X34" i="17"/>
  <c r="X24" i="17"/>
  <c r="X45" i="17"/>
  <c r="AE46" i="17"/>
  <c r="AE50" i="17"/>
  <c r="P45" i="18"/>
  <c r="P51" i="18"/>
  <c r="P24" i="18"/>
  <c r="P56" i="18"/>
  <c r="P62" i="18"/>
  <c r="P34" i="18"/>
  <c r="P40" i="18"/>
  <c r="AG45" i="18"/>
  <c r="AG51" i="18"/>
  <c r="AG24" i="18"/>
  <c r="AG56" i="18"/>
  <c r="AG62" i="18"/>
  <c r="AG34" i="18"/>
  <c r="AG40" i="18"/>
  <c r="J61" i="17"/>
  <c r="R61" i="17"/>
  <c r="R57" i="17"/>
  <c r="Z61" i="17"/>
  <c r="Z57" i="17"/>
  <c r="AL39" i="17"/>
  <c r="AL35" i="17"/>
  <c r="AW23" i="17"/>
  <c r="AW55" i="17"/>
  <c r="AW44" i="17"/>
  <c r="AW33" i="17"/>
  <c r="Q56" i="17"/>
  <c r="Q62" i="17"/>
  <c r="Q24" i="17"/>
  <c r="Q34" i="17"/>
  <c r="Q40" i="17"/>
  <c r="Q45" i="17"/>
  <c r="Q51" i="17"/>
  <c r="AD45" i="18"/>
  <c r="AD51" i="18"/>
  <c r="AD34" i="18"/>
  <c r="AD40" i="18"/>
  <c r="AD24" i="18"/>
  <c r="AD56" i="18"/>
  <c r="AD62" i="18"/>
  <c r="S56" i="17"/>
  <c r="S62" i="17"/>
  <c r="S24" i="17"/>
  <c r="S34" i="17"/>
  <c r="S40" i="17"/>
  <c r="S45" i="17"/>
  <c r="S51" i="17"/>
  <c r="AU56" i="18"/>
  <c r="AU62" i="18"/>
  <c r="AU45" i="18"/>
  <c r="AU51" i="18"/>
  <c r="AU34" i="18"/>
  <c r="AU40" i="18"/>
  <c r="AU24" i="18"/>
  <c r="V55" i="18"/>
  <c r="V23" i="18"/>
  <c r="V44" i="18"/>
  <c r="V33" i="18"/>
  <c r="AH55" i="18"/>
  <c r="AH23" i="18"/>
  <c r="AH33" i="18"/>
  <c r="AH44" i="18"/>
  <c r="G57" i="17"/>
  <c r="G61" i="17"/>
  <c r="O57" i="17"/>
  <c r="O61" i="17"/>
  <c r="W61" i="17"/>
  <c r="AH46" i="17"/>
  <c r="AH50" i="17"/>
  <c r="AS57" i="17"/>
  <c r="AS61" i="17"/>
  <c r="L46" i="17"/>
  <c r="L50" i="17"/>
  <c r="T50" i="17"/>
  <c r="AB50" i="17"/>
  <c r="AF39" i="17"/>
  <c r="AF35" i="17"/>
  <c r="AN21" i="17"/>
  <c r="AN22" i="17"/>
  <c r="AZ22" i="17"/>
  <c r="R45" i="18"/>
  <c r="R51" i="18"/>
  <c r="R24" i="18"/>
  <c r="R56" i="18"/>
  <c r="R62" i="18"/>
  <c r="R34" i="18"/>
  <c r="R40" i="18"/>
  <c r="AI45" i="18"/>
  <c r="AI51" i="18"/>
  <c r="AI24" i="18"/>
  <c r="AI56" i="18"/>
  <c r="AI62" i="18"/>
  <c r="AI34" i="18"/>
  <c r="AI40" i="18"/>
  <c r="AH56" i="17"/>
  <c r="AH62" i="17"/>
  <c r="AH34" i="17"/>
  <c r="AH40" i="17"/>
  <c r="AH24" i="17"/>
  <c r="AH45" i="17"/>
  <c r="AH51" i="17"/>
  <c r="AI56" i="17"/>
  <c r="AI62" i="17"/>
  <c r="AI45" i="17"/>
  <c r="AI51" i="17"/>
  <c r="AI34" i="17"/>
  <c r="AI40" i="17"/>
  <c r="AI24" i="17"/>
  <c r="AB56" i="17"/>
  <c r="AB62" i="17"/>
  <c r="AB24" i="17"/>
  <c r="AB45" i="17"/>
  <c r="AB51" i="17"/>
  <c r="AB34" i="17"/>
  <c r="AB40" i="17"/>
  <c r="AR56" i="17"/>
  <c r="AR62" i="17"/>
  <c r="AR24" i="17"/>
  <c r="AR34" i="17"/>
  <c r="AR40" i="17"/>
  <c r="AR45" i="17"/>
  <c r="AR51" i="17"/>
  <c r="H45" i="18"/>
  <c r="H51" i="18"/>
  <c r="H34" i="18"/>
  <c r="H40" i="18"/>
  <c r="H24" i="18"/>
  <c r="H56" i="18"/>
  <c r="H62" i="18"/>
  <c r="AL45" i="18"/>
  <c r="AL51" i="18"/>
  <c r="AL34" i="18"/>
  <c r="AL40" i="18"/>
  <c r="AL24" i="18"/>
  <c r="AL56" i="18"/>
  <c r="AL62" i="18"/>
  <c r="M50" i="17"/>
  <c r="I45" i="18"/>
  <c r="I51" i="18"/>
  <c r="I24" i="18"/>
  <c r="I56" i="18"/>
  <c r="I62" i="18"/>
  <c r="I34" i="18"/>
  <c r="I40" i="18"/>
  <c r="AM45" i="18"/>
  <c r="AM51" i="18"/>
  <c r="AM24" i="18"/>
  <c r="AM56" i="18"/>
  <c r="AM62" i="18"/>
  <c r="AM34" i="18"/>
  <c r="AM40" i="18"/>
  <c r="S39" i="17"/>
  <c r="AA39" i="17"/>
  <c r="AY39" i="18"/>
  <c r="AY35" i="18"/>
  <c r="K39" i="17"/>
  <c r="AU39" i="18"/>
  <c r="AR61" i="18"/>
  <c r="AR57" i="18"/>
  <c r="AT61" i="18"/>
  <c r="I39" i="17"/>
  <c r="I35" i="17"/>
  <c r="Y39" i="17"/>
  <c r="O55" i="18"/>
  <c r="O23" i="18"/>
  <c r="O44" i="18"/>
  <c r="O33" i="18"/>
  <c r="AB55" i="18"/>
  <c r="AB23" i="18"/>
  <c r="AB44" i="18"/>
  <c r="AB33" i="18"/>
  <c r="M56" i="17"/>
  <c r="M62" i="17"/>
  <c r="M24" i="17"/>
  <c r="M34" i="17"/>
  <c r="M40" i="17"/>
  <c r="M45" i="17"/>
  <c r="M51" i="17"/>
  <c r="AQ23" i="17"/>
  <c r="AQ33" i="17"/>
  <c r="AQ44" i="17"/>
  <c r="AQ55" i="17"/>
  <c r="AC45" i="18"/>
  <c r="AC51" i="18"/>
  <c r="AC24" i="18"/>
  <c r="AC56" i="18"/>
  <c r="AC62" i="18"/>
  <c r="AC34" i="18"/>
  <c r="AC40" i="18"/>
  <c r="AY57" i="17"/>
  <c r="AY61" i="17"/>
  <c r="AV61" i="18"/>
  <c r="AV57" i="18"/>
  <c r="F61" i="17"/>
  <c r="AT56" i="18"/>
  <c r="AT62" i="18"/>
  <c r="AT34" i="18"/>
  <c r="AT40" i="18"/>
  <c r="AT24" i="18"/>
  <c r="AT45" i="18"/>
  <c r="AT51" i="18"/>
  <c r="AW61" i="18"/>
  <c r="AW57" i="18"/>
  <c r="AX39" i="18"/>
  <c r="AX35" i="18"/>
  <c r="J45" i="18"/>
  <c r="J51" i="18"/>
  <c r="J34" i="18"/>
  <c r="J40" i="18"/>
  <c r="J24" i="18"/>
  <c r="J56" i="18"/>
  <c r="J62" i="18"/>
  <c r="AG61" i="17"/>
  <c r="AG57" i="17"/>
  <c r="AP61" i="17"/>
  <c r="L45" i="18"/>
  <c r="L51" i="18"/>
  <c r="L24" i="18"/>
  <c r="L56" i="18"/>
  <c r="L62" i="18"/>
  <c r="L34" i="18"/>
  <c r="L40" i="18"/>
  <c r="Q45" i="18"/>
  <c r="Q51" i="18"/>
  <c r="Q34" i="18"/>
  <c r="Q40" i="18"/>
  <c r="Q24" i="18"/>
  <c r="Q56" i="18"/>
  <c r="Q62" i="18"/>
  <c r="AR46" i="17"/>
  <c r="AR50" i="17"/>
  <c r="M55" i="18"/>
  <c r="M23" i="18"/>
  <c r="M33" i="18"/>
  <c r="M44" i="18"/>
  <c r="G39" i="17"/>
  <c r="AS46" i="17"/>
  <c r="AS50" i="17"/>
  <c r="AA45" i="18"/>
  <c r="AA51" i="18"/>
  <c r="AA24" i="18"/>
  <c r="AA56" i="18"/>
  <c r="AA62" i="18"/>
  <c r="AA34" i="18"/>
  <c r="AA40" i="18"/>
  <c r="AX50" i="17"/>
  <c r="L56" i="17"/>
  <c r="L62" i="17"/>
  <c r="L24" i="17"/>
  <c r="L45" i="17"/>
  <c r="L51" i="17"/>
  <c r="L34" i="17"/>
  <c r="L40" i="17"/>
  <c r="AE45" i="18"/>
  <c r="AE51" i="18"/>
  <c r="AE24" i="18"/>
  <c r="AE56" i="18"/>
  <c r="AE62" i="18"/>
  <c r="AE34" i="18"/>
  <c r="AE40" i="18"/>
  <c r="K57" i="17"/>
  <c r="K61" i="17"/>
  <c r="AR39" i="18"/>
  <c r="AR35" i="18"/>
  <c r="F55" i="18"/>
  <c r="F23" i="18"/>
  <c r="F33" i="18"/>
  <c r="F44" i="18"/>
  <c r="AJ56" i="17"/>
  <c r="AJ34" i="17"/>
  <c r="AJ24" i="17"/>
  <c r="AJ45" i="17"/>
  <c r="AK45" i="18"/>
  <c r="AK51" i="18"/>
  <c r="AK24" i="18"/>
  <c r="AK56" i="18"/>
  <c r="AK62" i="18"/>
  <c r="AK34" i="18"/>
  <c r="AK40" i="18"/>
  <c r="AY39" i="17"/>
  <c r="AY35" i="17"/>
  <c r="N45" i="18"/>
  <c r="N51" i="18"/>
  <c r="N24" i="18"/>
  <c r="N56" i="18"/>
  <c r="N62" i="18"/>
  <c r="N34" i="18"/>
  <c r="N40" i="18"/>
  <c r="AV56" i="18"/>
  <c r="AV62" i="18"/>
  <c r="AV34" i="18"/>
  <c r="AV40" i="18"/>
  <c r="AV24" i="18"/>
  <c r="AV45" i="18"/>
  <c r="AV51" i="18"/>
  <c r="AZ21" i="17"/>
  <c r="J55" i="18"/>
  <c r="J23" i="18"/>
  <c r="J33" i="18"/>
  <c r="J44" i="18"/>
  <c r="X55" i="18"/>
  <c r="X23" i="18"/>
  <c r="X44" i="18"/>
  <c r="X33" i="18"/>
  <c r="AN55" i="18"/>
  <c r="AN23" i="18"/>
  <c r="AN44" i="18"/>
  <c r="AN33" i="18"/>
  <c r="W56" i="17"/>
  <c r="W62" i="17"/>
  <c r="W24" i="17"/>
  <c r="W34" i="17"/>
  <c r="W40" i="17"/>
  <c r="W45" i="17"/>
  <c r="W51" i="17"/>
  <c r="AE39" i="17"/>
  <c r="AE35" i="17"/>
  <c r="L55" i="18"/>
  <c r="L23" i="18"/>
  <c r="L33" i="18"/>
  <c r="L44" i="18"/>
  <c r="Y55" i="18"/>
  <c r="Y23" i="18"/>
  <c r="Y33" i="18"/>
  <c r="Y44" i="18"/>
  <c r="AO55" i="18"/>
  <c r="AO23" i="18"/>
  <c r="AO33" i="18"/>
  <c r="AO44" i="18"/>
  <c r="J39" i="17"/>
  <c r="J35" i="17"/>
  <c r="R39" i="17"/>
  <c r="R35" i="17"/>
  <c r="Z39" i="17"/>
  <c r="Z35" i="17"/>
  <c r="AL61" i="17"/>
  <c r="AL57" i="17"/>
  <c r="Q55" i="18"/>
  <c r="Q23" i="18"/>
  <c r="Q44" i="18"/>
  <c r="Q33" i="18"/>
  <c r="V61" i="17"/>
  <c r="V57" i="17"/>
  <c r="U61" i="17"/>
  <c r="AR39" i="17"/>
  <c r="AR35" i="17"/>
  <c r="W55" i="18"/>
  <c r="W23" i="18"/>
  <c r="W33" i="18"/>
  <c r="W44" i="18"/>
  <c r="AA56" i="17"/>
  <c r="AA62" i="17"/>
  <c r="AA24" i="17"/>
  <c r="AA34" i="17"/>
  <c r="AA40" i="17"/>
  <c r="AA45" i="17"/>
  <c r="AA51" i="17"/>
  <c r="AX56" i="18"/>
  <c r="AX62" i="18"/>
  <c r="AX34" i="18"/>
  <c r="AX40" i="18"/>
  <c r="AX24" i="18"/>
  <c r="AX45" i="18"/>
  <c r="AX51" i="18"/>
  <c r="V45" i="18"/>
  <c r="V51" i="18"/>
  <c r="V34" i="18"/>
  <c r="V40" i="18"/>
  <c r="V24" i="18"/>
  <c r="V56" i="18"/>
  <c r="V62" i="18"/>
  <c r="AH45" i="18"/>
  <c r="AH51" i="18"/>
  <c r="AH34" i="18"/>
  <c r="AH40" i="18"/>
  <c r="AH24" i="18"/>
  <c r="AH56" i="18"/>
  <c r="AH62" i="18"/>
  <c r="G46" i="17"/>
  <c r="G50" i="17"/>
  <c r="O46" i="17"/>
  <c r="O50" i="17"/>
  <c r="W50" i="17"/>
  <c r="AH39" i="17"/>
  <c r="AH35" i="17"/>
  <c r="AS39" i="17"/>
  <c r="AF46" i="17"/>
  <c r="AF50" i="17"/>
  <c r="AA55" i="18"/>
  <c r="AA23" i="18"/>
  <c r="AA33" i="18"/>
  <c r="AA44" i="18"/>
  <c r="F56" i="17"/>
  <c r="F62" i="17"/>
  <c r="F34" i="17"/>
  <c r="F40" i="17"/>
  <c r="F24" i="17"/>
  <c r="F45" i="17"/>
  <c r="F51" i="17"/>
  <c r="AV46" i="17"/>
  <c r="AV50" i="17"/>
  <c r="AX61" i="17"/>
  <c r="AU56" i="17"/>
  <c r="AU62" i="17"/>
  <c r="AU34" i="17"/>
  <c r="AU40" i="17"/>
  <c r="AU24" i="17"/>
  <c r="AU45" i="17"/>
  <c r="AU51" i="17"/>
  <c r="T56" i="17"/>
  <c r="T62" i="17"/>
  <c r="T24" i="17"/>
  <c r="T45" i="17"/>
  <c r="T51" i="17"/>
  <c r="T34" i="17"/>
  <c r="T40" i="17"/>
  <c r="J56" i="17"/>
  <c r="J62" i="17"/>
  <c r="J45" i="17"/>
  <c r="J51" i="17"/>
  <c r="J34" i="17"/>
  <c r="J40" i="17"/>
  <c r="J24" i="17"/>
  <c r="AX56" i="17"/>
  <c r="AX62" i="17"/>
  <c r="AX45" i="17"/>
  <c r="AX51" i="17"/>
  <c r="AX24" i="17"/>
  <c r="AX34" i="17"/>
  <c r="AX40" i="17"/>
  <c r="N39" i="17"/>
  <c r="E23" i="17"/>
  <c r="E33" i="17"/>
  <c r="E44" i="17"/>
  <c r="E55" i="17"/>
  <c r="M39" i="17"/>
  <c r="M35" i="17"/>
  <c r="AE55" i="18"/>
  <c r="AE23" i="18"/>
  <c r="AE33" i="18"/>
  <c r="AE44" i="18"/>
  <c r="AO56" i="17"/>
  <c r="AO62" i="17"/>
  <c r="AO24" i="17"/>
  <c r="AO34" i="17"/>
  <c r="AO40" i="17"/>
  <c r="AO45" i="17"/>
  <c r="AO51" i="17"/>
  <c r="AS56" i="18"/>
  <c r="AS62" i="18"/>
  <c r="AS45" i="18"/>
  <c r="AS51" i="18"/>
  <c r="AS34" i="18"/>
  <c r="AS40" i="18"/>
  <c r="AS24" i="18"/>
  <c r="O45" i="18"/>
  <c r="O51" i="18"/>
  <c r="O34" i="18"/>
  <c r="O40" i="18"/>
  <c r="O56" i="18"/>
  <c r="O62" i="18"/>
  <c r="O24" i="18"/>
  <c r="AB45" i="18"/>
  <c r="AB51" i="18"/>
  <c r="AB34" i="18"/>
  <c r="AB40" i="18"/>
  <c r="AB24" i="18"/>
  <c r="AB56" i="18"/>
  <c r="AB62" i="18"/>
  <c r="U56" i="17"/>
  <c r="U62" i="17"/>
  <c r="U24" i="17"/>
  <c r="U34" i="17"/>
  <c r="U40" i="17"/>
  <c r="U45" i="17"/>
  <c r="U51" i="17"/>
  <c r="G55" i="18"/>
  <c r="G23" i="18"/>
  <c r="G33" i="18"/>
  <c r="G44" i="18"/>
  <c r="T55" i="18"/>
  <c r="T23" i="18"/>
  <c r="T33" i="18"/>
  <c r="T44" i="18"/>
  <c r="AK55" i="18"/>
  <c r="AK23" i="18"/>
  <c r="AK33" i="18"/>
  <c r="AK44" i="18"/>
  <c r="AK56" i="17"/>
  <c r="AK62" i="17"/>
  <c r="AK45" i="17"/>
  <c r="AK51" i="17"/>
  <c r="AK34" i="17"/>
  <c r="AK40" i="17"/>
  <c r="AK24" i="17"/>
  <c r="AY46" i="17"/>
  <c r="AY50" i="17"/>
  <c r="AS61" i="18"/>
  <c r="AS57" i="18"/>
  <c r="AT56" i="17"/>
  <c r="AT62" i="17"/>
  <c r="AT24" i="17"/>
  <c r="AT34" i="17"/>
  <c r="AT40" i="17"/>
  <c r="AT45" i="17"/>
  <c r="AT51" i="17"/>
  <c r="F50" i="17"/>
  <c r="N55" i="18"/>
  <c r="N23" i="18"/>
  <c r="N33" i="18"/>
  <c r="N44" i="18"/>
  <c r="AK61" i="17"/>
  <c r="AK57" i="17"/>
  <c r="AN35" i="18"/>
  <c r="AN39" i="18"/>
  <c r="AQ46" i="17"/>
  <c r="AQ50" i="17"/>
  <c r="AB46" i="17"/>
  <c r="V46" i="18"/>
  <c r="V50" i="18"/>
  <c r="AD61" i="17"/>
  <c r="AD57" i="17"/>
  <c r="I35" i="18"/>
  <c r="I39" i="18"/>
  <c r="H46" i="18"/>
  <c r="H50" i="18"/>
  <c r="AI57" i="18"/>
  <c r="AI61" i="18"/>
  <c r="E45" i="18"/>
  <c r="E51" i="18"/>
  <c r="E24" i="18"/>
  <c r="AZ24" i="18"/>
  <c r="E56" i="18"/>
  <c r="E62" i="18"/>
  <c r="E34" i="18"/>
  <c r="E40" i="18"/>
  <c r="AZ22" i="18"/>
  <c r="AF46" i="18"/>
  <c r="AF50" i="18"/>
  <c r="AJ46" i="18"/>
  <c r="AJ50" i="18"/>
  <c r="AO39" i="17"/>
  <c r="AO35" i="17"/>
  <c r="N57" i="18"/>
  <c r="N61" i="18"/>
  <c r="AK35" i="18"/>
  <c r="AK39" i="18"/>
  <c r="T35" i="18"/>
  <c r="T39" i="18"/>
  <c r="G35" i="18"/>
  <c r="G39" i="18"/>
  <c r="AE35" i="18"/>
  <c r="AE39" i="18"/>
  <c r="AX57" i="17"/>
  <c r="AA35" i="18"/>
  <c r="AA39" i="18"/>
  <c r="W35" i="18"/>
  <c r="W39" i="18"/>
  <c r="Q57" i="18"/>
  <c r="Q61" i="18"/>
  <c r="AO57" i="18"/>
  <c r="AO61" i="18"/>
  <c r="Y57" i="18"/>
  <c r="Y61" i="18"/>
  <c r="L57" i="18"/>
  <c r="L61" i="18"/>
  <c r="AN46" i="18"/>
  <c r="AN50" i="18"/>
  <c r="X46" i="18"/>
  <c r="X50" i="18"/>
  <c r="J35" i="18"/>
  <c r="J39" i="18"/>
  <c r="AJ51" i="17"/>
  <c r="AJ46" i="17"/>
  <c r="F46" i="18"/>
  <c r="F50" i="18"/>
  <c r="G35" i="17"/>
  <c r="F57" i="17"/>
  <c r="AQ39" i="17"/>
  <c r="AQ35" i="17"/>
  <c r="K35" i="17"/>
  <c r="AA35" i="17"/>
  <c r="AW57" i="17"/>
  <c r="AW61" i="17"/>
  <c r="J57" i="17"/>
  <c r="X51" i="17"/>
  <c r="X46" i="17"/>
  <c r="AT57" i="17"/>
  <c r="AS46" i="18"/>
  <c r="AA57" i="17"/>
  <c r="AU46" i="17"/>
  <c r="AU50" i="17"/>
  <c r="AV57" i="17"/>
  <c r="U46" i="17"/>
  <c r="H62" i="17"/>
  <c r="H57" i="17"/>
  <c r="AV46" i="18"/>
  <c r="AC35" i="18"/>
  <c r="AC39" i="18"/>
  <c r="AX35" i="17"/>
  <c r="AI46" i="18"/>
  <c r="AI50" i="18"/>
  <c r="R46" i="18"/>
  <c r="R50" i="18"/>
  <c r="AB35" i="17"/>
  <c r="L35" i="17"/>
  <c r="AP46" i="18"/>
  <c r="AP50" i="18"/>
  <c r="U35" i="17"/>
  <c r="AD46" i="18"/>
  <c r="AD50" i="18"/>
  <c r="P40" i="17"/>
  <c r="P35" i="17"/>
  <c r="AT35" i="17"/>
  <c r="AY57" i="18"/>
  <c r="AO57" i="17"/>
  <c r="AO61" i="17"/>
  <c r="T57" i="17"/>
  <c r="Z46" i="18"/>
  <c r="Z50" i="18"/>
  <c r="V35" i="17"/>
  <c r="T46" i="18"/>
  <c r="T50" i="18"/>
  <c r="AE46" i="18"/>
  <c r="AE50" i="18"/>
  <c r="E39" i="17"/>
  <c r="E35" i="17"/>
  <c r="X35" i="18"/>
  <c r="X39" i="18"/>
  <c r="J46" i="18"/>
  <c r="J50" i="18"/>
  <c r="AJ62" i="17"/>
  <c r="AJ57" i="17"/>
  <c r="F57" i="18"/>
  <c r="F61" i="18"/>
  <c r="M35" i="18"/>
  <c r="M39" i="18"/>
  <c r="O46" i="18"/>
  <c r="O50" i="18"/>
  <c r="AH35" i="18"/>
  <c r="AH39" i="18"/>
  <c r="X62" i="17"/>
  <c r="X57" i="17"/>
  <c r="AI35" i="17"/>
  <c r="AU39" i="17"/>
  <c r="AU35" i="17"/>
  <c r="H40" i="17"/>
  <c r="H35" i="17"/>
  <c r="AC46" i="18"/>
  <c r="AC50" i="18"/>
  <c r="AM35" i="18"/>
  <c r="AM39" i="18"/>
  <c r="AL46" i="18"/>
  <c r="AL50" i="18"/>
  <c r="N46" i="18"/>
  <c r="N50" i="18"/>
  <c r="E57" i="17"/>
  <c r="E61" i="17"/>
  <c r="N35" i="17"/>
  <c r="AS35" i="17"/>
  <c r="Q35" i="18"/>
  <c r="Q39" i="18"/>
  <c r="AO46" i="18"/>
  <c r="AO50" i="18"/>
  <c r="Y46" i="18"/>
  <c r="Y50" i="18"/>
  <c r="L46" i="18"/>
  <c r="L50" i="18"/>
  <c r="F35" i="18"/>
  <c r="F39" i="18"/>
  <c r="AX46" i="17"/>
  <c r="M57" i="18"/>
  <c r="M61" i="18"/>
  <c r="AP57" i="17"/>
  <c r="AB57" i="18"/>
  <c r="AB61" i="18"/>
  <c r="O57" i="18"/>
  <c r="O61" i="18"/>
  <c r="M46" i="17"/>
  <c r="T46" i="17"/>
  <c r="W57" i="17"/>
  <c r="AH57" i="18"/>
  <c r="AH61" i="18"/>
  <c r="V57" i="18"/>
  <c r="V61" i="18"/>
  <c r="D35" i="17"/>
  <c r="AX57" i="18"/>
  <c r="H30" i="17"/>
  <c r="I27" i="17"/>
  <c r="AV35" i="18"/>
  <c r="AD46" i="17"/>
  <c r="AD50" i="17"/>
  <c r="AU57" i="18"/>
  <c r="AU57" i="17"/>
  <c r="AU61" i="17"/>
  <c r="L57" i="17"/>
  <c r="O35" i="17"/>
  <c r="H51" i="17"/>
  <c r="H46" i="17"/>
  <c r="F35" i="17"/>
  <c r="AS35" i="18"/>
  <c r="AT46" i="18"/>
  <c r="AU46" i="18"/>
  <c r="S46" i="17"/>
  <c r="AM57" i="18"/>
  <c r="AM61" i="18"/>
  <c r="I57" i="18"/>
  <c r="I61" i="18"/>
  <c r="N46" i="17"/>
  <c r="AL57" i="18"/>
  <c r="AL61" i="18"/>
  <c r="H57" i="18"/>
  <c r="H61" i="18"/>
  <c r="AI35" i="18"/>
  <c r="AI39" i="18"/>
  <c r="R35" i="18"/>
  <c r="R39" i="18"/>
  <c r="AD35" i="18"/>
  <c r="AD39" i="18"/>
  <c r="J27" i="18"/>
  <c r="I30" i="18"/>
  <c r="Z46" i="17"/>
  <c r="J46" i="17"/>
  <c r="AG57" i="18"/>
  <c r="AG61" i="18"/>
  <c r="P57" i="18"/>
  <c r="P61" i="18"/>
  <c r="P62" i="17"/>
  <c r="P57" i="17"/>
  <c r="AF57" i="18"/>
  <c r="AF61" i="18"/>
  <c r="S57" i="18"/>
  <c r="S61" i="18"/>
  <c r="Q46" i="17"/>
  <c r="AI46" i="17"/>
  <c r="AK46" i="17"/>
  <c r="AJ57" i="18"/>
  <c r="AJ61" i="18"/>
  <c r="Z35" i="18"/>
  <c r="Z39" i="18"/>
  <c r="AK46" i="18"/>
  <c r="AK50" i="18"/>
  <c r="G46" i="18"/>
  <c r="G50" i="18"/>
  <c r="AA46" i="18"/>
  <c r="AA50" i="18"/>
  <c r="W46" i="18"/>
  <c r="W50" i="18"/>
  <c r="AB46" i="18"/>
  <c r="AB50" i="18"/>
  <c r="AN23" i="17"/>
  <c r="AZ23" i="17"/>
  <c r="AN33" i="17"/>
  <c r="AN44" i="17"/>
  <c r="AN55" i="17"/>
  <c r="AW46" i="17"/>
  <c r="AW50" i="17"/>
  <c r="Q35" i="17"/>
  <c r="I46" i="17"/>
  <c r="AA46" i="17"/>
  <c r="R57" i="18"/>
  <c r="R61" i="18"/>
  <c r="AP39" i="18"/>
  <c r="AP35" i="18"/>
  <c r="AD57" i="18"/>
  <c r="AD61" i="18"/>
  <c r="AG35" i="18"/>
  <c r="AG39" i="18"/>
  <c r="P35" i="18"/>
  <c r="P39" i="18"/>
  <c r="S46" i="18"/>
  <c r="S50" i="18"/>
  <c r="AX46" i="18"/>
  <c r="Z57" i="18"/>
  <c r="Z61" i="18"/>
  <c r="N35" i="18"/>
  <c r="N39" i="18"/>
  <c r="F46" i="17"/>
  <c r="AK57" i="18"/>
  <c r="AK61" i="18"/>
  <c r="T57" i="18"/>
  <c r="T61" i="18"/>
  <c r="G57" i="18"/>
  <c r="G61" i="18"/>
  <c r="AE57" i="18"/>
  <c r="AE61" i="18"/>
  <c r="E46" i="17"/>
  <c r="E50" i="17"/>
  <c r="AA57" i="18"/>
  <c r="AA61" i="18"/>
  <c r="W46" i="17"/>
  <c r="W57" i="18"/>
  <c r="W61" i="18"/>
  <c r="U57" i="17"/>
  <c r="Q46" i="18"/>
  <c r="Q50" i="18"/>
  <c r="AO35" i="18"/>
  <c r="AO39" i="18"/>
  <c r="Y35" i="18"/>
  <c r="Y39" i="18"/>
  <c r="L35" i="18"/>
  <c r="L39" i="18"/>
  <c r="AN57" i="18"/>
  <c r="AN61" i="18"/>
  <c r="X57" i="18"/>
  <c r="X61" i="18"/>
  <c r="J57" i="18"/>
  <c r="J61" i="18"/>
  <c r="AJ40" i="17"/>
  <c r="AJ35" i="17"/>
  <c r="M46" i="18"/>
  <c r="M50" i="18"/>
  <c r="AQ61" i="17"/>
  <c r="AQ57" i="17"/>
  <c r="AB35" i="18"/>
  <c r="AB39" i="18"/>
  <c r="O35" i="18"/>
  <c r="O39" i="18"/>
  <c r="Y35" i="17"/>
  <c r="AT57" i="18"/>
  <c r="AU35" i="18"/>
  <c r="S35" i="17"/>
  <c r="AN56" i="17"/>
  <c r="AN62" i="17"/>
  <c r="AN24" i="17"/>
  <c r="AZ24" i="17"/>
  <c r="AN34" i="17"/>
  <c r="AN40" i="17"/>
  <c r="AN45" i="17"/>
  <c r="AN51" i="17"/>
  <c r="AH46" i="18"/>
  <c r="AH50" i="18"/>
  <c r="V35" i="18"/>
  <c r="V39" i="18"/>
  <c r="AW39" i="17"/>
  <c r="AW35" i="17"/>
  <c r="X40" i="17"/>
  <c r="X35" i="17"/>
  <c r="AD39" i="17"/>
  <c r="AD35" i="17"/>
  <c r="S57" i="17"/>
  <c r="AT46" i="17"/>
  <c r="AC57" i="18"/>
  <c r="AC61" i="18"/>
  <c r="AM46" i="18"/>
  <c r="AM50" i="18"/>
  <c r="I46" i="18"/>
  <c r="I50" i="18"/>
  <c r="AL35" i="18"/>
  <c r="AL39" i="18"/>
  <c r="H35" i="18"/>
  <c r="H39" i="18"/>
  <c r="AV35" i="17"/>
  <c r="T35" i="17"/>
  <c r="AP57" i="18"/>
  <c r="AP61" i="18"/>
  <c r="AG46" i="18"/>
  <c r="AG50" i="18"/>
  <c r="P46" i="18"/>
  <c r="P50" i="18"/>
  <c r="E55" i="18"/>
  <c r="E23" i="18"/>
  <c r="AZ23" i="18"/>
  <c r="E33" i="18"/>
  <c r="E44" i="18"/>
  <c r="AZ21" i="18"/>
  <c r="P51" i="17"/>
  <c r="P46" i="17"/>
  <c r="AF35" i="18"/>
  <c r="AF39" i="18"/>
  <c r="S35" i="18"/>
  <c r="S39" i="18"/>
  <c r="D57" i="17"/>
  <c r="AJ35" i="18"/>
  <c r="AJ39" i="18"/>
  <c r="AO46" i="17"/>
  <c r="AO50" i="17"/>
  <c r="N57" i="17"/>
  <c r="W35" i="17"/>
  <c r="E35" i="18"/>
  <c r="E39" i="18"/>
  <c r="AN57" i="17"/>
  <c r="AN61" i="17"/>
  <c r="E46" i="18"/>
  <c r="E50" i="18"/>
  <c r="AN46" i="17"/>
  <c r="AN50" i="17"/>
  <c r="I30" i="17"/>
  <c r="J27" i="17"/>
  <c r="E57" i="18"/>
  <c r="E61" i="18"/>
  <c r="AN39" i="17"/>
  <c r="AN35" i="17"/>
  <c r="K27" i="18"/>
  <c r="J30" i="18"/>
  <c r="L27" i="18"/>
  <c r="K30" i="18"/>
  <c r="J30" i="17"/>
  <c r="K27" i="17"/>
  <c r="K30" i="17"/>
  <c r="L27" i="17"/>
  <c r="M27" i="18"/>
  <c r="L30" i="18"/>
  <c r="L30" i="17"/>
  <c r="M27" i="17"/>
  <c r="N27" i="18"/>
  <c r="M30" i="18"/>
  <c r="M30" i="17"/>
  <c r="N27" i="17"/>
  <c r="O27" i="18"/>
  <c r="N30" i="18"/>
  <c r="N30" i="17"/>
  <c r="O27" i="17"/>
  <c r="P27" i="18"/>
  <c r="O30" i="18"/>
  <c r="O30" i="17"/>
  <c r="P27" i="17"/>
  <c r="Q27" i="18"/>
  <c r="P30" i="18"/>
  <c r="P30" i="17"/>
  <c r="Q27" i="17"/>
  <c r="R27" i="18"/>
  <c r="Q30" i="18"/>
  <c r="S27" i="18"/>
  <c r="R30" i="18"/>
  <c r="Q30" i="17"/>
  <c r="R27" i="17"/>
  <c r="R30" i="17"/>
  <c r="S27" i="17"/>
  <c r="T27" i="18"/>
  <c r="S30" i="18"/>
  <c r="T30" i="18"/>
  <c r="U27" i="18"/>
  <c r="S30" i="17"/>
  <c r="T27" i="17"/>
  <c r="T30" i="17"/>
  <c r="U27" i="17"/>
  <c r="V27" i="18"/>
  <c r="U30" i="18"/>
  <c r="W27" i="18"/>
  <c r="V30" i="18"/>
  <c r="U30" i="17"/>
  <c r="V27" i="17"/>
  <c r="V30" i="17"/>
  <c r="W27" i="17"/>
  <c r="X27" i="18"/>
  <c r="W30" i="18"/>
  <c r="W30" i="17"/>
  <c r="X27" i="17"/>
  <c r="Y27" i="18"/>
  <c r="X30" i="18"/>
  <c r="X30" i="17"/>
  <c r="Y27" i="17"/>
  <c r="Z27" i="18"/>
  <c r="Y30" i="18"/>
  <c r="Y30" i="17"/>
  <c r="Z27" i="17"/>
  <c r="AA27" i="18"/>
  <c r="Z30" i="18"/>
  <c r="Z30" i="17"/>
  <c r="AA27" i="17"/>
  <c r="AB27" i="18"/>
  <c r="AA30" i="18"/>
  <c r="AA30" i="17"/>
  <c r="AB27" i="17"/>
  <c r="AC27" i="18"/>
  <c r="AB30" i="18"/>
  <c r="AB30" i="17"/>
  <c r="AC27" i="17"/>
  <c r="AD27" i="18"/>
  <c r="AC30" i="18"/>
  <c r="AD27" i="17"/>
  <c r="AC30" i="17"/>
  <c r="AE27" i="18"/>
  <c r="AD30" i="18"/>
  <c r="AF27" i="18"/>
  <c r="AE30" i="18"/>
  <c r="AD30" i="17"/>
  <c r="AE27" i="17"/>
  <c r="AE30" i="17"/>
  <c r="AF27" i="17"/>
  <c r="AG27" i="18"/>
  <c r="AF30" i="18"/>
  <c r="AF30" i="17"/>
  <c r="AG27" i="17"/>
  <c r="AH27" i="18"/>
  <c r="AG30" i="18"/>
  <c r="AG30" i="17"/>
  <c r="AH27" i="17"/>
  <c r="AI27" i="18"/>
  <c r="AH30" i="18"/>
  <c r="AH30" i="17"/>
  <c r="AI27" i="17"/>
  <c r="AJ27" i="18"/>
  <c r="AI30" i="18"/>
  <c r="AI30" i="17"/>
  <c r="AJ27" i="17"/>
  <c r="AK27" i="18"/>
  <c r="AJ30" i="18"/>
  <c r="AJ30" i="17"/>
  <c r="AK27" i="17"/>
  <c r="AL27" i="18"/>
  <c r="AK30" i="18"/>
  <c r="AK30" i="17"/>
  <c r="AL27" i="17"/>
  <c r="AM27" i="18"/>
  <c r="AL30" i="18"/>
  <c r="AL30" i="17"/>
  <c r="AM27" i="17"/>
  <c r="AN27" i="18"/>
  <c r="AM30" i="18"/>
  <c r="AM30" i="17"/>
  <c r="AN27" i="17"/>
  <c r="AO27" i="18"/>
  <c r="AN30" i="18"/>
  <c r="AN30" i="17"/>
  <c r="AO27" i="17"/>
  <c r="AO30" i="18"/>
  <c r="AP27" i="18"/>
  <c r="AP30" i="18"/>
  <c r="AQ27" i="18"/>
  <c r="AO30" i="17"/>
  <c r="AP27" i="17"/>
  <c r="AP30" i="17"/>
  <c r="AQ27" i="17"/>
  <c r="AQ30" i="18"/>
  <c r="AR27" i="18"/>
  <c r="AR30" i="18"/>
  <c r="AS27" i="18"/>
  <c r="AQ30" i="17"/>
  <c r="AR27" i="17"/>
  <c r="AR30" i="17"/>
  <c r="AS27" i="17"/>
  <c r="AS30" i="18"/>
  <c r="AT27" i="18"/>
  <c r="AT30" i="18"/>
  <c r="AU27" i="18"/>
  <c r="AS30" i="17"/>
  <c r="AT27" i="17"/>
  <c r="AT30" i="17"/>
  <c r="AU27" i="17"/>
  <c r="AU30" i="18"/>
  <c r="AV27" i="18"/>
  <c r="AV30" i="18"/>
  <c r="AW27" i="18"/>
  <c r="AU30" i="17"/>
  <c r="AV27" i="17"/>
  <c r="AV30" i="17"/>
  <c r="AW27" i="17"/>
  <c r="AW30" i="18"/>
  <c r="AX27" i="18"/>
  <c r="AX30" i="18"/>
  <c r="AY27" i="18"/>
  <c r="AY30" i="18"/>
  <c r="AZ30" i="18"/>
  <c r="AX27" i="17"/>
  <c r="AW30" i="17"/>
  <c r="AX30" i="17"/>
  <c r="AY27" i="17"/>
  <c r="AY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<sst xmlns="http://schemas.openxmlformats.org/spreadsheetml/2006/main" count="2632" uniqueCount="414">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</sst>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2030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14" workbookViewId="0">
      <selection activeCell="C64" sqref="C64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-250</v>
      </c>
      <c r="D63" s="15">
        <v>1500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2679.6167421602881</v>
      </c>
      <c r="D6" s="87">
        <v>2679.6167421602881</v>
      </c>
      <c r="E6" s="87">
        <v>2679.6167421602881</v>
      </c>
      <c r="F6" s="87">
        <v>2679.6167421602881</v>
      </c>
      <c r="G6" s="87">
        <v>2679.6167421602881</v>
      </c>
      <c r="H6" s="87">
        <v>2679.6167421602881</v>
      </c>
      <c r="I6" s="87">
        <v>2679.6167421602881</v>
      </c>
      <c r="J6" s="87">
        <v>2679.6167421602881</v>
      </c>
      <c r="K6" s="87">
        <v>2679.6167421602881</v>
      </c>
      <c r="L6" s="87">
        <v>2679.6167421602881</v>
      </c>
      <c r="M6" s="87">
        <v>2679.6167421602881</v>
      </c>
      <c r="N6" s="87">
        <v>2679.6167421602881</v>
      </c>
    </row>
    <row r="7" spans="2:14">
      <c r="B7" s="36" t="s">
        <v>105</v>
      </c>
      <c r="C7" s="88">
        <v>2.6946691715297984E-20</v>
      </c>
      <c r="D7" s="89">
        <v>2.6946691715297984E-20</v>
      </c>
      <c r="E7" s="89">
        <v>2.6946691715297984E-20</v>
      </c>
      <c r="F7" s="89">
        <v>2.6946691715297984E-20</v>
      </c>
      <c r="G7" s="89">
        <v>2.6946691715297984E-20</v>
      </c>
      <c r="H7" s="89">
        <v>2.6946691715297984E-20</v>
      </c>
      <c r="I7" s="89">
        <v>2.6946691715297984E-20</v>
      </c>
      <c r="J7" s="89">
        <v>2.6946691715297984E-20</v>
      </c>
      <c r="K7" s="89">
        <v>2.6946691715297984E-20</v>
      </c>
      <c r="L7" s="89">
        <v>2.6946691715297984E-20</v>
      </c>
      <c r="M7" s="89">
        <v>2.6946691715297984E-20</v>
      </c>
      <c r="N7" s="89">
        <v>2.6946691715297984E-20</v>
      </c>
    </row>
    <row r="8" spans="2:14">
      <c r="B8" s="36" t="s">
        <v>106</v>
      </c>
      <c r="C8" s="88">
        <v>140</v>
      </c>
      <c r="D8" s="89">
        <v>140</v>
      </c>
      <c r="E8" s="89">
        <v>140</v>
      </c>
      <c r="F8" s="89">
        <v>140</v>
      </c>
      <c r="G8" s="89">
        <v>140</v>
      </c>
      <c r="H8" s="89">
        <v>140</v>
      </c>
      <c r="I8" s="89">
        <v>140</v>
      </c>
      <c r="J8" s="89">
        <v>140</v>
      </c>
      <c r="K8" s="89">
        <v>140</v>
      </c>
      <c r="L8" s="89">
        <v>140</v>
      </c>
      <c r="M8" s="89">
        <v>140</v>
      </c>
      <c r="N8" s="89">
        <v>140</v>
      </c>
    </row>
    <row r="9" spans="2:14">
      <c r="B9" s="36" t="s">
        <v>107</v>
      </c>
      <c r="C9" s="88">
        <v>790.00000000000341</v>
      </c>
      <c r="D9" s="89">
        <v>790.00000000000341</v>
      </c>
      <c r="E9" s="89">
        <v>790.00000000000341</v>
      </c>
      <c r="F9" s="89">
        <v>790.00000000000341</v>
      </c>
      <c r="G9" s="89">
        <v>790.00000000000341</v>
      </c>
      <c r="H9" s="89">
        <v>790.00000000000341</v>
      </c>
      <c r="I9" s="89">
        <v>790.00000000000341</v>
      </c>
      <c r="J9" s="89">
        <v>790.00000000000341</v>
      </c>
      <c r="K9" s="89">
        <v>790.00000000000341</v>
      </c>
      <c r="L9" s="89">
        <v>790.00000000000341</v>
      </c>
      <c r="M9" s="89">
        <v>790.00000000000341</v>
      </c>
      <c r="N9" s="89">
        <v>790.00000000000341</v>
      </c>
    </row>
    <row r="10" spans="2:14">
      <c r="B10" s="36" t="s">
        <v>108</v>
      </c>
      <c r="C10" s="88">
        <v>1.0746744760746714E-19</v>
      </c>
      <c r="D10" s="89">
        <v>1.0746744760746714E-19</v>
      </c>
      <c r="E10" s="89">
        <v>1.0746744760746714E-19</v>
      </c>
      <c r="F10" s="89">
        <v>1.0746744760746714E-19</v>
      </c>
      <c r="G10" s="89">
        <v>1.0746744760746714E-19</v>
      </c>
      <c r="H10" s="89">
        <v>1.0746744760746714E-19</v>
      </c>
      <c r="I10" s="89">
        <v>1.0746744760746714E-19</v>
      </c>
      <c r="J10" s="89">
        <v>1.0746744760746714E-19</v>
      </c>
      <c r="K10" s="89">
        <v>1.0746744760746714E-19</v>
      </c>
      <c r="L10" s="89">
        <v>1.0746744760746714E-19</v>
      </c>
      <c r="M10" s="89">
        <v>1.0746744760746714E-19</v>
      </c>
      <c r="N10" s="89">
        <v>1.0746744760746714E-19</v>
      </c>
    </row>
    <row r="11" spans="2:14">
      <c r="B11" s="37" t="s">
        <v>109</v>
      </c>
      <c r="C11" s="88">
        <v>5.4554198700622588E-20</v>
      </c>
      <c r="D11" s="89">
        <v>5.4554198700622588E-20</v>
      </c>
      <c r="E11" s="89">
        <v>5.4554198700622588E-20</v>
      </c>
      <c r="F11" s="89">
        <v>5.4554198700622588E-20</v>
      </c>
      <c r="G11" s="89">
        <v>5.4554198700622588E-20</v>
      </c>
      <c r="H11" s="89">
        <v>5.4554198700622588E-20</v>
      </c>
      <c r="I11" s="89">
        <v>5.4554198700622588E-20</v>
      </c>
      <c r="J11" s="89">
        <v>5.4554198700622588E-20</v>
      </c>
      <c r="K11" s="89">
        <v>5.4554198700622588E-20</v>
      </c>
      <c r="L11" s="89">
        <v>5.4554198700622588E-20</v>
      </c>
      <c r="M11" s="89">
        <v>5.4554198700622588E-20</v>
      </c>
      <c r="N11" s="89">
        <v>5.4554198700622588E-20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0.55886618016646483</v>
      </c>
      <c r="E17" s="90">
        <v>1</v>
      </c>
      <c r="F17" s="90">
        <v>0.77596935883044693</v>
      </c>
      <c r="G17" s="90">
        <v>0.8</v>
      </c>
      <c r="H17" s="90">
        <v>0.99307253749442903</v>
      </c>
      <c r="I17" s="29" t="s">
        <v>110</v>
      </c>
    </row>
    <row r="18" spans="2:33">
      <c r="B18" s="36" t="s">
        <v>105</v>
      </c>
      <c r="C18" s="91">
        <v>1.2</v>
      </c>
      <c r="D18" s="91">
        <v>0.64165288552035715</v>
      </c>
      <c r="E18" s="91">
        <v>1</v>
      </c>
      <c r="F18" s="91">
        <v>0.76948780227961033</v>
      </c>
      <c r="G18" s="91">
        <v>0.8</v>
      </c>
      <c r="H18" s="91">
        <v>0.89732271903886363</v>
      </c>
      <c r="I18" s="29" t="s">
        <v>110</v>
      </c>
    </row>
    <row r="19" spans="2:33">
      <c r="B19" s="36" t="s">
        <v>106</v>
      </c>
      <c r="C19" s="91">
        <v>1.2</v>
      </c>
      <c r="D19" s="91">
        <v>0.68174480679423799</v>
      </c>
      <c r="E19" s="91">
        <v>1</v>
      </c>
      <c r="F19" s="91">
        <v>0.83872666613646207</v>
      </c>
      <c r="G19" s="91">
        <v>0.8</v>
      </c>
      <c r="H19" s="91">
        <v>0.99570852547868594</v>
      </c>
      <c r="I19" s="29" t="s">
        <v>110</v>
      </c>
    </row>
    <row r="20" spans="2:33">
      <c r="B20" s="36" t="s">
        <v>107</v>
      </c>
      <c r="C20" s="91">
        <v>1.2</v>
      </c>
      <c r="D20" s="91">
        <v>0.64680005114619743</v>
      </c>
      <c r="E20" s="91">
        <v>1</v>
      </c>
      <c r="F20" s="91">
        <v>0.81116938805414407</v>
      </c>
      <c r="G20" s="91">
        <v>0.8</v>
      </c>
      <c r="H20" s="91">
        <v>0.97553872496209071</v>
      </c>
    </row>
    <row r="21" spans="2:33">
      <c r="B21" s="36" t="s">
        <v>108</v>
      </c>
      <c r="C21" s="91">
        <v>1.2</v>
      </c>
      <c r="D21" s="91">
        <v>0.70343151210204879</v>
      </c>
      <c r="E21" s="91">
        <v>1</v>
      </c>
      <c r="F21" s="91">
        <v>0.73076628429457957</v>
      </c>
      <c r="G21" s="91">
        <v>0.8</v>
      </c>
      <c r="H21" s="91">
        <v>0.75810105648711024</v>
      </c>
    </row>
    <row r="22" spans="2:33">
      <c r="B22" s="37" t="s">
        <v>109</v>
      </c>
      <c r="C22" s="91">
        <v>1.2</v>
      </c>
      <c r="D22" s="91">
        <v>0.68296210515265365</v>
      </c>
      <c r="E22" s="91">
        <v>1</v>
      </c>
      <c r="F22" s="91">
        <v>0.74536140425912778</v>
      </c>
      <c r="G22" s="91">
        <v>0.8</v>
      </c>
      <c r="H22" s="91">
        <v>0.8077607033656018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2025</v>
      </c>
      <c r="E28" s="49"/>
      <c r="F28" s="45">
        <f>basic_info!$D$5-4</f>
        <v>2026</v>
      </c>
      <c r="G28" s="49"/>
      <c r="H28" s="45">
        <f>basic_info!$D$5-3</f>
        <v>2027</v>
      </c>
      <c r="I28" s="49"/>
      <c r="J28" s="45">
        <f>basic_info!$D$5-2</f>
        <v>2028</v>
      </c>
      <c r="K28" s="49"/>
      <c r="L28" s="45">
        <f>basic_info!$D$5-1</f>
        <v>2029</v>
      </c>
      <c r="N28" s="45">
        <f>basic_info!$D$5</f>
        <v>2030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2030</v>
      </c>
      <c r="D30" s="44">
        <v>0.69642607282102109</v>
      </c>
      <c r="E30" s="35">
        <v>0.69642607282102109</v>
      </c>
      <c r="F30" s="47">
        <v>0.68246257035314684</v>
      </c>
      <c r="G30" s="46">
        <v>0.68246257035314684</v>
      </c>
      <c r="H30" s="47">
        <v>0.69754554986117134</v>
      </c>
      <c r="I30" s="46">
        <v>0.69754554986117134</v>
      </c>
      <c r="J30" s="47">
        <v>0.79117891103596805</v>
      </c>
      <c r="K30" s="46">
        <v>0.79117891103596805</v>
      </c>
      <c r="L30" s="47">
        <v>0.73334909048531838</v>
      </c>
      <c r="M30" s="46">
        <v>0.73334909048531838</v>
      </c>
      <c r="N30" s="60"/>
      <c r="O30" s="71" t="s">
        <v>162</v>
      </c>
      <c r="P30" s="41">
        <f>M30+K30+I30+E30+G30</f>
        <v>3.6009621945566259</v>
      </c>
      <c r="Q30" s="70"/>
    </row>
    <row r="31" spans="2:33">
      <c r="B31" s="36"/>
      <c r="C31" s="47">
        <f>basic_info!$D$5+1</f>
        <v>2031</v>
      </c>
      <c r="D31" s="76"/>
      <c r="E31" s="75"/>
      <c r="F31" s="69">
        <v>0.68012294996082789</v>
      </c>
      <c r="G31" s="79">
        <v>0.68012294996082789</v>
      </c>
      <c r="H31" s="61">
        <v>0.70796417212980489</v>
      </c>
      <c r="I31" s="62">
        <v>0.70796417212980489</v>
      </c>
      <c r="J31" s="61">
        <v>0.76520281338787444</v>
      </c>
      <c r="K31" s="62">
        <v>0.76520281338787444</v>
      </c>
      <c r="L31" s="61">
        <v>0.7413359861182125</v>
      </c>
      <c r="M31" s="62">
        <v>0.7413359861182125</v>
      </c>
      <c r="N31" s="63">
        <v>0.81090191034329706</v>
      </c>
      <c r="O31" s="89">
        <v>0.81090191034329706</v>
      </c>
      <c r="P31" s="63">
        <f>O31+M31+K31+I31+G31</f>
        <v>3.7055278319400173</v>
      </c>
    </row>
    <row r="32" spans="2:33">
      <c r="B32" s="36"/>
      <c r="C32" s="47">
        <f>basic_info!$D$5+2</f>
        <v>2032</v>
      </c>
      <c r="D32" s="76"/>
      <c r="E32" s="75"/>
      <c r="F32" s="75"/>
      <c r="G32" s="75"/>
      <c r="H32" s="69">
        <v>0.66081657635867597</v>
      </c>
      <c r="I32" s="79">
        <v>0.66081657635867597</v>
      </c>
      <c r="J32" s="61">
        <v>0.72379884448625331</v>
      </c>
      <c r="K32" s="62">
        <v>0.72379884448625331</v>
      </c>
      <c r="L32" s="61">
        <v>0.69143952821589572</v>
      </c>
      <c r="M32" s="62">
        <v>0.69143952821589572</v>
      </c>
      <c r="N32" s="63">
        <v>0.79834376345265456</v>
      </c>
      <c r="O32" s="89">
        <v>0.79834376345265456</v>
      </c>
      <c r="P32" s="63">
        <f>O32+M32+K32+I32</f>
        <v>2.8743987125134796</v>
      </c>
    </row>
    <row r="33" spans="2:17">
      <c r="B33" s="36"/>
      <c r="C33" s="47">
        <f>basic_info!$D$5+3</f>
        <v>2033</v>
      </c>
      <c r="D33" s="76"/>
      <c r="E33" s="75"/>
      <c r="F33" s="75"/>
      <c r="G33" s="75"/>
      <c r="H33" s="75"/>
      <c r="I33" s="75"/>
      <c r="J33" s="69">
        <v>0.68604024631083016</v>
      </c>
      <c r="K33" s="79">
        <v>0.68604024631083016</v>
      </c>
      <c r="L33" s="61">
        <v>0.69892836613039744</v>
      </c>
      <c r="M33" s="62">
        <v>0.69892836613039744</v>
      </c>
      <c r="N33" s="63">
        <v>0.72958384051727887</v>
      </c>
      <c r="O33" s="89">
        <v>0.72958384051727887</v>
      </c>
      <c r="P33" s="63">
        <f>O33+M33+K33</f>
        <v>2.1145524529585065</v>
      </c>
    </row>
    <row r="34" spans="2:17">
      <c r="B34" s="36"/>
      <c r="C34" s="47">
        <f>basic_info!$D$5+4</f>
        <v>2034</v>
      </c>
      <c r="D34" s="76"/>
      <c r="E34" s="75"/>
      <c r="F34" s="75"/>
      <c r="G34" s="75"/>
      <c r="H34" s="75"/>
      <c r="I34" s="75"/>
      <c r="J34" s="75"/>
      <c r="K34" s="75"/>
      <c r="L34" s="69">
        <v>0.64970057869851594</v>
      </c>
      <c r="M34" s="79">
        <v>0.64970057869851594</v>
      </c>
      <c r="N34" s="63">
        <v>0.71232034054491844</v>
      </c>
      <c r="O34" s="89">
        <v>0.71232034054491844</v>
      </c>
      <c r="P34" s="63">
        <f>O34+M34</f>
        <v>1.3620209192434345</v>
      </c>
    </row>
    <row r="35" spans="2:17">
      <c r="B35" s="37"/>
      <c r="C35" s="72">
        <f>basic_info!$D$5+5</f>
        <v>2035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0.66346635976135726</v>
      </c>
      <c r="O35" s="89">
        <v>0.66346635976135726</v>
      </c>
      <c r="P35" s="65">
        <f>O35</f>
        <v>0.66346635976135726</v>
      </c>
    </row>
    <row r="36" spans="2:17">
      <c r="B36" s="41" t="s">
        <v>113</v>
      </c>
      <c r="C36" s="36">
        <f>basic_info!$D$5</f>
        <v>2030</v>
      </c>
      <c r="D36" s="44">
        <v>1.0409094843864442</v>
      </c>
      <c r="E36" s="35">
        <v>1.0409094843864442</v>
      </c>
      <c r="F36" s="73">
        <v>1.0839331764160476</v>
      </c>
      <c r="G36" s="74">
        <v>1.0839331764160476</v>
      </c>
      <c r="H36" s="73">
        <v>0.98900041593085708</v>
      </c>
      <c r="I36" s="74">
        <v>0.98900041593085708</v>
      </c>
      <c r="J36" s="73">
        <v>0.97228088435753113</v>
      </c>
      <c r="K36" s="74">
        <v>0.97228088435753113</v>
      </c>
      <c r="L36" s="66">
        <v>1.0958450964136017</v>
      </c>
      <c r="M36" s="67">
        <v>1.0958450964136017</v>
      </c>
      <c r="N36" s="68"/>
      <c r="O36" s="71" t="s">
        <v>162</v>
      </c>
      <c r="P36" s="41">
        <f>M36+K36+I36+E36+G36</f>
        <v>5.1819690575044817</v>
      </c>
      <c r="Q36" s="70"/>
    </row>
    <row r="37" spans="2:17">
      <c r="B37" s="36"/>
      <c r="C37" s="47">
        <f>basic_info!$D$5+1</f>
        <v>2031</v>
      </c>
      <c r="D37" s="76"/>
      <c r="E37" s="75"/>
      <c r="F37" s="69">
        <v>1.0482402778565885</v>
      </c>
      <c r="G37" s="79">
        <v>1.0482402778565885</v>
      </c>
      <c r="H37" s="61">
        <v>0.97045032301312806</v>
      </c>
      <c r="I37" s="62">
        <v>0.97045032301312806</v>
      </c>
      <c r="J37" s="61">
        <v>0.98789917790483717</v>
      </c>
      <c r="K37" s="62">
        <v>0.98789917790483717</v>
      </c>
      <c r="L37" s="61">
        <v>1.0512867234689989</v>
      </c>
      <c r="M37" s="62">
        <v>1.0512867234689989</v>
      </c>
      <c r="N37" s="61">
        <v>1.0713967576029952</v>
      </c>
      <c r="O37" s="89">
        <v>1.0713967576029952</v>
      </c>
      <c r="P37" s="63">
        <f>O37+M37+K37+I37+G37</f>
        <v>5.1292732598465474</v>
      </c>
    </row>
    <row r="38" spans="2:17">
      <c r="B38" s="36"/>
      <c r="C38" s="47">
        <f>basic_info!$D$5+2</f>
        <v>2032</v>
      </c>
      <c r="D38" s="76"/>
      <c r="E38" s="75"/>
      <c r="F38" s="75"/>
      <c r="G38" s="75"/>
      <c r="H38" s="69">
        <v>0.96112931388616563</v>
      </c>
      <c r="I38" s="79">
        <v>0.96112931388616563</v>
      </c>
      <c r="J38" s="61">
        <v>0.89988736013715631</v>
      </c>
      <c r="K38" s="62">
        <v>0.89988736013715631</v>
      </c>
      <c r="L38" s="61">
        <v>1.053586334277947</v>
      </c>
      <c r="M38" s="62">
        <v>1.053586334277947</v>
      </c>
      <c r="N38" s="61">
        <v>1.0072098965412106</v>
      </c>
      <c r="O38" s="89">
        <v>1.0072098965412106</v>
      </c>
      <c r="P38" s="63">
        <f>O38+M38+K38+I38</f>
        <v>3.9218129048424792</v>
      </c>
    </row>
    <row r="39" spans="2:17">
      <c r="B39" s="36"/>
      <c r="C39" s="47">
        <f>basic_info!$D$5+3</f>
        <v>2033</v>
      </c>
      <c r="D39" s="76"/>
      <c r="E39" s="75"/>
      <c r="F39" s="75"/>
      <c r="G39" s="75"/>
      <c r="H39" s="75"/>
      <c r="I39" s="75"/>
      <c r="J39" s="69">
        <v>0.86972962859272962</v>
      </c>
      <c r="K39" s="79">
        <v>0.86972962859272962</v>
      </c>
      <c r="L39" s="61">
        <v>1.0074343602156002</v>
      </c>
      <c r="M39" s="62">
        <v>1.0074343602156002</v>
      </c>
      <c r="N39" s="61">
        <v>0.97524463386379778</v>
      </c>
      <c r="O39" s="89">
        <v>0.97524463386379778</v>
      </c>
      <c r="P39" s="63">
        <f>O39+M39+K39</f>
        <v>2.8524086226721277</v>
      </c>
    </row>
    <row r="40" spans="2:17">
      <c r="B40" s="36"/>
      <c r="C40" s="47">
        <f>basic_info!$D$5+4</f>
        <v>2034</v>
      </c>
      <c r="D40" s="76"/>
      <c r="E40" s="75"/>
      <c r="F40" s="75"/>
      <c r="G40" s="75"/>
      <c r="H40" s="75"/>
      <c r="I40" s="75"/>
      <c r="J40" s="75"/>
      <c r="K40" s="75"/>
      <c r="L40" s="69">
        <v>0.9264638961553574</v>
      </c>
      <c r="M40" s="79">
        <v>0.9264638961553574</v>
      </c>
      <c r="N40" s="61">
        <v>0.9730984368342821</v>
      </c>
      <c r="O40" s="89">
        <v>0.9730984368342821</v>
      </c>
      <c r="P40" s="63">
        <f>O40+M40</f>
        <v>1.8995623329896394</v>
      </c>
    </row>
    <row r="41" spans="2:17">
      <c r="B41" s="37"/>
      <c r="C41" s="72">
        <f>basic_info!$D$5+5</f>
        <v>2035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0.8868314356505872</v>
      </c>
      <c r="O41" s="89">
        <v>0.8868314356505872</v>
      </c>
      <c r="P41" s="64">
        <f>O41</f>
        <v>0.8868314356505872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1.0471160179453765E-21</v>
      </c>
      <c r="D6" s="93">
        <v>60.756383138858489</v>
      </c>
      <c r="E6" s="93">
        <v>1.7150644158338667E-22</v>
      </c>
      <c r="F6" s="93">
        <v>1.3100591778370718E-22</v>
      </c>
      <c r="G6" s="93">
        <v>39.243616861141504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52.819257603337839</v>
      </c>
      <c r="D7" s="93">
        <v>38.792740548176681</v>
      </c>
      <c r="E7" s="93">
        <v>0</v>
      </c>
      <c r="F7" s="93">
        <v>8.3880018484854713</v>
      </c>
      <c r="G7" s="93">
        <v>0</v>
      </c>
      <c r="H7" s="97">
        <f>SUM($C$7:$G$7)</f>
        <v>99.999999999999986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5.8241494760290417E-21</v>
      </c>
      <c r="D8" s="93">
        <v>1.5122659344429053E-20</v>
      </c>
      <c r="E8" s="93">
        <v>100</v>
      </c>
      <c r="F8" s="93">
        <v>1.6099083949842781E-21</v>
      </c>
      <c r="G8" s="93">
        <v>2.22572923710483E-21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75.949367088607701</v>
      </c>
      <c r="D9" s="93">
        <v>3.1256505114006881E-21</v>
      </c>
      <c r="E9" s="93">
        <v>2.8314656323344865E-21</v>
      </c>
      <c r="F9" s="93">
        <v>24.050632911392302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62.65630456388628</v>
      </c>
      <c r="D10" s="93">
        <v>21.605788977057635</v>
      </c>
      <c r="E10" s="93">
        <v>5.4764317837460714</v>
      </c>
      <c r="F10" s="93">
        <v>6.7746954989077333</v>
      </c>
      <c r="G10" s="93">
        <v>3.4867791764022904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1.2326931046741814</v>
      </c>
      <c r="D11" s="94">
        <v>77.681612837828496</v>
      </c>
      <c r="E11" s="94">
        <v>0</v>
      </c>
      <c r="F11" s="94">
        <v>0</v>
      </c>
      <c r="G11" s="94">
        <v>21.085694057497321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42.975159754170214</v>
      </c>
      <c r="D19" s="44">
        <f>100-$C$19</f>
        <v>57.024840245829786</v>
      </c>
      <c r="E19" s="94">
        <v>42.964521025206309</v>
      </c>
      <c r="F19" s="33">
        <f>100-$E$19</f>
        <v>57.035478974793691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14.334539086074356</v>
      </c>
      <c r="D27" s="93">
        <v>34.070440935164243</v>
      </c>
      <c r="E27" s="93">
        <v>28.826223559739947</v>
      </c>
      <c r="F27" s="93">
        <v>13.173588524476495</v>
      </c>
      <c r="G27" s="95">
        <v>11.083341153757656</v>
      </c>
      <c r="N27" s="50"/>
      <c r="O27" s="50"/>
      <c r="P27" s="50"/>
    </row>
    <row r="28" spans="2:16">
      <c r="B28" s="45" t="s">
        <v>46</v>
      </c>
      <c r="C28" s="93">
        <v>17.423399252861387</v>
      </c>
      <c r="D28" s="93">
        <v>65.929559064835743</v>
      </c>
      <c r="E28" s="93">
        <v>71.173776440260056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68.242061661064255</v>
      </c>
      <c r="D29" s="93">
        <v>0</v>
      </c>
      <c r="E29" s="93">
        <v>0</v>
      </c>
      <c r="F29" s="93">
        <v>86.8264114755235</v>
      </c>
      <c r="G29" s="95">
        <v>88.916658846242356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99.999999999999986</v>
      </c>
      <c r="E30" s="98">
        <f>SUM($E$27:$E$29)</f>
        <v>100</v>
      </c>
      <c r="F30" s="98">
        <f>SUM($F$27:$F$29)</f>
        <v>100</v>
      </c>
      <c r="G30" s="96">
        <f>SUM($G$27:$G$29)</f>
        <v>100.00000000000001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35.503847016814774</v>
      </c>
      <c r="D37" s="93">
        <v>35.503847016814774</v>
      </c>
      <c r="E37" s="93">
        <v>35.503847016814774</v>
      </c>
      <c r="F37" s="93">
        <v>35.503847016814774</v>
      </c>
      <c r="G37" s="93">
        <v>35.503847016814774</v>
      </c>
      <c r="H37" s="93">
        <v>35.503847016814774</v>
      </c>
      <c r="I37" s="93">
        <v>35.503847016814774</v>
      </c>
      <c r="J37" s="93">
        <v>35.503847016814774</v>
      </c>
      <c r="K37" s="93">
        <v>35.503847016814774</v>
      </c>
      <c r="L37" s="93">
        <v>35.503847016814774</v>
      </c>
      <c r="M37" s="93">
        <v>35.503847016814774</v>
      </c>
      <c r="N37" s="95">
        <v>35.503847016814774</v>
      </c>
    </row>
    <row r="38" spans="2:14">
      <c r="B38" s="45" t="s">
        <v>46</v>
      </c>
      <c r="C38" s="93">
        <v>49.27338109917838</v>
      </c>
      <c r="D38" s="93">
        <v>49.27338109917838</v>
      </c>
      <c r="E38" s="93">
        <v>49.27338109917838</v>
      </c>
      <c r="F38" s="93">
        <v>49.27338109917838</v>
      </c>
      <c r="G38" s="93">
        <v>49.27338109917838</v>
      </c>
      <c r="H38" s="93">
        <v>49.27338109917838</v>
      </c>
      <c r="I38" s="93">
        <v>49.27338109917838</v>
      </c>
      <c r="J38" s="93">
        <v>49.27338109917838</v>
      </c>
      <c r="K38" s="93">
        <v>49.27338109917838</v>
      </c>
      <c r="L38" s="93">
        <v>49.27338109917838</v>
      </c>
      <c r="M38" s="93">
        <v>49.27338109917838</v>
      </c>
      <c r="N38" s="95">
        <v>49.27338109917838</v>
      </c>
    </row>
    <row r="39" spans="2:14">
      <c r="B39" s="45" t="s">
        <v>59</v>
      </c>
      <c r="C39" s="94">
        <v>44.782312709991722</v>
      </c>
      <c r="D39" s="94">
        <v>44.782312709991722</v>
      </c>
      <c r="E39" s="94">
        <v>44.782312709991722</v>
      </c>
      <c r="F39" s="94">
        <v>44.782312709991722</v>
      </c>
      <c r="G39" s="94">
        <v>44.782312709991722</v>
      </c>
      <c r="H39" s="94">
        <v>44.782312709991722</v>
      </c>
      <c r="I39" s="94">
        <v>44.782312709991722</v>
      </c>
      <c r="J39" s="94">
        <v>44.782312709991722</v>
      </c>
      <c r="K39" s="94">
        <v>44.782312709991722</v>
      </c>
      <c r="L39" s="94">
        <v>44.782312709991722</v>
      </c>
      <c r="M39" s="94">
        <v>44.782312709991722</v>
      </c>
      <c r="N39" s="89">
        <v>44.782312709991722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65550.681872306814</v>
      </c>
      <c r="L7" s="182"/>
      <c r="M7" s="182" t="s">
        <v>356</v>
      </c>
      <c r="S7" s="187">
        <f>SUM(ORA!$D$127:$O$127)</f>
        <v>280635915.47821635</v>
      </c>
    </row>
    <row r="8" spans="1:20">
      <c r="A8" s="182"/>
      <c r="B8" s="182" t="s">
        <v>357</v>
      </c>
      <c r="G8" s="185"/>
      <c r="H8" s="188">
        <f>SUM(POJ!$D$116:$O$116)</f>
        <v>44443.759807276503</v>
      </c>
      <c r="L8" s="182"/>
      <c r="M8" s="182" t="s">
        <v>357</v>
      </c>
      <c r="S8" s="189">
        <f>SUM(POJ!$D$127:$O$127)</f>
        <v>311106318.65093547</v>
      </c>
    </row>
    <row r="9" spans="1:20">
      <c r="A9" s="182"/>
      <c r="B9" s="182" t="s">
        <v>358</v>
      </c>
      <c r="G9" s="185"/>
      <c r="H9" s="188">
        <f>SUM(ROJ!$D$116:$O$116)</f>
        <v>28397.014590275754</v>
      </c>
      <c r="L9" s="182"/>
      <c r="M9" s="182" t="s">
        <v>358</v>
      </c>
      <c r="S9" s="189">
        <f>SUM(ROJ!$D$127:$O$127)</f>
        <v>215817310.88609573</v>
      </c>
    </row>
    <row r="10" spans="1:20">
      <c r="A10" s="182"/>
      <c r="B10" s="182" t="s">
        <v>359</v>
      </c>
      <c r="G10" s="185"/>
      <c r="H10" s="190">
        <f>SUM(FCOJ!$D$116:$O$116)</f>
        <v>30257.129800973082</v>
      </c>
      <c r="L10" s="182"/>
      <c r="M10" s="182" t="s">
        <v>359</v>
      </c>
      <c r="S10" s="191">
        <f>SUM(FCOJ!$D$127:$O$127)</f>
        <v>151790876.53402281</v>
      </c>
    </row>
    <row r="11" spans="1:20">
      <c r="A11" s="182"/>
      <c r="B11" s="182"/>
      <c r="G11" s="185"/>
      <c r="M11" s="182" t="s">
        <v>360</v>
      </c>
      <c r="T11" s="192">
        <f>SUM($S$7:$S$10)</f>
        <v>959350421.54927039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171005.91022996558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3.6009621945566259</v>
      </c>
      <c r="L14" s="182"/>
      <c r="M14" s="182" t="s">
        <v>365</v>
      </c>
      <c r="S14" s="187">
        <f>SUM(grove!$C$58:$AX$63)</f>
        <v>235652997.54539171</v>
      </c>
    </row>
    <row r="15" spans="1:20">
      <c r="A15" s="182"/>
      <c r="B15" s="182" t="s">
        <v>366</v>
      </c>
      <c r="G15" s="185"/>
      <c r="H15" s="190">
        <f>raw_materials!$P$36</f>
        <v>5.1819690575044817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5202.1983735055237</v>
      </c>
    </row>
    <row r="16" spans="1:20">
      <c r="A16" s="182"/>
      <c r="B16" s="182" t="s">
        <v>368</v>
      </c>
      <c r="G16" s="185"/>
      <c r="H16" s="194">
        <v>45143.937707595811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10765.464203506486</v>
      </c>
    </row>
    <row r="17" spans="1:21">
      <c r="A17" s="182"/>
      <c r="B17" s="182" t="s">
        <v>370</v>
      </c>
      <c r="G17" s="185"/>
      <c r="H17" s="195">
        <v>59922.059407548251</v>
      </c>
      <c r="L17" s="182"/>
      <c r="M17" s="182" t="s">
        <v>371</v>
      </c>
      <c r="S17" s="189">
        <v>32832561.506877884</v>
      </c>
    </row>
    <row r="18" spans="1:21">
      <c r="A18" s="182"/>
      <c r="B18" s="182" t="s">
        <v>372</v>
      </c>
      <c r="G18" s="185"/>
      <c r="H18" s="196">
        <v>28644.854521389228</v>
      </c>
      <c r="L18" s="182"/>
      <c r="M18" s="182" t="s">
        <v>373</v>
      </c>
      <c r="S18" s="191">
        <v>1643.9522817199816</v>
      </c>
    </row>
    <row r="19" spans="1:21">
      <c r="A19" s="182"/>
      <c r="B19" s="182" t="s">
        <v>374</v>
      </c>
      <c r="G19" s="185"/>
      <c r="H19" s="195">
        <v>2166.24941007284</v>
      </c>
      <c r="L19" s="182"/>
      <c r="M19" s="182" t="s">
        <v>375</v>
      </c>
      <c r="S19" s="197" t="s">
        <v>376</v>
      </c>
      <c r="T19" s="198">
        <f>SUM($S$14:$S$18)</f>
        <v>268503170.66712832</v>
      </c>
      <c r="U19" s="100" t="s">
        <v>377</v>
      </c>
    </row>
    <row r="20" spans="1:21">
      <c r="A20" s="182"/>
      <c r="B20" s="182" t="s">
        <v>378</v>
      </c>
      <c r="G20" s="185"/>
      <c r="H20" s="190">
        <v>54.133852743327907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90287875.41519171</v>
      </c>
    </row>
    <row r="23" spans="1:21">
      <c r="A23" s="182"/>
      <c r="B23" s="182" t="s">
        <v>382</v>
      </c>
      <c r="G23" s="185"/>
      <c r="H23" s="186">
        <f>SUM(raw_materials!$O$31:$O$35)</f>
        <v>3.7146162146195061</v>
      </c>
      <c r="L23" s="182"/>
      <c r="M23" s="182" t="s">
        <v>383</v>
      </c>
      <c r="S23" s="189">
        <v>59922059.407548271</v>
      </c>
    </row>
    <row r="24" spans="1:21">
      <c r="A24" s="182"/>
      <c r="B24" s="182" t="s">
        <v>384</v>
      </c>
      <c r="G24" s="185"/>
      <c r="H24" s="190">
        <f>SUM(raw_materials!$O$37:$O$41)</f>
        <v>4.9137811604928734</v>
      </c>
      <c r="L24" s="182"/>
      <c r="M24" s="182" t="s">
        <v>385</v>
      </c>
      <c r="S24" s="191">
        <v>18619155.438902996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168829090.26164299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14425812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30036319.245417885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-250</v>
      </c>
      <c r="L30" s="182"/>
      <c r="M30" s="182" t="s">
        <v>395</v>
      </c>
      <c r="S30" s="189">
        <v>3000570.1660664733</v>
      </c>
    </row>
    <row r="31" spans="1:21">
      <c r="L31" s="182"/>
      <c r="M31" s="182" t="s">
        <v>396</v>
      </c>
      <c r="S31" s="191">
        <f>SUM(ORA!D138:O138)+SUM(POJ!D138:O138)+SUM(ROJ!D138:O138)+SUM(FCOJ!D138:O138)</f>
        <v>114652148.1315296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162114849.54301396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27570000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-1200000</v>
      </c>
    </row>
    <row r="41" spans="1:21">
      <c r="L41" s="182"/>
      <c r="M41" s="182" t="s">
        <v>409</v>
      </c>
      <c r="S41" s="189">
        <v>8910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52851410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307051901.07748508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0.72272088610289353</v>
      </c>
      <c r="D5" s="100">
        <v>0.60214809911238498</v>
      </c>
      <c r="E5" s="100">
        <v>0.65957773902652361</v>
      </c>
      <c r="F5" s="100">
        <v>0.78649946716460906</v>
      </c>
      <c r="G5" s="100">
        <v>0.70514318273853704</v>
      </c>
      <c r="H5" s="100">
        <v>0.75857046849762855</v>
      </c>
      <c r="I5" s="100">
        <v>0.7598512291586299</v>
      </c>
      <c r="J5" s="100">
        <v>0.60239874189225606</v>
      </c>
      <c r="K5" s="100">
        <v>0.65919423826072931</v>
      </c>
      <c r="L5" s="100">
        <v>0.61915021494203459</v>
      </c>
      <c r="M5" s="100">
        <v>0.61391835799282624</v>
      </c>
      <c r="N5" s="100">
        <v>0.67510053558758165</v>
      </c>
    </row>
    <row r="6" spans="2:14">
      <c r="B6" s="171" t="s">
        <v>105</v>
      </c>
      <c r="C6" s="100">
        <v>0.95197899452187085</v>
      </c>
      <c r="D6" s="100">
        <v>0.6658880458353863</v>
      </c>
      <c r="E6" s="100">
        <v>0.66284754264204349</v>
      </c>
      <c r="F6" s="100">
        <v>0.69638801245706117</v>
      </c>
      <c r="G6" s="100">
        <v>0.69537382435402539</v>
      </c>
      <c r="H6" s="100">
        <v>0.79350375841048248</v>
      </c>
      <c r="I6" s="100">
        <v>0.71382097919008103</v>
      </c>
      <c r="J6" s="100">
        <v>0.6711469260460643</v>
      </c>
      <c r="K6" s="100">
        <v>0.69795282883132281</v>
      </c>
      <c r="L6" s="100">
        <v>0.72938995763462244</v>
      </c>
      <c r="M6" s="100">
        <v>0.62318768263539415</v>
      </c>
      <c r="N6" s="100">
        <v>0.711559907518452</v>
      </c>
    </row>
    <row r="7" spans="2:14">
      <c r="B7" s="171" t="s">
        <v>106</v>
      </c>
      <c r="C7" s="100">
        <v>0.85658449100772027</v>
      </c>
      <c r="D7" s="100">
        <v>0.71423593377205397</v>
      </c>
      <c r="E7" s="100">
        <v>0.76027267457567627</v>
      </c>
      <c r="F7" s="100">
        <v>0.96895695555815964</v>
      </c>
      <c r="G7" s="100">
        <v>0.77822065201314627</v>
      </c>
      <c r="H7" s="100">
        <v>0.70600325952888365</v>
      </c>
      <c r="I7" s="100">
        <v>0.68964285665804337</v>
      </c>
      <c r="J7" s="100">
        <v>0.71119169840890639</v>
      </c>
      <c r="K7" s="100">
        <v>0.67787989281242822</v>
      </c>
      <c r="L7" s="100">
        <v>0.70604711710445589</v>
      </c>
      <c r="M7" s="100">
        <v>0.79755781389215896</v>
      </c>
      <c r="N7" s="100">
        <v>0.72139649309136</v>
      </c>
    </row>
    <row r="8" spans="2:14">
      <c r="B8" s="171" t="s">
        <v>107</v>
      </c>
      <c r="C8" s="100">
        <v>0.72949940766919241</v>
      </c>
      <c r="D8" s="100">
        <v>0.71139898074602359</v>
      </c>
      <c r="E8" s="100">
        <v>0.72247812148273582</v>
      </c>
      <c r="F8" s="100">
        <v>0.73845347576388931</v>
      </c>
      <c r="G8" s="100">
        <v>0.68513178621842796</v>
      </c>
      <c r="H8" s="100">
        <v>0.719665085425928</v>
      </c>
      <c r="I8" s="100">
        <v>0.68696459535981236</v>
      </c>
      <c r="J8" s="100">
        <v>0.76424819571841041</v>
      </c>
      <c r="K8" s="100">
        <v>0.74718279574489754</v>
      </c>
      <c r="L8" s="100">
        <v>0.6815361637967996</v>
      </c>
      <c r="M8" s="100">
        <v>0.68093893176153297</v>
      </c>
      <c r="N8" s="100">
        <v>0.69050375005870679</v>
      </c>
    </row>
    <row r="9" spans="2:14">
      <c r="B9" s="171" t="s">
        <v>108</v>
      </c>
      <c r="C9" s="100">
        <v>2.0259100592136385</v>
      </c>
      <c r="D9" s="100">
        <v>2.0560728645324708</v>
      </c>
      <c r="E9" s="100">
        <v>2.0908713138103487</v>
      </c>
      <c r="F9" s="100">
        <v>2.1043653702735901</v>
      </c>
      <c r="G9" s="100">
        <v>2.0289649879932403</v>
      </c>
      <c r="H9" s="100">
        <v>2.1036707735061646</v>
      </c>
      <c r="I9" s="100">
        <v>2.1027895009517672</v>
      </c>
      <c r="J9" s="100">
        <v>2.0294750666618349</v>
      </c>
      <c r="K9" s="100">
        <v>2.0960431253910063</v>
      </c>
      <c r="L9" s="100">
        <v>2.1002146816253662</v>
      </c>
      <c r="M9" s="100">
        <v>2.0448228156566621</v>
      </c>
      <c r="N9" s="100">
        <v>2.0333800053596498</v>
      </c>
    </row>
    <row r="10" spans="2:14">
      <c r="B10" s="171" t="s">
        <v>109</v>
      </c>
      <c r="C10" s="100">
        <v>0.60931366086006167</v>
      </c>
      <c r="D10" s="100">
        <v>0.64044702053070068</v>
      </c>
      <c r="E10" s="100">
        <v>0.64899396300315859</v>
      </c>
      <c r="F10" s="100">
        <v>0.61126207113265996</v>
      </c>
      <c r="G10" s="100">
        <v>0.67948094010353088</v>
      </c>
      <c r="H10" s="100">
        <v>0.65350475311279299</v>
      </c>
      <c r="I10" s="100">
        <v>0.66414205431938178</v>
      </c>
      <c r="J10" s="100">
        <v>0.62785392999649048</v>
      </c>
      <c r="K10" s="100">
        <v>0.66859696507453925</v>
      </c>
      <c r="L10" s="100">
        <v>0.69448187351226809</v>
      </c>
      <c r="M10" s="100">
        <v>0.64123510718345644</v>
      </c>
      <c r="N10" s="100">
        <v>0.62150152921676638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0.37399088357123988</v>
      </c>
      <c r="D14" s="101">
        <v>0.37537909045969553</v>
      </c>
      <c r="E14" s="101">
        <v>0.37676339118762248</v>
      </c>
      <c r="F14" s="101">
        <v>0.37813989058571379</v>
      </c>
      <c r="G14" s="101">
        <v>0.37950471543617942</v>
      </c>
      <c r="H14" s="100">
        <v>0.38085402537127305</v>
      </c>
      <c r="I14" s="100">
        <v>0.38218402367938531</v>
      </c>
      <c r="J14" s="100">
        <v>0.38349096798829668</v>
      </c>
      <c r="K14" s="100">
        <v>0.38477118079552874</v>
      </c>
      <c r="L14" s="100">
        <v>0.38602105981616425</v>
      </c>
      <c r="M14" s="100">
        <v>0.38723708811901919</v>
      </c>
      <c r="N14" s="100">
        <v>0.38841584402264379</v>
      </c>
    </row>
    <row r="15" spans="2:14">
      <c r="B15" s="170" t="s">
        <v>318</v>
      </c>
      <c r="C15" s="100">
        <v>1.0657699276795414</v>
      </c>
      <c r="D15" s="100">
        <v>1.0685956442947735</v>
      </c>
      <c r="E15" s="100">
        <v>1.0714134098597698</v>
      </c>
      <c r="F15" s="100">
        <v>1.0742152956970967</v>
      </c>
      <c r="G15" s="100">
        <v>1.0769934178119731</v>
      </c>
      <c r="H15" s="100">
        <v>1.0797399590763905</v>
      </c>
      <c r="I15" s="100">
        <v>1.082447191225083</v>
      </c>
      <c r="J15" s="100">
        <v>1.085107496601454</v>
      </c>
      <c r="K15" s="100">
        <v>1.0877133895922695</v>
      </c>
      <c r="L15" s="100">
        <v>1.0902575376908064</v>
      </c>
      <c r="M15" s="100">
        <v>1.0927327821291855</v>
      </c>
      <c r="N15" s="100">
        <v>1.0951321580218383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0.72272088610289353</v>
      </c>
      <c r="D19" s="100">
        <f t="shared" ref="D19:N20" si="0">D5</f>
        <v>0.60214809911238498</v>
      </c>
      <c r="E19" s="100">
        <f t="shared" si="0"/>
        <v>0.65957773902652361</v>
      </c>
      <c r="F19" s="100">
        <f t="shared" si="0"/>
        <v>0.78649946716460906</v>
      </c>
      <c r="G19" s="100">
        <f t="shared" si="0"/>
        <v>0.70514318273853704</v>
      </c>
      <c r="H19" s="100">
        <f t="shared" si="0"/>
        <v>0.75857046849762855</v>
      </c>
      <c r="I19" s="100">
        <f t="shared" si="0"/>
        <v>0.7598512291586299</v>
      </c>
      <c r="J19" s="100">
        <f t="shared" si="0"/>
        <v>0.60239874189225606</v>
      </c>
      <c r="K19" s="100">
        <f t="shared" si="0"/>
        <v>0.65919423826072931</v>
      </c>
      <c r="L19" s="100">
        <f t="shared" si="0"/>
        <v>0.61915021494203459</v>
      </c>
      <c r="M19" s="100">
        <f t="shared" si="0"/>
        <v>0.61391835799282624</v>
      </c>
      <c r="N19" s="100">
        <f t="shared" si="0"/>
        <v>0.67510053558758165</v>
      </c>
    </row>
    <row r="20" spans="2:14">
      <c r="B20" s="173" t="s">
        <v>105</v>
      </c>
      <c r="C20" s="100">
        <f>C6</f>
        <v>0.95197899452187085</v>
      </c>
      <c r="D20" s="100">
        <f t="shared" si="0"/>
        <v>0.6658880458353863</v>
      </c>
      <c r="E20" s="100">
        <f t="shared" si="0"/>
        <v>0.66284754264204349</v>
      </c>
      <c r="F20" s="100">
        <f t="shared" si="0"/>
        <v>0.69638801245706117</v>
      </c>
      <c r="G20" s="100">
        <f t="shared" si="0"/>
        <v>0.69537382435402539</v>
      </c>
      <c r="H20" s="100">
        <f t="shared" si="0"/>
        <v>0.79350375841048248</v>
      </c>
      <c r="I20" s="100">
        <f t="shared" si="0"/>
        <v>0.71382097919008103</v>
      </c>
      <c r="J20" s="100">
        <f t="shared" si="0"/>
        <v>0.6711469260460643</v>
      </c>
      <c r="K20" s="100">
        <f t="shared" si="0"/>
        <v>0.69795282883132281</v>
      </c>
      <c r="L20" s="100">
        <f t="shared" si="0"/>
        <v>0.72938995763462244</v>
      </c>
      <c r="M20" s="100">
        <f t="shared" si="0"/>
        <v>0.62318768263539415</v>
      </c>
      <c r="N20" s="100">
        <f t="shared" si="0"/>
        <v>0.711559907518452</v>
      </c>
    </row>
    <row r="21" spans="2:14">
      <c r="B21" s="173" t="s">
        <v>106</v>
      </c>
      <c r="C21" s="100">
        <f t="shared" ref="C21:N22" si="1">C7</f>
        <v>0.85658449100772027</v>
      </c>
      <c r="D21" s="100">
        <f t="shared" si="1"/>
        <v>0.71423593377205397</v>
      </c>
      <c r="E21" s="100">
        <f t="shared" si="1"/>
        <v>0.76027267457567627</v>
      </c>
      <c r="F21" s="100">
        <f t="shared" si="1"/>
        <v>0.96895695555815964</v>
      </c>
      <c r="G21" s="100">
        <f t="shared" si="1"/>
        <v>0.77822065201314627</v>
      </c>
      <c r="H21" s="100">
        <f t="shared" si="1"/>
        <v>0.70600325952888365</v>
      </c>
      <c r="I21" s="100">
        <f t="shared" si="1"/>
        <v>0.68964285665804337</v>
      </c>
      <c r="J21" s="100">
        <f t="shared" si="1"/>
        <v>0.71119169840890639</v>
      </c>
      <c r="K21" s="100">
        <f t="shared" si="1"/>
        <v>0.67787989281242822</v>
      </c>
      <c r="L21" s="100">
        <f t="shared" si="1"/>
        <v>0.70604711710445589</v>
      </c>
      <c r="M21" s="100">
        <f t="shared" si="1"/>
        <v>0.79755781389215896</v>
      </c>
      <c r="N21" s="100">
        <f t="shared" si="1"/>
        <v>0.72139649309136</v>
      </c>
    </row>
    <row r="22" spans="2:14">
      <c r="B22" s="173" t="s">
        <v>107</v>
      </c>
      <c r="C22" s="100">
        <f t="shared" si="1"/>
        <v>0.72949940766919241</v>
      </c>
      <c r="D22" s="100">
        <f t="shared" si="1"/>
        <v>0.71139898074602359</v>
      </c>
      <c r="E22" s="100">
        <f t="shared" si="1"/>
        <v>0.72247812148273582</v>
      </c>
      <c r="F22" s="100">
        <f t="shared" si="1"/>
        <v>0.73845347576388931</v>
      </c>
      <c r="G22" s="100">
        <f t="shared" si="1"/>
        <v>0.68513178621842796</v>
      </c>
      <c r="H22" s="100">
        <f t="shared" si="1"/>
        <v>0.719665085425928</v>
      </c>
      <c r="I22" s="100">
        <f t="shared" si="1"/>
        <v>0.68696459535981236</v>
      </c>
      <c r="J22" s="100">
        <f t="shared" si="1"/>
        <v>0.76424819571841041</v>
      </c>
      <c r="K22" s="100">
        <f t="shared" si="1"/>
        <v>0.74718279574489754</v>
      </c>
      <c r="L22" s="100">
        <f t="shared" si="1"/>
        <v>0.6815361637967996</v>
      </c>
      <c r="M22" s="100">
        <f t="shared" si="1"/>
        <v>0.68093893176153297</v>
      </c>
      <c r="N22" s="100">
        <f t="shared" si="1"/>
        <v>0.69050375005870679</v>
      </c>
    </row>
    <row r="23" spans="2:14">
      <c r="B23" s="173" t="s">
        <v>108</v>
      </c>
      <c r="C23" s="100">
        <f>C9*C14</f>
        <v>0.75767189308117155</v>
      </c>
      <c r="D23" s="100">
        <f t="shared" ref="D23:N24" si="2">D9*D14</f>
        <v>0.77180676180705965</v>
      </c>
      <c r="E23" s="100">
        <f t="shared" si="2"/>
        <v>0.78776376672810655</v>
      </c>
      <c r="F23" s="100">
        <f t="shared" si="2"/>
        <v>0.79574449086762045</v>
      </c>
      <c r="G23" s="100">
        <f t="shared" si="2"/>
        <v>0.77000178039834588</v>
      </c>
      <c r="H23" s="100">
        <f t="shared" si="2"/>
        <v>0.80119148214572244</v>
      </c>
      <c r="I23" s="100">
        <f t="shared" si="2"/>
        <v>0.80365255242451306</v>
      </c>
      <c r="J23" s="100">
        <f t="shared" si="2"/>
        <v>0.77828535782225994</v>
      </c>
      <c r="K23" s="100">
        <f t="shared" si="2"/>
        <v>0.80649698835504802</v>
      </c>
      <c r="L23" s="100">
        <f t="shared" si="2"/>
        <v>0.81072709724249181</v>
      </c>
      <c r="M23" s="100">
        <f t="shared" si="2"/>
        <v>0.79183123285421986</v>
      </c>
      <c r="N23" s="100">
        <f t="shared" si="2"/>
        <v>0.78979701100053634</v>
      </c>
    </row>
    <row r="24" spans="2:14">
      <c r="B24" s="173" t="s">
        <v>109</v>
      </c>
      <c r="C24" s="100">
        <f>C10*C15</f>
        <v>0.64938817626898448</v>
      </c>
      <c r="D24" s="100">
        <f t="shared" si="2"/>
        <v>0.68437889654067208</v>
      </c>
      <c r="E24" s="100">
        <f t="shared" si="2"/>
        <v>0.69534083487961951</v>
      </c>
      <c r="F24" s="100">
        <f t="shared" si="2"/>
        <v>0.65662706649019009</v>
      </c>
      <c r="G24" s="100">
        <f t="shared" si="2"/>
        <v>0.73179650002019436</v>
      </c>
      <c r="H24" s="100">
        <f t="shared" si="2"/>
        <v>0.70561519538223383</v>
      </c>
      <c r="I24" s="100">
        <f t="shared" si="2"/>
        <v>0.71889870127247135</v>
      </c>
      <c r="J24" s="100">
        <f t="shared" si="2"/>
        <v>0.68128900620987631</v>
      </c>
      <c r="K24" s="100">
        <f t="shared" si="2"/>
        <v>0.7272418711523313</v>
      </c>
      <c r="L24" s="100">
        <f t="shared" si="2"/>
        <v>0.75716409738638346</v>
      </c>
      <c r="M24" s="100">
        <f t="shared" si="2"/>
        <v>0.70069862267148475</v>
      </c>
      <c r="N24" s="100">
        <f t="shared" si="2"/>
        <v>0.6806263109050299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0.8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0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1.2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0.8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0.8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1.2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0</v>
      </c>
      <c r="E32" s="100">
        <f>IF(E23&lt;=raw_materials!$D21,raw_materials!$C21,IF(E23&lt;=raw_materials!$F21,raw_materials!$E21,IF(E23&lt;=raw_materials!$H21,raw_materials!$G21,0)))</f>
        <v>0</v>
      </c>
      <c r="F32" s="100">
        <f>IF(F23&lt;=raw_materials!$D21,raw_materials!$C21,IF(F23&lt;=raw_materials!$F21,raw_materials!$E21,IF(F23&lt;=raw_materials!$H21,raw_materials!$G21,0)))</f>
        <v>0</v>
      </c>
      <c r="G32" s="100">
        <f>IF(G23&lt;=raw_materials!$D21,raw_materials!$C21,IF(G23&lt;=raw_materials!$F21,raw_materials!$E21,IF(G23&lt;=raw_materials!$H21,raw_materials!$G21,0)))</f>
        <v>0</v>
      </c>
      <c r="H32" s="100">
        <f>IF(H23&lt;=raw_materials!$D21,raw_materials!$C21,IF(H23&lt;=raw_materials!$F21,raw_materials!$E21,IF(H23&lt;=raw_materials!$H21,raw_materials!$G21,0)))</f>
        <v>0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1.2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0.8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1.2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2582.0761922544948</v>
      </c>
      <c r="R38" s="100">
        <v>2587.4916053205225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9394.4573063465396</v>
      </c>
      <c r="Z38" s="100">
        <v>8875.5421265141595</v>
      </c>
      <c r="AA38" s="100">
        <v>7387.7954189905449</v>
      </c>
      <c r="AB38" s="100">
        <v>8534.0741944819383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10748.485876291024</v>
      </c>
      <c r="AL38" s="100">
        <v>10768.536483841426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1503.2941508406905</v>
      </c>
      <c r="D39" s="100">
        <v>1506.5890051575745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1571.8208923065331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11200.552239630539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11369.381032691117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2013.1787130250068</v>
      </c>
      <c r="F40" s="100">
        <v>3530.7503261863726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3576.7894160882365</v>
      </c>
      <c r="M40" s="100">
        <v>5120.6238476302397</v>
      </c>
      <c r="N40" s="100">
        <v>5131.5332649382435</v>
      </c>
      <c r="O40" s="100">
        <v>3599.6979634626705</v>
      </c>
      <c r="P40" s="100">
        <v>5153.2992856047113</v>
      </c>
      <c r="Q40" s="100">
        <v>2065.6609538035959</v>
      </c>
      <c r="R40" s="100">
        <v>2069.9932842564181</v>
      </c>
      <c r="S40" s="100">
        <v>2074.316007584644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3740.6855516653204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3775.9650269299855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2177.2601727624142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2113.8376486762568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1282.5207605709672</v>
      </c>
      <c r="AI41" s="100">
        <v>2248.6906831325277</v>
      </c>
      <c r="AJ41" s="100">
        <v>2252.9478132876989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2679.6167421602881</v>
      </c>
      <c r="D48" s="100">
        <v>2679.6167421602881</v>
      </c>
      <c r="E48" s="100">
        <v>2679.6167421602881</v>
      </c>
      <c r="F48" s="100">
        <v>2679.6167421602881</v>
      </c>
      <c r="G48" s="100">
        <v>2679.6167421602881</v>
      </c>
      <c r="H48" s="100">
        <v>2679.6167421602881</v>
      </c>
      <c r="I48" s="100">
        <v>2679.6167421602881</v>
      </c>
      <c r="J48" s="100">
        <v>2679.6167421602881</v>
      </c>
      <c r="K48" s="100">
        <v>2679.6167421602881</v>
      </c>
      <c r="L48" s="100">
        <v>2679.6167421602881</v>
      </c>
      <c r="M48" s="100">
        <v>2679.6167421602881</v>
      </c>
      <c r="N48" s="100">
        <v>2679.6167421602881</v>
      </c>
      <c r="O48" s="100">
        <v>2143.6933937282306</v>
      </c>
      <c r="P48" s="100">
        <v>2143.6933937282306</v>
      </c>
      <c r="Q48" s="100">
        <v>2143.6933937282306</v>
      </c>
      <c r="R48" s="100">
        <v>2143.6933937282306</v>
      </c>
      <c r="S48" s="100">
        <v>2679.6167421602881</v>
      </c>
      <c r="T48" s="100">
        <v>2679.6167421602881</v>
      </c>
      <c r="U48" s="100">
        <v>2679.6167421602881</v>
      </c>
      <c r="V48" s="100">
        <v>2679.6167421602881</v>
      </c>
      <c r="W48" s="100">
        <v>2679.6167421602881</v>
      </c>
      <c r="X48" s="100">
        <v>2679.6167421602881</v>
      </c>
      <c r="Y48" s="100">
        <v>2679.6167421602881</v>
      </c>
      <c r="Z48" s="100">
        <v>2679.6167421602881</v>
      </c>
      <c r="AA48" s="100">
        <v>2679.6167421602881</v>
      </c>
      <c r="AB48" s="100">
        <v>2679.6167421602881</v>
      </c>
      <c r="AC48" s="100">
        <v>2679.6167421602881</v>
      </c>
      <c r="AD48" s="100">
        <v>2679.6167421602881</v>
      </c>
      <c r="AE48" s="100">
        <v>2679.6167421602881</v>
      </c>
      <c r="AF48" s="100">
        <v>2679.6167421602881</v>
      </c>
      <c r="AG48" s="100">
        <v>2679.6167421602881</v>
      </c>
      <c r="AH48" s="100">
        <v>2679.6167421602881</v>
      </c>
      <c r="AI48" s="100">
        <v>2679.6167421602881</v>
      </c>
      <c r="AJ48" s="100">
        <v>2679.6167421602881</v>
      </c>
      <c r="AK48" s="100">
        <v>2679.6167421602881</v>
      </c>
      <c r="AL48" s="100">
        <v>2679.6167421602881</v>
      </c>
      <c r="AM48" s="100">
        <v>2679.6167421602881</v>
      </c>
      <c r="AN48" s="100">
        <v>2679.6167421602881</v>
      </c>
      <c r="AO48" s="100">
        <v>2679.6167421602881</v>
      </c>
      <c r="AP48" s="100">
        <v>2679.6167421602881</v>
      </c>
      <c r="AQ48" s="100">
        <v>2679.6167421602881</v>
      </c>
      <c r="AR48" s="100">
        <v>2679.6167421602881</v>
      </c>
      <c r="AS48" s="100">
        <v>2679.6167421602881</v>
      </c>
      <c r="AT48" s="100">
        <v>2679.6167421602881</v>
      </c>
      <c r="AU48" s="100">
        <v>2679.6167421602881</v>
      </c>
      <c r="AV48" s="100">
        <v>2679.6167421602881</v>
      </c>
      <c r="AW48" s="100">
        <v>2679.6167421602881</v>
      </c>
      <c r="AX48" s="100">
        <v>2679.6167421602881</v>
      </c>
    </row>
    <row r="49" spans="2:51">
      <c r="B49" s="99" t="s">
        <v>105</v>
      </c>
      <c r="C49" s="100">
        <v>0</v>
      </c>
      <c r="D49" s="100">
        <v>0</v>
      </c>
      <c r="E49" s="100">
        <v>0</v>
      </c>
      <c r="F49" s="100">
        <v>0</v>
      </c>
      <c r="G49" s="100">
        <v>2.6946691715297984E-20</v>
      </c>
      <c r="H49" s="100">
        <v>2.6946691715297984E-20</v>
      </c>
      <c r="I49" s="100">
        <v>2.6946691715297984E-20</v>
      </c>
      <c r="J49" s="100">
        <v>2.6946691715297984E-20</v>
      </c>
      <c r="K49" s="100">
        <v>2.6946691715297984E-20</v>
      </c>
      <c r="L49" s="100">
        <v>2.6946691715297984E-20</v>
      </c>
      <c r="M49" s="100">
        <v>2.6946691715297984E-20</v>
      </c>
      <c r="N49" s="100">
        <v>2.6946691715297984E-20</v>
      </c>
      <c r="O49" s="100">
        <v>2.6946691715297984E-20</v>
      </c>
      <c r="P49" s="100">
        <v>2.6946691715297984E-20</v>
      </c>
      <c r="Q49" s="100">
        <v>2.6946691715297984E-20</v>
      </c>
      <c r="R49" s="100">
        <v>2.6946691715297984E-20</v>
      </c>
      <c r="S49" s="100">
        <v>2.6946691715297984E-20</v>
      </c>
      <c r="T49" s="100">
        <v>2.6946691715297984E-20</v>
      </c>
      <c r="U49" s="100">
        <v>2.6946691715297984E-20</v>
      </c>
      <c r="V49" s="100">
        <v>2.6946691715297984E-20</v>
      </c>
      <c r="W49" s="100">
        <v>2.155735337223839E-20</v>
      </c>
      <c r="X49" s="100">
        <v>2.155735337223839E-20</v>
      </c>
      <c r="Y49" s="100">
        <v>2.155735337223839E-20</v>
      </c>
      <c r="Z49" s="100">
        <v>2.155735337223839E-20</v>
      </c>
      <c r="AA49" s="100">
        <v>2.6946691715297984E-20</v>
      </c>
      <c r="AB49" s="100">
        <v>2.6946691715297984E-20</v>
      </c>
      <c r="AC49" s="100">
        <v>2.6946691715297984E-20</v>
      </c>
      <c r="AD49" s="100">
        <v>2.6946691715297984E-20</v>
      </c>
      <c r="AE49" s="100">
        <v>2.6946691715297984E-20</v>
      </c>
      <c r="AF49" s="100">
        <v>2.6946691715297984E-20</v>
      </c>
      <c r="AG49" s="100">
        <v>2.6946691715297984E-20</v>
      </c>
      <c r="AH49" s="100">
        <v>2.6946691715297984E-20</v>
      </c>
      <c r="AI49" s="100">
        <v>2.6946691715297984E-20</v>
      </c>
      <c r="AJ49" s="100">
        <v>2.6946691715297984E-20</v>
      </c>
      <c r="AK49" s="100">
        <v>2.6946691715297984E-20</v>
      </c>
      <c r="AL49" s="100">
        <v>2.6946691715297984E-20</v>
      </c>
      <c r="AM49" s="100">
        <v>2.6946691715297984E-20</v>
      </c>
      <c r="AN49" s="100">
        <v>2.6946691715297984E-20</v>
      </c>
      <c r="AO49" s="100">
        <v>2.6946691715297984E-20</v>
      </c>
      <c r="AP49" s="100">
        <v>2.6946691715297984E-20</v>
      </c>
      <c r="AQ49" s="100">
        <v>3.2336030058357578E-20</v>
      </c>
      <c r="AR49" s="100">
        <v>3.2336030058357578E-20</v>
      </c>
      <c r="AS49" s="100">
        <v>3.2336030058357578E-20</v>
      </c>
      <c r="AT49" s="100">
        <v>3.2336030058357578E-20</v>
      </c>
      <c r="AU49" s="100">
        <v>2.6946691715297984E-20</v>
      </c>
      <c r="AV49" s="100">
        <v>2.6946691715297984E-20</v>
      </c>
      <c r="AW49" s="100">
        <v>2.6946691715297984E-20</v>
      </c>
      <c r="AX49" s="100">
        <v>2.6946691715297984E-20</v>
      </c>
    </row>
    <row r="50" spans="2:51">
      <c r="B50" s="99" t="s">
        <v>106</v>
      </c>
      <c r="C50" s="100">
        <v>112</v>
      </c>
      <c r="D50" s="100">
        <v>112</v>
      </c>
      <c r="E50" s="100">
        <v>112</v>
      </c>
      <c r="F50" s="100">
        <v>112</v>
      </c>
      <c r="G50" s="100">
        <v>140</v>
      </c>
      <c r="H50" s="100">
        <v>140</v>
      </c>
      <c r="I50" s="100">
        <v>140</v>
      </c>
      <c r="J50" s="100">
        <v>140</v>
      </c>
      <c r="K50" s="100">
        <v>140</v>
      </c>
      <c r="L50" s="100">
        <v>140</v>
      </c>
      <c r="M50" s="100">
        <v>140</v>
      </c>
      <c r="N50" s="100">
        <v>140</v>
      </c>
      <c r="O50" s="100">
        <v>112</v>
      </c>
      <c r="P50" s="100">
        <v>112</v>
      </c>
      <c r="Q50" s="100">
        <v>112</v>
      </c>
      <c r="R50" s="100">
        <v>112</v>
      </c>
      <c r="S50" s="100">
        <v>140</v>
      </c>
      <c r="T50" s="100">
        <v>140</v>
      </c>
      <c r="U50" s="100">
        <v>140</v>
      </c>
      <c r="V50" s="100">
        <v>140</v>
      </c>
      <c r="W50" s="100">
        <v>140</v>
      </c>
      <c r="X50" s="100">
        <v>140</v>
      </c>
      <c r="Y50" s="100">
        <v>140</v>
      </c>
      <c r="Z50" s="100">
        <v>140</v>
      </c>
      <c r="AA50" s="100">
        <v>140</v>
      </c>
      <c r="AB50" s="100">
        <v>140</v>
      </c>
      <c r="AC50" s="100">
        <v>140</v>
      </c>
      <c r="AD50" s="100">
        <v>140</v>
      </c>
      <c r="AE50" s="100">
        <v>140</v>
      </c>
      <c r="AF50" s="100">
        <v>140</v>
      </c>
      <c r="AG50" s="100">
        <v>140</v>
      </c>
      <c r="AH50" s="100">
        <v>140</v>
      </c>
      <c r="AI50" s="100">
        <v>168</v>
      </c>
      <c r="AJ50" s="100">
        <v>168</v>
      </c>
      <c r="AK50" s="100">
        <v>168</v>
      </c>
      <c r="AL50" s="100">
        <v>168</v>
      </c>
      <c r="AM50" s="100">
        <v>140</v>
      </c>
      <c r="AN50" s="100">
        <v>140</v>
      </c>
      <c r="AO50" s="100">
        <v>140</v>
      </c>
      <c r="AP50" s="100">
        <v>140</v>
      </c>
      <c r="AQ50" s="100">
        <v>140</v>
      </c>
      <c r="AR50" s="100">
        <v>140</v>
      </c>
      <c r="AS50" s="100">
        <v>140</v>
      </c>
      <c r="AT50" s="100">
        <v>140</v>
      </c>
      <c r="AU50" s="100">
        <v>140</v>
      </c>
      <c r="AV50" s="100">
        <v>140</v>
      </c>
      <c r="AW50" s="100">
        <v>140</v>
      </c>
      <c r="AX50" s="100">
        <v>140</v>
      </c>
      <c r="AY50" s="112"/>
    </row>
    <row r="51" spans="2:51">
      <c r="B51" s="99" t="s">
        <v>107</v>
      </c>
      <c r="C51" s="100">
        <v>790.00000000000341</v>
      </c>
      <c r="D51" s="100">
        <v>790.00000000000341</v>
      </c>
      <c r="E51" s="100">
        <v>790.00000000000341</v>
      </c>
      <c r="F51" s="100">
        <v>790.00000000000341</v>
      </c>
      <c r="G51" s="100">
        <v>790.00000000000341</v>
      </c>
      <c r="H51" s="100">
        <v>790.00000000000341</v>
      </c>
      <c r="I51" s="100">
        <v>790.00000000000341</v>
      </c>
      <c r="J51" s="100">
        <v>790.00000000000341</v>
      </c>
      <c r="K51" s="100">
        <v>790.00000000000341</v>
      </c>
      <c r="L51" s="100">
        <v>790.00000000000341</v>
      </c>
      <c r="M51" s="100">
        <v>790.00000000000341</v>
      </c>
      <c r="N51" s="100">
        <v>790.00000000000341</v>
      </c>
      <c r="O51" s="100">
        <v>790.00000000000341</v>
      </c>
      <c r="P51" s="100">
        <v>790.00000000000341</v>
      </c>
      <c r="Q51" s="100">
        <v>790.00000000000341</v>
      </c>
      <c r="R51" s="100">
        <v>790.00000000000341</v>
      </c>
      <c r="S51" s="100">
        <v>790.00000000000341</v>
      </c>
      <c r="T51" s="100">
        <v>790.00000000000341</v>
      </c>
      <c r="U51" s="100">
        <v>790.00000000000341</v>
      </c>
      <c r="V51" s="100">
        <v>790.00000000000341</v>
      </c>
      <c r="W51" s="100">
        <v>790.00000000000341</v>
      </c>
      <c r="X51" s="100">
        <v>790.00000000000341</v>
      </c>
      <c r="Y51" s="100">
        <v>790.00000000000341</v>
      </c>
      <c r="Z51" s="100">
        <v>790.00000000000341</v>
      </c>
      <c r="AA51" s="100">
        <v>790.00000000000341</v>
      </c>
      <c r="AB51" s="100">
        <v>790.00000000000341</v>
      </c>
      <c r="AC51" s="100">
        <v>790.00000000000341</v>
      </c>
      <c r="AD51" s="100">
        <v>790.00000000000341</v>
      </c>
      <c r="AE51" s="100">
        <v>790.00000000000341</v>
      </c>
      <c r="AF51" s="100">
        <v>790.00000000000341</v>
      </c>
      <c r="AG51" s="100">
        <v>790.00000000000341</v>
      </c>
      <c r="AH51" s="100">
        <v>790.00000000000341</v>
      </c>
      <c r="AI51" s="100">
        <v>790.00000000000341</v>
      </c>
      <c r="AJ51" s="100">
        <v>790.00000000000341</v>
      </c>
      <c r="AK51" s="100">
        <v>790.00000000000341</v>
      </c>
      <c r="AL51" s="100">
        <v>790.00000000000341</v>
      </c>
      <c r="AM51" s="100">
        <v>790.00000000000341</v>
      </c>
      <c r="AN51" s="100">
        <v>790.00000000000341</v>
      </c>
      <c r="AO51" s="100">
        <v>790.00000000000341</v>
      </c>
      <c r="AP51" s="100">
        <v>790.00000000000341</v>
      </c>
      <c r="AQ51" s="100">
        <v>790.00000000000341</v>
      </c>
      <c r="AR51" s="100">
        <v>790.00000000000341</v>
      </c>
      <c r="AS51" s="100">
        <v>790.00000000000341</v>
      </c>
      <c r="AT51" s="100">
        <v>790.00000000000341</v>
      </c>
      <c r="AU51" s="100">
        <v>790.00000000000341</v>
      </c>
      <c r="AV51" s="100">
        <v>790.00000000000341</v>
      </c>
      <c r="AW51" s="100">
        <v>790.00000000000341</v>
      </c>
      <c r="AX51" s="100">
        <v>790.00000000000341</v>
      </c>
      <c r="AY51" s="111"/>
    </row>
    <row r="52" spans="2:51">
      <c r="B52" s="99" t="s">
        <v>108</v>
      </c>
      <c r="C52" s="100">
        <v>8.5973958085973713E-20</v>
      </c>
      <c r="D52" s="100">
        <v>8.5973958085973713E-20</v>
      </c>
      <c r="E52" s="100">
        <v>8.5973958085973713E-20</v>
      </c>
      <c r="F52" s="100">
        <v>8.5973958085973713E-20</v>
      </c>
      <c r="G52" s="100">
        <v>0</v>
      </c>
      <c r="H52" s="100">
        <v>0</v>
      </c>
      <c r="I52" s="100">
        <v>0</v>
      </c>
      <c r="J52" s="100">
        <v>0</v>
      </c>
      <c r="K52" s="100">
        <v>0</v>
      </c>
      <c r="L52" s="100">
        <v>0</v>
      </c>
      <c r="M52" s="100">
        <v>0</v>
      </c>
      <c r="N52" s="100">
        <v>0</v>
      </c>
      <c r="O52" s="100">
        <v>0</v>
      </c>
      <c r="P52" s="100">
        <v>0</v>
      </c>
      <c r="Q52" s="100">
        <v>0</v>
      </c>
      <c r="R52" s="100">
        <v>0</v>
      </c>
      <c r="S52" s="100">
        <v>0</v>
      </c>
      <c r="T52" s="100">
        <v>0</v>
      </c>
      <c r="U52" s="100">
        <v>0</v>
      </c>
      <c r="V52" s="100">
        <v>0</v>
      </c>
      <c r="W52" s="100">
        <v>0</v>
      </c>
      <c r="X52" s="100">
        <v>0</v>
      </c>
      <c r="Y52" s="100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>
        <v>0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6.5465038440747108E-20</v>
      </c>
      <c r="D53" s="100">
        <v>6.5465038440747108E-20</v>
      </c>
      <c r="E53" s="100">
        <v>6.5465038440747108E-20</v>
      </c>
      <c r="F53" s="100">
        <v>6.5465038440747108E-20</v>
      </c>
      <c r="G53" s="100">
        <v>5.4554198700622588E-20</v>
      </c>
      <c r="H53" s="100">
        <v>5.4554198700622588E-20</v>
      </c>
      <c r="I53" s="100">
        <v>5.4554198700622588E-20</v>
      </c>
      <c r="J53" s="100">
        <v>5.4554198700622588E-20</v>
      </c>
      <c r="K53" s="100">
        <v>5.4554198700622588E-20</v>
      </c>
      <c r="L53" s="100">
        <v>5.4554198700622588E-20</v>
      </c>
      <c r="M53" s="100">
        <v>5.4554198700622588E-20</v>
      </c>
      <c r="N53" s="100">
        <v>5.4554198700622588E-20</v>
      </c>
      <c r="O53" s="100">
        <v>6.5465038440747108E-20</v>
      </c>
      <c r="P53" s="100">
        <v>6.5465038440747108E-20</v>
      </c>
      <c r="Q53" s="100">
        <v>6.5465038440747108E-20</v>
      </c>
      <c r="R53" s="100">
        <v>6.5465038440747108E-20</v>
      </c>
      <c r="S53" s="100">
        <v>5.4554198700622588E-20</v>
      </c>
      <c r="T53" s="100">
        <v>5.4554198700622588E-20</v>
      </c>
      <c r="U53" s="100">
        <v>5.4554198700622588E-20</v>
      </c>
      <c r="V53" s="100">
        <v>5.4554198700622588E-20</v>
      </c>
      <c r="W53" s="100">
        <v>5.4554198700622588E-20</v>
      </c>
      <c r="X53" s="100">
        <v>5.4554198700622588E-20</v>
      </c>
      <c r="Y53" s="100">
        <v>5.4554198700622588E-20</v>
      </c>
      <c r="Z53" s="100">
        <v>5.4554198700622588E-20</v>
      </c>
      <c r="AA53" s="100">
        <v>5.4554198700622588E-20</v>
      </c>
      <c r="AB53" s="100">
        <v>5.4554198700622588E-20</v>
      </c>
      <c r="AC53" s="100">
        <v>5.4554198700622588E-20</v>
      </c>
      <c r="AD53" s="100">
        <v>5.4554198700622588E-20</v>
      </c>
      <c r="AE53" s="100">
        <v>6.5465038440747108E-20</v>
      </c>
      <c r="AF53" s="100">
        <v>6.5465038440747108E-20</v>
      </c>
      <c r="AG53" s="100">
        <v>6.5465038440747108E-20</v>
      </c>
      <c r="AH53" s="100">
        <v>6.5465038440747108E-20</v>
      </c>
      <c r="AI53" s="100">
        <v>5.4554198700622588E-20</v>
      </c>
      <c r="AJ53" s="100">
        <v>5.4554198700622588E-20</v>
      </c>
      <c r="AK53" s="100">
        <v>5.4554198700622588E-20</v>
      </c>
      <c r="AL53" s="100">
        <v>5.4554198700622588E-20</v>
      </c>
      <c r="AM53" s="100">
        <v>4.3643358960498074E-20</v>
      </c>
      <c r="AN53" s="100">
        <v>4.3643358960498074E-20</v>
      </c>
      <c r="AO53" s="100">
        <v>4.3643358960498074E-20</v>
      </c>
      <c r="AP53" s="100">
        <v>4.3643358960498074E-20</v>
      </c>
      <c r="AQ53" s="100">
        <v>5.4554198700622588E-20</v>
      </c>
      <c r="AR53" s="100">
        <v>5.4554198700622588E-20</v>
      </c>
      <c r="AS53" s="100">
        <v>5.4554198700622588E-20</v>
      </c>
      <c r="AT53" s="100">
        <v>5.4554198700622588E-20</v>
      </c>
      <c r="AU53" s="100">
        <v>6.5465038440747108E-20</v>
      </c>
      <c r="AV53" s="100">
        <v>6.5465038440747108E-20</v>
      </c>
      <c r="AW53" s="100">
        <v>6.5465038440747108E-20</v>
      </c>
      <c r="AX53" s="100">
        <v>6.5465038440747108E-20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3873229.9726204649</v>
      </c>
      <c r="D58" s="100">
        <v>3873229.9726204649</v>
      </c>
      <c r="E58" s="100">
        <v>3873229.9726204649</v>
      </c>
      <c r="F58" s="100">
        <v>3873229.9726204649</v>
      </c>
      <c r="G58" s="100">
        <v>3227052.2552830786</v>
      </c>
      <c r="H58" s="100">
        <v>3227052.2552830786</v>
      </c>
      <c r="I58" s="100">
        <v>3227052.2552830786</v>
      </c>
      <c r="J58" s="100">
        <v>3227052.2552830786</v>
      </c>
      <c r="K58" s="100">
        <v>3534831.1045034039</v>
      </c>
      <c r="L58" s="100">
        <v>3534831.1045034039</v>
      </c>
      <c r="M58" s="100">
        <v>3534831.1045034039</v>
      </c>
      <c r="N58" s="100">
        <v>3534831.1045034039</v>
      </c>
      <c r="O58" s="100">
        <v>3372027.423863092</v>
      </c>
      <c r="P58" s="100">
        <v>3372027.423863092</v>
      </c>
      <c r="Q58" s="100">
        <v>3372027.423863092</v>
      </c>
      <c r="R58" s="100">
        <v>3372027.423863092</v>
      </c>
      <c r="S58" s="100">
        <v>3779026.9561727508</v>
      </c>
      <c r="T58" s="100">
        <v>3779026.9561727508</v>
      </c>
      <c r="U58" s="100">
        <v>3779026.9561727508</v>
      </c>
      <c r="V58" s="100">
        <v>3779026.9561727508</v>
      </c>
      <c r="W58" s="100">
        <v>4065356.2549892375</v>
      </c>
      <c r="X58" s="100">
        <v>4065356.2549892375</v>
      </c>
      <c r="Y58" s="100">
        <v>4065356.2549892375</v>
      </c>
      <c r="Z58" s="100">
        <v>4065356.2549892375</v>
      </c>
      <c r="AA58" s="100">
        <v>4072220.1504090768</v>
      </c>
      <c r="AB58" s="100">
        <v>4072220.1504090768</v>
      </c>
      <c r="AC58" s="100">
        <v>4072220.1504090768</v>
      </c>
      <c r="AD58" s="100">
        <v>4072220.1504090768</v>
      </c>
      <c r="AE58" s="100">
        <v>3228395.5084615666</v>
      </c>
      <c r="AF58" s="100">
        <v>3228395.5084615666</v>
      </c>
      <c r="AG58" s="100">
        <v>3228395.5084615666</v>
      </c>
      <c r="AH58" s="100">
        <v>3228395.5084615666</v>
      </c>
      <c r="AI58" s="100">
        <v>3532775.8343580961</v>
      </c>
      <c r="AJ58" s="100">
        <v>3532775.8343580961</v>
      </c>
      <c r="AK58" s="100">
        <v>3532775.8343580961</v>
      </c>
      <c r="AL58" s="100">
        <v>3532775.8343580961</v>
      </c>
      <c r="AM58" s="100">
        <v>3318170.5637416341</v>
      </c>
      <c r="AN58" s="100">
        <v>3318170.5637416341</v>
      </c>
      <c r="AO58" s="100">
        <v>3318170.5637416341</v>
      </c>
      <c r="AP58" s="100">
        <v>3318170.5637416341</v>
      </c>
      <c r="AQ58" s="100">
        <v>3290131.8207942611</v>
      </c>
      <c r="AR58" s="100">
        <v>3290131.8207942611</v>
      </c>
      <c r="AS58" s="100">
        <v>3290131.8207942611</v>
      </c>
      <c r="AT58" s="100">
        <v>3290131.8207942611</v>
      </c>
      <c r="AU58" s="100">
        <v>3618021.3956037224</v>
      </c>
      <c r="AV58" s="100">
        <v>3618021.3956037224</v>
      </c>
      <c r="AW58" s="100">
        <v>3618021.3956037224</v>
      </c>
      <c r="AX58" s="100">
        <v>3618021.3956037224</v>
      </c>
    </row>
    <row r="59" spans="2:51">
      <c r="B59" s="105" t="s">
        <v>105</v>
      </c>
      <c r="C59" s="100">
        <v>0</v>
      </c>
      <c r="D59" s="100">
        <v>0</v>
      </c>
      <c r="E59" s="100">
        <v>0</v>
      </c>
      <c r="F59" s="100">
        <v>0</v>
      </c>
      <c r="G59" s="100">
        <v>3.5886959776056738E-17</v>
      </c>
      <c r="H59" s="100">
        <v>3.5886959776056738E-17</v>
      </c>
      <c r="I59" s="100">
        <v>3.5886959776056738E-17</v>
      </c>
      <c r="J59" s="100">
        <v>3.5886959776056738E-17</v>
      </c>
      <c r="K59" s="100">
        <v>3.5723096771635957E-17</v>
      </c>
      <c r="L59" s="100">
        <v>3.5723096771635957E-17</v>
      </c>
      <c r="M59" s="100">
        <v>3.5723096771635957E-17</v>
      </c>
      <c r="N59" s="100">
        <v>3.5723096771635957E-17</v>
      </c>
      <c r="O59" s="100">
        <v>3.7530706171819039E-17</v>
      </c>
      <c r="P59" s="100">
        <v>3.7530706171819039E-17</v>
      </c>
      <c r="Q59" s="100">
        <v>3.7530706171819039E-17</v>
      </c>
      <c r="R59" s="100">
        <v>3.7530706171819039E-17</v>
      </c>
      <c r="S59" s="100">
        <v>3.7476048143511383E-17</v>
      </c>
      <c r="T59" s="100">
        <v>3.7476048143511383E-17</v>
      </c>
      <c r="U59" s="100">
        <v>3.7476048143511383E-17</v>
      </c>
      <c r="V59" s="100">
        <v>3.7476048143511383E-17</v>
      </c>
      <c r="W59" s="100">
        <v>3.4211681844508102E-17</v>
      </c>
      <c r="X59" s="100">
        <v>3.4211681844508102E-17</v>
      </c>
      <c r="Y59" s="100">
        <v>3.4211681844508102E-17</v>
      </c>
      <c r="Z59" s="100">
        <v>3.4211681844508102E-17</v>
      </c>
      <c r="AA59" s="100">
        <v>3.8470227732294504E-17</v>
      </c>
      <c r="AB59" s="100">
        <v>3.8470227732294504E-17</v>
      </c>
      <c r="AC59" s="100">
        <v>3.8470227732294504E-17</v>
      </c>
      <c r="AD59" s="100">
        <v>3.8470227732294504E-17</v>
      </c>
      <c r="AE59" s="100">
        <v>3.6170378623666376E-17</v>
      </c>
      <c r="AF59" s="100">
        <v>3.6170378623666376E-17</v>
      </c>
      <c r="AG59" s="100">
        <v>3.6170378623666376E-17</v>
      </c>
      <c r="AH59" s="100">
        <v>3.6170378623666376E-17</v>
      </c>
      <c r="AI59" s="100">
        <v>3.7615039420675596E-17</v>
      </c>
      <c r="AJ59" s="100">
        <v>3.7615039420675596E-17</v>
      </c>
      <c r="AK59" s="100">
        <v>3.7615039420675596E-17</v>
      </c>
      <c r="AL59" s="100">
        <v>3.7615039420675596E-17</v>
      </c>
      <c r="AM59" s="100">
        <v>3.9309292657228855E-17</v>
      </c>
      <c r="AN59" s="100">
        <v>3.9309292657228855E-17</v>
      </c>
      <c r="AO59" s="100">
        <v>3.9309292657228855E-17</v>
      </c>
      <c r="AP59" s="100">
        <v>3.9309292657228855E-17</v>
      </c>
      <c r="AQ59" s="100">
        <v>4.0302831275392617E-17</v>
      </c>
      <c r="AR59" s="100">
        <v>4.0302831275392617E-17</v>
      </c>
      <c r="AS59" s="100">
        <v>4.0302831275392617E-17</v>
      </c>
      <c r="AT59" s="100">
        <v>4.0302831275392617E-17</v>
      </c>
      <c r="AU59" s="100">
        <v>3.8348370929731342E-17</v>
      </c>
      <c r="AV59" s="100">
        <v>3.8348370929731342E-17</v>
      </c>
      <c r="AW59" s="100">
        <v>3.8348370929731342E-17</v>
      </c>
      <c r="AX59" s="100">
        <v>3.8348370929731342E-17</v>
      </c>
    </row>
    <row r="60" spans="2:51">
      <c r="B60" s="105" t="s">
        <v>106</v>
      </c>
      <c r="C60" s="100">
        <v>191874.92598572932</v>
      </c>
      <c r="D60" s="100">
        <v>191874.92598572932</v>
      </c>
      <c r="E60" s="100">
        <v>191874.92598572932</v>
      </c>
      <c r="F60" s="100">
        <v>191874.92598572932</v>
      </c>
      <c r="G60" s="100">
        <v>199986.06145617511</v>
      </c>
      <c r="H60" s="100">
        <v>199986.06145617511</v>
      </c>
      <c r="I60" s="100">
        <v>199986.06145617511</v>
      </c>
      <c r="J60" s="100">
        <v>199986.06145617511</v>
      </c>
      <c r="K60" s="100">
        <v>212876.34888118936</v>
      </c>
      <c r="L60" s="100">
        <v>212876.34888118936</v>
      </c>
      <c r="M60" s="100">
        <v>212876.34888118936</v>
      </c>
      <c r="N60" s="100">
        <v>212876.34888118936</v>
      </c>
      <c r="O60" s="100">
        <v>217046.35804502777</v>
      </c>
      <c r="P60" s="100">
        <v>217046.35804502777</v>
      </c>
      <c r="Q60" s="100">
        <v>217046.35804502777</v>
      </c>
      <c r="R60" s="100">
        <v>217046.35804502777</v>
      </c>
      <c r="S60" s="100">
        <v>217901.78256368096</v>
      </c>
      <c r="T60" s="100">
        <v>217901.78256368096</v>
      </c>
      <c r="U60" s="100">
        <v>217901.78256368096</v>
      </c>
      <c r="V60" s="100">
        <v>217901.78256368096</v>
      </c>
      <c r="W60" s="100">
        <v>197680.9126680874</v>
      </c>
      <c r="X60" s="100">
        <v>197680.9126680874</v>
      </c>
      <c r="Y60" s="100">
        <v>197680.9126680874</v>
      </c>
      <c r="Z60" s="100">
        <v>197680.9126680874</v>
      </c>
      <c r="AA60" s="100">
        <v>193099.99986425214</v>
      </c>
      <c r="AB60" s="100">
        <v>193099.99986425214</v>
      </c>
      <c r="AC60" s="100">
        <v>193099.99986425214</v>
      </c>
      <c r="AD60" s="100">
        <v>193099.99986425214</v>
      </c>
      <c r="AE60" s="100">
        <v>199133.67555449379</v>
      </c>
      <c r="AF60" s="100">
        <v>199133.67555449379</v>
      </c>
      <c r="AG60" s="100">
        <v>199133.67555449379</v>
      </c>
      <c r="AH60" s="100">
        <v>199133.67555449379</v>
      </c>
      <c r="AI60" s="100">
        <v>227767.64398497588</v>
      </c>
      <c r="AJ60" s="100">
        <v>227767.64398497588</v>
      </c>
      <c r="AK60" s="100">
        <v>227767.64398497588</v>
      </c>
      <c r="AL60" s="100">
        <v>227767.64398497588</v>
      </c>
      <c r="AM60" s="100">
        <v>197693.19278924767</v>
      </c>
      <c r="AN60" s="100">
        <v>197693.19278924767</v>
      </c>
      <c r="AO60" s="100">
        <v>197693.19278924767</v>
      </c>
      <c r="AP60" s="100">
        <v>197693.19278924767</v>
      </c>
      <c r="AQ60" s="100">
        <v>223316.18788980448</v>
      </c>
      <c r="AR60" s="100">
        <v>223316.18788980448</v>
      </c>
      <c r="AS60" s="100">
        <v>223316.18788980448</v>
      </c>
      <c r="AT60" s="100">
        <v>223316.18788980448</v>
      </c>
      <c r="AU60" s="100">
        <v>201991.01806558078</v>
      </c>
      <c r="AV60" s="100">
        <v>201991.01806558078</v>
      </c>
      <c r="AW60" s="100">
        <v>201991.01806558078</v>
      </c>
      <c r="AX60" s="100">
        <v>201991.01806558078</v>
      </c>
    </row>
    <row r="61" spans="2:51">
      <c r="B61" s="105" t="s">
        <v>107</v>
      </c>
      <c r="C61" s="100">
        <v>1152609.064117329</v>
      </c>
      <c r="D61" s="100">
        <v>1152609.064117329</v>
      </c>
      <c r="E61" s="100">
        <v>1152609.064117329</v>
      </c>
      <c r="F61" s="100">
        <v>1152609.064117329</v>
      </c>
      <c r="G61" s="100">
        <v>1124010.3895787222</v>
      </c>
      <c r="H61" s="100">
        <v>1124010.3895787222</v>
      </c>
      <c r="I61" s="100">
        <v>1124010.3895787222</v>
      </c>
      <c r="J61" s="100">
        <v>1124010.3895787222</v>
      </c>
      <c r="K61" s="100">
        <v>1141515.4319427274</v>
      </c>
      <c r="L61" s="100">
        <v>1141515.4319427274</v>
      </c>
      <c r="M61" s="100">
        <v>1141515.4319427274</v>
      </c>
      <c r="N61" s="100">
        <v>1141515.4319427274</v>
      </c>
      <c r="O61" s="100">
        <v>1166756.4917069501</v>
      </c>
      <c r="P61" s="100">
        <v>1166756.4917069501</v>
      </c>
      <c r="Q61" s="100">
        <v>1166756.4917069501</v>
      </c>
      <c r="R61" s="100">
        <v>1166756.4917069501</v>
      </c>
      <c r="S61" s="100">
        <v>1082508.2222251208</v>
      </c>
      <c r="T61" s="100">
        <v>1082508.2222251208</v>
      </c>
      <c r="U61" s="100">
        <v>1082508.2222251208</v>
      </c>
      <c r="V61" s="100">
        <v>1082508.2222251208</v>
      </c>
      <c r="W61" s="100">
        <v>1137070.8349729711</v>
      </c>
      <c r="X61" s="100">
        <v>1137070.8349729711</v>
      </c>
      <c r="Y61" s="100">
        <v>1137070.8349729711</v>
      </c>
      <c r="Z61" s="100">
        <v>1137070.8349729711</v>
      </c>
      <c r="AA61" s="100">
        <v>1085404.0606685083</v>
      </c>
      <c r="AB61" s="100">
        <v>1085404.0606685083</v>
      </c>
      <c r="AC61" s="100">
        <v>1085404.0606685083</v>
      </c>
      <c r="AD61" s="100">
        <v>1085404.0606685083</v>
      </c>
      <c r="AE61" s="100">
        <v>1207512.1492350935</v>
      </c>
      <c r="AF61" s="100">
        <v>1207512.1492350935</v>
      </c>
      <c r="AG61" s="100">
        <v>1207512.1492350935</v>
      </c>
      <c r="AH61" s="100">
        <v>1207512.1492350935</v>
      </c>
      <c r="AI61" s="100">
        <v>1180548.8172769432</v>
      </c>
      <c r="AJ61" s="100">
        <v>1180548.8172769432</v>
      </c>
      <c r="AK61" s="100">
        <v>1180548.8172769432</v>
      </c>
      <c r="AL61" s="100">
        <v>1180548.8172769432</v>
      </c>
      <c r="AM61" s="100">
        <v>1076827.1387989479</v>
      </c>
      <c r="AN61" s="100">
        <v>1076827.1387989479</v>
      </c>
      <c r="AO61" s="100">
        <v>1076827.1387989479</v>
      </c>
      <c r="AP61" s="100">
        <v>1076827.1387989479</v>
      </c>
      <c r="AQ61" s="100">
        <v>1075883.5121832266</v>
      </c>
      <c r="AR61" s="100">
        <v>1075883.5121832266</v>
      </c>
      <c r="AS61" s="100">
        <v>1075883.5121832266</v>
      </c>
      <c r="AT61" s="100">
        <v>1075883.5121832266</v>
      </c>
      <c r="AU61" s="100">
        <v>1090995.9250927614</v>
      </c>
      <c r="AV61" s="100">
        <v>1090995.9250927614</v>
      </c>
      <c r="AW61" s="100">
        <v>1090995.9250927614</v>
      </c>
      <c r="AX61" s="100">
        <v>1090995.9250927614</v>
      </c>
    </row>
    <row r="62" spans="2:51">
      <c r="B62" s="105" t="s">
        <v>108</v>
      </c>
      <c r="C62" s="100">
        <v>1.3028010315736201E-16</v>
      </c>
      <c r="D62" s="100">
        <v>1.3028010315736201E-16</v>
      </c>
      <c r="E62" s="100">
        <v>1.3028010315736201E-16</v>
      </c>
      <c r="F62" s="100">
        <v>1.3028010315736201E-16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8.5024443844831459E-17</v>
      </c>
      <c r="D63" s="100">
        <v>8.5024443844831459E-17</v>
      </c>
      <c r="E63" s="100">
        <v>8.5024443844831459E-17</v>
      </c>
      <c r="F63" s="100">
        <v>8.5024443844831459E-17</v>
      </c>
      <c r="G63" s="100">
        <v>7.4671484616785305E-17</v>
      </c>
      <c r="H63" s="100">
        <v>7.4671484616785305E-17</v>
      </c>
      <c r="I63" s="100">
        <v>7.4671484616785305E-17</v>
      </c>
      <c r="J63" s="100">
        <v>7.4671484616785305E-17</v>
      </c>
      <c r="K63" s="100">
        <v>7.5867524141359124E-17</v>
      </c>
      <c r="L63" s="100">
        <v>7.5867524141359124E-17</v>
      </c>
      <c r="M63" s="100">
        <v>7.5867524141359124E-17</v>
      </c>
      <c r="N63" s="100">
        <v>7.5867524141359124E-17</v>
      </c>
      <c r="O63" s="100">
        <v>8.5972232298030604E-17</v>
      </c>
      <c r="P63" s="100">
        <v>8.5972232298030604E-17</v>
      </c>
      <c r="Q63" s="100">
        <v>8.5972232298030604E-17</v>
      </c>
      <c r="R63" s="100">
        <v>8.5972232298030604E-17</v>
      </c>
      <c r="S63" s="100">
        <v>7.9845143341043689E-17</v>
      </c>
      <c r="T63" s="100">
        <v>7.9845143341043689E-17</v>
      </c>
      <c r="U63" s="100">
        <v>7.9845143341043689E-17</v>
      </c>
      <c r="V63" s="100">
        <v>7.9845143341043689E-17</v>
      </c>
      <c r="W63" s="100">
        <v>7.6988543150122026E-17</v>
      </c>
      <c r="X63" s="100">
        <v>7.6988543150122026E-17</v>
      </c>
      <c r="Y63" s="100">
        <v>7.6988543150122026E-17</v>
      </c>
      <c r="Z63" s="100">
        <v>7.6988543150122026E-17</v>
      </c>
      <c r="AA63" s="100">
        <v>7.8437885189675846E-17</v>
      </c>
      <c r="AB63" s="100">
        <v>7.8437885189675846E-17</v>
      </c>
      <c r="AC63" s="100">
        <v>7.8437885189675846E-17</v>
      </c>
      <c r="AD63" s="100">
        <v>7.8437885189675846E-17</v>
      </c>
      <c r="AE63" s="100">
        <v>8.9201221961575896E-17</v>
      </c>
      <c r="AF63" s="100">
        <v>8.9201221961575896E-17</v>
      </c>
      <c r="AG63" s="100">
        <v>8.9201221961575896E-17</v>
      </c>
      <c r="AH63" s="100">
        <v>8.9201221961575896E-17</v>
      </c>
      <c r="AI63" s="100">
        <v>7.9348195084513703E-17</v>
      </c>
      <c r="AJ63" s="100">
        <v>7.9348195084513703E-17</v>
      </c>
      <c r="AK63" s="100">
        <v>7.9348195084513703E-17</v>
      </c>
      <c r="AL63" s="100">
        <v>7.9348195084513703E-17</v>
      </c>
      <c r="AM63" s="100">
        <v>6.6090368988470914E-17</v>
      </c>
      <c r="AN63" s="100">
        <v>6.6090368988470914E-17</v>
      </c>
      <c r="AO63" s="100">
        <v>6.6090368988470914E-17</v>
      </c>
      <c r="AP63" s="100">
        <v>6.6090368988470914E-17</v>
      </c>
      <c r="AQ63" s="100">
        <v>7.6452103780945503E-17</v>
      </c>
      <c r="AR63" s="100">
        <v>7.6452103780945503E-17</v>
      </c>
      <c r="AS63" s="100">
        <v>7.6452103780945503E-17</v>
      </c>
      <c r="AT63" s="100">
        <v>7.6452103780945503E-17</v>
      </c>
      <c r="AU63" s="100">
        <v>8.9114455214363343E-17</v>
      </c>
      <c r="AV63" s="100">
        <v>8.9114455214363343E-17</v>
      </c>
      <c r="AW63" s="100">
        <v>8.9114455214363343E-17</v>
      </c>
      <c r="AX63" s="100">
        <v>8.9114455214363343E-17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0.30008018287971877</v>
      </c>
      <c r="D67" s="100">
        <v>0.30008018287971877</v>
      </c>
      <c r="E67" s="100">
        <v>0.30008018287971877</v>
      </c>
      <c r="F67" s="100">
        <v>0.30008018287971877</v>
      </c>
      <c r="G67" s="100">
        <v>0.30008018287971877</v>
      </c>
      <c r="H67" s="100">
        <v>0.30008018287971877</v>
      </c>
      <c r="I67" s="100">
        <v>0.30008018287971877</v>
      </c>
      <c r="J67" s="100">
        <v>0.30008018287971877</v>
      </c>
      <c r="K67" s="100">
        <v>0.30008018287971877</v>
      </c>
      <c r="L67" s="100">
        <v>0.30008018287971877</v>
      </c>
      <c r="M67" s="100">
        <v>0.30008018287971877</v>
      </c>
      <c r="N67" s="100">
        <v>0.30008018287971877</v>
      </c>
    </row>
    <row r="68" spans="1:14">
      <c r="B68" s="99" t="s">
        <v>330</v>
      </c>
      <c r="C68" s="100">
        <v>0.43183075479204008</v>
      </c>
      <c r="D68" s="100">
        <v>0.43183075479204008</v>
      </c>
      <c r="E68" s="100">
        <v>0.43183075479204008</v>
      </c>
      <c r="F68" s="100">
        <v>0.43183075479204008</v>
      </c>
      <c r="G68" s="100">
        <v>0.43183075479204008</v>
      </c>
      <c r="H68" s="100">
        <v>0.43183075479204008</v>
      </c>
      <c r="I68" s="100">
        <v>0.43183075479204008</v>
      </c>
      <c r="J68" s="100">
        <v>0.43183075479204008</v>
      </c>
      <c r="K68" s="100">
        <v>0.43183075479204008</v>
      </c>
      <c r="L68" s="100">
        <v>0.43183075479204008</v>
      </c>
      <c r="M68" s="100">
        <v>0.43183075479204008</v>
      </c>
      <c r="N68" s="100">
        <v>0.43183075479204008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20.005148481727272</v>
      </c>
      <c r="D72" s="100">
        <v>42.888074799245423</v>
      </c>
      <c r="E72" s="100">
        <v>74.102800195692467</v>
      </c>
    </row>
    <row r="73" spans="1:14">
      <c r="B73" s="105" t="s">
        <v>93</v>
      </c>
      <c r="C73" s="100">
        <v>20.005148481727272</v>
      </c>
      <c r="D73" s="100">
        <v>42.888074799245423</v>
      </c>
      <c r="E73" s="100">
        <v>74.102800195692467</v>
      </c>
    </row>
    <row r="74" spans="1:14">
      <c r="B74" s="105" t="s">
        <v>94</v>
      </c>
      <c r="C74" s="100">
        <v>20.005148481727272</v>
      </c>
      <c r="D74" s="100">
        <v>42.888074799245423</v>
      </c>
      <c r="E74" s="100">
        <v>74.102800195692467</v>
      </c>
    </row>
    <row r="75" spans="1:14">
      <c r="B75" s="105" t="s">
        <v>95</v>
      </c>
      <c r="C75" s="100">
        <v>20.005148481727272</v>
      </c>
      <c r="D75" s="100">
        <v>42.888074799245423</v>
      </c>
      <c r="E75" s="100">
        <v>74.102800195692467</v>
      </c>
    </row>
    <row r="76" spans="1:14">
      <c r="B76" s="105" t="s">
        <v>96</v>
      </c>
      <c r="C76" s="100">
        <v>20.005148481727272</v>
      </c>
      <c r="D76" s="100">
        <v>42.888074799245423</v>
      </c>
      <c r="E76" s="100">
        <v>74.102800195692467</v>
      </c>
    </row>
    <row r="77" spans="1:14">
      <c r="B77" s="105" t="s">
        <v>97</v>
      </c>
      <c r="C77" s="100">
        <v>20.005148481727272</v>
      </c>
      <c r="D77" s="100">
        <v>42.888074799245423</v>
      </c>
      <c r="E77" s="100">
        <v>74.102800195692467</v>
      </c>
    </row>
    <row r="78" spans="1:14">
      <c r="B78" s="105" t="s">
        <v>98</v>
      </c>
      <c r="C78" s="100">
        <v>20.005148481727272</v>
      </c>
      <c r="D78" s="100">
        <v>42.888074799245423</v>
      </c>
      <c r="E78" s="100">
        <v>74.102800195692467</v>
      </c>
    </row>
    <row r="79" spans="1:14">
      <c r="B79" s="105" t="s">
        <v>99</v>
      </c>
      <c r="C79" s="100">
        <v>20.005148481727272</v>
      </c>
      <c r="D79" s="100">
        <v>42.888074799245423</v>
      </c>
      <c r="E79" s="100">
        <v>74.102800195692467</v>
      </c>
    </row>
    <row r="80" spans="1:14">
      <c r="B80" s="105" t="s">
        <v>100</v>
      </c>
      <c r="C80" s="100">
        <v>20.005148481727272</v>
      </c>
      <c r="D80" s="100">
        <v>42.888074799245423</v>
      </c>
      <c r="E80" s="100">
        <v>74.102800195692467</v>
      </c>
    </row>
    <row r="81" spans="2:50">
      <c r="B81" s="105" t="s">
        <v>101</v>
      </c>
      <c r="C81" s="100">
        <v>20.005148481727272</v>
      </c>
      <c r="D81" s="100">
        <v>42.888074799245423</v>
      </c>
      <c r="E81" s="100">
        <v>74.102800195692467</v>
      </c>
    </row>
    <row r="82" spans="2:50">
      <c r="B82" s="105" t="s">
        <v>102</v>
      </c>
      <c r="C82" s="100">
        <v>20.005148481727272</v>
      </c>
      <c r="D82" s="100">
        <v>42.888074799245423</v>
      </c>
      <c r="E82" s="100">
        <v>74.102800195692467</v>
      </c>
    </row>
    <row r="83" spans="2:50">
      <c r="B83" s="105" t="s">
        <v>103</v>
      </c>
      <c r="C83" s="100">
        <v>20.005148481727272</v>
      </c>
      <c r="D83" s="100">
        <v>42.888074799245423</v>
      </c>
      <c r="E83" s="100">
        <v>74.102800195692467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2679.6917622060082</v>
      </c>
      <c r="D88" s="100">
        <f>D48+$C$67/4</f>
        <v>2679.6917622060082</v>
      </c>
      <c r="E88" s="100">
        <f>E48+$C$67/4</f>
        <v>2679.6917622060082</v>
      </c>
      <c r="F88" s="100">
        <f>F48+$C$67/4</f>
        <v>2679.6917622060082</v>
      </c>
      <c r="G88" s="100">
        <f>G48+$D$67/4</f>
        <v>2679.6917622060082</v>
      </c>
      <c r="H88" s="100">
        <f>H48+$D$67/4</f>
        <v>2679.6917622060082</v>
      </c>
      <c r="I88" s="100">
        <f>I48+$D$67/4</f>
        <v>2679.6917622060082</v>
      </c>
      <c r="J88" s="100">
        <f>J48+$D$67/4</f>
        <v>2679.6917622060082</v>
      </c>
      <c r="K88" s="100">
        <f>K48+$E$67/4</f>
        <v>2679.6917622060082</v>
      </c>
      <c r="L88" s="100">
        <f>L48+$E$67/4</f>
        <v>2679.6917622060082</v>
      </c>
      <c r="M88" s="100">
        <f>M48+$E$67/4</f>
        <v>2679.6917622060082</v>
      </c>
      <c r="N88" s="100">
        <f>N48+$E$67/4</f>
        <v>2679.6917622060082</v>
      </c>
      <c r="O88" s="100">
        <f>O48+$F$67/4</f>
        <v>2143.7684137739507</v>
      </c>
      <c r="P88" s="100">
        <f>P48+$F$67/4</f>
        <v>2143.7684137739507</v>
      </c>
      <c r="Q88" s="100">
        <f>Q48+$F$67/4</f>
        <v>2143.7684137739507</v>
      </c>
      <c r="R88" s="100">
        <f>R48+$F$67/4</f>
        <v>2143.7684137739507</v>
      </c>
      <c r="S88" s="100">
        <f>S48+$G$67/4</f>
        <v>2679.6917622060082</v>
      </c>
      <c r="T88" s="100">
        <f>T48+$G$67/4</f>
        <v>2679.6917622060082</v>
      </c>
      <c r="U88" s="100">
        <f>U48+$G$67/4</f>
        <v>2679.6917622060082</v>
      </c>
      <c r="V88" s="100">
        <f>V48+$G$67/4</f>
        <v>2679.6917622060082</v>
      </c>
      <c r="W88" s="100">
        <f>W48+$H$67/4</f>
        <v>2679.6917622060082</v>
      </c>
      <c r="X88" s="100">
        <f>X48+$H$67/4</f>
        <v>2679.6917622060082</v>
      </c>
      <c r="Y88" s="100">
        <f>Y48+$H$67/4</f>
        <v>2679.6917622060082</v>
      </c>
      <c r="Z88" s="100">
        <f>Z48+$H$67/4</f>
        <v>2679.6917622060082</v>
      </c>
      <c r="AA88" s="100">
        <f>AA48+$I$67/4</f>
        <v>2679.6917622060082</v>
      </c>
      <c r="AB88" s="100">
        <f>AB48+$I$67/4</f>
        <v>2679.6917622060082</v>
      </c>
      <c r="AC88" s="100">
        <f>AC48+$I$67/4</f>
        <v>2679.6917622060082</v>
      </c>
      <c r="AD88" s="100">
        <f>AD48+$I$67/4</f>
        <v>2679.6917622060082</v>
      </c>
      <c r="AE88" s="100">
        <f>AE48+$J$67/4</f>
        <v>2679.6917622060082</v>
      </c>
      <c r="AF88" s="100">
        <f>AF48+$J$67/4</f>
        <v>2679.6917622060082</v>
      </c>
      <c r="AG88" s="100">
        <f>AG48+$J$67/4</f>
        <v>2679.6917622060082</v>
      </c>
      <c r="AH88" s="100">
        <f>AH48+$J$67/4</f>
        <v>2679.6917622060082</v>
      </c>
      <c r="AI88" s="100">
        <f>AI48+$K$67/4</f>
        <v>2679.6917622060082</v>
      </c>
      <c r="AJ88" s="100">
        <f>AJ48+$K$67/4</f>
        <v>2679.6917622060082</v>
      </c>
      <c r="AK88" s="100">
        <f>AK48+$K$67/4</f>
        <v>2679.6917622060082</v>
      </c>
      <c r="AL88" s="100">
        <f>AL48+$K$67/4</f>
        <v>2679.6917622060082</v>
      </c>
      <c r="AM88" s="100">
        <f>AM48+$L$67/4</f>
        <v>2679.6917622060082</v>
      </c>
      <c r="AN88" s="100">
        <f>AN48+$L$67/4</f>
        <v>2679.6917622060082</v>
      </c>
      <c r="AO88" s="100">
        <f>AO48+$L$67/4</f>
        <v>2679.6917622060082</v>
      </c>
      <c r="AP88" s="100">
        <f>AP48+$L$67/4</f>
        <v>2679.6917622060082</v>
      </c>
      <c r="AQ88" s="100">
        <f>AQ48+$M$67/4</f>
        <v>2679.6917622060082</v>
      </c>
      <c r="AR88" s="100">
        <f>AR48+$M$67/4</f>
        <v>2679.6917622060082</v>
      </c>
      <c r="AS88" s="100">
        <f>AS48+$M$67/4</f>
        <v>2679.6917622060082</v>
      </c>
      <c r="AT88" s="100">
        <f>AT48+$M$67/4</f>
        <v>2679.6917622060082</v>
      </c>
      <c r="AU88" s="100">
        <f>AU48+$N$67/4</f>
        <v>2679.6917622060082</v>
      </c>
      <c r="AV88" s="100">
        <f>AV48+$N$67/4</f>
        <v>2679.6917622060082</v>
      </c>
      <c r="AW88" s="100">
        <f>AW48+$N$67/4</f>
        <v>2679.6917622060082</v>
      </c>
      <c r="AX88" s="100">
        <f>AX48+$N$67/4</f>
        <v>2679.6917622060082</v>
      </c>
    </row>
    <row r="89" spans="2:50">
      <c r="B89" s="99" t="s">
        <v>105</v>
      </c>
      <c r="C89" s="100">
        <f>C49</f>
        <v>0</v>
      </c>
      <c r="D89" s="100">
        <f t="shared" ref="D89:AX93" si="3">D49</f>
        <v>0</v>
      </c>
      <c r="E89" s="100">
        <f t="shared" si="3"/>
        <v>0</v>
      </c>
      <c r="F89" s="100">
        <f t="shared" si="3"/>
        <v>0</v>
      </c>
      <c r="G89" s="100">
        <f t="shared" si="3"/>
        <v>2.6946691715297984E-20</v>
      </c>
      <c r="H89" s="100">
        <f t="shared" si="3"/>
        <v>2.6946691715297984E-20</v>
      </c>
      <c r="I89" s="100">
        <f t="shared" si="3"/>
        <v>2.6946691715297984E-20</v>
      </c>
      <c r="J89" s="100">
        <f t="shared" si="3"/>
        <v>2.6946691715297984E-20</v>
      </c>
      <c r="K89" s="100">
        <f t="shared" si="3"/>
        <v>2.6946691715297984E-20</v>
      </c>
      <c r="L89" s="100">
        <f t="shared" si="3"/>
        <v>2.6946691715297984E-20</v>
      </c>
      <c r="M89" s="100">
        <f t="shared" si="3"/>
        <v>2.6946691715297984E-20</v>
      </c>
      <c r="N89" s="100">
        <f t="shared" si="3"/>
        <v>2.6946691715297984E-20</v>
      </c>
      <c r="O89" s="100">
        <f t="shared" si="3"/>
        <v>2.6946691715297984E-20</v>
      </c>
      <c r="P89" s="100">
        <f t="shared" si="3"/>
        <v>2.6946691715297984E-20</v>
      </c>
      <c r="Q89" s="100">
        <f t="shared" si="3"/>
        <v>2.6946691715297984E-20</v>
      </c>
      <c r="R89" s="100">
        <f t="shared" si="3"/>
        <v>2.6946691715297984E-20</v>
      </c>
      <c r="S89" s="100">
        <f t="shared" si="3"/>
        <v>2.6946691715297984E-20</v>
      </c>
      <c r="T89" s="100">
        <f t="shared" si="3"/>
        <v>2.6946691715297984E-20</v>
      </c>
      <c r="U89" s="100">
        <f t="shared" si="3"/>
        <v>2.6946691715297984E-20</v>
      </c>
      <c r="V89" s="100">
        <f t="shared" si="3"/>
        <v>2.6946691715297984E-20</v>
      </c>
      <c r="W89" s="100">
        <f t="shared" si="3"/>
        <v>2.155735337223839E-20</v>
      </c>
      <c r="X89" s="100">
        <f t="shared" si="3"/>
        <v>2.155735337223839E-20</v>
      </c>
      <c r="Y89" s="100">
        <f t="shared" si="3"/>
        <v>2.155735337223839E-20</v>
      </c>
      <c r="Z89" s="100">
        <f t="shared" si="3"/>
        <v>2.155735337223839E-20</v>
      </c>
      <c r="AA89" s="100">
        <f t="shared" si="3"/>
        <v>2.6946691715297984E-20</v>
      </c>
      <c r="AB89" s="100">
        <f t="shared" si="3"/>
        <v>2.6946691715297984E-20</v>
      </c>
      <c r="AC89" s="100">
        <f t="shared" si="3"/>
        <v>2.6946691715297984E-20</v>
      </c>
      <c r="AD89" s="100">
        <f t="shared" si="3"/>
        <v>2.6946691715297984E-20</v>
      </c>
      <c r="AE89" s="100">
        <f t="shared" si="3"/>
        <v>2.6946691715297984E-20</v>
      </c>
      <c r="AF89" s="100">
        <f t="shared" si="3"/>
        <v>2.6946691715297984E-20</v>
      </c>
      <c r="AG89" s="100">
        <f t="shared" si="3"/>
        <v>2.6946691715297984E-20</v>
      </c>
      <c r="AH89" s="100">
        <f t="shared" si="3"/>
        <v>2.6946691715297984E-20</v>
      </c>
      <c r="AI89" s="100">
        <f t="shared" si="3"/>
        <v>2.6946691715297984E-20</v>
      </c>
      <c r="AJ89" s="100">
        <f t="shared" si="3"/>
        <v>2.6946691715297984E-20</v>
      </c>
      <c r="AK89" s="100">
        <f t="shared" si="3"/>
        <v>2.6946691715297984E-20</v>
      </c>
      <c r="AL89" s="100">
        <f t="shared" si="3"/>
        <v>2.6946691715297984E-20</v>
      </c>
      <c r="AM89" s="100">
        <f t="shared" si="3"/>
        <v>2.6946691715297984E-20</v>
      </c>
      <c r="AN89" s="100">
        <f t="shared" si="3"/>
        <v>2.6946691715297984E-20</v>
      </c>
      <c r="AO89" s="100">
        <f t="shared" si="3"/>
        <v>2.6946691715297984E-20</v>
      </c>
      <c r="AP89" s="100">
        <f t="shared" si="3"/>
        <v>2.6946691715297984E-20</v>
      </c>
      <c r="AQ89" s="100">
        <f t="shared" si="3"/>
        <v>3.2336030058357578E-20</v>
      </c>
      <c r="AR89" s="100">
        <f t="shared" si="3"/>
        <v>3.2336030058357578E-20</v>
      </c>
      <c r="AS89" s="100">
        <f t="shared" si="3"/>
        <v>3.2336030058357578E-20</v>
      </c>
      <c r="AT89" s="100">
        <f t="shared" si="3"/>
        <v>3.2336030058357578E-20</v>
      </c>
      <c r="AU89" s="100">
        <f t="shared" si="3"/>
        <v>2.6946691715297984E-20</v>
      </c>
      <c r="AV89" s="100">
        <f t="shared" si="3"/>
        <v>2.6946691715297984E-20</v>
      </c>
      <c r="AW89" s="100">
        <f t="shared" si="3"/>
        <v>2.6946691715297984E-20</v>
      </c>
      <c r="AX89" s="100">
        <f t="shared" si="3"/>
        <v>2.6946691715297984E-20</v>
      </c>
    </row>
    <row r="90" spans="2:50">
      <c r="B90" s="99" t="s">
        <v>106</v>
      </c>
      <c r="C90" s="100">
        <f t="shared" ref="C90:R93" si="4">C50</f>
        <v>112</v>
      </c>
      <c r="D90" s="100">
        <f t="shared" si="4"/>
        <v>112</v>
      </c>
      <c r="E90" s="100">
        <f t="shared" si="4"/>
        <v>112</v>
      </c>
      <c r="F90" s="100">
        <f t="shared" si="4"/>
        <v>112</v>
      </c>
      <c r="G90" s="100">
        <f t="shared" si="4"/>
        <v>140</v>
      </c>
      <c r="H90" s="100">
        <f t="shared" si="4"/>
        <v>140</v>
      </c>
      <c r="I90" s="100">
        <f t="shared" si="4"/>
        <v>140</v>
      </c>
      <c r="J90" s="100">
        <f t="shared" si="4"/>
        <v>140</v>
      </c>
      <c r="K90" s="100">
        <f t="shared" si="4"/>
        <v>140</v>
      </c>
      <c r="L90" s="100">
        <f t="shared" si="4"/>
        <v>140</v>
      </c>
      <c r="M90" s="100">
        <f t="shared" si="4"/>
        <v>140</v>
      </c>
      <c r="N90" s="100">
        <f t="shared" si="4"/>
        <v>140</v>
      </c>
      <c r="O90" s="100">
        <f t="shared" si="4"/>
        <v>112</v>
      </c>
      <c r="P90" s="100">
        <f t="shared" si="4"/>
        <v>112</v>
      </c>
      <c r="Q90" s="100">
        <f t="shared" si="4"/>
        <v>112</v>
      </c>
      <c r="R90" s="100">
        <f t="shared" si="4"/>
        <v>112</v>
      </c>
      <c r="S90" s="100">
        <f t="shared" si="3"/>
        <v>140</v>
      </c>
      <c r="T90" s="100">
        <f t="shared" si="3"/>
        <v>140</v>
      </c>
      <c r="U90" s="100">
        <f t="shared" si="3"/>
        <v>140</v>
      </c>
      <c r="V90" s="100">
        <f t="shared" si="3"/>
        <v>140</v>
      </c>
      <c r="W90" s="100">
        <f t="shared" si="3"/>
        <v>140</v>
      </c>
      <c r="X90" s="100">
        <f t="shared" si="3"/>
        <v>140</v>
      </c>
      <c r="Y90" s="100">
        <f t="shared" si="3"/>
        <v>140</v>
      </c>
      <c r="Z90" s="100">
        <f t="shared" si="3"/>
        <v>140</v>
      </c>
      <c r="AA90" s="100">
        <f t="shared" si="3"/>
        <v>140</v>
      </c>
      <c r="AB90" s="100">
        <f t="shared" si="3"/>
        <v>140</v>
      </c>
      <c r="AC90" s="100">
        <f t="shared" si="3"/>
        <v>140</v>
      </c>
      <c r="AD90" s="100">
        <f t="shared" si="3"/>
        <v>140</v>
      </c>
      <c r="AE90" s="100">
        <f t="shared" si="3"/>
        <v>140</v>
      </c>
      <c r="AF90" s="100">
        <f t="shared" si="3"/>
        <v>140</v>
      </c>
      <c r="AG90" s="100">
        <f t="shared" si="3"/>
        <v>140</v>
      </c>
      <c r="AH90" s="100">
        <f t="shared" si="3"/>
        <v>140</v>
      </c>
      <c r="AI90" s="100">
        <f t="shared" si="3"/>
        <v>168</v>
      </c>
      <c r="AJ90" s="100">
        <f t="shared" si="3"/>
        <v>168</v>
      </c>
      <c r="AK90" s="100">
        <f t="shared" si="3"/>
        <v>168</v>
      </c>
      <c r="AL90" s="100">
        <f t="shared" si="3"/>
        <v>168</v>
      </c>
      <c r="AM90" s="100">
        <f t="shared" si="3"/>
        <v>140</v>
      </c>
      <c r="AN90" s="100">
        <f t="shared" si="3"/>
        <v>140</v>
      </c>
      <c r="AO90" s="100">
        <f t="shared" si="3"/>
        <v>140</v>
      </c>
      <c r="AP90" s="100">
        <f t="shared" si="3"/>
        <v>140</v>
      </c>
      <c r="AQ90" s="100">
        <f t="shared" si="3"/>
        <v>140</v>
      </c>
      <c r="AR90" s="100">
        <f t="shared" si="3"/>
        <v>140</v>
      </c>
      <c r="AS90" s="100">
        <f t="shared" si="3"/>
        <v>140</v>
      </c>
      <c r="AT90" s="100">
        <f t="shared" si="3"/>
        <v>140</v>
      </c>
      <c r="AU90" s="100">
        <f t="shared" si="3"/>
        <v>140</v>
      </c>
      <c r="AV90" s="100">
        <f t="shared" si="3"/>
        <v>140</v>
      </c>
      <c r="AW90" s="100">
        <f t="shared" si="3"/>
        <v>140</v>
      </c>
      <c r="AX90" s="100">
        <f t="shared" si="3"/>
        <v>140</v>
      </c>
    </row>
    <row r="91" spans="2:50">
      <c r="B91" s="99" t="s">
        <v>107</v>
      </c>
      <c r="C91" s="100">
        <f t="shared" si="4"/>
        <v>790.00000000000341</v>
      </c>
      <c r="D91" s="100">
        <f t="shared" si="3"/>
        <v>790.00000000000341</v>
      </c>
      <c r="E91" s="100">
        <f t="shared" si="3"/>
        <v>790.00000000000341</v>
      </c>
      <c r="F91" s="100">
        <f t="shared" si="3"/>
        <v>790.00000000000341</v>
      </c>
      <c r="G91" s="100">
        <f t="shared" si="3"/>
        <v>790.00000000000341</v>
      </c>
      <c r="H91" s="100">
        <f t="shared" si="3"/>
        <v>790.00000000000341</v>
      </c>
      <c r="I91" s="100">
        <f t="shared" si="3"/>
        <v>790.00000000000341</v>
      </c>
      <c r="J91" s="100">
        <f t="shared" si="3"/>
        <v>790.00000000000341</v>
      </c>
      <c r="K91" s="100">
        <f t="shared" si="3"/>
        <v>790.00000000000341</v>
      </c>
      <c r="L91" s="100">
        <f t="shared" si="3"/>
        <v>790.00000000000341</v>
      </c>
      <c r="M91" s="100">
        <f t="shared" si="3"/>
        <v>790.00000000000341</v>
      </c>
      <c r="N91" s="100">
        <f t="shared" si="3"/>
        <v>790.00000000000341</v>
      </c>
      <c r="O91" s="100">
        <f t="shared" si="3"/>
        <v>790.00000000000341</v>
      </c>
      <c r="P91" s="100">
        <f t="shared" si="3"/>
        <v>790.00000000000341</v>
      </c>
      <c r="Q91" s="100">
        <f t="shared" si="3"/>
        <v>790.00000000000341</v>
      </c>
      <c r="R91" s="100">
        <f t="shared" si="3"/>
        <v>790.00000000000341</v>
      </c>
      <c r="S91" s="100">
        <f t="shared" si="3"/>
        <v>790.00000000000341</v>
      </c>
      <c r="T91" s="100">
        <f t="shared" si="3"/>
        <v>790.00000000000341</v>
      </c>
      <c r="U91" s="100">
        <f t="shared" si="3"/>
        <v>790.00000000000341</v>
      </c>
      <c r="V91" s="100">
        <f t="shared" si="3"/>
        <v>790.00000000000341</v>
      </c>
      <c r="W91" s="100">
        <f t="shared" si="3"/>
        <v>790.00000000000341</v>
      </c>
      <c r="X91" s="100">
        <f t="shared" si="3"/>
        <v>790.00000000000341</v>
      </c>
      <c r="Y91" s="100">
        <f t="shared" si="3"/>
        <v>790.00000000000341</v>
      </c>
      <c r="Z91" s="100">
        <f t="shared" si="3"/>
        <v>790.00000000000341</v>
      </c>
      <c r="AA91" s="100">
        <f t="shared" si="3"/>
        <v>790.00000000000341</v>
      </c>
      <c r="AB91" s="100">
        <f t="shared" si="3"/>
        <v>790.00000000000341</v>
      </c>
      <c r="AC91" s="100">
        <f t="shared" si="3"/>
        <v>790.00000000000341</v>
      </c>
      <c r="AD91" s="100">
        <f t="shared" si="3"/>
        <v>790.00000000000341</v>
      </c>
      <c r="AE91" s="100">
        <f t="shared" si="3"/>
        <v>790.00000000000341</v>
      </c>
      <c r="AF91" s="100">
        <f t="shared" si="3"/>
        <v>790.00000000000341</v>
      </c>
      <c r="AG91" s="100">
        <f t="shared" si="3"/>
        <v>790.00000000000341</v>
      </c>
      <c r="AH91" s="100">
        <f t="shared" si="3"/>
        <v>790.00000000000341</v>
      </c>
      <c r="AI91" s="100">
        <f t="shared" si="3"/>
        <v>790.00000000000341</v>
      </c>
      <c r="AJ91" s="100">
        <f t="shared" si="3"/>
        <v>790.00000000000341</v>
      </c>
      <c r="AK91" s="100">
        <f t="shared" si="3"/>
        <v>790.00000000000341</v>
      </c>
      <c r="AL91" s="100">
        <f t="shared" si="3"/>
        <v>790.00000000000341</v>
      </c>
      <c r="AM91" s="100">
        <f t="shared" si="3"/>
        <v>790.00000000000341</v>
      </c>
      <c r="AN91" s="100">
        <f t="shared" si="3"/>
        <v>790.00000000000341</v>
      </c>
      <c r="AO91" s="100">
        <f t="shared" si="3"/>
        <v>790.00000000000341</v>
      </c>
      <c r="AP91" s="100">
        <f t="shared" si="3"/>
        <v>790.00000000000341</v>
      </c>
      <c r="AQ91" s="100">
        <f t="shared" si="3"/>
        <v>790.00000000000341</v>
      </c>
      <c r="AR91" s="100">
        <f t="shared" si="3"/>
        <v>790.00000000000341</v>
      </c>
      <c r="AS91" s="100">
        <f t="shared" si="3"/>
        <v>790.00000000000341</v>
      </c>
      <c r="AT91" s="100">
        <f t="shared" si="3"/>
        <v>790.00000000000341</v>
      </c>
      <c r="AU91" s="100">
        <f t="shared" si="3"/>
        <v>790.00000000000341</v>
      </c>
      <c r="AV91" s="100">
        <f t="shared" si="3"/>
        <v>790.00000000000341</v>
      </c>
      <c r="AW91" s="100">
        <f t="shared" si="3"/>
        <v>790.00000000000341</v>
      </c>
      <c r="AX91" s="100">
        <f t="shared" si="3"/>
        <v>790.00000000000341</v>
      </c>
    </row>
    <row r="92" spans="2:50">
      <c r="B92" s="99" t="s">
        <v>108</v>
      </c>
      <c r="C92" s="100">
        <f t="shared" si="4"/>
        <v>8.5973958085973713E-20</v>
      </c>
      <c r="D92" s="100">
        <f t="shared" si="4"/>
        <v>8.5973958085973713E-20</v>
      </c>
      <c r="E92" s="100">
        <f t="shared" si="4"/>
        <v>8.5973958085973713E-20</v>
      </c>
      <c r="F92" s="100">
        <f t="shared" si="4"/>
        <v>8.5973958085973713E-20</v>
      </c>
      <c r="G92" s="100">
        <f t="shared" si="4"/>
        <v>0</v>
      </c>
      <c r="H92" s="100">
        <f t="shared" si="4"/>
        <v>0</v>
      </c>
      <c r="I92" s="100">
        <f t="shared" si="4"/>
        <v>0</v>
      </c>
      <c r="J92" s="100">
        <f t="shared" si="4"/>
        <v>0</v>
      </c>
      <c r="K92" s="100">
        <f t="shared" si="4"/>
        <v>0</v>
      </c>
      <c r="L92" s="100">
        <f t="shared" si="4"/>
        <v>0</v>
      </c>
      <c r="M92" s="100">
        <f t="shared" si="4"/>
        <v>0</v>
      </c>
      <c r="N92" s="100">
        <f t="shared" si="4"/>
        <v>0</v>
      </c>
      <c r="O92" s="100">
        <f t="shared" si="4"/>
        <v>0</v>
      </c>
      <c r="P92" s="100">
        <f t="shared" si="4"/>
        <v>0</v>
      </c>
      <c r="Q92" s="100">
        <f t="shared" si="4"/>
        <v>0</v>
      </c>
      <c r="R92" s="100">
        <f t="shared" si="4"/>
        <v>0</v>
      </c>
      <c r="S92" s="100">
        <f t="shared" si="3"/>
        <v>0</v>
      </c>
      <c r="T92" s="100">
        <f t="shared" si="3"/>
        <v>0</v>
      </c>
      <c r="U92" s="100">
        <f t="shared" si="3"/>
        <v>0</v>
      </c>
      <c r="V92" s="100">
        <f t="shared" si="3"/>
        <v>0</v>
      </c>
      <c r="W92" s="100">
        <f t="shared" si="3"/>
        <v>0</v>
      </c>
      <c r="X92" s="100">
        <f t="shared" si="3"/>
        <v>0</v>
      </c>
      <c r="Y92" s="100">
        <f t="shared" si="3"/>
        <v>0</v>
      </c>
      <c r="Z92" s="100">
        <f t="shared" si="3"/>
        <v>0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0</v>
      </c>
      <c r="AJ92" s="100">
        <f t="shared" si="3"/>
        <v>0</v>
      </c>
      <c r="AK92" s="100">
        <f t="shared" si="3"/>
        <v>0</v>
      </c>
      <c r="AL92" s="100">
        <f t="shared" si="3"/>
        <v>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6.5465038440747108E-20</v>
      </c>
      <c r="D93" s="100">
        <f t="shared" si="4"/>
        <v>6.5465038440747108E-20</v>
      </c>
      <c r="E93" s="100">
        <f t="shared" si="4"/>
        <v>6.5465038440747108E-20</v>
      </c>
      <c r="F93" s="100">
        <f t="shared" si="4"/>
        <v>6.5465038440747108E-20</v>
      </c>
      <c r="G93" s="100">
        <f t="shared" si="4"/>
        <v>5.4554198700622588E-20</v>
      </c>
      <c r="H93" s="100">
        <f t="shared" si="4"/>
        <v>5.4554198700622588E-20</v>
      </c>
      <c r="I93" s="100">
        <f t="shared" si="4"/>
        <v>5.4554198700622588E-20</v>
      </c>
      <c r="J93" s="100">
        <f t="shared" si="4"/>
        <v>5.4554198700622588E-20</v>
      </c>
      <c r="K93" s="100">
        <f t="shared" si="4"/>
        <v>5.4554198700622588E-20</v>
      </c>
      <c r="L93" s="100">
        <f t="shared" si="4"/>
        <v>5.4554198700622588E-20</v>
      </c>
      <c r="M93" s="100">
        <f t="shared" si="4"/>
        <v>5.4554198700622588E-20</v>
      </c>
      <c r="N93" s="100">
        <f t="shared" si="4"/>
        <v>5.4554198700622588E-20</v>
      </c>
      <c r="O93" s="100">
        <f t="shared" si="4"/>
        <v>6.5465038440747108E-20</v>
      </c>
      <c r="P93" s="100">
        <f t="shared" si="4"/>
        <v>6.5465038440747108E-20</v>
      </c>
      <c r="Q93" s="100">
        <f t="shared" si="4"/>
        <v>6.5465038440747108E-20</v>
      </c>
      <c r="R93" s="100">
        <f t="shared" si="4"/>
        <v>6.5465038440747108E-20</v>
      </c>
      <c r="S93" s="100">
        <f t="shared" si="3"/>
        <v>5.4554198700622588E-20</v>
      </c>
      <c r="T93" s="100">
        <f t="shared" si="3"/>
        <v>5.4554198700622588E-20</v>
      </c>
      <c r="U93" s="100">
        <f t="shared" si="3"/>
        <v>5.4554198700622588E-20</v>
      </c>
      <c r="V93" s="100">
        <f t="shared" si="3"/>
        <v>5.4554198700622588E-20</v>
      </c>
      <c r="W93" s="100">
        <f t="shared" si="3"/>
        <v>5.4554198700622588E-20</v>
      </c>
      <c r="X93" s="100">
        <f t="shared" si="3"/>
        <v>5.4554198700622588E-20</v>
      </c>
      <c r="Y93" s="100">
        <f t="shared" si="3"/>
        <v>5.4554198700622588E-20</v>
      </c>
      <c r="Z93" s="100">
        <f t="shared" si="3"/>
        <v>5.4554198700622588E-20</v>
      </c>
      <c r="AA93" s="100">
        <f t="shared" si="3"/>
        <v>5.4554198700622588E-20</v>
      </c>
      <c r="AB93" s="100">
        <f t="shared" si="3"/>
        <v>5.4554198700622588E-20</v>
      </c>
      <c r="AC93" s="100">
        <f t="shared" si="3"/>
        <v>5.4554198700622588E-20</v>
      </c>
      <c r="AD93" s="100">
        <f t="shared" si="3"/>
        <v>5.4554198700622588E-20</v>
      </c>
      <c r="AE93" s="100">
        <f t="shared" si="3"/>
        <v>6.5465038440747108E-20</v>
      </c>
      <c r="AF93" s="100">
        <f t="shared" si="3"/>
        <v>6.5465038440747108E-20</v>
      </c>
      <c r="AG93" s="100">
        <f t="shared" si="3"/>
        <v>6.5465038440747108E-20</v>
      </c>
      <c r="AH93" s="100">
        <f t="shared" si="3"/>
        <v>6.5465038440747108E-20</v>
      </c>
      <c r="AI93" s="100">
        <f t="shared" si="3"/>
        <v>5.4554198700622588E-20</v>
      </c>
      <c r="AJ93" s="100">
        <f t="shared" si="3"/>
        <v>5.4554198700622588E-20</v>
      </c>
      <c r="AK93" s="100">
        <f t="shared" si="3"/>
        <v>5.4554198700622588E-20</v>
      </c>
      <c r="AL93" s="100">
        <f t="shared" si="3"/>
        <v>5.4554198700622588E-20</v>
      </c>
      <c r="AM93" s="100">
        <f t="shared" si="3"/>
        <v>4.3643358960498074E-20</v>
      </c>
      <c r="AN93" s="100">
        <f t="shared" si="3"/>
        <v>4.3643358960498074E-20</v>
      </c>
      <c r="AO93" s="100">
        <f t="shared" si="3"/>
        <v>4.3643358960498074E-20</v>
      </c>
      <c r="AP93" s="100">
        <f t="shared" si="3"/>
        <v>4.3643358960498074E-20</v>
      </c>
      <c r="AQ93" s="100">
        <f t="shared" si="3"/>
        <v>5.4554198700622588E-20</v>
      </c>
      <c r="AR93" s="100">
        <f t="shared" si="3"/>
        <v>5.4554198700622588E-20</v>
      </c>
      <c r="AS93" s="100">
        <f t="shared" si="3"/>
        <v>5.4554198700622588E-20</v>
      </c>
      <c r="AT93" s="100">
        <f t="shared" si="3"/>
        <v>5.4554198700622588E-20</v>
      </c>
      <c r="AU93" s="100">
        <f t="shared" si="3"/>
        <v>6.5465038440747108E-20</v>
      </c>
      <c r="AV93" s="100">
        <f t="shared" si="3"/>
        <v>6.5465038440747108E-20</v>
      </c>
      <c r="AW93" s="100">
        <f t="shared" si="3"/>
        <v>6.5465038440747108E-20</v>
      </c>
      <c r="AX93" s="100">
        <f t="shared" si="3"/>
        <v>6.5465038440747108E-20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1.5982119571661526E-17</v>
      </c>
      <c r="D98" s="100">
        <v>1.5982119571661526E-17</v>
      </c>
      <c r="E98" s="100">
        <v>1.5982119571661526E-17</v>
      </c>
      <c r="F98" s="100">
        <v>1.5982119571661526E-17</v>
      </c>
      <c r="G98" s="100">
        <v>1.5982119571661526E-17</v>
      </c>
      <c r="H98" s="100">
        <v>1.5982119571661526E-17</v>
      </c>
      <c r="I98" s="100">
        <v>1.5982119571661526E-17</v>
      </c>
      <c r="J98" s="100">
        <v>1.5982119571661526E-17</v>
      </c>
      <c r="K98" s="100">
        <v>1.5982119571661526E-17</v>
      </c>
      <c r="L98" s="100">
        <v>1.5982119571661526E-17</v>
      </c>
      <c r="M98" s="100">
        <v>1.5982119571661526E-17</v>
      </c>
      <c r="N98" s="100">
        <v>1.5982119571661526E-17</v>
      </c>
      <c r="O98" s="100">
        <v>1.2785785143691641E-17</v>
      </c>
      <c r="P98" s="100">
        <v>1.2785785143691641E-17</v>
      </c>
      <c r="Q98" s="100">
        <v>1.2785785143691641E-17</v>
      </c>
      <c r="R98" s="100">
        <v>1.2785785143691641E-17</v>
      </c>
      <c r="S98" s="100">
        <v>1.5982119571661526E-17</v>
      </c>
      <c r="T98" s="100">
        <v>1.5982119571661526E-17</v>
      </c>
      <c r="U98" s="100">
        <v>1.5982119571661526E-17</v>
      </c>
      <c r="V98" s="100">
        <v>1.5982119571661526E-17</v>
      </c>
      <c r="W98" s="100">
        <v>1.5982119571661526E-17</v>
      </c>
      <c r="X98" s="100">
        <v>1.5982119571661526E-17</v>
      </c>
      <c r="Y98" s="100">
        <v>1.5982119571661526E-17</v>
      </c>
      <c r="Z98" s="100">
        <v>1.5982119571661526E-17</v>
      </c>
      <c r="AA98" s="100">
        <v>1.5982119571661526E-17</v>
      </c>
      <c r="AB98" s="100">
        <v>1.5982119571661526E-17</v>
      </c>
      <c r="AC98" s="100">
        <v>1.5982119571661526E-17</v>
      </c>
      <c r="AD98" s="100">
        <v>1.5982119571661526E-17</v>
      </c>
      <c r="AE98" s="100">
        <v>1.5982119571661526E-17</v>
      </c>
      <c r="AF98" s="100">
        <v>1.5982119571661526E-17</v>
      </c>
      <c r="AG98" s="100">
        <v>1.5982119571661526E-17</v>
      </c>
      <c r="AH98" s="100">
        <v>1.5982119571661526E-17</v>
      </c>
      <c r="AI98" s="100">
        <v>1.5982119571661526E-17</v>
      </c>
      <c r="AJ98" s="100">
        <v>1.5982119571661526E-17</v>
      </c>
      <c r="AK98" s="100">
        <v>1.5982119571661526E-17</v>
      </c>
      <c r="AL98" s="100">
        <v>1.5982119571661526E-17</v>
      </c>
      <c r="AM98" s="100">
        <v>1.5982119571661526E-17</v>
      </c>
      <c r="AN98" s="100">
        <v>1.5982119571661526E-17</v>
      </c>
      <c r="AO98" s="100">
        <v>1.5982119571661526E-17</v>
      </c>
      <c r="AP98" s="100">
        <v>1.5982119571661526E-17</v>
      </c>
      <c r="AQ98" s="100">
        <v>1.5982119571661526E-17</v>
      </c>
      <c r="AR98" s="100">
        <v>1.5982119571661526E-17</v>
      </c>
      <c r="AS98" s="100">
        <v>1.5982119571661526E-17</v>
      </c>
      <c r="AT98" s="100">
        <v>1.5982119571661526E-17</v>
      </c>
      <c r="AU98" s="100">
        <v>1.5982119571661526E-17</v>
      </c>
      <c r="AV98" s="100">
        <v>1.5982119571661526E-17</v>
      </c>
      <c r="AW98" s="100">
        <v>1.5982119571661526E-17</v>
      </c>
      <c r="AX98" s="100">
        <v>1.5982119571661526E-17</v>
      </c>
    </row>
    <row r="99" spans="1:50">
      <c r="B99" s="105" t="s">
        <v>12</v>
      </c>
      <c r="C99" s="100">
        <v>415845.16265998367</v>
      </c>
      <c r="D99" s="100">
        <v>415845.16265998367</v>
      </c>
      <c r="E99" s="100">
        <v>415845.16265998367</v>
      </c>
      <c r="F99" s="100">
        <v>415845.16265998367</v>
      </c>
      <c r="G99" s="100">
        <v>415845.16265998367</v>
      </c>
      <c r="H99" s="100">
        <v>415845.16265998367</v>
      </c>
      <c r="I99" s="100">
        <v>415845.16265998367</v>
      </c>
      <c r="J99" s="100">
        <v>415845.16265998367</v>
      </c>
      <c r="K99" s="100">
        <v>415845.16265998367</v>
      </c>
      <c r="L99" s="100">
        <v>415845.16265998367</v>
      </c>
      <c r="M99" s="100">
        <v>415845.16265998367</v>
      </c>
      <c r="N99" s="100">
        <v>415845.16265998367</v>
      </c>
      <c r="O99" s="100">
        <v>332678.45850944892</v>
      </c>
      <c r="P99" s="100">
        <v>332678.45850944892</v>
      </c>
      <c r="Q99" s="100">
        <v>332678.45850944892</v>
      </c>
      <c r="R99" s="100">
        <v>332678.45850944892</v>
      </c>
      <c r="S99" s="100">
        <v>415845.16265998367</v>
      </c>
      <c r="T99" s="100">
        <v>415845.16265998367</v>
      </c>
      <c r="U99" s="100">
        <v>415845.16265998367</v>
      </c>
      <c r="V99" s="100">
        <v>415845.16265998367</v>
      </c>
      <c r="W99" s="100">
        <v>415845.16265998367</v>
      </c>
      <c r="X99" s="100">
        <v>415845.16265998367</v>
      </c>
      <c r="Y99" s="100">
        <v>415845.16265998367</v>
      </c>
      <c r="Z99" s="100">
        <v>415845.16265998367</v>
      </c>
      <c r="AA99" s="100">
        <v>415845.16265998367</v>
      </c>
      <c r="AB99" s="100">
        <v>415845.16265998367</v>
      </c>
      <c r="AC99" s="100">
        <v>415845.16265998367</v>
      </c>
      <c r="AD99" s="100">
        <v>415845.16265998367</v>
      </c>
      <c r="AE99" s="100">
        <v>415845.16265998367</v>
      </c>
      <c r="AF99" s="100">
        <v>415845.16265998367</v>
      </c>
      <c r="AG99" s="100">
        <v>415845.16265998367</v>
      </c>
      <c r="AH99" s="100">
        <v>415845.16265998367</v>
      </c>
      <c r="AI99" s="100">
        <v>415845.16265998367</v>
      </c>
      <c r="AJ99" s="100">
        <v>415845.16265998367</v>
      </c>
      <c r="AK99" s="100">
        <v>415845.16265998367</v>
      </c>
      <c r="AL99" s="100">
        <v>415845.16265998367</v>
      </c>
      <c r="AM99" s="100">
        <v>415845.16265998367</v>
      </c>
      <c r="AN99" s="100">
        <v>415845.16265998367</v>
      </c>
      <c r="AO99" s="100">
        <v>415845.16265998367</v>
      </c>
      <c r="AP99" s="100">
        <v>415845.16265998367</v>
      </c>
      <c r="AQ99" s="100">
        <v>415845.16265998367</v>
      </c>
      <c r="AR99" s="100">
        <v>415845.16265998367</v>
      </c>
      <c r="AS99" s="100">
        <v>415845.16265998367</v>
      </c>
      <c r="AT99" s="100">
        <v>415845.16265998367</v>
      </c>
      <c r="AU99" s="100">
        <v>415845.16265998367</v>
      </c>
      <c r="AV99" s="100">
        <v>415845.16265998367</v>
      </c>
      <c r="AW99" s="100">
        <v>415845.16265998367</v>
      </c>
      <c r="AX99" s="100">
        <v>415845.16265998367</v>
      </c>
    </row>
    <row r="100" spans="1:50">
      <c r="B100" s="105" t="s">
        <v>22</v>
      </c>
      <c r="C100" s="100">
        <v>1.4852848596419603E-18</v>
      </c>
      <c r="D100" s="100">
        <v>1.4852848596419603E-18</v>
      </c>
      <c r="E100" s="100">
        <v>1.4852848596419603E-18</v>
      </c>
      <c r="F100" s="100">
        <v>1.4852848596419603E-18</v>
      </c>
      <c r="G100" s="100">
        <v>1.4852848596419603E-18</v>
      </c>
      <c r="H100" s="100">
        <v>1.4852848596419603E-18</v>
      </c>
      <c r="I100" s="100">
        <v>1.4852848596419603E-18</v>
      </c>
      <c r="J100" s="100">
        <v>1.4852848596419603E-18</v>
      </c>
      <c r="K100" s="100">
        <v>1.4852848596419603E-18</v>
      </c>
      <c r="L100" s="100">
        <v>1.4852848596419603E-18</v>
      </c>
      <c r="M100" s="100">
        <v>1.4852848596419603E-18</v>
      </c>
      <c r="N100" s="100">
        <v>1.4852848596419603E-18</v>
      </c>
      <c r="O100" s="100">
        <v>1.1882362040535034E-18</v>
      </c>
      <c r="P100" s="100">
        <v>1.1882362040535034E-18</v>
      </c>
      <c r="Q100" s="100">
        <v>1.1882362040535034E-18</v>
      </c>
      <c r="R100" s="100">
        <v>1.1882362040535034E-18</v>
      </c>
      <c r="S100" s="100">
        <v>1.4852848596419603E-18</v>
      </c>
      <c r="T100" s="100">
        <v>1.4852848596419603E-18</v>
      </c>
      <c r="U100" s="100">
        <v>1.4852848596419603E-18</v>
      </c>
      <c r="V100" s="100">
        <v>1.4852848596419603E-18</v>
      </c>
      <c r="W100" s="100">
        <v>1.4852848596419603E-18</v>
      </c>
      <c r="X100" s="100">
        <v>1.4852848596419603E-18</v>
      </c>
      <c r="Y100" s="100">
        <v>1.4852848596419603E-18</v>
      </c>
      <c r="Z100" s="100">
        <v>1.4852848596419603E-18</v>
      </c>
      <c r="AA100" s="100">
        <v>1.4852848596419603E-18</v>
      </c>
      <c r="AB100" s="100">
        <v>1.4852848596419603E-18</v>
      </c>
      <c r="AC100" s="100">
        <v>1.4852848596419603E-18</v>
      </c>
      <c r="AD100" s="100">
        <v>1.4852848596419603E-18</v>
      </c>
      <c r="AE100" s="100">
        <v>1.4852848596419603E-18</v>
      </c>
      <c r="AF100" s="100">
        <v>1.4852848596419603E-18</v>
      </c>
      <c r="AG100" s="100">
        <v>1.4852848596419603E-18</v>
      </c>
      <c r="AH100" s="100">
        <v>1.4852848596419603E-18</v>
      </c>
      <c r="AI100" s="100">
        <v>1.4852848596419603E-18</v>
      </c>
      <c r="AJ100" s="100">
        <v>1.4852848596419603E-18</v>
      </c>
      <c r="AK100" s="100">
        <v>1.4852848596419603E-18</v>
      </c>
      <c r="AL100" s="100">
        <v>1.4852848596419603E-18</v>
      </c>
      <c r="AM100" s="100">
        <v>1.4852848596419603E-18</v>
      </c>
      <c r="AN100" s="100">
        <v>1.4852848596419603E-18</v>
      </c>
      <c r="AO100" s="100">
        <v>1.4852848596419603E-18</v>
      </c>
      <c r="AP100" s="100">
        <v>1.4852848596419603E-18</v>
      </c>
      <c r="AQ100" s="100">
        <v>1.4852848596419603E-18</v>
      </c>
      <c r="AR100" s="100">
        <v>1.4852848596419603E-18</v>
      </c>
      <c r="AS100" s="100">
        <v>1.4852848596419603E-18</v>
      </c>
      <c r="AT100" s="100">
        <v>1.4852848596419603E-18</v>
      </c>
      <c r="AU100" s="100">
        <v>1.4852848596419603E-18</v>
      </c>
      <c r="AV100" s="100">
        <v>1.4852848596419603E-18</v>
      </c>
      <c r="AW100" s="100">
        <v>1.4852848596419603E-18</v>
      </c>
      <c r="AX100" s="100">
        <v>1.4852848596419603E-18</v>
      </c>
    </row>
    <row r="101" spans="1:50">
      <c r="B101" s="105" t="s">
        <v>46</v>
      </c>
      <c r="C101" s="100">
        <v>2.0010864396015921E-18</v>
      </c>
      <c r="D101" s="100">
        <v>2.0010864396015921E-18</v>
      </c>
      <c r="E101" s="100">
        <v>2.0010864396015921E-18</v>
      </c>
      <c r="F101" s="100">
        <v>2.0010864396015921E-18</v>
      </c>
      <c r="G101" s="100">
        <v>2.0010864396015921E-18</v>
      </c>
      <c r="H101" s="100">
        <v>2.0010864396015921E-18</v>
      </c>
      <c r="I101" s="100">
        <v>2.0010864396015921E-18</v>
      </c>
      <c r="J101" s="100">
        <v>2.0010864396015921E-18</v>
      </c>
      <c r="K101" s="100">
        <v>2.0010864396015921E-18</v>
      </c>
      <c r="L101" s="100">
        <v>2.0010864396015921E-18</v>
      </c>
      <c r="M101" s="100">
        <v>2.0010864396015921E-18</v>
      </c>
      <c r="N101" s="100">
        <v>2.0010864396015921E-18</v>
      </c>
      <c r="O101" s="100">
        <v>1.6008803560741301E-18</v>
      </c>
      <c r="P101" s="100">
        <v>1.6008803560741301E-18</v>
      </c>
      <c r="Q101" s="100">
        <v>1.6008803560741301E-18</v>
      </c>
      <c r="R101" s="100">
        <v>1.6008803560741301E-18</v>
      </c>
      <c r="S101" s="100">
        <v>2.0010864396015921E-18</v>
      </c>
      <c r="T101" s="100">
        <v>2.0010864396015921E-18</v>
      </c>
      <c r="U101" s="100">
        <v>2.0010864396015921E-18</v>
      </c>
      <c r="V101" s="100">
        <v>2.0010864396015921E-18</v>
      </c>
      <c r="W101" s="100">
        <v>2.0010864396015921E-18</v>
      </c>
      <c r="X101" s="100">
        <v>2.0010864396015921E-18</v>
      </c>
      <c r="Y101" s="100">
        <v>2.0010864396015921E-18</v>
      </c>
      <c r="Z101" s="100">
        <v>2.0010864396015921E-18</v>
      </c>
      <c r="AA101" s="100">
        <v>2.0010864396015921E-18</v>
      </c>
      <c r="AB101" s="100">
        <v>2.0010864396015921E-18</v>
      </c>
      <c r="AC101" s="100">
        <v>2.0010864396015921E-18</v>
      </c>
      <c r="AD101" s="100">
        <v>2.0010864396015921E-18</v>
      </c>
      <c r="AE101" s="100">
        <v>2.0010864396015921E-18</v>
      </c>
      <c r="AF101" s="100">
        <v>2.0010864396015921E-18</v>
      </c>
      <c r="AG101" s="100">
        <v>2.0010864396015921E-18</v>
      </c>
      <c r="AH101" s="100">
        <v>2.0010864396015921E-18</v>
      </c>
      <c r="AI101" s="100">
        <v>2.0010864396015921E-18</v>
      </c>
      <c r="AJ101" s="100">
        <v>2.0010864396015921E-18</v>
      </c>
      <c r="AK101" s="100">
        <v>2.0010864396015921E-18</v>
      </c>
      <c r="AL101" s="100">
        <v>2.0010864396015921E-18</v>
      </c>
      <c r="AM101" s="100">
        <v>2.0010864396015921E-18</v>
      </c>
      <c r="AN101" s="100">
        <v>2.0010864396015921E-18</v>
      </c>
      <c r="AO101" s="100">
        <v>2.0010864396015921E-18</v>
      </c>
      <c r="AP101" s="100">
        <v>2.0010864396015921E-18</v>
      </c>
      <c r="AQ101" s="100">
        <v>2.0010864396015921E-18</v>
      </c>
      <c r="AR101" s="100">
        <v>2.0010864396015921E-18</v>
      </c>
      <c r="AS101" s="100">
        <v>2.0010864396015921E-18</v>
      </c>
      <c r="AT101" s="100">
        <v>2.0010864396015921E-18</v>
      </c>
      <c r="AU101" s="100">
        <v>2.0010864396015921E-18</v>
      </c>
      <c r="AV101" s="100">
        <v>2.0010864396015921E-18</v>
      </c>
      <c r="AW101" s="100">
        <v>2.0010864396015921E-18</v>
      </c>
      <c r="AX101" s="100">
        <v>2.0010864396015921E-18</v>
      </c>
    </row>
    <row r="102" spans="1:50">
      <c r="B102" s="105" t="s">
        <v>59</v>
      </c>
      <c r="C102" s="100">
        <v>264437.33968852495</v>
      </c>
      <c r="D102" s="100">
        <v>264437.33968852495</v>
      </c>
      <c r="E102" s="100">
        <v>264437.33968852495</v>
      </c>
      <c r="F102" s="100">
        <v>264437.33968852495</v>
      </c>
      <c r="G102" s="100">
        <v>264437.33968852495</v>
      </c>
      <c r="H102" s="100">
        <v>264437.33968852495</v>
      </c>
      <c r="I102" s="100">
        <v>264437.33968852495</v>
      </c>
      <c r="J102" s="100">
        <v>264437.33968852495</v>
      </c>
      <c r="K102" s="100">
        <v>264437.33968852495</v>
      </c>
      <c r="L102" s="100">
        <v>264437.33968852495</v>
      </c>
      <c r="M102" s="100">
        <v>264437.33968852495</v>
      </c>
      <c r="N102" s="100">
        <v>264437.33968852495</v>
      </c>
      <c r="O102" s="100">
        <v>211551.35237643475</v>
      </c>
      <c r="P102" s="100">
        <v>211551.35237643475</v>
      </c>
      <c r="Q102" s="100">
        <v>211551.35237643475</v>
      </c>
      <c r="R102" s="100">
        <v>211551.35237643475</v>
      </c>
      <c r="S102" s="100">
        <v>264437.33968852495</v>
      </c>
      <c r="T102" s="100">
        <v>264437.33968852495</v>
      </c>
      <c r="U102" s="100">
        <v>264437.33968852495</v>
      </c>
      <c r="V102" s="100">
        <v>264437.33968852495</v>
      </c>
      <c r="W102" s="100">
        <v>264437.33968852495</v>
      </c>
      <c r="X102" s="100">
        <v>264437.33968852495</v>
      </c>
      <c r="Y102" s="100">
        <v>264437.33968852495</v>
      </c>
      <c r="Z102" s="100">
        <v>264437.33968852495</v>
      </c>
      <c r="AA102" s="100">
        <v>264437.33968852495</v>
      </c>
      <c r="AB102" s="100">
        <v>264437.33968852495</v>
      </c>
      <c r="AC102" s="100">
        <v>264437.33968852495</v>
      </c>
      <c r="AD102" s="100">
        <v>264437.33968852495</v>
      </c>
      <c r="AE102" s="100">
        <v>264437.33968852495</v>
      </c>
      <c r="AF102" s="100">
        <v>264437.33968852495</v>
      </c>
      <c r="AG102" s="100">
        <v>264437.33968852495</v>
      </c>
      <c r="AH102" s="100">
        <v>264437.33968852495</v>
      </c>
      <c r="AI102" s="100">
        <v>264437.33968852495</v>
      </c>
      <c r="AJ102" s="100">
        <v>264437.33968852495</v>
      </c>
      <c r="AK102" s="100">
        <v>264437.33968852495</v>
      </c>
      <c r="AL102" s="100">
        <v>264437.33968852495</v>
      </c>
      <c r="AM102" s="100">
        <v>264437.33968852495</v>
      </c>
      <c r="AN102" s="100">
        <v>264437.33968852495</v>
      </c>
      <c r="AO102" s="100">
        <v>264437.33968852495</v>
      </c>
      <c r="AP102" s="100">
        <v>264437.33968852495</v>
      </c>
      <c r="AQ102" s="100">
        <v>264437.33968852495</v>
      </c>
      <c r="AR102" s="100">
        <v>264437.33968852495</v>
      </c>
      <c r="AS102" s="100">
        <v>264437.33968852495</v>
      </c>
      <c r="AT102" s="100">
        <v>264437.33968852495</v>
      </c>
      <c r="AU102" s="100">
        <v>264437.33968852495</v>
      </c>
      <c r="AV102" s="100">
        <v>264437.33968852495</v>
      </c>
      <c r="AW102" s="100">
        <v>264437.33968852495</v>
      </c>
      <c r="AX102" s="100">
        <v>264437.33968852495</v>
      </c>
    </row>
    <row r="103" spans="1:50">
      <c r="B103" s="100" t="s">
        <v>278</v>
      </c>
      <c r="C103" s="105">
        <f>SUM(C$98:C$102)</f>
        <v>680282.50234850869</v>
      </c>
      <c r="D103" s="105">
        <f t="shared" ref="D103:AX103" si="5">SUM(D$98:D$102)</f>
        <v>680282.50234850869</v>
      </c>
      <c r="E103" s="105">
        <f t="shared" si="5"/>
        <v>680282.50234850869</v>
      </c>
      <c r="F103" s="105">
        <f t="shared" si="5"/>
        <v>680282.50234850869</v>
      </c>
      <c r="G103" s="105">
        <f t="shared" si="5"/>
        <v>680282.50234850869</v>
      </c>
      <c r="H103" s="105">
        <f t="shared" si="5"/>
        <v>680282.50234850869</v>
      </c>
      <c r="I103" s="105">
        <f t="shared" si="5"/>
        <v>680282.50234850869</v>
      </c>
      <c r="J103" s="105">
        <f t="shared" si="5"/>
        <v>680282.50234850869</v>
      </c>
      <c r="K103" s="105">
        <f t="shared" si="5"/>
        <v>680282.50234850869</v>
      </c>
      <c r="L103" s="105">
        <f t="shared" si="5"/>
        <v>680282.50234850869</v>
      </c>
      <c r="M103" s="105">
        <f t="shared" si="5"/>
        <v>680282.50234850869</v>
      </c>
      <c r="N103" s="105">
        <f t="shared" si="5"/>
        <v>680282.50234850869</v>
      </c>
      <c r="O103" s="105">
        <f t="shared" si="5"/>
        <v>544229.81088588363</v>
      </c>
      <c r="P103" s="105">
        <f t="shared" si="5"/>
        <v>544229.81088588363</v>
      </c>
      <c r="Q103" s="105">
        <f t="shared" si="5"/>
        <v>544229.81088588363</v>
      </c>
      <c r="R103" s="105">
        <f t="shared" si="5"/>
        <v>544229.81088588363</v>
      </c>
      <c r="S103" s="105">
        <f t="shared" si="5"/>
        <v>680282.50234850869</v>
      </c>
      <c r="T103" s="105">
        <f t="shared" si="5"/>
        <v>680282.50234850869</v>
      </c>
      <c r="U103" s="105">
        <f t="shared" si="5"/>
        <v>680282.50234850869</v>
      </c>
      <c r="V103" s="105">
        <f t="shared" si="5"/>
        <v>680282.50234850869</v>
      </c>
      <c r="W103" s="105">
        <f t="shared" si="5"/>
        <v>680282.50234850869</v>
      </c>
      <c r="X103" s="105">
        <f t="shared" si="5"/>
        <v>680282.50234850869</v>
      </c>
      <c r="Y103" s="105">
        <f t="shared" si="5"/>
        <v>680282.50234850869</v>
      </c>
      <c r="Z103" s="105">
        <f t="shared" si="5"/>
        <v>680282.50234850869</v>
      </c>
      <c r="AA103" s="105">
        <f t="shared" si="5"/>
        <v>680282.50234850869</v>
      </c>
      <c r="AB103" s="105">
        <f t="shared" si="5"/>
        <v>680282.50234850869</v>
      </c>
      <c r="AC103" s="105">
        <f t="shared" si="5"/>
        <v>680282.50234850869</v>
      </c>
      <c r="AD103" s="105">
        <f t="shared" si="5"/>
        <v>680282.50234850869</v>
      </c>
      <c r="AE103" s="105">
        <f t="shared" si="5"/>
        <v>680282.50234850869</v>
      </c>
      <c r="AF103" s="105">
        <f t="shared" si="5"/>
        <v>680282.50234850869</v>
      </c>
      <c r="AG103" s="105">
        <f t="shared" si="5"/>
        <v>680282.50234850869</v>
      </c>
      <c r="AH103" s="105">
        <f t="shared" si="5"/>
        <v>680282.50234850869</v>
      </c>
      <c r="AI103" s="105">
        <f t="shared" si="5"/>
        <v>680282.50234850869</v>
      </c>
      <c r="AJ103" s="105">
        <f t="shared" si="5"/>
        <v>680282.50234850869</v>
      </c>
      <c r="AK103" s="105">
        <f t="shared" si="5"/>
        <v>680282.50234850869</v>
      </c>
      <c r="AL103" s="105">
        <f t="shared" si="5"/>
        <v>680282.50234850869</v>
      </c>
      <c r="AM103" s="105">
        <f t="shared" si="5"/>
        <v>680282.50234850869</v>
      </c>
      <c r="AN103" s="105">
        <f t="shared" si="5"/>
        <v>680282.50234850869</v>
      </c>
      <c r="AO103" s="105">
        <f t="shared" si="5"/>
        <v>680282.50234850869</v>
      </c>
      <c r="AP103" s="105">
        <f t="shared" si="5"/>
        <v>680282.50234850869</v>
      </c>
      <c r="AQ103" s="105">
        <f t="shared" si="5"/>
        <v>680282.50234850869</v>
      </c>
      <c r="AR103" s="105">
        <f t="shared" si="5"/>
        <v>680282.50234850869</v>
      </c>
      <c r="AS103" s="105">
        <f t="shared" si="5"/>
        <v>680282.50234850869</v>
      </c>
      <c r="AT103" s="105">
        <f t="shared" si="5"/>
        <v>680282.50234850869</v>
      </c>
      <c r="AU103" s="105">
        <f t="shared" si="5"/>
        <v>680282.50234850869</v>
      </c>
      <c r="AV103" s="105">
        <f t="shared" si="5"/>
        <v>680282.50234850869</v>
      </c>
      <c r="AW103" s="105">
        <f t="shared" si="5"/>
        <v>680282.50234850869</v>
      </c>
      <c r="AX103" s="105">
        <f t="shared" si="5"/>
        <v>680282.50234850869</v>
      </c>
    </row>
    <row r="104" spans="1:50">
      <c r="A104" s="105" t="s">
        <v>105</v>
      </c>
      <c r="B104" s="105" t="s">
        <v>10</v>
      </c>
      <c r="C104" s="100">
        <v>0</v>
      </c>
      <c r="D104" s="100">
        <v>0</v>
      </c>
      <c r="E104" s="100">
        <v>0</v>
      </c>
      <c r="F104" s="100">
        <v>0</v>
      </c>
      <c r="G104" s="100">
        <v>1.0990755428291912E-18</v>
      </c>
      <c r="H104" s="100">
        <v>1.0990755428291912E-18</v>
      </c>
      <c r="I104" s="100">
        <v>1.0990755428291912E-18</v>
      </c>
      <c r="J104" s="100">
        <v>1.0990755428291912E-18</v>
      </c>
      <c r="K104" s="100">
        <v>1.0990755428291912E-18</v>
      </c>
      <c r="L104" s="100">
        <v>1.0990755428291912E-18</v>
      </c>
      <c r="M104" s="100">
        <v>1.0990755428291912E-18</v>
      </c>
      <c r="N104" s="100">
        <v>1.0990755428291912E-18</v>
      </c>
      <c r="O104" s="100">
        <v>1.0990755428291912E-18</v>
      </c>
      <c r="P104" s="100">
        <v>1.0990755428291912E-18</v>
      </c>
      <c r="Q104" s="100">
        <v>1.0990755428291912E-18</v>
      </c>
      <c r="R104" s="100">
        <v>1.0990755428291912E-18</v>
      </c>
      <c r="S104" s="100">
        <v>1.0990755428291912E-18</v>
      </c>
      <c r="T104" s="100">
        <v>1.0990755428291912E-18</v>
      </c>
      <c r="U104" s="100">
        <v>1.0990755428291912E-18</v>
      </c>
      <c r="V104" s="100">
        <v>1.0990755428291912E-18</v>
      </c>
      <c r="W104" s="100">
        <v>8.7926043426335298E-19</v>
      </c>
      <c r="X104" s="100">
        <v>8.7926043426335298E-19</v>
      </c>
      <c r="Y104" s="100">
        <v>8.7926043426335298E-19</v>
      </c>
      <c r="Z104" s="100">
        <v>8.7926043426335298E-19</v>
      </c>
      <c r="AA104" s="100">
        <v>1.0990755428291912E-18</v>
      </c>
      <c r="AB104" s="100">
        <v>1.0990755428291912E-18</v>
      </c>
      <c r="AC104" s="100">
        <v>1.0990755428291912E-18</v>
      </c>
      <c r="AD104" s="100">
        <v>1.0990755428291912E-18</v>
      </c>
      <c r="AE104" s="100">
        <v>1.0990755428291912E-18</v>
      </c>
      <c r="AF104" s="100">
        <v>1.0990755428291912E-18</v>
      </c>
      <c r="AG104" s="100">
        <v>1.0990755428291912E-18</v>
      </c>
      <c r="AH104" s="100">
        <v>1.0990755428291912E-18</v>
      </c>
      <c r="AI104" s="100">
        <v>1.0990755428291912E-18</v>
      </c>
      <c r="AJ104" s="100">
        <v>1.0990755428291912E-18</v>
      </c>
      <c r="AK104" s="100">
        <v>1.0990755428291912E-18</v>
      </c>
      <c r="AL104" s="100">
        <v>1.0990755428291912E-18</v>
      </c>
      <c r="AM104" s="100">
        <v>1.0990755428291912E-18</v>
      </c>
      <c r="AN104" s="100">
        <v>1.0990755428291912E-18</v>
      </c>
      <c r="AO104" s="100">
        <v>1.0990755428291912E-18</v>
      </c>
      <c r="AP104" s="100">
        <v>1.0990755428291912E-18</v>
      </c>
      <c r="AQ104" s="100">
        <v>1.3188906513950293E-18</v>
      </c>
      <c r="AR104" s="100">
        <v>1.3188906513950293E-18</v>
      </c>
      <c r="AS104" s="100">
        <v>1.3188906513950293E-18</v>
      </c>
      <c r="AT104" s="100">
        <v>1.3188906513950293E-18</v>
      </c>
      <c r="AU104" s="100">
        <v>1.0990755428291912E-18</v>
      </c>
      <c r="AV104" s="100">
        <v>1.0990755428291912E-18</v>
      </c>
      <c r="AW104" s="100">
        <v>1.0990755428291912E-18</v>
      </c>
      <c r="AX104" s="100">
        <v>1.0990755428291912E-18</v>
      </c>
    </row>
    <row r="105" spans="1:50">
      <c r="B105" s="105" t="s">
        <v>12</v>
      </c>
      <c r="C105" s="100">
        <v>0</v>
      </c>
      <c r="D105" s="100">
        <v>0</v>
      </c>
      <c r="E105" s="100">
        <v>0</v>
      </c>
      <c r="F105" s="100">
        <v>0</v>
      </c>
      <c r="G105" s="100">
        <v>5.036428946013811E-18</v>
      </c>
      <c r="H105" s="100">
        <v>5.036428946013811E-18</v>
      </c>
      <c r="I105" s="100">
        <v>5.036428946013811E-18</v>
      </c>
      <c r="J105" s="100">
        <v>5.036428946013811E-18</v>
      </c>
      <c r="K105" s="100">
        <v>5.036428946013811E-18</v>
      </c>
      <c r="L105" s="100">
        <v>5.036428946013811E-18</v>
      </c>
      <c r="M105" s="100">
        <v>5.036428946013811E-18</v>
      </c>
      <c r="N105" s="100">
        <v>5.036428946013811E-18</v>
      </c>
      <c r="O105" s="100">
        <v>5.036428946013811E-18</v>
      </c>
      <c r="P105" s="100">
        <v>5.036428946013811E-18</v>
      </c>
      <c r="Q105" s="100">
        <v>5.036428946013811E-18</v>
      </c>
      <c r="R105" s="100">
        <v>5.036428946013811E-18</v>
      </c>
      <c r="S105" s="100">
        <v>5.036428946013811E-18</v>
      </c>
      <c r="T105" s="100">
        <v>5.036428946013811E-18</v>
      </c>
      <c r="U105" s="100">
        <v>5.036428946013811E-18</v>
      </c>
      <c r="V105" s="100">
        <v>5.036428946013811E-18</v>
      </c>
      <c r="W105" s="100">
        <v>4.029143156811049E-18</v>
      </c>
      <c r="X105" s="100">
        <v>4.029143156811049E-18</v>
      </c>
      <c r="Y105" s="100">
        <v>4.029143156811049E-18</v>
      </c>
      <c r="Z105" s="100">
        <v>4.029143156811049E-18</v>
      </c>
      <c r="AA105" s="100">
        <v>5.036428946013811E-18</v>
      </c>
      <c r="AB105" s="100">
        <v>5.036428946013811E-18</v>
      </c>
      <c r="AC105" s="100">
        <v>5.036428946013811E-18</v>
      </c>
      <c r="AD105" s="100">
        <v>5.036428946013811E-18</v>
      </c>
      <c r="AE105" s="100">
        <v>5.036428946013811E-18</v>
      </c>
      <c r="AF105" s="100">
        <v>5.036428946013811E-18</v>
      </c>
      <c r="AG105" s="100">
        <v>5.036428946013811E-18</v>
      </c>
      <c r="AH105" s="100">
        <v>5.036428946013811E-18</v>
      </c>
      <c r="AI105" s="100">
        <v>5.036428946013811E-18</v>
      </c>
      <c r="AJ105" s="100">
        <v>5.036428946013811E-18</v>
      </c>
      <c r="AK105" s="100">
        <v>5.036428946013811E-18</v>
      </c>
      <c r="AL105" s="100">
        <v>5.036428946013811E-18</v>
      </c>
      <c r="AM105" s="100">
        <v>5.036428946013811E-18</v>
      </c>
      <c r="AN105" s="100">
        <v>5.036428946013811E-18</v>
      </c>
      <c r="AO105" s="100">
        <v>5.036428946013811E-18</v>
      </c>
      <c r="AP105" s="100">
        <v>5.036428946013811E-18</v>
      </c>
      <c r="AQ105" s="100">
        <v>6.0437147352165723E-18</v>
      </c>
      <c r="AR105" s="100">
        <v>6.0437147352165723E-18</v>
      </c>
      <c r="AS105" s="100">
        <v>6.0437147352165723E-18</v>
      </c>
      <c r="AT105" s="100">
        <v>6.0437147352165723E-18</v>
      </c>
      <c r="AU105" s="100">
        <v>5.036428946013811E-18</v>
      </c>
      <c r="AV105" s="100">
        <v>5.036428946013811E-18</v>
      </c>
      <c r="AW105" s="100">
        <v>5.036428946013811E-18</v>
      </c>
      <c r="AX105" s="100">
        <v>5.036428946013811E-18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1.7453951651705616E-19</v>
      </c>
      <c r="H107" s="100">
        <v>1.7453951651705616E-19</v>
      </c>
      <c r="I107" s="100">
        <v>1.7453951651705616E-19</v>
      </c>
      <c r="J107" s="100">
        <v>1.7453951651705616E-19</v>
      </c>
      <c r="K107" s="100">
        <v>1.7453951651705616E-19</v>
      </c>
      <c r="L107" s="100">
        <v>1.7453951651705616E-19</v>
      </c>
      <c r="M107" s="100">
        <v>1.7453951651705616E-19</v>
      </c>
      <c r="N107" s="100">
        <v>1.7453951651705616E-19</v>
      </c>
      <c r="O107" s="100">
        <v>1.7453951651705616E-19</v>
      </c>
      <c r="P107" s="100">
        <v>1.7453951651705616E-19</v>
      </c>
      <c r="Q107" s="100">
        <v>1.7453951651705616E-19</v>
      </c>
      <c r="R107" s="100">
        <v>1.7453951651705616E-19</v>
      </c>
      <c r="S107" s="100">
        <v>1.7453951651705616E-19</v>
      </c>
      <c r="T107" s="100">
        <v>1.7453951651705616E-19</v>
      </c>
      <c r="U107" s="100">
        <v>1.7453951651705616E-19</v>
      </c>
      <c r="V107" s="100">
        <v>1.7453951651705616E-19</v>
      </c>
      <c r="W107" s="100">
        <v>1.3963161321364494E-19</v>
      </c>
      <c r="X107" s="100">
        <v>1.3963161321364494E-19</v>
      </c>
      <c r="Y107" s="100">
        <v>1.3963161321364494E-19</v>
      </c>
      <c r="Z107" s="100">
        <v>1.3963161321364494E-19</v>
      </c>
      <c r="AA107" s="100">
        <v>1.7453951651705616E-19</v>
      </c>
      <c r="AB107" s="100">
        <v>1.7453951651705616E-19</v>
      </c>
      <c r="AC107" s="100">
        <v>1.7453951651705616E-19</v>
      </c>
      <c r="AD107" s="100">
        <v>1.7453951651705616E-19</v>
      </c>
      <c r="AE107" s="100">
        <v>1.7453951651705616E-19</v>
      </c>
      <c r="AF107" s="100">
        <v>1.7453951651705616E-19</v>
      </c>
      <c r="AG107" s="100">
        <v>1.7453951651705616E-19</v>
      </c>
      <c r="AH107" s="100">
        <v>1.7453951651705616E-19</v>
      </c>
      <c r="AI107" s="100">
        <v>1.7453951651705616E-19</v>
      </c>
      <c r="AJ107" s="100">
        <v>1.7453951651705616E-19</v>
      </c>
      <c r="AK107" s="100">
        <v>1.7453951651705616E-19</v>
      </c>
      <c r="AL107" s="100">
        <v>1.7453951651705616E-19</v>
      </c>
      <c r="AM107" s="100">
        <v>1.7453951651705616E-19</v>
      </c>
      <c r="AN107" s="100">
        <v>1.7453951651705616E-19</v>
      </c>
      <c r="AO107" s="100">
        <v>1.7453951651705616E-19</v>
      </c>
      <c r="AP107" s="100">
        <v>1.7453951651705616E-19</v>
      </c>
      <c r="AQ107" s="100">
        <v>2.0944741982046736E-19</v>
      </c>
      <c r="AR107" s="100">
        <v>2.0944741982046736E-19</v>
      </c>
      <c r="AS107" s="100">
        <v>2.0944741982046736E-19</v>
      </c>
      <c r="AT107" s="100">
        <v>2.0944741982046736E-19</v>
      </c>
      <c r="AU107" s="100">
        <v>1.7453951651705616E-19</v>
      </c>
      <c r="AV107" s="100">
        <v>1.7453951651705616E-19</v>
      </c>
      <c r="AW107" s="100">
        <v>1.7453951651705616E-19</v>
      </c>
      <c r="AX107" s="100">
        <v>1.7453951651705616E-19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0</v>
      </c>
      <c r="D109" s="105">
        <f t="shared" ref="D109:AX109" si="6">SUM(D$104:D$108)</f>
        <v>0</v>
      </c>
      <c r="E109" s="105">
        <f t="shared" si="6"/>
        <v>0</v>
      </c>
      <c r="F109" s="105">
        <f t="shared" si="6"/>
        <v>0</v>
      </c>
      <c r="G109" s="105">
        <f t="shared" si="6"/>
        <v>6.3100440053600591E-18</v>
      </c>
      <c r="H109" s="105">
        <f t="shared" si="6"/>
        <v>6.3100440053600591E-18</v>
      </c>
      <c r="I109" s="105">
        <f t="shared" si="6"/>
        <v>6.3100440053600591E-18</v>
      </c>
      <c r="J109" s="105">
        <f t="shared" si="6"/>
        <v>6.3100440053600591E-18</v>
      </c>
      <c r="K109" s="105">
        <f t="shared" si="6"/>
        <v>6.3100440053600591E-18</v>
      </c>
      <c r="L109" s="105">
        <f t="shared" si="6"/>
        <v>6.3100440053600591E-18</v>
      </c>
      <c r="M109" s="105">
        <f t="shared" si="6"/>
        <v>6.3100440053600591E-18</v>
      </c>
      <c r="N109" s="105">
        <f t="shared" si="6"/>
        <v>6.3100440053600591E-18</v>
      </c>
      <c r="O109" s="105">
        <f t="shared" si="6"/>
        <v>6.3100440053600591E-18</v>
      </c>
      <c r="P109" s="105">
        <f t="shared" si="6"/>
        <v>6.3100440053600591E-18</v>
      </c>
      <c r="Q109" s="105">
        <f t="shared" si="6"/>
        <v>6.3100440053600591E-18</v>
      </c>
      <c r="R109" s="105">
        <f t="shared" si="6"/>
        <v>6.3100440053600591E-18</v>
      </c>
      <c r="S109" s="105">
        <f t="shared" si="6"/>
        <v>6.3100440053600591E-18</v>
      </c>
      <c r="T109" s="105">
        <f t="shared" si="6"/>
        <v>6.3100440053600591E-18</v>
      </c>
      <c r="U109" s="105">
        <f t="shared" si="6"/>
        <v>6.3100440053600591E-18</v>
      </c>
      <c r="V109" s="105">
        <f t="shared" si="6"/>
        <v>6.3100440053600591E-18</v>
      </c>
      <c r="W109" s="105">
        <f t="shared" si="6"/>
        <v>5.0480352042880471E-18</v>
      </c>
      <c r="X109" s="105">
        <f t="shared" si="6"/>
        <v>5.0480352042880471E-18</v>
      </c>
      <c r="Y109" s="105">
        <f t="shared" si="6"/>
        <v>5.0480352042880471E-18</v>
      </c>
      <c r="Z109" s="105">
        <f t="shared" si="6"/>
        <v>5.0480352042880471E-18</v>
      </c>
      <c r="AA109" s="105">
        <f t="shared" si="6"/>
        <v>6.3100440053600591E-18</v>
      </c>
      <c r="AB109" s="105">
        <f t="shared" si="6"/>
        <v>6.3100440053600591E-18</v>
      </c>
      <c r="AC109" s="105">
        <f t="shared" si="6"/>
        <v>6.3100440053600591E-18</v>
      </c>
      <c r="AD109" s="105">
        <f t="shared" si="6"/>
        <v>6.3100440053600591E-18</v>
      </c>
      <c r="AE109" s="105">
        <f t="shared" si="6"/>
        <v>6.3100440053600591E-18</v>
      </c>
      <c r="AF109" s="105">
        <f t="shared" si="6"/>
        <v>6.3100440053600591E-18</v>
      </c>
      <c r="AG109" s="105">
        <f t="shared" si="6"/>
        <v>6.3100440053600591E-18</v>
      </c>
      <c r="AH109" s="105">
        <f t="shared" si="6"/>
        <v>6.3100440053600591E-18</v>
      </c>
      <c r="AI109" s="105">
        <f t="shared" si="6"/>
        <v>6.3100440053600591E-18</v>
      </c>
      <c r="AJ109" s="105">
        <f t="shared" si="6"/>
        <v>6.3100440053600591E-18</v>
      </c>
      <c r="AK109" s="105">
        <f t="shared" si="6"/>
        <v>6.3100440053600591E-18</v>
      </c>
      <c r="AL109" s="105">
        <f t="shared" si="6"/>
        <v>6.3100440053600591E-18</v>
      </c>
      <c r="AM109" s="105">
        <f t="shared" si="6"/>
        <v>6.3100440053600591E-18</v>
      </c>
      <c r="AN109" s="105">
        <f t="shared" si="6"/>
        <v>6.3100440053600591E-18</v>
      </c>
      <c r="AO109" s="105">
        <f t="shared" si="6"/>
        <v>6.3100440053600591E-18</v>
      </c>
      <c r="AP109" s="105">
        <f t="shared" si="6"/>
        <v>6.3100440053600591E-18</v>
      </c>
      <c r="AQ109" s="105">
        <f t="shared" si="6"/>
        <v>7.5720528064320688E-18</v>
      </c>
      <c r="AR109" s="105">
        <f t="shared" si="6"/>
        <v>7.5720528064320688E-18</v>
      </c>
      <c r="AS109" s="105">
        <f t="shared" si="6"/>
        <v>7.5720528064320688E-18</v>
      </c>
      <c r="AT109" s="105">
        <f t="shared" si="6"/>
        <v>7.5720528064320688E-18</v>
      </c>
      <c r="AU109" s="105">
        <f t="shared" si="6"/>
        <v>6.3100440053600591E-18</v>
      </c>
      <c r="AV109" s="105">
        <f t="shared" si="6"/>
        <v>6.3100440053600591E-18</v>
      </c>
      <c r="AW109" s="105">
        <f t="shared" si="6"/>
        <v>6.3100440053600591E-18</v>
      </c>
      <c r="AX109" s="105">
        <f t="shared" si="6"/>
        <v>6.3100440053600591E-18</v>
      </c>
    </row>
    <row r="110" spans="1:50">
      <c r="A110" s="105" t="s">
        <v>106</v>
      </c>
      <c r="B110" s="105" t="s">
        <v>10</v>
      </c>
      <c r="C110" s="100">
        <v>1.7378702918120963E-18</v>
      </c>
      <c r="D110" s="100">
        <v>1.7378702918120963E-18</v>
      </c>
      <c r="E110" s="100">
        <v>1.7378702918120963E-18</v>
      </c>
      <c r="F110" s="100">
        <v>1.7378702918120963E-18</v>
      </c>
      <c r="G110" s="100">
        <v>2.1723378647651204E-18</v>
      </c>
      <c r="H110" s="100">
        <v>2.1723378647651204E-18</v>
      </c>
      <c r="I110" s="100">
        <v>2.1723378647651204E-18</v>
      </c>
      <c r="J110" s="100">
        <v>2.1723378647651204E-18</v>
      </c>
      <c r="K110" s="100">
        <v>2.1723378647651204E-18</v>
      </c>
      <c r="L110" s="100">
        <v>2.1723378647651204E-18</v>
      </c>
      <c r="M110" s="100">
        <v>2.1723378647651204E-18</v>
      </c>
      <c r="N110" s="100">
        <v>2.1723378647651204E-18</v>
      </c>
      <c r="O110" s="100">
        <v>1.7378702918120963E-18</v>
      </c>
      <c r="P110" s="100">
        <v>1.7378702918120963E-18</v>
      </c>
      <c r="Q110" s="100">
        <v>1.7378702918120963E-18</v>
      </c>
      <c r="R110" s="100">
        <v>1.7378702918120963E-18</v>
      </c>
      <c r="S110" s="100">
        <v>2.1723378647651204E-18</v>
      </c>
      <c r="T110" s="100">
        <v>2.1723378647651204E-18</v>
      </c>
      <c r="U110" s="100">
        <v>2.1723378647651204E-18</v>
      </c>
      <c r="V110" s="100">
        <v>2.1723378647651204E-18</v>
      </c>
      <c r="W110" s="100">
        <v>2.1723378647651204E-18</v>
      </c>
      <c r="X110" s="100">
        <v>2.1723378647651204E-18</v>
      </c>
      <c r="Y110" s="100">
        <v>2.1723378647651204E-18</v>
      </c>
      <c r="Z110" s="100">
        <v>2.1723378647651204E-18</v>
      </c>
      <c r="AA110" s="100">
        <v>2.1723378647651204E-18</v>
      </c>
      <c r="AB110" s="100">
        <v>2.1723378647651204E-18</v>
      </c>
      <c r="AC110" s="100">
        <v>2.1723378647651204E-18</v>
      </c>
      <c r="AD110" s="100">
        <v>2.1723378647651204E-18</v>
      </c>
      <c r="AE110" s="100">
        <v>2.1723378647651204E-18</v>
      </c>
      <c r="AF110" s="100">
        <v>2.1723378647651204E-18</v>
      </c>
      <c r="AG110" s="100">
        <v>2.1723378647651204E-18</v>
      </c>
      <c r="AH110" s="100">
        <v>2.1723378647651204E-18</v>
      </c>
      <c r="AI110" s="100">
        <v>2.6068054377181445E-18</v>
      </c>
      <c r="AJ110" s="100">
        <v>2.6068054377181445E-18</v>
      </c>
      <c r="AK110" s="100">
        <v>2.6068054377181445E-18</v>
      </c>
      <c r="AL110" s="100">
        <v>2.6068054377181445E-18</v>
      </c>
      <c r="AM110" s="100">
        <v>2.1723378647651204E-18</v>
      </c>
      <c r="AN110" s="100">
        <v>2.1723378647651204E-18</v>
      </c>
      <c r="AO110" s="100">
        <v>2.1723378647651204E-18</v>
      </c>
      <c r="AP110" s="100">
        <v>2.1723378647651204E-18</v>
      </c>
      <c r="AQ110" s="100">
        <v>2.1723378647651204E-18</v>
      </c>
      <c r="AR110" s="100">
        <v>2.1723378647651204E-18</v>
      </c>
      <c r="AS110" s="100">
        <v>2.1723378647651204E-18</v>
      </c>
      <c r="AT110" s="100">
        <v>2.1723378647651204E-18</v>
      </c>
      <c r="AU110" s="100">
        <v>2.1723378647651204E-18</v>
      </c>
      <c r="AV110" s="100">
        <v>2.1723378647651204E-18</v>
      </c>
      <c r="AW110" s="100">
        <v>2.1723378647651204E-18</v>
      </c>
      <c r="AX110" s="100">
        <v>2.1723378647651204E-18</v>
      </c>
    </row>
    <row r="111" spans="1:50">
      <c r="B111" s="105" t="s">
        <v>12</v>
      </c>
      <c r="C111" s="100">
        <v>4.3000616448872855E-18</v>
      </c>
      <c r="D111" s="100">
        <v>4.3000616448872855E-18</v>
      </c>
      <c r="E111" s="100">
        <v>4.3000616448872855E-18</v>
      </c>
      <c r="F111" s="100">
        <v>4.3000616448872855E-18</v>
      </c>
      <c r="G111" s="100">
        <v>5.3750770561091074E-18</v>
      </c>
      <c r="H111" s="100">
        <v>5.3750770561091074E-18</v>
      </c>
      <c r="I111" s="100">
        <v>5.3750770561091074E-18</v>
      </c>
      <c r="J111" s="100">
        <v>5.3750770561091074E-18</v>
      </c>
      <c r="K111" s="100">
        <v>5.3750770561091074E-18</v>
      </c>
      <c r="L111" s="100">
        <v>5.3750770561091074E-18</v>
      </c>
      <c r="M111" s="100">
        <v>5.3750770561091074E-18</v>
      </c>
      <c r="N111" s="100">
        <v>5.3750770561091074E-18</v>
      </c>
      <c r="O111" s="100">
        <v>4.3000616448872855E-18</v>
      </c>
      <c r="P111" s="100">
        <v>4.3000616448872855E-18</v>
      </c>
      <c r="Q111" s="100">
        <v>4.3000616448872855E-18</v>
      </c>
      <c r="R111" s="100">
        <v>4.3000616448872855E-18</v>
      </c>
      <c r="S111" s="100">
        <v>5.3750770561091074E-18</v>
      </c>
      <c r="T111" s="100">
        <v>5.3750770561091074E-18</v>
      </c>
      <c r="U111" s="100">
        <v>5.3750770561091074E-18</v>
      </c>
      <c r="V111" s="100">
        <v>5.3750770561091074E-18</v>
      </c>
      <c r="W111" s="100">
        <v>5.3750770561091074E-18</v>
      </c>
      <c r="X111" s="100">
        <v>5.3750770561091074E-18</v>
      </c>
      <c r="Y111" s="100">
        <v>5.3750770561091074E-18</v>
      </c>
      <c r="Z111" s="100">
        <v>5.3750770561091074E-18</v>
      </c>
      <c r="AA111" s="100">
        <v>5.3750770561091074E-18</v>
      </c>
      <c r="AB111" s="100">
        <v>5.3750770561091074E-18</v>
      </c>
      <c r="AC111" s="100">
        <v>5.3750770561091074E-18</v>
      </c>
      <c r="AD111" s="100">
        <v>5.3750770561091074E-18</v>
      </c>
      <c r="AE111" s="100">
        <v>5.3750770561091074E-18</v>
      </c>
      <c r="AF111" s="100">
        <v>5.3750770561091074E-18</v>
      </c>
      <c r="AG111" s="100">
        <v>5.3750770561091074E-18</v>
      </c>
      <c r="AH111" s="100">
        <v>5.3750770561091074E-18</v>
      </c>
      <c r="AI111" s="100">
        <v>6.4500924673309286E-18</v>
      </c>
      <c r="AJ111" s="100">
        <v>6.4500924673309286E-18</v>
      </c>
      <c r="AK111" s="100">
        <v>6.4500924673309286E-18</v>
      </c>
      <c r="AL111" s="100">
        <v>6.4500924673309286E-18</v>
      </c>
      <c r="AM111" s="100">
        <v>5.3750770561091074E-18</v>
      </c>
      <c r="AN111" s="100">
        <v>5.3750770561091074E-18</v>
      </c>
      <c r="AO111" s="100">
        <v>5.3750770561091074E-18</v>
      </c>
      <c r="AP111" s="100">
        <v>5.3750770561091074E-18</v>
      </c>
      <c r="AQ111" s="100">
        <v>5.3750770561091074E-18</v>
      </c>
      <c r="AR111" s="100">
        <v>5.3750770561091074E-18</v>
      </c>
      <c r="AS111" s="100">
        <v>5.3750770561091074E-18</v>
      </c>
      <c r="AT111" s="100">
        <v>5.3750770561091074E-18</v>
      </c>
      <c r="AU111" s="100">
        <v>5.3750770561091074E-18</v>
      </c>
      <c r="AV111" s="100">
        <v>5.3750770561091074E-18</v>
      </c>
      <c r="AW111" s="100">
        <v>5.3750770561091074E-18</v>
      </c>
      <c r="AX111" s="100">
        <v>5.3750770561091074E-18</v>
      </c>
    </row>
    <row r="112" spans="1:50">
      <c r="B112" s="105" t="s">
        <v>22</v>
      </c>
      <c r="C112" s="100">
        <v>2365.44</v>
      </c>
      <c r="D112" s="100">
        <v>2365.44</v>
      </c>
      <c r="E112" s="100">
        <v>2365.44</v>
      </c>
      <c r="F112" s="100">
        <v>2365.44</v>
      </c>
      <c r="G112" s="100">
        <v>2956.8</v>
      </c>
      <c r="H112" s="100">
        <v>2956.8</v>
      </c>
      <c r="I112" s="100">
        <v>2956.8</v>
      </c>
      <c r="J112" s="100">
        <v>2956.8</v>
      </c>
      <c r="K112" s="100">
        <v>2956.8</v>
      </c>
      <c r="L112" s="100">
        <v>2956.8</v>
      </c>
      <c r="M112" s="100">
        <v>2956.8</v>
      </c>
      <c r="N112" s="100">
        <v>2956.8</v>
      </c>
      <c r="O112" s="100">
        <v>2365.44</v>
      </c>
      <c r="P112" s="100">
        <v>2365.44</v>
      </c>
      <c r="Q112" s="100">
        <v>2365.44</v>
      </c>
      <c r="R112" s="100">
        <v>2365.44</v>
      </c>
      <c r="S112" s="100">
        <v>2956.8</v>
      </c>
      <c r="T112" s="100">
        <v>2956.8</v>
      </c>
      <c r="U112" s="100">
        <v>2956.8</v>
      </c>
      <c r="V112" s="100">
        <v>2956.8</v>
      </c>
      <c r="W112" s="100">
        <v>2956.8</v>
      </c>
      <c r="X112" s="100">
        <v>2956.8</v>
      </c>
      <c r="Y112" s="100">
        <v>2956.8</v>
      </c>
      <c r="Z112" s="100">
        <v>2956.8</v>
      </c>
      <c r="AA112" s="100">
        <v>2956.8</v>
      </c>
      <c r="AB112" s="100">
        <v>2956.8</v>
      </c>
      <c r="AC112" s="100">
        <v>2956.8</v>
      </c>
      <c r="AD112" s="100">
        <v>2956.8</v>
      </c>
      <c r="AE112" s="100">
        <v>2956.8</v>
      </c>
      <c r="AF112" s="100">
        <v>2956.8</v>
      </c>
      <c r="AG112" s="100">
        <v>2956.8</v>
      </c>
      <c r="AH112" s="100">
        <v>2956.8</v>
      </c>
      <c r="AI112" s="100">
        <v>3548.16</v>
      </c>
      <c r="AJ112" s="100">
        <v>3548.16</v>
      </c>
      <c r="AK112" s="100">
        <v>3548.16</v>
      </c>
      <c r="AL112" s="100">
        <v>3548.16</v>
      </c>
      <c r="AM112" s="100">
        <v>2956.8</v>
      </c>
      <c r="AN112" s="100">
        <v>2956.8</v>
      </c>
      <c r="AO112" s="100">
        <v>2956.8</v>
      </c>
      <c r="AP112" s="100">
        <v>2956.8</v>
      </c>
      <c r="AQ112" s="100">
        <v>2956.8</v>
      </c>
      <c r="AR112" s="100">
        <v>2956.8</v>
      </c>
      <c r="AS112" s="100">
        <v>2956.8</v>
      </c>
      <c r="AT112" s="100">
        <v>2956.8</v>
      </c>
      <c r="AU112" s="100">
        <v>2956.8</v>
      </c>
      <c r="AV112" s="100">
        <v>2956.8</v>
      </c>
      <c r="AW112" s="100">
        <v>2956.8</v>
      </c>
      <c r="AX112" s="100">
        <v>2956.8</v>
      </c>
    </row>
    <row r="113" spans="1:50">
      <c r="B113" s="105" t="s">
        <v>46</v>
      </c>
      <c r="C113" s="100">
        <v>4.7363762565780662E-19</v>
      </c>
      <c r="D113" s="100">
        <v>4.7363762565780662E-19</v>
      </c>
      <c r="E113" s="100">
        <v>4.7363762565780662E-19</v>
      </c>
      <c r="F113" s="100">
        <v>4.7363762565780662E-19</v>
      </c>
      <c r="G113" s="100">
        <v>5.9204703207225828E-19</v>
      </c>
      <c r="H113" s="100">
        <v>5.9204703207225828E-19</v>
      </c>
      <c r="I113" s="100">
        <v>5.9204703207225828E-19</v>
      </c>
      <c r="J113" s="100">
        <v>5.9204703207225828E-19</v>
      </c>
      <c r="K113" s="100">
        <v>5.9204703207225828E-19</v>
      </c>
      <c r="L113" s="100">
        <v>5.9204703207225828E-19</v>
      </c>
      <c r="M113" s="100">
        <v>5.9204703207225828E-19</v>
      </c>
      <c r="N113" s="100">
        <v>5.9204703207225828E-19</v>
      </c>
      <c r="O113" s="100">
        <v>4.7363762565780662E-19</v>
      </c>
      <c r="P113" s="100">
        <v>4.7363762565780662E-19</v>
      </c>
      <c r="Q113" s="100">
        <v>4.7363762565780662E-19</v>
      </c>
      <c r="R113" s="100">
        <v>4.7363762565780662E-19</v>
      </c>
      <c r="S113" s="100">
        <v>5.9204703207225828E-19</v>
      </c>
      <c r="T113" s="100">
        <v>5.9204703207225828E-19</v>
      </c>
      <c r="U113" s="100">
        <v>5.9204703207225828E-19</v>
      </c>
      <c r="V113" s="100">
        <v>5.9204703207225828E-19</v>
      </c>
      <c r="W113" s="100">
        <v>5.9204703207225828E-19</v>
      </c>
      <c r="X113" s="100">
        <v>5.9204703207225828E-19</v>
      </c>
      <c r="Y113" s="100">
        <v>5.9204703207225828E-19</v>
      </c>
      <c r="Z113" s="100">
        <v>5.9204703207225828E-19</v>
      </c>
      <c r="AA113" s="100">
        <v>5.9204703207225828E-19</v>
      </c>
      <c r="AB113" s="100">
        <v>5.9204703207225828E-19</v>
      </c>
      <c r="AC113" s="100">
        <v>5.9204703207225828E-19</v>
      </c>
      <c r="AD113" s="100">
        <v>5.9204703207225828E-19</v>
      </c>
      <c r="AE113" s="100">
        <v>5.9204703207225828E-19</v>
      </c>
      <c r="AF113" s="100">
        <v>5.9204703207225828E-19</v>
      </c>
      <c r="AG113" s="100">
        <v>5.9204703207225828E-19</v>
      </c>
      <c r="AH113" s="100">
        <v>5.9204703207225828E-19</v>
      </c>
      <c r="AI113" s="100">
        <v>7.1045643848670993E-19</v>
      </c>
      <c r="AJ113" s="100">
        <v>7.1045643848670993E-19</v>
      </c>
      <c r="AK113" s="100">
        <v>7.1045643848670993E-19</v>
      </c>
      <c r="AL113" s="100">
        <v>7.1045643848670993E-19</v>
      </c>
      <c r="AM113" s="100">
        <v>5.9204703207225828E-19</v>
      </c>
      <c r="AN113" s="100">
        <v>5.9204703207225828E-19</v>
      </c>
      <c r="AO113" s="100">
        <v>5.9204703207225828E-19</v>
      </c>
      <c r="AP113" s="100">
        <v>5.9204703207225828E-19</v>
      </c>
      <c r="AQ113" s="100">
        <v>5.9204703207225828E-19</v>
      </c>
      <c r="AR113" s="100">
        <v>5.9204703207225828E-19</v>
      </c>
      <c r="AS113" s="100">
        <v>5.9204703207225828E-19</v>
      </c>
      <c r="AT113" s="100">
        <v>5.9204703207225828E-19</v>
      </c>
      <c r="AU113" s="100">
        <v>5.9204703207225828E-19</v>
      </c>
      <c r="AV113" s="100">
        <v>5.9204703207225828E-19</v>
      </c>
      <c r="AW113" s="100">
        <v>5.9204703207225828E-19</v>
      </c>
      <c r="AX113" s="100">
        <v>5.9204703207225828E-19</v>
      </c>
    </row>
    <row r="114" spans="1:50">
      <c r="B114" s="105" t="s">
        <v>59</v>
      </c>
      <c r="C114" s="100">
        <v>8.8350411096045707E-19</v>
      </c>
      <c r="D114" s="100">
        <v>8.8350411096045707E-19</v>
      </c>
      <c r="E114" s="100">
        <v>8.8350411096045707E-19</v>
      </c>
      <c r="F114" s="100">
        <v>8.8350411096045707E-19</v>
      </c>
      <c r="G114" s="100">
        <v>1.1043801387005714E-18</v>
      </c>
      <c r="H114" s="100">
        <v>1.1043801387005714E-18</v>
      </c>
      <c r="I114" s="100">
        <v>1.1043801387005714E-18</v>
      </c>
      <c r="J114" s="100">
        <v>1.1043801387005714E-18</v>
      </c>
      <c r="K114" s="100">
        <v>1.1043801387005714E-18</v>
      </c>
      <c r="L114" s="100">
        <v>1.1043801387005714E-18</v>
      </c>
      <c r="M114" s="100">
        <v>1.1043801387005714E-18</v>
      </c>
      <c r="N114" s="100">
        <v>1.1043801387005714E-18</v>
      </c>
      <c r="O114" s="100">
        <v>8.8350411096045707E-19</v>
      </c>
      <c r="P114" s="100">
        <v>8.8350411096045707E-19</v>
      </c>
      <c r="Q114" s="100">
        <v>8.8350411096045707E-19</v>
      </c>
      <c r="R114" s="100">
        <v>8.8350411096045707E-19</v>
      </c>
      <c r="S114" s="100">
        <v>1.1043801387005714E-18</v>
      </c>
      <c r="T114" s="100">
        <v>1.1043801387005714E-18</v>
      </c>
      <c r="U114" s="100">
        <v>1.1043801387005714E-18</v>
      </c>
      <c r="V114" s="100">
        <v>1.1043801387005714E-18</v>
      </c>
      <c r="W114" s="100">
        <v>1.1043801387005714E-18</v>
      </c>
      <c r="X114" s="100">
        <v>1.1043801387005714E-18</v>
      </c>
      <c r="Y114" s="100">
        <v>1.1043801387005714E-18</v>
      </c>
      <c r="Z114" s="100">
        <v>1.1043801387005714E-18</v>
      </c>
      <c r="AA114" s="100">
        <v>1.1043801387005714E-18</v>
      </c>
      <c r="AB114" s="100">
        <v>1.1043801387005714E-18</v>
      </c>
      <c r="AC114" s="100">
        <v>1.1043801387005714E-18</v>
      </c>
      <c r="AD114" s="100">
        <v>1.1043801387005714E-18</v>
      </c>
      <c r="AE114" s="100">
        <v>1.1043801387005714E-18</v>
      </c>
      <c r="AF114" s="100">
        <v>1.1043801387005714E-18</v>
      </c>
      <c r="AG114" s="100">
        <v>1.1043801387005714E-18</v>
      </c>
      <c r="AH114" s="100">
        <v>1.1043801387005714E-18</v>
      </c>
      <c r="AI114" s="100">
        <v>1.3252561664406857E-18</v>
      </c>
      <c r="AJ114" s="100">
        <v>1.3252561664406857E-18</v>
      </c>
      <c r="AK114" s="100">
        <v>1.3252561664406857E-18</v>
      </c>
      <c r="AL114" s="100">
        <v>1.3252561664406857E-18</v>
      </c>
      <c r="AM114" s="100">
        <v>1.1043801387005714E-18</v>
      </c>
      <c r="AN114" s="100">
        <v>1.1043801387005714E-18</v>
      </c>
      <c r="AO114" s="100">
        <v>1.1043801387005714E-18</v>
      </c>
      <c r="AP114" s="100">
        <v>1.1043801387005714E-18</v>
      </c>
      <c r="AQ114" s="100">
        <v>1.1043801387005714E-18</v>
      </c>
      <c r="AR114" s="100">
        <v>1.1043801387005714E-18</v>
      </c>
      <c r="AS114" s="100">
        <v>1.1043801387005714E-18</v>
      </c>
      <c r="AT114" s="100">
        <v>1.1043801387005714E-18</v>
      </c>
      <c r="AU114" s="100">
        <v>1.1043801387005714E-18</v>
      </c>
      <c r="AV114" s="100">
        <v>1.1043801387005714E-18</v>
      </c>
      <c r="AW114" s="100">
        <v>1.1043801387005714E-18</v>
      </c>
      <c r="AX114" s="100">
        <v>1.1043801387005714E-18</v>
      </c>
    </row>
    <row r="115" spans="1:50">
      <c r="B115" s="100" t="s">
        <v>278</v>
      </c>
      <c r="C115" s="105">
        <f>SUM(C$110:C$114)</f>
        <v>2365.44</v>
      </c>
      <c r="D115" s="105">
        <f t="shared" ref="D115:AX115" si="7">SUM(D$110:D$114)</f>
        <v>2365.44</v>
      </c>
      <c r="E115" s="105">
        <f t="shared" si="7"/>
        <v>2365.44</v>
      </c>
      <c r="F115" s="105">
        <f t="shared" si="7"/>
        <v>2365.44</v>
      </c>
      <c r="G115" s="105">
        <f t="shared" si="7"/>
        <v>2956.8</v>
      </c>
      <c r="H115" s="105">
        <f t="shared" si="7"/>
        <v>2956.8</v>
      </c>
      <c r="I115" s="105">
        <f t="shared" si="7"/>
        <v>2956.8</v>
      </c>
      <c r="J115" s="105">
        <f t="shared" si="7"/>
        <v>2956.8</v>
      </c>
      <c r="K115" s="105">
        <f t="shared" si="7"/>
        <v>2956.8</v>
      </c>
      <c r="L115" s="105">
        <f t="shared" si="7"/>
        <v>2956.8</v>
      </c>
      <c r="M115" s="105">
        <f t="shared" si="7"/>
        <v>2956.8</v>
      </c>
      <c r="N115" s="105">
        <f t="shared" si="7"/>
        <v>2956.8</v>
      </c>
      <c r="O115" s="105">
        <f t="shared" si="7"/>
        <v>2365.44</v>
      </c>
      <c r="P115" s="105">
        <f t="shared" si="7"/>
        <v>2365.44</v>
      </c>
      <c r="Q115" s="105">
        <f t="shared" si="7"/>
        <v>2365.44</v>
      </c>
      <c r="R115" s="105">
        <f t="shared" si="7"/>
        <v>2365.44</v>
      </c>
      <c r="S115" s="105">
        <f t="shared" si="7"/>
        <v>2956.8</v>
      </c>
      <c r="T115" s="105">
        <f t="shared" si="7"/>
        <v>2956.8</v>
      </c>
      <c r="U115" s="105">
        <f t="shared" si="7"/>
        <v>2956.8</v>
      </c>
      <c r="V115" s="105">
        <f t="shared" si="7"/>
        <v>2956.8</v>
      </c>
      <c r="W115" s="105">
        <f t="shared" si="7"/>
        <v>2956.8</v>
      </c>
      <c r="X115" s="105">
        <f t="shared" si="7"/>
        <v>2956.8</v>
      </c>
      <c r="Y115" s="105">
        <f t="shared" si="7"/>
        <v>2956.8</v>
      </c>
      <c r="Z115" s="105">
        <f t="shared" si="7"/>
        <v>2956.8</v>
      </c>
      <c r="AA115" s="105">
        <f t="shared" si="7"/>
        <v>2956.8</v>
      </c>
      <c r="AB115" s="105">
        <f t="shared" si="7"/>
        <v>2956.8</v>
      </c>
      <c r="AC115" s="105">
        <f t="shared" si="7"/>
        <v>2956.8</v>
      </c>
      <c r="AD115" s="105">
        <f t="shared" si="7"/>
        <v>2956.8</v>
      </c>
      <c r="AE115" s="105">
        <f t="shared" si="7"/>
        <v>2956.8</v>
      </c>
      <c r="AF115" s="105">
        <f t="shared" si="7"/>
        <v>2956.8</v>
      </c>
      <c r="AG115" s="105">
        <f t="shared" si="7"/>
        <v>2956.8</v>
      </c>
      <c r="AH115" s="105">
        <f t="shared" si="7"/>
        <v>2956.8</v>
      </c>
      <c r="AI115" s="105">
        <f t="shared" si="7"/>
        <v>3548.16</v>
      </c>
      <c r="AJ115" s="105">
        <f t="shared" si="7"/>
        <v>3548.16</v>
      </c>
      <c r="AK115" s="105">
        <f t="shared" si="7"/>
        <v>3548.16</v>
      </c>
      <c r="AL115" s="105">
        <f t="shared" si="7"/>
        <v>3548.16</v>
      </c>
      <c r="AM115" s="105">
        <f t="shared" si="7"/>
        <v>2956.8</v>
      </c>
      <c r="AN115" s="105">
        <f t="shared" si="7"/>
        <v>2956.8</v>
      </c>
      <c r="AO115" s="105">
        <f t="shared" si="7"/>
        <v>2956.8</v>
      </c>
      <c r="AP115" s="105">
        <f t="shared" si="7"/>
        <v>2956.8</v>
      </c>
      <c r="AQ115" s="105">
        <f t="shared" si="7"/>
        <v>2956.8</v>
      </c>
      <c r="AR115" s="105">
        <f t="shared" si="7"/>
        <v>2956.8</v>
      </c>
      <c r="AS115" s="105">
        <f t="shared" si="7"/>
        <v>2956.8</v>
      </c>
      <c r="AT115" s="105">
        <f t="shared" si="7"/>
        <v>2956.8</v>
      </c>
      <c r="AU115" s="105">
        <f t="shared" si="7"/>
        <v>2956.8</v>
      </c>
      <c r="AV115" s="105">
        <f t="shared" si="7"/>
        <v>2956.8</v>
      </c>
      <c r="AW115" s="105">
        <f t="shared" si="7"/>
        <v>2956.8</v>
      </c>
      <c r="AX115" s="105">
        <f t="shared" si="7"/>
        <v>2956.8</v>
      </c>
    </row>
    <row r="116" spans="1:50">
      <c r="A116" s="105" t="s">
        <v>107</v>
      </c>
      <c r="B116" s="105" t="s">
        <v>10</v>
      </c>
      <c r="C116" s="100">
        <v>11616.000000000065</v>
      </c>
      <c r="D116" s="100">
        <v>11616.000000000065</v>
      </c>
      <c r="E116" s="100">
        <v>11616.000000000065</v>
      </c>
      <c r="F116" s="100">
        <v>11616.000000000065</v>
      </c>
      <c r="G116" s="100">
        <v>11616.000000000065</v>
      </c>
      <c r="H116" s="100">
        <v>11616.000000000065</v>
      </c>
      <c r="I116" s="100">
        <v>11616.000000000065</v>
      </c>
      <c r="J116" s="100">
        <v>11616.000000000065</v>
      </c>
      <c r="K116" s="100">
        <v>11616.000000000065</v>
      </c>
      <c r="L116" s="100">
        <v>11616.000000000065</v>
      </c>
      <c r="M116" s="100">
        <v>11616.000000000065</v>
      </c>
      <c r="N116" s="100">
        <v>11616.000000000065</v>
      </c>
      <c r="O116" s="100">
        <v>11616.000000000065</v>
      </c>
      <c r="P116" s="100">
        <v>11616.000000000065</v>
      </c>
      <c r="Q116" s="100">
        <v>11616.000000000065</v>
      </c>
      <c r="R116" s="100">
        <v>11616.000000000065</v>
      </c>
      <c r="S116" s="100">
        <v>11616.000000000065</v>
      </c>
      <c r="T116" s="100">
        <v>11616.000000000065</v>
      </c>
      <c r="U116" s="100">
        <v>11616.000000000065</v>
      </c>
      <c r="V116" s="100">
        <v>11616.000000000065</v>
      </c>
      <c r="W116" s="100">
        <v>11616.000000000065</v>
      </c>
      <c r="X116" s="100">
        <v>11616.000000000065</v>
      </c>
      <c r="Y116" s="100">
        <v>11616.000000000065</v>
      </c>
      <c r="Z116" s="100">
        <v>11616.000000000065</v>
      </c>
      <c r="AA116" s="100">
        <v>11616.000000000065</v>
      </c>
      <c r="AB116" s="100">
        <v>11616.000000000065</v>
      </c>
      <c r="AC116" s="100">
        <v>11616.000000000065</v>
      </c>
      <c r="AD116" s="100">
        <v>11616.000000000065</v>
      </c>
      <c r="AE116" s="100">
        <v>11616.000000000065</v>
      </c>
      <c r="AF116" s="100">
        <v>11616.000000000065</v>
      </c>
      <c r="AG116" s="100">
        <v>11616.000000000065</v>
      </c>
      <c r="AH116" s="100">
        <v>11616.000000000065</v>
      </c>
      <c r="AI116" s="100">
        <v>11616.000000000065</v>
      </c>
      <c r="AJ116" s="100">
        <v>11616.000000000065</v>
      </c>
      <c r="AK116" s="100">
        <v>11616.000000000065</v>
      </c>
      <c r="AL116" s="100">
        <v>11616.000000000065</v>
      </c>
      <c r="AM116" s="100">
        <v>11616.000000000065</v>
      </c>
      <c r="AN116" s="100">
        <v>11616.000000000065</v>
      </c>
      <c r="AO116" s="100">
        <v>11616.000000000065</v>
      </c>
      <c r="AP116" s="100">
        <v>11616.000000000065</v>
      </c>
      <c r="AQ116" s="100">
        <v>11616.000000000065</v>
      </c>
      <c r="AR116" s="100">
        <v>11616.000000000065</v>
      </c>
      <c r="AS116" s="100">
        <v>11616.000000000065</v>
      </c>
      <c r="AT116" s="100">
        <v>11616.000000000065</v>
      </c>
      <c r="AU116" s="100">
        <v>11616.000000000065</v>
      </c>
      <c r="AV116" s="100">
        <v>11616.000000000065</v>
      </c>
      <c r="AW116" s="100">
        <v>11616.000000000065</v>
      </c>
      <c r="AX116" s="100">
        <v>11616.000000000065</v>
      </c>
    </row>
    <row r="117" spans="1:50">
      <c r="B117" s="105" t="s">
        <v>12</v>
      </c>
      <c r="C117" s="100">
        <v>1.0218307887559923E-17</v>
      </c>
      <c r="D117" s="100">
        <v>1.0218307887559923E-17</v>
      </c>
      <c r="E117" s="100">
        <v>1.0218307887559923E-17</v>
      </c>
      <c r="F117" s="100">
        <v>1.0218307887559923E-17</v>
      </c>
      <c r="G117" s="100">
        <v>1.0218307887559923E-17</v>
      </c>
      <c r="H117" s="100">
        <v>1.0218307887559923E-17</v>
      </c>
      <c r="I117" s="100">
        <v>1.0218307887559923E-17</v>
      </c>
      <c r="J117" s="100">
        <v>1.0218307887559923E-17</v>
      </c>
      <c r="K117" s="100">
        <v>1.0218307887559923E-17</v>
      </c>
      <c r="L117" s="100">
        <v>1.0218307887559923E-17</v>
      </c>
      <c r="M117" s="100">
        <v>1.0218307887559923E-17</v>
      </c>
      <c r="N117" s="100">
        <v>1.0218307887559923E-17</v>
      </c>
      <c r="O117" s="100">
        <v>1.0218307887559923E-17</v>
      </c>
      <c r="P117" s="100">
        <v>1.0218307887559923E-17</v>
      </c>
      <c r="Q117" s="100">
        <v>1.0218307887559923E-17</v>
      </c>
      <c r="R117" s="100">
        <v>1.0218307887559923E-17</v>
      </c>
      <c r="S117" s="100">
        <v>1.0218307887559923E-17</v>
      </c>
      <c r="T117" s="100">
        <v>1.0218307887559923E-17</v>
      </c>
      <c r="U117" s="100">
        <v>1.0218307887559923E-17</v>
      </c>
      <c r="V117" s="100">
        <v>1.0218307887559923E-17</v>
      </c>
      <c r="W117" s="100">
        <v>1.0218307887559923E-17</v>
      </c>
      <c r="X117" s="100">
        <v>1.0218307887559923E-17</v>
      </c>
      <c r="Y117" s="100">
        <v>1.0218307887559923E-17</v>
      </c>
      <c r="Z117" s="100">
        <v>1.0218307887559923E-17</v>
      </c>
      <c r="AA117" s="100">
        <v>1.0218307887559923E-17</v>
      </c>
      <c r="AB117" s="100">
        <v>1.0218307887559923E-17</v>
      </c>
      <c r="AC117" s="100">
        <v>1.0218307887559923E-17</v>
      </c>
      <c r="AD117" s="100">
        <v>1.0218307887559923E-17</v>
      </c>
      <c r="AE117" s="100">
        <v>1.0218307887559923E-17</v>
      </c>
      <c r="AF117" s="100">
        <v>1.0218307887559923E-17</v>
      </c>
      <c r="AG117" s="100">
        <v>1.0218307887559923E-17</v>
      </c>
      <c r="AH117" s="100">
        <v>1.0218307887559923E-17</v>
      </c>
      <c r="AI117" s="100">
        <v>1.0218307887559923E-17</v>
      </c>
      <c r="AJ117" s="100">
        <v>1.0218307887559923E-17</v>
      </c>
      <c r="AK117" s="100">
        <v>1.0218307887559923E-17</v>
      </c>
      <c r="AL117" s="100">
        <v>1.0218307887559923E-17</v>
      </c>
      <c r="AM117" s="100">
        <v>1.0218307887559923E-17</v>
      </c>
      <c r="AN117" s="100">
        <v>1.0218307887559923E-17</v>
      </c>
      <c r="AO117" s="100">
        <v>1.0218307887559923E-17</v>
      </c>
      <c r="AP117" s="100">
        <v>1.0218307887559923E-17</v>
      </c>
      <c r="AQ117" s="100">
        <v>1.0218307887559923E-17</v>
      </c>
      <c r="AR117" s="100">
        <v>1.0218307887559923E-17</v>
      </c>
      <c r="AS117" s="100">
        <v>1.0218307887559923E-17</v>
      </c>
      <c r="AT117" s="100">
        <v>1.0218307887559923E-17</v>
      </c>
      <c r="AU117" s="100">
        <v>1.0218307887559923E-17</v>
      </c>
      <c r="AV117" s="100">
        <v>1.0218307887559923E-17</v>
      </c>
      <c r="AW117" s="100">
        <v>1.0218307887559923E-17</v>
      </c>
      <c r="AX117" s="100">
        <v>1.0218307887559923E-17</v>
      </c>
    </row>
    <row r="118" spans="1:50">
      <c r="B118" s="105" t="s">
        <v>22</v>
      </c>
      <c r="C118" s="100">
        <v>5.8511727628378599E-18</v>
      </c>
      <c r="D118" s="100">
        <v>5.8511727628378599E-18</v>
      </c>
      <c r="E118" s="100">
        <v>5.8511727628378599E-18</v>
      </c>
      <c r="F118" s="100">
        <v>5.8511727628378599E-18</v>
      </c>
      <c r="G118" s="100">
        <v>5.8511727628378599E-18</v>
      </c>
      <c r="H118" s="100">
        <v>5.8511727628378599E-18</v>
      </c>
      <c r="I118" s="100">
        <v>5.8511727628378599E-18</v>
      </c>
      <c r="J118" s="100">
        <v>5.8511727628378599E-18</v>
      </c>
      <c r="K118" s="100">
        <v>5.8511727628378599E-18</v>
      </c>
      <c r="L118" s="100">
        <v>5.8511727628378599E-18</v>
      </c>
      <c r="M118" s="100">
        <v>5.8511727628378599E-18</v>
      </c>
      <c r="N118" s="100">
        <v>5.8511727628378599E-18</v>
      </c>
      <c r="O118" s="100">
        <v>5.8511727628378599E-18</v>
      </c>
      <c r="P118" s="100">
        <v>5.8511727628378599E-18</v>
      </c>
      <c r="Q118" s="100">
        <v>5.8511727628378599E-18</v>
      </c>
      <c r="R118" s="100">
        <v>5.8511727628378599E-18</v>
      </c>
      <c r="S118" s="100">
        <v>5.8511727628378599E-18</v>
      </c>
      <c r="T118" s="100">
        <v>5.8511727628378599E-18</v>
      </c>
      <c r="U118" s="100">
        <v>5.8511727628378599E-18</v>
      </c>
      <c r="V118" s="100">
        <v>5.8511727628378599E-18</v>
      </c>
      <c r="W118" s="100">
        <v>5.8511727628378599E-18</v>
      </c>
      <c r="X118" s="100">
        <v>5.8511727628378599E-18</v>
      </c>
      <c r="Y118" s="100">
        <v>5.8511727628378599E-18</v>
      </c>
      <c r="Z118" s="100">
        <v>5.8511727628378599E-18</v>
      </c>
      <c r="AA118" s="100">
        <v>5.8511727628378599E-18</v>
      </c>
      <c r="AB118" s="100">
        <v>5.8511727628378599E-18</v>
      </c>
      <c r="AC118" s="100">
        <v>5.8511727628378599E-18</v>
      </c>
      <c r="AD118" s="100">
        <v>5.8511727628378599E-18</v>
      </c>
      <c r="AE118" s="100">
        <v>5.8511727628378599E-18</v>
      </c>
      <c r="AF118" s="100">
        <v>5.8511727628378599E-18</v>
      </c>
      <c r="AG118" s="100">
        <v>5.8511727628378599E-18</v>
      </c>
      <c r="AH118" s="100">
        <v>5.8511727628378599E-18</v>
      </c>
      <c r="AI118" s="100">
        <v>5.8511727628378599E-18</v>
      </c>
      <c r="AJ118" s="100">
        <v>5.8511727628378599E-18</v>
      </c>
      <c r="AK118" s="100">
        <v>5.8511727628378599E-18</v>
      </c>
      <c r="AL118" s="100">
        <v>5.8511727628378599E-18</v>
      </c>
      <c r="AM118" s="100">
        <v>5.8511727628378599E-18</v>
      </c>
      <c r="AN118" s="100">
        <v>5.8511727628378599E-18</v>
      </c>
      <c r="AO118" s="100">
        <v>5.8511727628378599E-18</v>
      </c>
      <c r="AP118" s="100">
        <v>5.8511727628378599E-18</v>
      </c>
      <c r="AQ118" s="100">
        <v>5.8511727628378599E-18</v>
      </c>
      <c r="AR118" s="100">
        <v>5.8511727628378599E-18</v>
      </c>
      <c r="AS118" s="100">
        <v>5.8511727628378599E-18</v>
      </c>
      <c r="AT118" s="100">
        <v>5.8511727628378599E-18</v>
      </c>
      <c r="AU118" s="100">
        <v>5.8511727628378599E-18</v>
      </c>
      <c r="AV118" s="100">
        <v>5.8511727628378599E-18</v>
      </c>
      <c r="AW118" s="100">
        <v>5.8511727628378599E-18</v>
      </c>
      <c r="AX118" s="100">
        <v>5.8511727628378599E-18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543.4</v>
      </c>
      <c r="AJ119" s="100">
        <v>543.4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543.4</v>
      </c>
      <c r="AV119" s="100">
        <v>543.4</v>
      </c>
      <c r="AW119" s="100">
        <v>543.4</v>
      </c>
      <c r="AX119" s="100">
        <v>543.4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12159.400000000065</v>
      </c>
      <c r="D121" s="105">
        <f t="shared" ref="D121:AX121" si="8">SUM(D$116:D$120)</f>
        <v>12159.400000000065</v>
      </c>
      <c r="E121" s="105">
        <f t="shared" si="8"/>
        <v>12159.400000000065</v>
      </c>
      <c r="F121" s="105">
        <f t="shared" si="8"/>
        <v>12159.400000000065</v>
      </c>
      <c r="G121" s="105">
        <f t="shared" si="8"/>
        <v>12159.400000000065</v>
      </c>
      <c r="H121" s="105">
        <f t="shared" si="8"/>
        <v>12159.400000000065</v>
      </c>
      <c r="I121" s="105">
        <f t="shared" si="8"/>
        <v>12159.400000000065</v>
      </c>
      <c r="J121" s="105">
        <f t="shared" si="8"/>
        <v>12159.400000000065</v>
      </c>
      <c r="K121" s="105">
        <f t="shared" si="8"/>
        <v>12159.400000000065</v>
      </c>
      <c r="L121" s="105">
        <f t="shared" si="8"/>
        <v>12159.400000000065</v>
      </c>
      <c r="M121" s="105">
        <f t="shared" si="8"/>
        <v>12159.400000000065</v>
      </c>
      <c r="N121" s="105">
        <f t="shared" si="8"/>
        <v>12159.400000000065</v>
      </c>
      <c r="O121" s="105">
        <f t="shared" si="8"/>
        <v>12159.400000000065</v>
      </c>
      <c r="P121" s="105">
        <f t="shared" si="8"/>
        <v>12159.400000000065</v>
      </c>
      <c r="Q121" s="105">
        <f t="shared" si="8"/>
        <v>12159.400000000065</v>
      </c>
      <c r="R121" s="105">
        <f t="shared" si="8"/>
        <v>12159.400000000065</v>
      </c>
      <c r="S121" s="105">
        <f t="shared" si="8"/>
        <v>12159.400000000065</v>
      </c>
      <c r="T121" s="105">
        <f t="shared" si="8"/>
        <v>12159.400000000065</v>
      </c>
      <c r="U121" s="105">
        <f t="shared" si="8"/>
        <v>12159.400000000065</v>
      </c>
      <c r="V121" s="105">
        <f t="shared" si="8"/>
        <v>12159.400000000065</v>
      </c>
      <c r="W121" s="105">
        <f t="shared" si="8"/>
        <v>12159.400000000065</v>
      </c>
      <c r="X121" s="105">
        <f t="shared" si="8"/>
        <v>12159.400000000065</v>
      </c>
      <c r="Y121" s="105">
        <f t="shared" si="8"/>
        <v>12159.400000000065</v>
      </c>
      <c r="Z121" s="105">
        <f t="shared" si="8"/>
        <v>12159.400000000065</v>
      </c>
      <c r="AA121" s="105">
        <f t="shared" si="8"/>
        <v>12159.400000000065</v>
      </c>
      <c r="AB121" s="105">
        <f t="shared" si="8"/>
        <v>12159.400000000065</v>
      </c>
      <c r="AC121" s="105">
        <f t="shared" si="8"/>
        <v>12159.400000000065</v>
      </c>
      <c r="AD121" s="105">
        <f t="shared" si="8"/>
        <v>12159.400000000065</v>
      </c>
      <c r="AE121" s="105">
        <f t="shared" si="8"/>
        <v>12159.400000000065</v>
      </c>
      <c r="AF121" s="105">
        <f t="shared" si="8"/>
        <v>12159.400000000065</v>
      </c>
      <c r="AG121" s="105">
        <f t="shared" si="8"/>
        <v>12159.400000000065</v>
      </c>
      <c r="AH121" s="105">
        <f t="shared" si="8"/>
        <v>12159.400000000065</v>
      </c>
      <c r="AI121" s="105">
        <f t="shared" si="8"/>
        <v>12159.400000000065</v>
      </c>
      <c r="AJ121" s="105">
        <f t="shared" si="8"/>
        <v>12159.400000000065</v>
      </c>
      <c r="AK121" s="105">
        <f t="shared" si="8"/>
        <v>12159.400000000065</v>
      </c>
      <c r="AL121" s="105">
        <f t="shared" si="8"/>
        <v>12159.400000000065</v>
      </c>
      <c r="AM121" s="105">
        <f t="shared" si="8"/>
        <v>12159.400000000065</v>
      </c>
      <c r="AN121" s="105">
        <f t="shared" si="8"/>
        <v>12159.400000000065</v>
      </c>
      <c r="AO121" s="105">
        <f t="shared" si="8"/>
        <v>12159.400000000065</v>
      </c>
      <c r="AP121" s="105">
        <f t="shared" si="8"/>
        <v>12159.400000000065</v>
      </c>
      <c r="AQ121" s="105">
        <f t="shared" si="8"/>
        <v>12159.400000000065</v>
      </c>
      <c r="AR121" s="105">
        <f t="shared" si="8"/>
        <v>12159.400000000065</v>
      </c>
      <c r="AS121" s="105">
        <f t="shared" si="8"/>
        <v>12159.400000000065</v>
      </c>
      <c r="AT121" s="105">
        <f t="shared" si="8"/>
        <v>12159.400000000065</v>
      </c>
      <c r="AU121" s="105">
        <f t="shared" si="8"/>
        <v>12159.400000000065</v>
      </c>
      <c r="AV121" s="105">
        <f t="shared" si="8"/>
        <v>12159.400000000065</v>
      </c>
      <c r="AW121" s="105">
        <f t="shared" si="8"/>
        <v>12159.400000000065</v>
      </c>
      <c r="AX121" s="105">
        <f t="shared" si="8"/>
        <v>12159.400000000065</v>
      </c>
    </row>
    <row r="122" spans="1:50">
      <c r="A122" s="105" t="s">
        <v>108</v>
      </c>
      <c r="B122" s="105" t="s">
        <v>10</v>
      </c>
      <c r="C122" s="100">
        <v>3.0682195259556037E-17</v>
      </c>
      <c r="D122" s="100">
        <v>3.0682195259556037E-17</v>
      </c>
      <c r="E122" s="100">
        <v>3.0682195259556037E-17</v>
      </c>
      <c r="F122" s="100">
        <v>3.0682195259556037E-17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0</v>
      </c>
      <c r="S122" s="100">
        <v>0</v>
      </c>
      <c r="T122" s="100">
        <v>0</v>
      </c>
      <c r="U122" s="100">
        <v>0</v>
      </c>
      <c r="V122" s="100">
        <v>0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4.74451639743916E-18</v>
      </c>
      <c r="D123" s="100">
        <v>4.74451639743916E-18</v>
      </c>
      <c r="E123" s="100">
        <v>4.74451639743916E-18</v>
      </c>
      <c r="F123" s="100">
        <v>4.74451639743916E-18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0</v>
      </c>
      <c r="R123" s="100">
        <v>0</v>
      </c>
      <c r="S123" s="100">
        <v>0</v>
      </c>
      <c r="T123" s="100">
        <v>0</v>
      </c>
      <c r="U123" s="100">
        <v>0</v>
      </c>
      <c r="V123" s="100">
        <v>0</v>
      </c>
      <c r="W123" s="100">
        <v>0</v>
      </c>
      <c r="X123" s="100">
        <v>0</v>
      </c>
      <c r="Y123" s="100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1.5216300636657726E-18</v>
      </c>
      <c r="D124" s="100">
        <v>1.5216300636657726E-18</v>
      </c>
      <c r="E124" s="100">
        <v>1.5216300636657726E-18</v>
      </c>
      <c r="F124" s="100">
        <v>1.5216300636657726E-18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3.3200665946268449E-18</v>
      </c>
      <c r="D125" s="100">
        <v>3.3200665946268449E-18</v>
      </c>
      <c r="E125" s="100">
        <v>3.3200665946268449E-18</v>
      </c>
      <c r="F125" s="100">
        <v>3.3200665946268449E-18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7.5380719113644014E-19</v>
      </c>
      <c r="D126" s="100">
        <v>7.5380719113644014E-19</v>
      </c>
      <c r="E126" s="100">
        <v>7.5380719113644014E-19</v>
      </c>
      <c r="F126" s="100">
        <v>7.5380719113644014E-19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4.1022215506424253E-17</v>
      </c>
      <c r="D127" s="105">
        <f t="shared" ref="D127:AX127" si="9">SUM(D$122:D$126)</f>
        <v>4.1022215506424253E-17</v>
      </c>
      <c r="E127" s="105">
        <f t="shared" si="9"/>
        <v>4.1022215506424253E-17</v>
      </c>
      <c r="F127" s="105">
        <f t="shared" si="9"/>
        <v>4.1022215506424253E-17</v>
      </c>
      <c r="G127" s="105">
        <f t="shared" si="9"/>
        <v>0</v>
      </c>
      <c r="H127" s="105">
        <f t="shared" si="9"/>
        <v>0</v>
      </c>
      <c r="I127" s="105">
        <f t="shared" si="9"/>
        <v>0</v>
      </c>
      <c r="J127" s="105">
        <f t="shared" si="9"/>
        <v>0</v>
      </c>
      <c r="K127" s="105">
        <f t="shared" si="9"/>
        <v>0</v>
      </c>
      <c r="L127" s="105">
        <f t="shared" si="9"/>
        <v>0</v>
      </c>
      <c r="M127" s="105">
        <f t="shared" si="9"/>
        <v>0</v>
      </c>
      <c r="N127" s="105">
        <f t="shared" si="9"/>
        <v>0</v>
      </c>
      <c r="O127" s="105">
        <f t="shared" si="9"/>
        <v>0</v>
      </c>
      <c r="P127" s="105">
        <f t="shared" si="9"/>
        <v>0</v>
      </c>
      <c r="Q127" s="105">
        <f t="shared" si="9"/>
        <v>0</v>
      </c>
      <c r="R127" s="105">
        <f t="shared" si="9"/>
        <v>0</v>
      </c>
      <c r="S127" s="105">
        <f t="shared" si="9"/>
        <v>0</v>
      </c>
      <c r="T127" s="105">
        <f t="shared" si="9"/>
        <v>0</v>
      </c>
      <c r="U127" s="105">
        <f t="shared" si="9"/>
        <v>0</v>
      </c>
      <c r="V127" s="105">
        <f t="shared" si="9"/>
        <v>0</v>
      </c>
      <c r="W127" s="105">
        <f t="shared" si="9"/>
        <v>0</v>
      </c>
      <c r="X127" s="105">
        <f t="shared" si="9"/>
        <v>0</v>
      </c>
      <c r="Y127" s="105">
        <f t="shared" si="9"/>
        <v>0</v>
      </c>
      <c r="Z127" s="105">
        <f t="shared" si="9"/>
        <v>0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0</v>
      </c>
      <c r="AJ127" s="105">
        <f t="shared" si="9"/>
        <v>0</v>
      </c>
      <c r="AK127" s="105">
        <f t="shared" si="9"/>
        <v>0</v>
      </c>
      <c r="AL127" s="105">
        <f t="shared" si="9"/>
        <v>0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4.5964138558766406E-19</v>
      </c>
      <c r="D128" s="100">
        <v>4.5964138558766406E-19</v>
      </c>
      <c r="E128" s="100">
        <v>4.5964138558766406E-19</v>
      </c>
      <c r="F128" s="100">
        <v>4.5964138558766406E-19</v>
      </c>
      <c r="G128" s="100">
        <v>3.8303448798972003E-19</v>
      </c>
      <c r="H128" s="100">
        <v>3.8303448798972003E-19</v>
      </c>
      <c r="I128" s="100">
        <v>3.8303448798972003E-19</v>
      </c>
      <c r="J128" s="100">
        <v>3.8303448798972003E-19</v>
      </c>
      <c r="K128" s="100">
        <v>3.8303448798972003E-19</v>
      </c>
      <c r="L128" s="100">
        <v>3.8303448798972003E-19</v>
      </c>
      <c r="M128" s="100">
        <v>3.8303448798972003E-19</v>
      </c>
      <c r="N128" s="100">
        <v>3.8303448798972003E-19</v>
      </c>
      <c r="O128" s="100">
        <v>4.5964138558766406E-19</v>
      </c>
      <c r="P128" s="100">
        <v>4.5964138558766406E-19</v>
      </c>
      <c r="Q128" s="100">
        <v>4.5964138558766406E-19</v>
      </c>
      <c r="R128" s="100">
        <v>4.5964138558766406E-19</v>
      </c>
      <c r="S128" s="100">
        <v>3.8303448798972003E-19</v>
      </c>
      <c r="T128" s="100">
        <v>3.8303448798972003E-19</v>
      </c>
      <c r="U128" s="100">
        <v>3.8303448798972003E-19</v>
      </c>
      <c r="V128" s="100">
        <v>3.8303448798972003E-19</v>
      </c>
      <c r="W128" s="100">
        <v>3.8303448798972003E-19</v>
      </c>
      <c r="X128" s="100">
        <v>3.8303448798972003E-19</v>
      </c>
      <c r="Y128" s="100">
        <v>3.8303448798972003E-19</v>
      </c>
      <c r="Z128" s="100">
        <v>3.8303448798972003E-19</v>
      </c>
      <c r="AA128" s="100">
        <v>3.8303448798972003E-19</v>
      </c>
      <c r="AB128" s="100">
        <v>3.8303448798972003E-19</v>
      </c>
      <c r="AC128" s="100">
        <v>3.8303448798972003E-19</v>
      </c>
      <c r="AD128" s="100">
        <v>3.8303448798972003E-19</v>
      </c>
      <c r="AE128" s="100">
        <v>4.5964138558766406E-19</v>
      </c>
      <c r="AF128" s="100">
        <v>4.5964138558766406E-19</v>
      </c>
      <c r="AG128" s="100">
        <v>4.5964138558766406E-19</v>
      </c>
      <c r="AH128" s="100">
        <v>4.5964138558766406E-19</v>
      </c>
      <c r="AI128" s="100">
        <v>3.8303448798972003E-19</v>
      </c>
      <c r="AJ128" s="100">
        <v>3.8303448798972003E-19</v>
      </c>
      <c r="AK128" s="100">
        <v>3.8303448798972003E-19</v>
      </c>
      <c r="AL128" s="100">
        <v>3.8303448798972003E-19</v>
      </c>
      <c r="AM128" s="100">
        <v>3.064275903917761E-19</v>
      </c>
      <c r="AN128" s="100">
        <v>3.064275903917761E-19</v>
      </c>
      <c r="AO128" s="100">
        <v>3.064275903917761E-19</v>
      </c>
      <c r="AP128" s="100">
        <v>3.064275903917761E-19</v>
      </c>
      <c r="AQ128" s="100">
        <v>3.8303448798972003E-19</v>
      </c>
      <c r="AR128" s="100">
        <v>3.8303448798972003E-19</v>
      </c>
      <c r="AS128" s="100">
        <v>3.8303448798972003E-19</v>
      </c>
      <c r="AT128" s="100">
        <v>3.8303448798972003E-19</v>
      </c>
      <c r="AU128" s="100">
        <v>4.5964138558766406E-19</v>
      </c>
      <c r="AV128" s="100">
        <v>4.5964138558766406E-19</v>
      </c>
      <c r="AW128" s="100">
        <v>4.5964138558766406E-19</v>
      </c>
      <c r="AX128" s="100">
        <v>4.5964138558766406E-19</v>
      </c>
    </row>
    <row r="129" spans="2:50">
      <c r="B129" s="105" t="s">
        <v>12</v>
      </c>
      <c r="C129" s="100">
        <v>1.2989204719983959E-17</v>
      </c>
      <c r="D129" s="100">
        <v>1.2989204719983959E-17</v>
      </c>
      <c r="E129" s="100">
        <v>1.2989204719983959E-17</v>
      </c>
      <c r="F129" s="100">
        <v>1.2989204719983959E-17</v>
      </c>
      <c r="G129" s="100">
        <v>1.0824337266653298E-17</v>
      </c>
      <c r="H129" s="100">
        <v>1.0824337266653298E-17</v>
      </c>
      <c r="I129" s="100">
        <v>1.0824337266653298E-17</v>
      </c>
      <c r="J129" s="100">
        <v>1.0824337266653298E-17</v>
      </c>
      <c r="K129" s="100">
        <v>1.0824337266653298E-17</v>
      </c>
      <c r="L129" s="100">
        <v>1.0824337266653298E-17</v>
      </c>
      <c r="M129" s="100">
        <v>1.0824337266653298E-17</v>
      </c>
      <c r="N129" s="100">
        <v>1.0824337266653298E-17</v>
      </c>
      <c r="O129" s="100">
        <v>1.2989204719983959E-17</v>
      </c>
      <c r="P129" s="100">
        <v>1.2989204719983959E-17</v>
      </c>
      <c r="Q129" s="100">
        <v>1.2989204719983959E-17</v>
      </c>
      <c r="R129" s="100">
        <v>1.2989204719983959E-17</v>
      </c>
      <c r="S129" s="100">
        <v>1.0824337266653298E-17</v>
      </c>
      <c r="T129" s="100">
        <v>1.0824337266653298E-17</v>
      </c>
      <c r="U129" s="100">
        <v>1.0824337266653298E-17</v>
      </c>
      <c r="V129" s="100">
        <v>1.0824337266653298E-17</v>
      </c>
      <c r="W129" s="100">
        <v>1.0824337266653298E-17</v>
      </c>
      <c r="X129" s="100">
        <v>1.0824337266653298E-17</v>
      </c>
      <c r="Y129" s="100">
        <v>1.0824337266653298E-17</v>
      </c>
      <c r="Z129" s="100">
        <v>1.0824337266653298E-17</v>
      </c>
      <c r="AA129" s="100">
        <v>1.0824337266653298E-17</v>
      </c>
      <c r="AB129" s="100">
        <v>1.0824337266653298E-17</v>
      </c>
      <c r="AC129" s="100">
        <v>1.0824337266653298E-17</v>
      </c>
      <c r="AD129" s="100">
        <v>1.0824337266653298E-17</v>
      </c>
      <c r="AE129" s="100">
        <v>1.2989204719983959E-17</v>
      </c>
      <c r="AF129" s="100">
        <v>1.2989204719983959E-17</v>
      </c>
      <c r="AG129" s="100">
        <v>1.2989204719983959E-17</v>
      </c>
      <c r="AH129" s="100">
        <v>1.2989204719983959E-17</v>
      </c>
      <c r="AI129" s="100">
        <v>1.0824337266653298E-17</v>
      </c>
      <c r="AJ129" s="100">
        <v>1.0824337266653298E-17</v>
      </c>
      <c r="AK129" s="100">
        <v>1.0824337266653298E-17</v>
      </c>
      <c r="AL129" s="100">
        <v>1.0824337266653298E-17</v>
      </c>
      <c r="AM129" s="100">
        <v>8.6594698133226396E-18</v>
      </c>
      <c r="AN129" s="100">
        <v>8.6594698133226396E-18</v>
      </c>
      <c r="AO129" s="100">
        <v>8.6594698133226396E-18</v>
      </c>
      <c r="AP129" s="100">
        <v>8.6594698133226396E-18</v>
      </c>
      <c r="AQ129" s="100">
        <v>1.0824337266653298E-17</v>
      </c>
      <c r="AR129" s="100">
        <v>1.0824337266653298E-17</v>
      </c>
      <c r="AS129" s="100">
        <v>1.0824337266653298E-17</v>
      </c>
      <c r="AT129" s="100">
        <v>1.0824337266653298E-17</v>
      </c>
      <c r="AU129" s="100">
        <v>1.2989204719983959E-17</v>
      </c>
      <c r="AV129" s="100">
        <v>1.2989204719983959E-17</v>
      </c>
      <c r="AW129" s="100">
        <v>1.2989204719983959E-17</v>
      </c>
      <c r="AX129" s="100">
        <v>1.2989204719983959E-17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3.4710929163312857E-18</v>
      </c>
      <c r="D132" s="100">
        <v>3.4710929163312857E-18</v>
      </c>
      <c r="E132" s="100">
        <v>3.4710929163312857E-18</v>
      </c>
      <c r="F132" s="100">
        <v>3.4710929163312857E-18</v>
      </c>
      <c r="G132" s="100">
        <v>2.8925774302760718E-18</v>
      </c>
      <c r="H132" s="100">
        <v>2.8925774302760718E-18</v>
      </c>
      <c r="I132" s="100">
        <v>2.8925774302760718E-18</v>
      </c>
      <c r="J132" s="100">
        <v>2.8925774302760718E-18</v>
      </c>
      <c r="K132" s="100">
        <v>2.8925774302760718E-18</v>
      </c>
      <c r="L132" s="100">
        <v>2.8925774302760718E-18</v>
      </c>
      <c r="M132" s="100">
        <v>2.8925774302760718E-18</v>
      </c>
      <c r="N132" s="100">
        <v>2.8925774302760718E-18</v>
      </c>
      <c r="O132" s="100">
        <v>3.4710929163312857E-18</v>
      </c>
      <c r="P132" s="100">
        <v>3.4710929163312857E-18</v>
      </c>
      <c r="Q132" s="100">
        <v>3.4710929163312857E-18</v>
      </c>
      <c r="R132" s="100">
        <v>3.4710929163312857E-18</v>
      </c>
      <c r="S132" s="100">
        <v>2.8925774302760718E-18</v>
      </c>
      <c r="T132" s="100">
        <v>2.8925774302760718E-18</v>
      </c>
      <c r="U132" s="100">
        <v>2.8925774302760718E-18</v>
      </c>
      <c r="V132" s="100">
        <v>2.8925774302760718E-18</v>
      </c>
      <c r="W132" s="100">
        <v>2.8925774302760718E-18</v>
      </c>
      <c r="X132" s="100">
        <v>2.8925774302760718E-18</v>
      </c>
      <c r="Y132" s="100">
        <v>2.8925774302760718E-18</v>
      </c>
      <c r="Z132" s="100">
        <v>2.8925774302760718E-18</v>
      </c>
      <c r="AA132" s="100">
        <v>2.8925774302760718E-18</v>
      </c>
      <c r="AB132" s="100">
        <v>2.8925774302760718E-18</v>
      </c>
      <c r="AC132" s="100">
        <v>2.8925774302760718E-18</v>
      </c>
      <c r="AD132" s="100">
        <v>2.8925774302760718E-18</v>
      </c>
      <c r="AE132" s="100">
        <v>3.4710929163312857E-18</v>
      </c>
      <c r="AF132" s="100">
        <v>3.4710929163312857E-18</v>
      </c>
      <c r="AG132" s="100">
        <v>3.4710929163312857E-18</v>
      </c>
      <c r="AH132" s="100">
        <v>3.4710929163312857E-18</v>
      </c>
      <c r="AI132" s="100">
        <v>2.8925774302760718E-18</v>
      </c>
      <c r="AJ132" s="100">
        <v>2.8925774302760718E-18</v>
      </c>
      <c r="AK132" s="100">
        <v>2.8925774302760718E-18</v>
      </c>
      <c r="AL132" s="100">
        <v>2.8925774302760718E-18</v>
      </c>
      <c r="AM132" s="100">
        <v>2.3140619442208575E-18</v>
      </c>
      <c r="AN132" s="100">
        <v>2.3140619442208575E-18</v>
      </c>
      <c r="AO132" s="100">
        <v>2.3140619442208575E-18</v>
      </c>
      <c r="AP132" s="100">
        <v>2.3140619442208575E-18</v>
      </c>
      <c r="AQ132" s="100">
        <v>2.8925774302760718E-18</v>
      </c>
      <c r="AR132" s="100">
        <v>2.8925774302760718E-18</v>
      </c>
      <c r="AS132" s="100">
        <v>2.8925774302760718E-18</v>
      </c>
      <c r="AT132" s="100">
        <v>2.8925774302760718E-18</v>
      </c>
      <c r="AU132" s="100">
        <v>3.4710929163312857E-18</v>
      </c>
      <c r="AV132" s="100">
        <v>3.4710929163312857E-18</v>
      </c>
      <c r="AW132" s="100">
        <v>3.4710929163312857E-18</v>
      </c>
      <c r="AX132" s="100">
        <v>3.4710929163312857E-18</v>
      </c>
    </row>
    <row r="133" spans="2:50">
      <c r="B133" s="100" t="s">
        <v>278</v>
      </c>
      <c r="C133" s="105">
        <f>SUM(C$128:C$132)</f>
        <v>1.6919939021902908E-17</v>
      </c>
      <c r="D133" s="105">
        <f t="shared" ref="D133:AX133" si="10">SUM(D$128:D$132)</f>
        <v>1.6919939021902908E-17</v>
      </c>
      <c r="E133" s="105">
        <f t="shared" si="10"/>
        <v>1.6919939021902908E-17</v>
      </c>
      <c r="F133" s="105">
        <f t="shared" si="10"/>
        <v>1.6919939021902908E-17</v>
      </c>
      <c r="G133" s="105">
        <f t="shared" si="10"/>
        <v>1.409994918491909E-17</v>
      </c>
      <c r="H133" s="105">
        <f t="shared" si="10"/>
        <v>1.409994918491909E-17</v>
      </c>
      <c r="I133" s="105">
        <f t="shared" si="10"/>
        <v>1.409994918491909E-17</v>
      </c>
      <c r="J133" s="105">
        <f t="shared" si="10"/>
        <v>1.409994918491909E-17</v>
      </c>
      <c r="K133" s="105">
        <f t="shared" si="10"/>
        <v>1.409994918491909E-17</v>
      </c>
      <c r="L133" s="105">
        <f t="shared" si="10"/>
        <v>1.409994918491909E-17</v>
      </c>
      <c r="M133" s="105">
        <f t="shared" si="10"/>
        <v>1.409994918491909E-17</v>
      </c>
      <c r="N133" s="105">
        <f t="shared" si="10"/>
        <v>1.409994918491909E-17</v>
      </c>
      <c r="O133" s="105">
        <f t="shared" si="10"/>
        <v>1.6919939021902908E-17</v>
      </c>
      <c r="P133" s="105">
        <f t="shared" si="10"/>
        <v>1.6919939021902908E-17</v>
      </c>
      <c r="Q133" s="105">
        <f t="shared" si="10"/>
        <v>1.6919939021902908E-17</v>
      </c>
      <c r="R133" s="105">
        <f t="shared" si="10"/>
        <v>1.6919939021902908E-17</v>
      </c>
      <c r="S133" s="105">
        <f t="shared" si="10"/>
        <v>1.409994918491909E-17</v>
      </c>
      <c r="T133" s="105">
        <f t="shared" si="10"/>
        <v>1.409994918491909E-17</v>
      </c>
      <c r="U133" s="105">
        <f t="shared" si="10"/>
        <v>1.409994918491909E-17</v>
      </c>
      <c r="V133" s="105">
        <f t="shared" si="10"/>
        <v>1.409994918491909E-17</v>
      </c>
      <c r="W133" s="105">
        <f t="shared" si="10"/>
        <v>1.409994918491909E-17</v>
      </c>
      <c r="X133" s="105">
        <f t="shared" si="10"/>
        <v>1.409994918491909E-17</v>
      </c>
      <c r="Y133" s="105">
        <f t="shared" si="10"/>
        <v>1.409994918491909E-17</v>
      </c>
      <c r="Z133" s="105">
        <f t="shared" si="10"/>
        <v>1.409994918491909E-17</v>
      </c>
      <c r="AA133" s="105">
        <f t="shared" si="10"/>
        <v>1.409994918491909E-17</v>
      </c>
      <c r="AB133" s="105">
        <f t="shared" si="10"/>
        <v>1.409994918491909E-17</v>
      </c>
      <c r="AC133" s="105">
        <f t="shared" si="10"/>
        <v>1.409994918491909E-17</v>
      </c>
      <c r="AD133" s="105">
        <f t="shared" si="10"/>
        <v>1.409994918491909E-17</v>
      </c>
      <c r="AE133" s="105">
        <f t="shared" si="10"/>
        <v>1.6919939021902908E-17</v>
      </c>
      <c r="AF133" s="105">
        <f t="shared" si="10"/>
        <v>1.6919939021902908E-17</v>
      </c>
      <c r="AG133" s="105">
        <f t="shared" si="10"/>
        <v>1.6919939021902908E-17</v>
      </c>
      <c r="AH133" s="105">
        <f t="shared" si="10"/>
        <v>1.6919939021902908E-17</v>
      </c>
      <c r="AI133" s="105">
        <f t="shared" si="10"/>
        <v>1.409994918491909E-17</v>
      </c>
      <c r="AJ133" s="105">
        <f t="shared" si="10"/>
        <v>1.409994918491909E-17</v>
      </c>
      <c r="AK133" s="105">
        <f t="shared" si="10"/>
        <v>1.409994918491909E-17</v>
      </c>
      <c r="AL133" s="105">
        <f t="shared" si="10"/>
        <v>1.409994918491909E-17</v>
      </c>
      <c r="AM133" s="105">
        <f t="shared" si="10"/>
        <v>1.1279959347935273E-17</v>
      </c>
      <c r="AN133" s="105">
        <f t="shared" si="10"/>
        <v>1.1279959347935273E-17</v>
      </c>
      <c r="AO133" s="105">
        <f t="shared" si="10"/>
        <v>1.1279959347935273E-17</v>
      </c>
      <c r="AP133" s="105">
        <f t="shared" si="10"/>
        <v>1.1279959347935273E-17</v>
      </c>
      <c r="AQ133" s="105">
        <f t="shared" si="10"/>
        <v>1.409994918491909E-17</v>
      </c>
      <c r="AR133" s="105">
        <f t="shared" si="10"/>
        <v>1.409994918491909E-17</v>
      </c>
      <c r="AS133" s="105">
        <f t="shared" si="10"/>
        <v>1.409994918491909E-17</v>
      </c>
      <c r="AT133" s="105">
        <f t="shared" si="10"/>
        <v>1.409994918491909E-17</v>
      </c>
      <c r="AU133" s="105">
        <f t="shared" si="10"/>
        <v>1.6919939021902908E-17</v>
      </c>
      <c r="AV133" s="105">
        <f t="shared" si="10"/>
        <v>1.6919939021902908E-17</v>
      </c>
      <c r="AW133" s="105">
        <f t="shared" si="10"/>
        <v>1.6919939021902908E-17</v>
      </c>
      <c r="AX133" s="105">
        <f t="shared" si="10"/>
        <v>1.6919939021902908E-17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600.00000000000341</v>
      </c>
      <c r="E7" s="144">
        <v>600.00000000000341</v>
      </c>
      <c r="F7" s="144">
        <v>600.00000000000341</v>
      </c>
      <c r="G7" s="144">
        <v>600.00000000000341</v>
      </c>
      <c r="H7" s="144">
        <v>600.00000000000341</v>
      </c>
      <c r="I7" s="144">
        <v>600.00000000000341</v>
      </c>
      <c r="J7" s="144">
        <v>600.00000000000341</v>
      </c>
      <c r="K7" s="144">
        <v>600.00000000000341</v>
      </c>
      <c r="L7" s="144">
        <v>600.00000000000341</v>
      </c>
      <c r="M7" s="144">
        <v>600.00000000000341</v>
      </c>
      <c r="N7" s="144">
        <v>600.00000000000341</v>
      </c>
      <c r="O7" s="144">
        <v>600.00000000000341</v>
      </c>
      <c r="P7" s="144">
        <v>600.00000000000341</v>
      </c>
      <c r="Q7" s="144">
        <v>600.00000000000341</v>
      </c>
      <c r="R7" s="144">
        <v>600.00000000000341</v>
      </c>
      <c r="S7" s="144">
        <v>600.00000000000341</v>
      </c>
      <c r="T7" s="144">
        <v>600.00000000000341</v>
      </c>
      <c r="U7" s="144">
        <v>600.00000000000341</v>
      </c>
      <c r="V7" s="144">
        <v>600.00000000000341</v>
      </c>
      <c r="W7" s="144">
        <v>600.00000000000341</v>
      </c>
      <c r="X7" s="144">
        <v>600.00000000000341</v>
      </c>
      <c r="Y7" s="144">
        <v>600.00000000000341</v>
      </c>
      <c r="Z7" s="144">
        <v>600.00000000000341</v>
      </c>
      <c r="AA7" s="144">
        <v>600.00000000000341</v>
      </c>
      <c r="AB7" s="144">
        <v>600.00000000000341</v>
      </c>
      <c r="AC7" s="144">
        <v>600.00000000000341</v>
      </c>
      <c r="AD7" s="144">
        <v>600.00000000000341</v>
      </c>
      <c r="AE7" s="144">
        <v>600.00000000000341</v>
      </c>
      <c r="AF7" s="144">
        <v>600.00000000000341</v>
      </c>
      <c r="AG7" s="144">
        <v>600.00000000000341</v>
      </c>
      <c r="AH7" s="144">
        <v>600.00000000000341</v>
      </c>
      <c r="AI7" s="144">
        <v>600.00000000000341</v>
      </c>
      <c r="AJ7" s="144">
        <v>600.00000000000341</v>
      </c>
      <c r="AK7" s="144">
        <v>600.00000000000341</v>
      </c>
      <c r="AL7" s="144">
        <v>600.00000000000341</v>
      </c>
      <c r="AM7" s="144">
        <v>600.00000000000341</v>
      </c>
      <c r="AN7" s="144">
        <v>600.00000000000341</v>
      </c>
      <c r="AO7" s="144">
        <v>600.00000000000341</v>
      </c>
      <c r="AP7" s="144">
        <v>600.00000000000341</v>
      </c>
      <c r="AQ7" s="144">
        <v>600.00000000000341</v>
      </c>
      <c r="AR7" s="144">
        <v>600.00000000000341</v>
      </c>
      <c r="AS7" s="144">
        <v>600.00000000000341</v>
      </c>
      <c r="AT7" s="144">
        <v>600.00000000000341</v>
      </c>
      <c r="AU7" s="144">
        <v>600.00000000000341</v>
      </c>
      <c r="AV7" s="144">
        <v>600.00000000000341</v>
      </c>
      <c r="AW7" s="144">
        <v>600.00000000000341</v>
      </c>
      <c r="AX7" s="144">
        <v>600.00000000000341</v>
      </c>
      <c r="AY7" s="144">
        <v>600.00000000000341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3.4106051316484809E-12</v>
      </c>
      <c r="E10" s="144">
        <f t="shared" si="0"/>
        <v>3.4106051316484809E-12</v>
      </c>
      <c r="F10" s="144">
        <f t="shared" si="0"/>
        <v>3.4106051316484809E-12</v>
      </c>
      <c r="G10" s="144">
        <f t="shared" si="0"/>
        <v>3.4106051316484809E-12</v>
      </c>
      <c r="H10" s="144">
        <f t="shared" si="0"/>
        <v>3.4106051316484809E-12</v>
      </c>
      <c r="I10" s="144">
        <f t="shared" si="0"/>
        <v>3.4106051316484809E-12</v>
      </c>
      <c r="J10" s="144">
        <f t="shared" si="0"/>
        <v>3.4106051316484809E-12</v>
      </c>
      <c r="K10" s="144">
        <f t="shared" si="0"/>
        <v>600.00000000000341</v>
      </c>
      <c r="L10" s="144">
        <f t="shared" si="0"/>
        <v>3.4106051316484809E-12</v>
      </c>
      <c r="M10" s="144">
        <f t="shared" si="0"/>
        <v>3.4106051316484809E-12</v>
      </c>
      <c r="N10" s="144">
        <f t="shared" si="0"/>
        <v>3.4106051316484809E-12</v>
      </c>
      <c r="O10" s="144">
        <f t="shared" si="0"/>
        <v>3.4106051316484809E-12</v>
      </c>
      <c r="P10" s="144">
        <f t="shared" si="0"/>
        <v>3.4106051316484809E-12</v>
      </c>
      <c r="Q10" s="144">
        <f t="shared" si="0"/>
        <v>3.4106051316484809E-12</v>
      </c>
      <c r="R10" s="144">
        <f t="shared" si="0"/>
        <v>3.4106051316484809E-12</v>
      </c>
      <c r="S10" s="144">
        <f t="shared" si="0"/>
        <v>3.4106051316484809E-12</v>
      </c>
      <c r="T10" s="144">
        <f t="shared" si="0"/>
        <v>3.4106051316484809E-12</v>
      </c>
      <c r="U10" s="144">
        <f t="shared" si="0"/>
        <v>600.00000000000341</v>
      </c>
      <c r="V10" s="144">
        <f t="shared" si="0"/>
        <v>3.4106051316484809E-12</v>
      </c>
      <c r="W10" s="144">
        <f t="shared" si="0"/>
        <v>3.4106051316484809E-12</v>
      </c>
      <c r="X10" s="144">
        <f t="shared" si="0"/>
        <v>3.4106051316484809E-12</v>
      </c>
      <c r="Y10" s="144">
        <f t="shared" si="0"/>
        <v>3.4106051316484809E-12</v>
      </c>
      <c r="Z10" s="144">
        <f t="shared" si="0"/>
        <v>3.4106051316484809E-12</v>
      </c>
      <c r="AA10" s="144">
        <f t="shared" si="0"/>
        <v>3.4106051316484809E-12</v>
      </c>
      <c r="AB10" s="144">
        <f t="shared" si="0"/>
        <v>3.4106051316484809E-12</v>
      </c>
      <c r="AC10" s="144">
        <f t="shared" si="0"/>
        <v>3.4106051316484809E-12</v>
      </c>
      <c r="AD10" s="144">
        <f t="shared" si="0"/>
        <v>3.4106051316484809E-12</v>
      </c>
      <c r="AE10" s="144">
        <f t="shared" si="0"/>
        <v>3.4106051316484809E-12</v>
      </c>
      <c r="AF10" s="144">
        <f t="shared" si="0"/>
        <v>3.4106051316484809E-12</v>
      </c>
      <c r="AG10" s="144">
        <f t="shared" si="0"/>
        <v>3.4106051316484809E-12</v>
      </c>
      <c r="AH10" s="144">
        <f t="shared" si="0"/>
        <v>3.4106051316484809E-12</v>
      </c>
      <c r="AI10" s="144">
        <f t="shared" si="0"/>
        <v>3.4106051316484809E-12</v>
      </c>
      <c r="AJ10" s="144">
        <f t="shared" si="0"/>
        <v>3.4106051316484809E-12</v>
      </c>
      <c r="AK10" s="144">
        <f t="shared" si="0"/>
        <v>3.4106051316484809E-12</v>
      </c>
      <c r="AL10" s="144">
        <f t="shared" si="0"/>
        <v>3.4106051316484809E-12</v>
      </c>
      <c r="AM10" s="144">
        <f t="shared" si="0"/>
        <v>3.4106051316484809E-12</v>
      </c>
      <c r="AN10" s="144">
        <f t="shared" si="0"/>
        <v>3.4106051316484809E-12</v>
      </c>
      <c r="AO10" s="144">
        <f t="shared" si="0"/>
        <v>3.4106051316484809E-12</v>
      </c>
      <c r="AP10" s="144">
        <f t="shared" si="0"/>
        <v>3.4106051316484809E-12</v>
      </c>
      <c r="AQ10" s="144">
        <f t="shared" si="0"/>
        <v>600.00000000000341</v>
      </c>
      <c r="AR10" s="144">
        <f t="shared" si="0"/>
        <v>3.4106051316484809E-12</v>
      </c>
      <c r="AS10" s="144">
        <f t="shared" si="0"/>
        <v>3.4106051316484809E-12</v>
      </c>
      <c r="AT10" s="144">
        <f t="shared" si="0"/>
        <v>3.4106051316484809E-12</v>
      </c>
      <c r="AU10" s="144">
        <f t="shared" si="0"/>
        <v>3.4106051316484809E-12</v>
      </c>
      <c r="AV10" s="144">
        <f t="shared" si="0"/>
        <v>3.4106051316484809E-12</v>
      </c>
      <c r="AW10" s="144">
        <f t="shared" si="0"/>
        <v>3.4106051316484809E-12</v>
      </c>
      <c r="AX10" s="144">
        <f t="shared" si="0"/>
        <v>3.4106051316484809E-12</v>
      </c>
      <c r="AY10" s="144">
        <f t="shared" si="0"/>
        <v>3.4106051316484809E-12</v>
      </c>
      <c r="AZ10" s="151">
        <f>SUM($D10:$AY10)</f>
        <v>1800.0000000001637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250.61518843466047</v>
      </c>
      <c r="D13" s="138">
        <f t="shared" ref="D13:AY13" si="1">D$7-D$10</f>
        <v>600</v>
      </c>
      <c r="E13" s="138">
        <f t="shared" si="1"/>
        <v>600</v>
      </c>
      <c r="F13" s="138">
        <f t="shared" si="1"/>
        <v>600</v>
      </c>
      <c r="G13" s="138">
        <f t="shared" si="1"/>
        <v>600</v>
      </c>
      <c r="H13" s="138">
        <f t="shared" si="1"/>
        <v>600</v>
      </c>
      <c r="I13" s="138">
        <f t="shared" si="1"/>
        <v>600</v>
      </c>
      <c r="J13" s="138">
        <f t="shared" si="1"/>
        <v>600</v>
      </c>
      <c r="K13" s="138">
        <f t="shared" si="1"/>
        <v>0</v>
      </c>
      <c r="L13" s="138">
        <f t="shared" si="1"/>
        <v>600</v>
      </c>
      <c r="M13" s="138">
        <f t="shared" si="1"/>
        <v>600</v>
      </c>
      <c r="N13" s="138">
        <f t="shared" si="1"/>
        <v>600</v>
      </c>
      <c r="O13" s="138">
        <f t="shared" si="1"/>
        <v>600</v>
      </c>
      <c r="P13" s="138">
        <f t="shared" si="1"/>
        <v>600</v>
      </c>
      <c r="Q13" s="138">
        <f t="shared" si="1"/>
        <v>600</v>
      </c>
      <c r="R13" s="138">
        <f t="shared" si="1"/>
        <v>600</v>
      </c>
      <c r="S13" s="138">
        <f t="shared" si="1"/>
        <v>600</v>
      </c>
      <c r="T13" s="138">
        <f t="shared" si="1"/>
        <v>600</v>
      </c>
      <c r="U13" s="138">
        <f t="shared" si="1"/>
        <v>0</v>
      </c>
      <c r="V13" s="138">
        <f t="shared" si="1"/>
        <v>600</v>
      </c>
      <c r="W13" s="138">
        <f t="shared" si="1"/>
        <v>600</v>
      </c>
      <c r="X13" s="138">
        <f t="shared" si="1"/>
        <v>600</v>
      </c>
      <c r="Y13" s="138">
        <f t="shared" si="1"/>
        <v>600</v>
      </c>
      <c r="Z13" s="138">
        <f t="shared" si="1"/>
        <v>600</v>
      </c>
      <c r="AA13" s="138">
        <f t="shared" si="1"/>
        <v>600</v>
      </c>
      <c r="AB13" s="138">
        <f t="shared" si="1"/>
        <v>600</v>
      </c>
      <c r="AC13" s="138">
        <f t="shared" si="1"/>
        <v>600</v>
      </c>
      <c r="AD13" s="138">
        <f t="shared" si="1"/>
        <v>600</v>
      </c>
      <c r="AE13" s="138">
        <f t="shared" si="1"/>
        <v>600</v>
      </c>
      <c r="AF13" s="138">
        <f t="shared" si="1"/>
        <v>600</v>
      </c>
      <c r="AG13" s="138">
        <f t="shared" si="1"/>
        <v>600</v>
      </c>
      <c r="AH13" s="138">
        <f t="shared" si="1"/>
        <v>600</v>
      </c>
      <c r="AI13" s="138">
        <f t="shared" si="1"/>
        <v>600</v>
      </c>
      <c r="AJ13" s="138">
        <f t="shared" si="1"/>
        <v>600</v>
      </c>
      <c r="AK13" s="138">
        <f t="shared" si="1"/>
        <v>600</v>
      </c>
      <c r="AL13" s="138">
        <f t="shared" si="1"/>
        <v>600</v>
      </c>
      <c r="AM13" s="138">
        <f t="shared" si="1"/>
        <v>600</v>
      </c>
      <c r="AN13" s="138">
        <f t="shared" si="1"/>
        <v>600</v>
      </c>
      <c r="AO13" s="138">
        <f t="shared" si="1"/>
        <v>600</v>
      </c>
      <c r="AP13" s="138">
        <f t="shared" si="1"/>
        <v>600</v>
      </c>
      <c r="AQ13" s="138">
        <f t="shared" si="1"/>
        <v>0</v>
      </c>
      <c r="AR13" s="138">
        <f t="shared" si="1"/>
        <v>600</v>
      </c>
      <c r="AS13" s="138">
        <f t="shared" si="1"/>
        <v>600</v>
      </c>
      <c r="AT13" s="138">
        <f t="shared" si="1"/>
        <v>600</v>
      </c>
      <c r="AU13" s="138">
        <f t="shared" si="1"/>
        <v>600</v>
      </c>
      <c r="AV13" s="138">
        <f t="shared" si="1"/>
        <v>600</v>
      </c>
      <c r="AW13" s="138">
        <f t="shared" si="1"/>
        <v>600</v>
      </c>
      <c r="AX13" s="138">
        <f t="shared" si="1"/>
        <v>600</v>
      </c>
      <c r="AY13" s="138">
        <f t="shared" si="1"/>
        <v>600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600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600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600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 t="s">
        <v>339</v>
      </c>
      <c r="K20" s="117"/>
      <c r="L20" s="117"/>
      <c r="M20" s="117"/>
      <c r="N20" s="117"/>
      <c r="O20" s="117"/>
      <c r="P20" s="117"/>
      <c r="Q20" s="117"/>
      <c r="R20" s="117"/>
      <c r="S20" s="117"/>
      <c r="T20" s="117" t="s">
        <v>339</v>
      </c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 t="s">
        <v>339</v>
      </c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0.42975159754170211</v>
      </c>
      <c r="C21" s="156" t="s">
        <v>293</v>
      </c>
      <c r="D21" s="106">
        <f>IF(C$20="Yes",0,SUM(C$13:C$16)*$B$21)</f>
        <v>107.70227759801004</v>
      </c>
      <c r="E21" s="106">
        <f t="shared" ref="E21:AY21" si="3">IF(D$20="Yes",0,SUM(D$13:D$16)*$B$21)</f>
        <v>257.85095852502127</v>
      </c>
      <c r="F21" s="106">
        <f t="shared" si="3"/>
        <v>257.85095852502127</v>
      </c>
      <c r="G21" s="106">
        <f t="shared" si="3"/>
        <v>257.85095852502127</v>
      </c>
      <c r="H21" s="106">
        <f t="shared" si="3"/>
        <v>257.85095852502127</v>
      </c>
      <c r="I21" s="106">
        <f t="shared" si="3"/>
        <v>257.85095852502127</v>
      </c>
      <c r="J21" s="106">
        <f t="shared" si="3"/>
        <v>257.85095852502127</v>
      </c>
      <c r="K21" s="106">
        <f t="shared" si="3"/>
        <v>0</v>
      </c>
      <c r="L21" s="106">
        <f t="shared" si="3"/>
        <v>257.85095852502127</v>
      </c>
      <c r="M21" s="106">
        <f t="shared" si="3"/>
        <v>257.85095852502127</v>
      </c>
      <c r="N21" s="106">
        <f t="shared" si="3"/>
        <v>257.85095852502127</v>
      </c>
      <c r="O21" s="106">
        <f t="shared" si="3"/>
        <v>257.85095852502127</v>
      </c>
      <c r="P21" s="106">
        <f t="shared" si="3"/>
        <v>257.85095852502127</v>
      </c>
      <c r="Q21" s="106">
        <f t="shared" si="3"/>
        <v>257.85095852502127</v>
      </c>
      <c r="R21" s="106">
        <f t="shared" si="3"/>
        <v>257.85095852502127</v>
      </c>
      <c r="S21" s="106">
        <f t="shared" si="3"/>
        <v>257.85095852502127</v>
      </c>
      <c r="T21" s="106">
        <f t="shared" si="3"/>
        <v>257.85095852502127</v>
      </c>
      <c r="U21" s="106">
        <f t="shared" si="3"/>
        <v>0</v>
      </c>
      <c r="V21" s="106">
        <f t="shared" si="3"/>
        <v>257.85095852502127</v>
      </c>
      <c r="W21" s="106">
        <f t="shared" si="3"/>
        <v>257.85095852502127</v>
      </c>
      <c r="X21" s="106">
        <f t="shared" si="3"/>
        <v>257.85095852502127</v>
      </c>
      <c r="Y21" s="106">
        <f t="shared" si="3"/>
        <v>257.85095852502127</v>
      </c>
      <c r="Z21" s="106">
        <f t="shared" si="3"/>
        <v>257.85095852502127</v>
      </c>
      <c r="AA21" s="106">
        <f t="shared" si="3"/>
        <v>257.85095852502127</v>
      </c>
      <c r="AB21" s="106">
        <f t="shared" si="3"/>
        <v>257.85095852502127</v>
      </c>
      <c r="AC21" s="106">
        <f t="shared" si="3"/>
        <v>257.85095852502127</v>
      </c>
      <c r="AD21" s="106">
        <f t="shared" si="3"/>
        <v>257.85095852502127</v>
      </c>
      <c r="AE21" s="106">
        <f t="shared" si="3"/>
        <v>257.85095852502127</v>
      </c>
      <c r="AF21" s="106">
        <f t="shared" si="3"/>
        <v>257.85095852502127</v>
      </c>
      <c r="AG21" s="106">
        <f t="shared" si="3"/>
        <v>257.85095852502127</v>
      </c>
      <c r="AH21" s="106">
        <f t="shared" si="3"/>
        <v>257.85095852502127</v>
      </c>
      <c r="AI21" s="106">
        <f t="shared" si="3"/>
        <v>257.85095852502127</v>
      </c>
      <c r="AJ21" s="106">
        <f t="shared" si="3"/>
        <v>257.85095852502127</v>
      </c>
      <c r="AK21" s="106">
        <f t="shared" si="3"/>
        <v>257.85095852502127</v>
      </c>
      <c r="AL21" s="106">
        <f t="shared" si="3"/>
        <v>257.85095852502127</v>
      </c>
      <c r="AM21" s="106">
        <f t="shared" si="3"/>
        <v>257.85095852502127</v>
      </c>
      <c r="AN21" s="106">
        <f t="shared" si="3"/>
        <v>257.85095852502127</v>
      </c>
      <c r="AO21" s="106">
        <f t="shared" si="3"/>
        <v>257.85095852502127</v>
      </c>
      <c r="AP21" s="106">
        <f t="shared" si="3"/>
        <v>257.85095852502127</v>
      </c>
      <c r="AQ21" s="106">
        <f t="shared" si="3"/>
        <v>0</v>
      </c>
      <c r="AR21" s="106">
        <f t="shared" si="3"/>
        <v>257.85095852502127</v>
      </c>
      <c r="AS21" s="106">
        <f t="shared" si="3"/>
        <v>257.85095852502127</v>
      </c>
      <c r="AT21" s="106">
        <f t="shared" si="3"/>
        <v>257.85095852502127</v>
      </c>
      <c r="AU21" s="106">
        <f t="shared" si="3"/>
        <v>257.85095852502127</v>
      </c>
      <c r="AV21" s="106">
        <f t="shared" si="3"/>
        <v>257.85095852502127</v>
      </c>
      <c r="AW21" s="106">
        <f t="shared" si="3"/>
        <v>257.85095852502127</v>
      </c>
      <c r="AX21" s="106">
        <f t="shared" si="3"/>
        <v>257.85095852502127</v>
      </c>
      <c r="AY21" s="106">
        <f t="shared" si="3"/>
        <v>257.85095852502127</v>
      </c>
      <c r="AZ21" s="157">
        <f>SUM($D21:$AY21)</f>
        <v>11453.144452698945</v>
      </c>
    </row>
    <row r="22" spans="1:52" s="110" customFormat="1">
      <c r="A22" s="158" t="s">
        <v>123</v>
      </c>
      <c r="B22" s="159">
        <f>1-$B$21</f>
        <v>0.57024840245829789</v>
      </c>
      <c r="C22" s="159" t="s">
        <v>293</v>
      </c>
      <c r="D22" s="114">
        <f>IF(C$20="Yes",0,SUM(C$13:C$16)*$B$22)</f>
        <v>142.91291083665041</v>
      </c>
      <c r="E22" s="114">
        <f t="shared" ref="E22:AY22" si="4">IF(D$20="Yes",0,SUM(D$13:D$16)*$B$22)</f>
        <v>342.14904147497873</v>
      </c>
      <c r="F22" s="114">
        <f t="shared" si="4"/>
        <v>342.14904147497873</v>
      </c>
      <c r="G22" s="114">
        <f t="shared" si="4"/>
        <v>342.14904147497873</v>
      </c>
      <c r="H22" s="114">
        <f t="shared" si="4"/>
        <v>342.14904147497873</v>
      </c>
      <c r="I22" s="114">
        <f t="shared" si="4"/>
        <v>342.14904147497873</v>
      </c>
      <c r="J22" s="114">
        <f t="shared" si="4"/>
        <v>342.14904147497873</v>
      </c>
      <c r="K22" s="114">
        <f t="shared" si="4"/>
        <v>0</v>
      </c>
      <c r="L22" s="114">
        <f t="shared" si="4"/>
        <v>342.14904147497873</v>
      </c>
      <c r="M22" s="114">
        <f t="shared" si="4"/>
        <v>342.14904147497873</v>
      </c>
      <c r="N22" s="114">
        <f t="shared" si="4"/>
        <v>342.14904147497873</v>
      </c>
      <c r="O22" s="114">
        <f t="shared" si="4"/>
        <v>342.14904147497873</v>
      </c>
      <c r="P22" s="114">
        <f t="shared" si="4"/>
        <v>342.14904147497873</v>
      </c>
      <c r="Q22" s="114">
        <f t="shared" si="4"/>
        <v>342.14904147497873</v>
      </c>
      <c r="R22" s="114">
        <f t="shared" si="4"/>
        <v>342.14904147497873</v>
      </c>
      <c r="S22" s="114">
        <f t="shared" si="4"/>
        <v>342.14904147497873</v>
      </c>
      <c r="T22" s="114">
        <f t="shared" si="4"/>
        <v>342.14904147497873</v>
      </c>
      <c r="U22" s="114">
        <f t="shared" si="4"/>
        <v>0</v>
      </c>
      <c r="V22" s="114">
        <f t="shared" si="4"/>
        <v>342.14904147497873</v>
      </c>
      <c r="W22" s="114">
        <f t="shared" si="4"/>
        <v>342.14904147497873</v>
      </c>
      <c r="X22" s="114">
        <f t="shared" si="4"/>
        <v>342.14904147497873</v>
      </c>
      <c r="Y22" s="114">
        <f t="shared" si="4"/>
        <v>342.14904147497873</v>
      </c>
      <c r="Z22" s="114">
        <f t="shared" si="4"/>
        <v>342.14904147497873</v>
      </c>
      <c r="AA22" s="114">
        <f t="shared" si="4"/>
        <v>342.14904147497873</v>
      </c>
      <c r="AB22" s="114">
        <f t="shared" si="4"/>
        <v>342.14904147497873</v>
      </c>
      <c r="AC22" s="114">
        <f t="shared" si="4"/>
        <v>342.14904147497873</v>
      </c>
      <c r="AD22" s="114">
        <f t="shared" si="4"/>
        <v>342.14904147497873</v>
      </c>
      <c r="AE22" s="114">
        <f t="shared" si="4"/>
        <v>342.14904147497873</v>
      </c>
      <c r="AF22" s="114">
        <f t="shared" si="4"/>
        <v>342.14904147497873</v>
      </c>
      <c r="AG22" s="114">
        <f t="shared" si="4"/>
        <v>342.14904147497873</v>
      </c>
      <c r="AH22" s="114">
        <f t="shared" si="4"/>
        <v>342.14904147497873</v>
      </c>
      <c r="AI22" s="114">
        <f t="shared" si="4"/>
        <v>342.14904147497873</v>
      </c>
      <c r="AJ22" s="114">
        <f t="shared" si="4"/>
        <v>342.14904147497873</v>
      </c>
      <c r="AK22" s="114">
        <f t="shared" si="4"/>
        <v>342.14904147497873</v>
      </c>
      <c r="AL22" s="114">
        <f t="shared" si="4"/>
        <v>342.14904147497873</v>
      </c>
      <c r="AM22" s="114">
        <f t="shared" si="4"/>
        <v>342.14904147497873</v>
      </c>
      <c r="AN22" s="114">
        <f t="shared" si="4"/>
        <v>342.14904147497873</v>
      </c>
      <c r="AO22" s="114">
        <f t="shared" si="4"/>
        <v>342.14904147497873</v>
      </c>
      <c r="AP22" s="114">
        <f t="shared" si="4"/>
        <v>342.14904147497873</v>
      </c>
      <c r="AQ22" s="114">
        <f t="shared" si="4"/>
        <v>0</v>
      </c>
      <c r="AR22" s="114">
        <f t="shared" si="4"/>
        <v>342.14904147497873</v>
      </c>
      <c r="AS22" s="114">
        <f t="shared" si="4"/>
        <v>342.14904147497873</v>
      </c>
      <c r="AT22" s="114">
        <f t="shared" si="4"/>
        <v>342.14904147497873</v>
      </c>
      <c r="AU22" s="114">
        <f t="shared" si="4"/>
        <v>342.14904147497873</v>
      </c>
      <c r="AV22" s="114">
        <f t="shared" si="4"/>
        <v>342.14904147497873</v>
      </c>
      <c r="AW22" s="114">
        <f t="shared" si="4"/>
        <v>342.14904147497873</v>
      </c>
      <c r="AX22" s="114">
        <f t="shared" si="4"/>
        <v>342.14904147497873</v>
      </c>
      <c r="AY22" s="114">
        <f t="shared" si="4"/>
        <v>342.14904147497873</v>
      </c>
      <c r="AZ22" s="141">
        <f t="shared" ref="AZ22:AZ30" si="5">SUM($D22:$AY22)</f>
        <v>15197.470735735715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215404.55519602008</v>
      </c>
      <c r="E23" s="100">
        <f t="shared" ref="E23:AY23" si="6">E$21*$B$23</f>
        <v>515701.91705004254</v>
      </c>
      <c r="F23" s="100">
        <f t="shared" si="6"/>
        <v>515701.91705004254</v>
      </c>
      <c r="G23" s="100">
        <f t="shared" si="6"/>
        <v>515701.91705004254</v>
      </c>
      <c r="H23" s="100">
        <f t="shared" si="6"/>
        <v>515701.91705004254</v>
      </c>
      <c r="I23" s="100">
        <f t="shared" si="6"/>
        <v>515701.91705004254</v>
      </c>
      <c r="J23" s="100">
        <f t="shared" si="6"/>
        <v>515701.91705004254</v>
      </c>
      <c r="K23" s="100">
        <f t="shared" si="6"/>
        <v>0</v>
      </c>
      <c r="L23" s="100">
        <f t="shared" si="6"/>
        <v>515701.91705004254</v>
      </c>
      <c r="M23" s="100">
        <f t="shared" si="6"/>
        <v>515701.91705004254</v>
      </c>
      <c r="N23" s="100">
        <f t="shared" si="6"/>
        <v>515701.91705004254</v>
      </c>
      <c r="O23" s="100">
        <f t="shared" si="6"/>
        <v>515701.91705004254</v>
      </c>
      <c r="P23" s="100">
        <f t="shared" si="6"/>
        <v>515701.91705004254</v>
      </c>
      <c r="Q23" s="100">
        <f t="shared" si="6"/>
        <v>515701.91705004254</v>
      </c>
      <c r="R23" s="100">
        <f t="shared" si="6"/>
        <v>515701.91705004254</v>
      </c>
      <c r="S23" s="100">
        <f t="shared" si="6"/>
        <v>515701.91705004254</v>
      </c>
      <c r="T23" s="100">
        <f t="shared" si="6"/>
        <v>515701.91705004254</v>
      </c>
      <c r="U23" s="100">
        <f t="shared" si="6"/>
        <v>0</v>
      </c>
      <c r="V23" s="100">
        <f t="shared" si="6"/>
        <v>515701.91705004254</v>
      </c>
      <c r="W23" s="100">
        <f t="shared" si="6"/>
        <v>515701.91705004254</v>
      </c>
      <c r="X23" s="100">
        <f t="shared" si="6"/>
        <v>515701.91705004254</v>
      </c>
      <c r="Y23" s="100">
        <f t="shared" si="6"/>
        <v>515701.91705004254</v>
      </c>
      <c r="Z23" s="100">
        <f t="shared" si="6"/>
        <v>515701.91705004254</v>
      </c>
      <c r="AA23" s="100">
        <f t="shared" si="6"/>
        <v>515701.91705004254</v>
      </c>
      <c r="AB23" s="100">
        <f t="shared" si="6"/>
        <v>515701.91705004254</v>
      </c>
      <c r="AC23" s="100">
        <f t="shared" si="6"/>
        <v>515701.91705004254</v>
      </c>
      <c r="AD23" s="100">
        <f t="shared" si="6"/>
        <v>515701.91705004254</v>
      </c>
      <c r="AE23" s="100">
        <f t="shared" si="6"/>
        <v>515701.91705004254</v>
      </c>
      <c r="AF23" s="100">
        <f t="shared" si="6"/>
        <v>515701.91705004254</v>
      </c>
      <c r="AG23" s="100">
        <f t="shared" si="6"/>
        <v>515701.91705004254</v>
      </c>
      <c r="AH23" s="100">
        <f t="shared" si="6"/>
        <v>515701.91705004254</v>
      </c>
      <c r="AI23" s="100">
        <f t="shared" si="6"/>
        <v>515701.91705004254</v>
      </c>
      <c r="AJ23" s="100">
        <f t="shared" si="6"/>
        <v>515701.91705004254</v>
      </c>
      <c r="AK23" s="100">
        <f t="shared" si="6"/>
        <v>515701.91705004254</v>
      </c>
      <c r="AL23" s="100">
        <f t="shared" si="6"/>
        <v>515701.91705004254</v>
      </c>
      <c r="AM23" s="100">
        <f t="shared" si="6"/>
        <v>515701.91705004254</v>
      </c>
      <c r="AN23" s="100">
        <f t="shared" si="6"/>
        <v>515701.91705004254</v>
      </c>
      <c r="AO23" s="100">
        <f t="shared" si="6"/>
        <v>515701.91705004254</v>
      </c>
      <c r="AP23" s="100">
        <f t="shared" si="6"/>
        <v>515701.91705004254</v>
      </c>
      <c r="AQ23" s="100">
        <f t="shared" si="6"/>
        <v>0</v>
      </c>
      <c r="AR23" s="100">
        <f t="shared" si="6"/>
        <v>515701.91705004254</v>
      </c>
      <c r="AS23" s="100">
        <f t="shared" si="6"/>
        <v>515701.91705004254</v>
      </c>
      <c r="AT23" s="100">
        <f t="shared" si="6"/>
        <v>515701.91705004254</v>
      </c>
      <c r="AU23" s="100">
        <f t="shared" si="6"/>
        <v>515701.91705004254</v>
      </c>
      <c r="AV23" s="100">
        <f t="shared" si="6"/>
        <v>515701.91705004254</v>
      </c>
      <c r="AW23" s="100">
        <f t="shared" si="6"/>
        <v>515701.91705004254</v>
      </c>
      <c r="AX23" s="100">
        <f t="shared" si="6"/>
        <v>515701.91705004254</v>
      </c>
      <c r="AY23" s="100">
        <f t="shared" si="6"/>
        <v>515701.91705004254</v>
      </c>
      <c r="AZ23" s="139">
        <f t="shared" si="5"/>
        <v>22906288.905397885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142912.91083665041</v>
      </c>
      <c r="E24" s="106">
        <f t="shared" ref="E24:AY24" si="7">E$22*$B$24</f>
        <v>342149.04147497873</v>
      </c>
      <c r="F24" s="106">
        <f t="shared" si="7"/>
        <v>342149.04147497873</v>
      </c>
      <c r="G24" s="106">
        <f t="shared" si="7"/>
        <v>342149.04147497873</v>
      </c>
      <c r="H24" s="106">
        <f t="shared" si="7"/>
        <v>342149.04147497873</v>
      </c>
      <c r="I24" s="106">
        <f t="shared" si="7"/>
        <v>342149.04147497873</v>
      </c>
      <c r="J24" s="106">
        <f t="shared" si="7"/>
        <v>342149.04147497873</v>
      </c>
      <c r="K24" s="106">
        <f t="shared" si="7"/>
        <v>0</v>
      </c>
      <c r="L24" s="106">
        <f t="shared" si="7"/>
        <v>342149.04147497873</v>
      </c>
      <c r="M24" s="106">
        <f t="shared" si="7"/>
        <v>342149.04147497873</v>
      </c>
      <c r="N24" s="106">
        <f t="shared" si="7"/>
        <v>342149.04147497873</v>
      </c>
      <c r="O24" s="106">
        <f t="shared" si="7"/>
        <v>342149.04147497873</v>
      </c>
      <c r="P24" s="106">
        <f t="shared" si="7"/>
        <v>342149.04147497873</v>
      </c>
      <c r="Q24" s="106">
        <f t="shared" si="7"/>
        <v>342149.04147497873</v>
      </c>
      <c r="R24" s="106">
        <f t="shared" si="7"/>
        <v>342149.04147497873</v>
      </c>
      <c r="S24" s="106">
        <f t="shared" si="7"/>
        <v>342149.04147497873</v>
      </c>
      <c r="T24" s="106">
        <f t="shared" si="7"/>
        <v>342149.04147497873</v>
      </c>
      <c r="U24" s="106">
        <f t="shared" si="7"/>
        <v>0</v>
      </c>
      <c r="V24" s="106">
        <f t="shared" si="7"/>
        <v>342149.04147497873</v>
      </c>
      <c r="W24" s="106">
        <f t="shared" si="7"/>
        <v>342149.04147497873</v>
      </c>
      <c r="X24" s="106">
        <f t="shared" si="7"/>
        <v>342149.04147497873</v>
      </c>
      <c r="Y24" s="106">
        <f t="shared" si="7"/>
        <v>342149.04147497873</v>
      </c>
      <c r="Z24" s="106">
        <f t="shared" si="7"/>
        <v>342149.04147497873</v>
      </c>
      <c r="AA24" s="106">
        <f t="shared" si="7"/>
        <v>342149.04147497873</v>
      </c>
      <c r="AB24" s="106">
        <f t="shared" si="7"/>
        <v>342149.04147497873</v>
      </c>
      <c r="AC24" s="106">
        <f t="shared" si="7"/>
        <v>342149.04147497873</v>
      </c>
      <c r="AD24" s="106">
        <f t="shared" si="7"/>
        <v>342149.04147497873</v>
      </c>
      <c r="AE24" s="106">
        <f t="shared" si="7"/>
        <v>342149.04147497873</v>
      </c>
      <c r="AF24" s="106">
        <f t="shared" si="7"/>
        <v>342149.04147497873</v>
      </c>
      <c r="AG24" s="106">
        <f t="shared" si="7"/>
        <v>342149.04147497873</v>
      </c>
      <c r="AH24" s="106">
        <f t="shared" si="7"/>
        <v>342149.04147497873</v>
      </c>
      <c r="AI24" s="106">
        <f t="shared" si="7"/>
        <v>342149.04147497873</v>
      </c>
      <c r="AJ24" s="106">
        <f t="shared" si="7"/>
        <v>342149.04147497873</v>
      </c>
      <c r="AK24" s="106">
        <f t="shared" si="7"/>
        <v>342149.04147497873</v>
      </c>
      <c r="AL24" s="106">
        <f t="shared" si="7"/>
        <v>342149.04147497873</v>
      </c>
      <c r="AM24" s="106">
        <f t="shared" si="7"/>
        <v>342149.04147497873</v>
      </c>
      <c r="AN24" s="106">
        <f t="shared" si="7"/>
        <v>342149.04147497873</v>
      </c>
      <c r="AO24" s="106">
        <f t="shared" si="7"/>
        <v>342149.04147497873</v>
      </c>
      <c r="AP24" s="106">
        <f t="shared" si="7"/>
        <v>342149.04147497873</v>
      </c>
      <c r="AQ24" s="106">
        <f t="shared" si="7"/>
        <v>0</v>
      </c>
      <c r="AR24" s="106">
        <f t="shared" si="7"/>
        <v>342149.04147497873</v>
      </c>
      <c r="AS24" s="106">
        <f t="shared" si="7"/>
        <v>342149.04147497873</v>
      </c>
      <c r="AT24" s="106">
        <f t="shared" si="7"/>
        <v>342149.04147497873</v>
      </c>
      <c r="AU24" s="106">
        <f t="shared" si="7"/>
        <v>342149.04147497873</v>
      </c>
      <c r="AV24" s="106">
        <f t="shared" si="7"/>
        <v>342149.04147497873</v>
      </c>
      <c r="AW24" s="106">
        <f t="shared" si="7"/>
        <v>342149.04147497873</v>
      </c>
      <c r="AX24" s="106">
        <f t="shared" si="7"/>
        <v>342149.04147497873</v>
      </c>
      <c r="AY24" s="106">
        <f t="shared" si="7"/>
        <v>342149.04147497873</v>
      </c>
      <c r="AZ24" s="141">
        <f t="shared" si="5"/>
        <v>15197470.735735724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17</v>
      </c>
      <c r="D27" s="124">
        <f>C$27-C$28+C$29</f>
        <v>5</v>
      </c>
      <c r="E27" s="124">
        <f t="shared" ref="E27:AY27" si="8">D27-D28+D29</f>
        <v>17</v>
      </c>
      <c r="F27" s="124">
        <f t="shared" si="8"/>
        <v>5</v>
      </c>
      <c r="G27" s="124">
        <f t="shared" si="8"/>
        <v>17</v>
      </c>
      <c r="H27" s="124">
        <f t="shared" si="8"/>
        <v>5</v>
      </c>
      <c r="I27" s="124">
        <f t="shared" si="8"/>
        <v>17</v>
      </c>
      <c r="J27" s="124">
        <f t="shared" si="8"/>
        <v>5</v>
      </c>
      <c r="K27" s="124">
        <f t="shared" si="8"/>
        <v>17</v>
      </c>
      <c r="L27" s="124">
        <f t="shared" si="8"/>
        <v>22</v>
      </c>
      <c r="M27" s="124">
        <f t="shared" si="8"/>
        <v>1</v>
      </c>
      <c r="N27" s="124">
        <f t="shared" si="8"/>
        <v>21</v>
      </c>
      <c r="O27" s="124">
        <f t="shared" si="8"/>
        <v>1</v>
      </c>
      <c r="P27" s="124">
        <f t="shared" si="8"/>
        <v>21</v>
      </c>
      <c r="Q27" s="124">
        <f t="shared" si="8"/>
        <v>1</v>
      </c>
      <c r="R27" s="124">
        <f t="shared" si="8"/>
        <v>21</v>
      </c>
      <c r="S27" s="124">
        <f t="shared" si="8"/>
        <v>1</v>
      </c>
      <c r="T27" s="124">
        <f t="shared" si="8"/>
        <v>21</v>
      </c>
      <c r="U27" s="124">
        <f t="shared" si="8"/>
        <v>1</v>
      </c>
      <c r="V27" s="124">
        <f t="shared" si="8"/>
        <v>22</v>
      </c>
      <c r="W27" s="124">
        <f t="shared" si="8"/>
        <v>1</v>
      </c>
      <c r="X27" s="124">
        <f t="shared" si="8"/>
        <v>21</v>
      </c>
      <c r="Y27" s="124">
        <f t="shared" si="8"/>
        <v>1</v>
      </c>
      <c r="Z27" s="124">
        <f t="shared" si="8"/>
        <v>21</v>
      </c>
      <c r="AA27" s="124">
        <f t="shared" si="8"/>
        <v>1</v>
      </c>
      <c r="AB27" s="124">
        <f t="shared" si="8"/>
        <v>21</v>
      </c>
      <c r="AC27" s="124">
        <f t="shared" si="8"/>
        <v>1</v>
      </c>
      <c r="AD27" s="124">
        <f t="shared" si="8"/>
        <v>21</v>
      </c>
      <c r="AE27" s="124">
        <f t="shared" si="8"/>
        <v>1</v>
      </c>
      <c r="AF27" s="124">
        <f t="shared" si="8"/>
        <v>21</v>
      </c>
      <c r="AG27" s="124">
        <f t="shared" si="8"/>
        <v>1</v>
      </c>
      <c r="AH27" s="124">
        <f t="shared" si="8"/>
        <v>21</v>
      </c>
      <c r="AI27" s="124">
        <f t="shared" si="8"/>
        <v>1</v>
      </c>
      <c r="AJ27" s="124">
        <f t="shared" si="8"/>
        <v>21</v>
      </c>
      <c r="AK27" s="124">
        <f t="shared" si="8"/>
        <v>1</v>
      </c>
      <c r="AL27" s="124">
        <f t="shared" si="8"/>
        <v>21</v>
      </c>
      <c r="AM27" s="124">
        <f t="shared" si="8"/>
        <v>1</v>
      </c>
      <c r="AN27" s="124">
        <f t="shared" si="8"/>
        <v>21</v>
      </c>
      <c r="AO27" s="124">
        <f t="shared" si="8"/>
        <v>1</v>
      </c>
      <c r="AP27" s="124">
        <f t="shared" si="8"/>
        <v>21</v>
      </c>
      <c r="AQ27" s="124">
        <f t="shared" si="8"/>
        <v>1</v>
      </c>
      <c r="AR27" s="124">
        <f t="shared" si="8"/>
        <v>22</v>
      </c>
      <c r="AS27" s="124">
        <f t="shared" si="8"/>
        <v>1</v>
      </c>
      <c r="AT27" s="124">
        <f t="shared" si="8"/>
        <v>21</v>
      </c>
      <c r="AU27" s="124">
        <f t="shared" si="8"/>
        <v>1</v>
      </c>
      <c r="AV27" s="124">
        <f t="shared" si="8"/>
        <v>21</v>
      </c>
      <c r="AW27" s="124">
        <f t="shared" si="8"/>
        <v>1</v>
      </c>
      <c r="AX27" s="124">
        <f t="shared" si="8"/>
        <v>21</v>
      </c>
      <c r="AY27" s="164">
        <f t="shared" si="8"/>
        <v>1</v>
      </c>
      <c r="AZ27" s="106"/>
    </row>
    <row r="28" spans="1:52">
      <c r="B28" s="165" t="s">
        <v>310</v>
      </c>
      <c r="C28" s="110">
        <v>17</v>
      </c>
      <c r="D28" s="110">
        <v>5</v>
      </c>
      <c r="E28" s="110">
        <v>17</v>
      </c>
      <c r="F28" s="110">
        <v>5</v>
      </c>
      <c r="G28" s="110">
        <v>17</v>
      </c>
      <c r="H28" s="110">
        <v>5</v>
      </c>
      <c r="I28" s="110">
        <v>17</v>
      </c>
      <c r="J28" s="110">
        <v>5</v>
      </c>
      <c r="K28" s="110">
        <v>0</v>
      </c>
      <c r="L28" s="110">
        <v>21</v>
      </c>
      <c r="M28" s="110">
        <v>1</v>
      </c>
      <c r="N28" s="110">
        <v>21</v>
      </c>
      <c r="O28" s="110">
        <v>1</v>
      </c>
      <c r="P28" s="110">
        <v>21</v>
      </c>
      <c r="Q28" s="110">
        <v>1</v>
      </c>
      <c r="R28" s="110">
        <v>21</v>
      </c>
      <c r="S28" s="110">
        <v>1</v>
      </c>
      <c r="T28" s="110">
        <v>21</v>
      </c>
      <c r="U28" s="110">
        <v>0</v>
      </c>
      <c r="V28" s="110">
        <v>21</v>
      </c>
      <c r="W28" s="110">
        <v>1</v>
      </c>
      <c r="X28" s="110">
        <v>21</v>
      </c>
      <c r="Y28" s="110">
        <v>1</v>
      </c>
      <c r="Z28" s="110">
        <v>21</v>
      </c>
      <c r="AA28" s="110">
        <v>1</v>
      </c>
      <c r="AB28" s="110">
        <v>21</v>
      </c>
      <c r="AC28" s="110">
        <v>1</v>
      </c>
      <c r="AD28" s="110">
        <v>21</v>
      </c>
      <c r="AE28" s="110">
        <v>1</v>
      </c>
      <c r="AF28" s="110">
        <v>21</v>
      </c>
      <c r="AG28" s="110">
        <v>1</v>
      </c>
      <c r="AH28" s="110">
        <v>21</v>
      </c>
      <c r="AI28" s="110">
        <v>1</v>
      </c>
      <c r="AJ28" s="110">
        <v>21</v>
      </c>
      <c r="AK28" s="110">
        <v>1</v>
      </c>
      <c r="AL28" s="110">
        <v>21</v>
      </c>
      <c r="AM28" s="110">
        <v>1</v>
      </c>
      <c r="AN28" s="110">
        <v>21</v>
      </c>
      <c r="AO28" s="110">
        <v>1</v>
      </c>
      <c r="AP28" s="110">
        <v>21</v>
      </c>
      <c r="AQ28" s="110">
        <v>0</v>
      </c>
      <c r="AR28" s="110">
        <v>21</v>
      </c>
      <c r="AS28" s="110">
        <v>1</v>
      </c>
      <c r="AT28" s="110">
        <v>21</v>
      </c>
      <c r="AU28" s="110">
        <v>1</v>
      </c>
      <c r="AV28" s="110">
        <v>21</v>
      </c>
      <c r="AW28" s="110">
        <v>1</v>
      </c>
      <c r="AX28" s="110">
        <v>21</v>
      </c>
      <c r="AY28" s="166">
        <v>1</v>
      </c>
      <c r="AZ28" s="106"/>
    </row>
    <row r="29" spans="1:52">
      <c r="B29" s="136" t="s">
        <v>311</v>
      </c>
      <c r="C29" s="125">
        <v>5</v>
      </c>
      <c r="D29" s="125">
        <f>C$28</f>
        <v>17</v>
      </c>
      <c r="E29" s="125">
        <f t="shared" ref="E29:AY29" si="9">D$28</f>
        <v>5</v>
      </c>
      <c r="F29" s="125">
        <f t="shared" si="9"/>
        <v>17</v>
      </c>
      <c r="G29" s="125">
        <f t="shared" si="9"/>
        <v>5</v>
      </c>
      <c r="H29" s="125">
        <f t="shared" si="9"/>
        <v>17</v>
      </c>
      <c r="I29" s="125">
        <f t="shared" si="9"/>
        <v>5</v>
      </c>
      <c r="J29" s="125">
        <f t="shared" si="9"/>
        <v>17</v>
      </c>
      <c r="K29" s="125">
        <f t="shared" si="9"/>
        <v>5</v>
      </c>
      <c r="L29" s="125">
        <f t="shared" si="9"/>
        <v>0</v>
      </c>
      <c r="M29" s="125">
        <f t="shared" si="9"/>
        <v>21</v>
      </c>
      <c r="N29" s="125">
        <f t="shared" si="9"/>
        <v>1</v>
      </c>
      <c r="O29" s="125">
        <f t="shared" si="9"/>
        <v>21</v>
      </c>
      <c r="P29" s="125">
        <f t="shared" si="9"/>
        <v>1</v>
      </c>
      <c r="Q29" s="125">
        <f t="shared" si="9"/>
        <v>21</v>
      </c>
      <c r="R29" s="125">
        <f t="shared" si="9"/>
        <v>1</v>
      </c>
      <c r="S29" s="125">
        <f t="shared" si="9"/>
        <v>21</v>
      </c>
      <c r="T29" s="125">
        <f t="shared" si="9"/>
        <v>1</v>
      </c>
      <c r="U29" s="125">
        <f t="shared" si="9"/>
        <v>21</v>
      </c>
      <c r="V29" s="125">
        <f t="shared" si="9"/>
        <v>0</v>
      </c>
      <c r="W29" s="125">
        <f t="shared" si="9"/>
        <v>21</v>
      </c>
      <c r="X29" s="125">
        <f t="shared" si="9"/>
        <v>1</v>
      </c>
      <c r="Y29" s="125">
        <f t="shared" si="9"/>
        <v>21</v>
      </c>
      <c r="Z29" s="125">
        <f t="shared" si="9"/>
        <v>1</v>
      </c>
      <c r="AA29" s="125">
        <f t="shared" si="9"/>
        <v>21</v>
      </c>
      <c r="AB29" s="125">
        <f t="shared" si="9"/>
        <v>1</v>
      </c>
      <c r="AC29" s="125">
        <f t="shared" si="9"/>
        <v>21</v>
      </c>
      <c r="AD29" s="125">
        <f t="shared" si="9"/>
        <v>1</v>
      </c>
      <c r="AE29" s="125">
        <f t="shared" si="9"/>
        <v>21</v>
      </c>
      <c r="AF29" s="125">
        <f t="shared" si="9"/>
        <v>1</v>
      </c>
      <c r="AG29" s="125">
        <f t="shared" si="9"/>
        <v>21</v>
      </c>
      <c r="AH29" s="125">
        <f t="shared" si="9"/>
        <v>1</v>
      </c>
      <c r="AI29" s="125">
        <f t="shared" si="9"/>
        <v>21</v>
      </c>
      <c r="AJ29" s="125">
        <f t="shared" si="9"/>
        <v>1</v>
      </c>
      <c r="AK29" s="125">
        <f t="shared" si="9"/>
        <v>21</v>
      </c>
      <c r="AL29" s="125">
        <f t="shared" si="9"/>
        <v>1</v>
      </c>
      <c r="AM29" s="125">
        <f t="shared" si="9"/>
        <v>21</v>
      </c>
      <c r="AN29" s="125">
        <f t="shared" si="9"/>
        <v>1</v>
      </c>
      <c r="AO29" s="125">
        <f t="shared" si="9"/>
        <v>21</v>
      </c>
      <c r="AP29" s="125">
        <f t="shared" si="9"/>
        <v>1</v>
      </c>
      <c r="AQ29" s="125">
        <f t="shared" si="9"/>
        <v>21</v>
      </c>
      <c r="AR29" s="125">
        <f t="shared" si="9"/>
        <v>0</v>
      </c>
      <c r="AS29" s="125">
        <f t="shared" si="9"/>
        <v>21</v>
      </c>
      <c r="AT29" s="125">
        <f t="shared" si="9"/>
        <v>1</v>
      </c>
      <c r="AU29" s="125">
        <f t="shared" si="9"/>
        <v>21</v>
      </c>
      <c r="AV29" s="125">
        <f t="shared" si="9"/>
        <v>1</v>
      </c>
      <c r="AW29" s="125">
        <f t="shared" si="9"/>
        <v>21</v>
      </c>
      <c r="AX29" s="125">
        <f t="shared" si="9"/>
        <v>1</v>
      </c>
      <c r="AY29" s="167">
        <f t="shared" si="9"/>
        <v>21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50</v>
      </c>
      <c r="E30" s="117">
        <f t="shared" ref="E30:AY30" si="10">E$27*$B$30</f>
        <v>170</v>
      </c>
      <c r="F30" s="117">
        <f t="shared" si="10"/>
        <v>50</v>
      </c>
      <c r="G30" s="117">
        <f t="shared" si="10"/>
        <v>170</v>
      </c>
      <c r="H30" s="117">
        <f t="shared" si="10"/>
        <v>50</v>
      </c>
      <c r="I30" s="117">
        <f t="shared" si="10"/>
        <v>170</v>
      </c>
      <c r="J30" s="117">
        <f t="shared" si="10"/>
        <v>50</v>
      </c>
      <c r="K30" s="117">
        <f t="shared" si="10"/>
        <v>170</v>
      </c>
      <c r="L30" s="117">
        <f t="shared" si="10"/>
        <v>220</v>
      </c>
      <c r="M30" s="117">
        <f t="shared" si="10"/>
        <v>10</v>
      </c>
      <c r="N30" s="117">
        <f t="shared" si="10"/>
        <v>210</v>
      </c>
      <c r="O30" s="117">
        <f t="shared" si="10"/>
        <v>10</v>
      </c>
      <c r="P30" s="117">
        <f t="shared" si="10"/>
        <v>210</v>
      </c>
      <c r="Q30" s="117">
        <f t="shared" si="10"/>
        <v>10</v>
      </c>
      <c r="R30" s="117">
        <f>R$27*$B$30</f>
        <v>210</v>
      </c>
      <c r="S30" s="117">
        <f t="shared" si="10"/>
        <v>10</v>
      </c>
      <c r="T30" s="117">
        <f t="shared" si="10"/>
        <v>210</v>
      </c>
      <c r="U30" s="117">
        <f t="shared" si="10"/>
        <v>10</v>
      </c>
      <c r="V30" s="117">
        <f t="shared" si="10"/>
        <v>220</v>
      </c>
      <c r="W30" s="117">
        <f t="shared" si="10"/>
        <v>10</v>
      </c>
      <c r="X30" s="117">
        <f t="shared" si="10"/>
        <v>210</v>
      </c>
      <c r="Y30" s="117">
        <f t="shared" si="10"/>
        <v>10</v>
      </c>
      <c r="Z30" s="117">
        <f t="shared" si="10"/>
        <v>210</v>
      </c>
      <c r="AA30" s="117">
        <f t="shared" si="10"/>
        <v>10</v>
      </c>
      <c r="AB30" s="117">
        <f t="shared" si="10"/>
        <v>210</v>
      </c>
      <c r="AC30" s="117">
        <f t="shared" si="10"/>
        <v>10</v>
      </c>
      <c r="AD30" s="117">
        <f t="shared" si="10"/>
        <v>210</v>
      </c>
      <c r="AE30" s="117">
        <f>AE$27*$B$30</f>
        <v>10</v>
      </c>
      <c r="AF30" s="117">
        <f t="shared" si="10"/>
        <v>210</v>
      </c>
      <c r="AG30" s="117">
        <f t="shared" si="10"/>
        <v>10</v>
      </c>
      <c r="AH30" s="117">
        <f t="shared" si="10"/>
        <v>210</v>
      </c>
      <c r="AI30" s="117">
        <f t="shared" si="10"/>
        <v>10</v>
      </c>
      <c r="AJ30" s="117">
        <f t="shared" si="10"/>
        <v>210</v>
      </c>
      <c r="AK30" s="117">
        <f t="shared" si="10"/>
        <v>10</v>
      </c>
      <c r="AL30" s="117">
        <f t="shared" si="10"/>
        <v>210</v>
      </c>
      <c r="AM30" s="117">
        <f t="shared" si="10"/>
        <v>10</v>
      </c>
      <c r="AN30" s="117">
        <f t="shared" si="10"/>
        <v>210</v>
      </c>
      <c r="AO30" s="117">
        <f t="shared" si="10"/>
        <v>10</v>
      </c>
      <c r="AP30" s="117">
        <f t="shared" si="10"/>
        <v>210</v>
      </c>
      <c r="AQ30" s="117">
        <f t="shared" si="10"/>
        <v>10</v>
      </c>
      <c r="AR30" s="117">
        <f t="shared" si="10"/>
        <v>220</v>
      </c>
      <c r="AS30" s="117">
        <f t="shared" si="10"/>
        <v>10</v>
      </c>
      <c r="AT30" s="117">
        <f t="shared" si="10"/>
        <v>210</v>
      </c>
      <c r="AU30" s="117">
        <f t="shared" si="10"/>
        <v>10</v>
      </c>
      <c r="AV30" s="117">
        <f t="shared" si="10"/>
        <v>210</v>
      </c>
      <c r="AW30" s="117">
        <f t="shared" si="10"/>
        <v>10</v>
      </c>
      <c r="AX30" s="117">
        <f t="shared" si="10"/>
        <v>210</v>
      </c>
      <c r="AY30" s="117">
        <f t="shared" si="10"/>
        <v>10</v>
      </c>
      <c r="AZ30" s="141">
        <f t="shared" si="5"/>
        <v>5310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36.694640874856638</v>
      </c>
      <c r="E33" s="124">
        <f>E$21*shipping_manufacturing!$D$27/100</f>
        <v>87.850958525022222</v>
      </c>
      <c r="F33" s="124">
        <f>F$21*shipping_manufacturing!$D$27/100</f>
        <v>87.850958525022222</v>
      </c>
      <c r="G33" s="124">
        <f>G$21*shipping_manufacturing!$D$27/100</f>
        <v>87.850958525022222</v>
      </c>
      <c r="H33" s="124">
        <f>H$21*shipping_manufacturing!$D$27/100</f>
        <v>87.850958525022222</v>
      </c>
      <c r="I33" s="124">
        <f>I$21*shipping_manufacturing!$D$27/100</f>
        <v>87.850958525022222</v>
      </c>
      <c r="J33" s="124">
        <f>J$21*shipping_manufacturing!$D$27/100</f>
        <v>87.850958525022222</v>
      </c>
      <c r="K33" s="124">
        <f>K$21*shipping_manufacturing!$D$27/100</f>
        <v>0</v>
      </c>
      <c r="L33" s="124">
        <f>L$21*shipping_manufacturing!$D$27/100</f>
        <v>87.850958525022222</v>
      </c>
      <c r="M33" s="124">
        <f>M$21*shipping_manufacturing!$D$27/100</f>
        <v>87.850958525022222</v>
      </c>
      <c r="N33" s="124">
        <f>N$21*shipping_manufacturing!$D$27/100</f>
        <v>87.850958525022222</v>
      </c>
      <c r="O33" s="124">
        <f>O$21*shipping_manufacturing!$D$27/100</f>
        <v>87.850958525022222</v>
      </c>
      <c r="P33" s="124">
        <f>P$21*shipping_manufacturing!$D$27/100</f>
        <v>87.850958525022222</v>
      </c>
      <c r="Q33" s="124">
        <f>Q$21*shipping_manufacturing!$D$27/100</f>
        <v>87.850958525022222</v>
      </c>
      <c r="R33" s="124">
        <f>R$21*shipping_manufacturing!$D$27/100</f>
        <v>87.850958525022222</v>
      </c>
      <c r="S33" s="124">
        <f>S$21*shipping_manufacturing!$D$27/100</f>
        <v>87.850958525022222</v>
      </c>
      <c r="T33" s="124">
        <f>T$21*shipping_manufacturing!$D$27/100</f>
        <v>87.850958525022222</v>
      </c>
      <c r="U33" s="124">
        <f>U$21*shipping_manufacturing!$D$27/100</f>
        <v>0</v>
      </c>
      <c r="V33" s="124">
        <f>V$21*shipping_manufacturing!$D$27/100</f>
        <v>87.850958525022222</v>
      </c>
      <c r="W33" s="124">
        <f>W$21*shipping_manufacturing!$D$27/100</f>
        <v>87.850958525022222</v>
      </c>
      <c r="X33" s="124">
        <f>X$21*shipping_manufacturing!$D$27/100</f>
        <v>87.850958525022222</v>
      </c>
      <c r="Y33" s="124">
        <f>Y$21*shipping_manufacturing!$D$27/100</f>
        <v>87.850958525022222</v>
      </c>
      <c r="Z33" s="124">
        <f>Z$21*shipping_manufacturing!$D$27/100</f>
        <v>87.850958525022222</v>
      </c>
      <c r="AA33" s="124">
        <f>AA$21*shipping_manufacturing!$D$27/100</f>
        <v>87.850958525022222</v>
      </c>
      <c r="AB33" s="124">
        <f>AB$21*shipping_manufacturing!$D$27/100</f>
        <v>87.850958525022222</v>
      </c>
      <c r="AC33" s="124">
        <f>AC$21*shipping_manufacturing!$D$27/100</f>
        <v>87.850958525022222</v>
      </c>
      <c r="AD33" s="124">
        <f>AD$21*shipping_manufacturing!$D$27/100</f>
        <v>87.850958525022222</v>
      </c>
      <c r="AE33" s="124">
        <f>AE$21*shipping_manufacturing!$D$27/100</f>
        <v>87.850958525022222</v>
      </c>
      <c r="AF33" s="124">
        <f>AF$21*shipping_manufacturing!$D$27/100</f>
        <v>87.850958525022222</v>
      </c>
      <c r="AG33" s="124">
        <f>AG$21*shipping_manufacturing!$D$27/100</f>
        <v>87.850958525022222</v>
      </c>
      <c r="AH33" s="124">
        <f>AH$21*shipping_manufacturing!$D$27/100</f>
        <v>87.850958525022222</v>
      </c>
      <c r="AI33" s="124">
        <f>AI$21*shipping_manufacturing!$D$27/100</f>
        <v>87.850958525022222</v>
      </c>
      <c r="AJ33" s="124">
        <f>AJ$21*shipping_manufacturing!$D$27/100</f>
        <v>87.850958525022222</v>
      </c>
      <c r="AK33" s="124">
        <f>AK$21*shipping_manufacturing!$D$27/100</f>
        <v>87.850958525022222</v>
      </c>
      <c r="AL33" s="124">
        <f>AL$21*shipping_manufacturing!$D$27/100</f>
        <v>87.850958525022222</v>
      </c>
      <c r="AM33" s="124">
        <f>AM$21*shipping_manufacturing!$D$27/100</f>
        <v>87.850958525022222</v>
      </c>
      <c r="AN33" s="124">
        <f>AN$21*shipping_manufacturing!$D$27/100</f>
        <v>87.850958525022222</v>
      </c>
      <c r="AO33" s="124">
        <f>AO$21*shipping_manufacturing!$D$27/100</f>
        <v>87.850958525022222</v>
      </c>
      <c r="AP33" s="124">
        <f>AP$21*shipping_manufacturing!$D$27/100</f>
        <v>87.850958525022222</v>
      </c>
      <c r="AQ33" s="124">
        <f>AQ$21*shipping_manufacturing!$D$27/100</f>
        <v>0</v>
      </c>
      <c r="AR33" s="124">
        <f>AR$21*shipping_manufacturing!$D$27/100</f>
        <v>87.850958525022222</v>
      </c>
      <c r="AS33" s="124">
        <f>AS$21*shipping_manufacturing!$D$27/100</f>
        <v>87.850958525022222</v>
      </c>
      <c r="AT33" s="124">
        <f>AT$21*shipping_manufacturing!$D$27/100</f>
        <v>87.850958525022222</v>
      </c>
      <c r="AU33" s="124">
        <f>AU$21*shipping_manufacturing!$D$27/100</f>
        <v>87.850958525022222</v>
      </c>
      <c r="AV33" s="124">
        <f>AV$21*shipping_manufacturing!$D$27/100</f>
        <v>87.850958525022222</v>
      </c>
      <c r="AW33" s="124">
        <f>AW$21*shipping_manufacturing!$D$27/100</f>
        <v>87.850958525022222</v>
      </c>
      <c r="AX33" s="124">
        <f>AX$21*shipping_manufacturing!$D$27/100</f>
        <v>87.850958525022222</v>
      </c>
      <c r="AY33" s="124">
        <f>AY$21*shipping_manufacturing!$D$27/100</f>
        <v>87.850958525022222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41.196395173504662</v>
      </c>
      <c r="E34" s="110">
        <f>E$22*shipping_manufacturing!$E$27/100</f>
        <v>98.628647603084715</v>
      </c>
      <c r="F34" s="110">
        <f>F$22*shipping_manufacturing!$E$27/100</f>
        <v>98.628647603084715</v>
      </c>
      <c r="G34" s="110">
        <f>G$22*shipping_manufacturing!$E$27/100</f>
        <v>98.628647603084715</v>
      </c>
      <c r="H34" s="110">
        <f>H$22*shipping_manufacturing!$E$27/100</f>
        <v>98.628647603084715</v>
      </c>
      <c r="I34" s="110">
        <f>I$22*shipping_manufacturing!$E$27/100</f>
        <v>98.628647603084715</v>
      </c>
      <c r="J34" s="110">
        <f>J$22*shipping_manufacturing!$E$27/100</f>
        <v>98.628647603084715</v>
      </c>
      <c r="K34" s="110">
        <f>K$22*shipping_manufacturing!$E$27/100</f>
        <v>0</v>
      </c>
      <c r="L34" s="110">
        <f>L$22*shipping_manufacturing!$E$27/100</f>
        <v>98.628647603084715</v>
      </c>
      <c r="M34" s="110">
        <f>M$22*shipping_manufacturing!$E$27/100</f>
        <v>98.628647603084715</v>
      </c>
      <c r="N34" s="110">
        <f>N$22*shipping_manufacturing!$E$27/100</f>
        <v>98.628647603084715</v>
      </c>
      <c r="O34" s="110">
        <f>O$22*shipping_manufacturing!$E$27/100</f>
        <v>98.628647603084715</v>
      </c>
      <c r="P34" s="110">
        <f>P$22*shipping_manufacturing!$E$27/100</f>
        <v>98.628647603084715</v>
      </c>
      <c r="Q34" s="110">
        <f>Q$22*shipping_manufacturing!$E$27/100</f>
        <v>98.628647603084715</v>
      </c>
      <c r="R34" s="110">
        <f>R$22*shipping_manufacturing!$E$27/100</f>
        <v>98.628647603084715</v>
      </c>
      <c r="S34" s="110">
        <f>S$22*shipping_manufacturing!$E$27/100</f>
        <v>98.628647603084715</v>
      </c>
      <c r="T34" s="110">
        <f>T$22*shipping_manufacturing!$E$27/100</f>
        <v>98.628647603084715</v>
      </c>
      <c r="U34" s="110">
        <f>U$22*shipping_manufacturing!$E$27/100</f>
        <v>0</v>
      </c>
      <c r="V34" s="110">
        <f>V$22*shipping_manufacturing!$E$27/100</f>
        <v>98.628647603084715</v>
      </c>
      <c r="W34" s="110">
        <f>W$22*shipping_manufacturing!$E$27/100</f>
        <v>98.628647603084715</v>
      </c>
      <c r="X34" s="110">
        <f>X$22*shipping_manufacturing!$E$27/100</f>
        <v>98.628647603084715</v>
      </c>
      <c r="Y34" s="110">
        <f>Y$22*shipping_manufacturing!$E$27/100</f>
        <v>98.628647603084715</v>
      </c>
      <c r="Z34" s="110">
        <f>Z$22*shipping_manufacturing!$E$27/100</f>
        <v>98.628647603084715</v>
      </c>
      <c r="AA34" s="110">
        <f>AA$22*shipping_manufacturing!$E$27/100</f>
        <v>98.628647603084715</v>
      </c>
      <c r="AB34" s="110">
        <f>AB$22*shipping_manufacturing!$E$27/100</f>
        <v>98.628647603084715</v>
      </c>
      <c r="AC34" s="110">
        <f>AC$22*shipping_manufacturing!$E$27/100</f>
        <v>98.628647603084715</v>
      </c>
      <c r="AD34" s="110">
        <f>AD$22*shipping_manufacturing!$E$27/100</f>
        <v>98.628647603084715</v>
      </c>
      <c r="AE34" s="110">
        <f>AE$22*shipping_manufacturing!$E$27/100</f>
        <v>98.628647603084715</v>
      </c>
      <c r="AF34" s="110">
        <f>AF$22*shipping_manufacturing!$E$27/100</f>
        <v>98.628647603084715</v>
      </c>
      <c r="AG34" s="110">
        <f>AG$22*shipping_manufacturing!$E$27/100</f>
        <v>98.628647603084715</v>
      </c>
      <c r="AH34" s="110">
        <f>AH$22*shipping_manufacturing!$E$27/100</f>
        <v>98.628647603084715</v>
      </c>
      <c r="AI34" s="110">
        <f>AI$22*shipping_manufacturing!$E$27/100</f>
        <v>98.628647603084715</v>
      </c>
      <c r="AJ34" s="110">
        <f>AJ$22*shipping_manufacturing!$E$27/100</f>
        <v>98.628647603084715</v>
      </c>
      <c r="AK34" s="110">
        <f>AK$22*shipping_manufacturing!$E$27/100</f>
        <v>98.628647603084715</v>
      </c>
      <c r="AL34" s="110">
        <f>AL$22*shipping_manufacturing!$E$27/100</f>
        <v>98.628647603084715</v>
      </c>
      <c r="AM34" s="110">
        <f>AM$22*shipping_manufacturing!$E$27/100</f>
        <v>98.628647603084715</v>
      </c>
      <c r="AN34" s="110">
        <f>AN$22*shipping_manufacturing!$E$27/100</f>
        <v>98.628647603084715</v>
      </c>
      <c r="AO34" s="110">
        <f>AO$22*shipping_manufacturing!$E$27/100</f>
        <v>98.628647603084715</v>
      </c>
      <c r="AP34" s="110">
        <f>AP$22*shipping_manufacturing!$E$27/100</f>
        <v>98.628647603084715</v>
      </c>
      <c r="AQ34" s="110">
        <f>AQ$22*shipping_manufacturing!$E$27/100</f>
        <v>0</v>
      </c>
      <c r="AR34" s="110">
        <f>AR$22*shipping_manufacturing!$E$27/100</f>
        <v>98.628647603084715</v>
      </c>
      <c r="AS34" s="110">
        <f>AS$22*shipping_manufacturing!$E$27/100</f>
        <v>98.628647603084715</v>
      </c>
      <c r="AT34" s="110">
        <f>AT$22*shipping_manufacturing!$E$27/100</f>
        <v>98.628647603084715</v>
      </c>
      <c r="AU34" s="110">
        <f>AU$22*shipping_manufacturing!$E$27/100</f>
        <v>98.628647603084715</v>
      </c>
      <c r="AV34" s="110">
        <f>AV$22*shipping_manufacturing!$E$27/100</f>
        <v>98.628647603084715</v>
      </c>
      <c r="AW34" s="110">
        <f>AW$22*shipping_manufacturing!$E$27/100</f>
        <v>98.628647603084715</v>
      </c>
      <c r="AX34" s="110">
        <f>AX$22*shipping_manufacturing!$E$27/100</f>
        <v>98.628647603084715</v>
      </c>
      <c r="AY34" s="110">
        <f>AY$22*shipping_manufacturing!$E$27/100</f>
        <v>98.628647603084715</v>
      </c>
    </row>
    <row r="35" spans="1:52">
      <c r="A35" s="110">
        <v>1225</v>
      </c>
      <c r="B35" s="165" t="s">
        <v>343</v>
      </c>
      <c r="C35" s="110"/>
      <c r="D35" s="110">
        <f>SUM(D33:D34)</f>
        <v>77.8910360483613</v>
      </c>
      <c r="E35" s="110">
        <f t="shared" ref="E35:AY35" si="11">SUM(E33:E34)</f>
        <v>186.47960612810692</v>
      </c>
      <c r="F35" s="110">
        <f t="shared" si="11"/>
        <v>186.47960612810692</v>
      </c>
      <c r="G35" s="110">
        <f t="shared" si="11"/>
        <v>186.47960612810692</v>
      </c>
      <c r="H35" s="110">
        <f t="shared" si="11"/>
        <v>186.47960612810692</v>
      </c>
      <c r="I35" s="110">
        <f t="shared" si="11"/>
        <v>186.47960612810692</v>
      </c>
      <c r="J35" s="110">
        <f t="shared" si="11"/>
        <v>186.47960612810692</v>
      </c>
      <c r="K35" s="110">
        <f t="shared" si="11"/>
        <v>0</v>
      </c>
      <c r="L35" s="110">
        <f t="shared" si="11"/>
        <v>186.47960612810692</v>
      </c>
      <c r="M35" s="110">
        <f t="shared" si="11"/>
        <v>186.47960612810692</v>
      </c>
      <c r="N35" s="110">
        <f t="shared" si="11"/>
        <v>186.47960612810692</v>
      </c>
      <c r="O35" s="110">
        <f t="shared" si="11"/>
        <v>186.47960612810692</v>
      </c>
      <c r="P35" s="110">
        <f t="shared" si="11"/>
        <v>186.47960612810692</v>
      </c>
      <c r="Q35" s="110">
        <f t="shared" si="11"/>
        <v>186.47960612810692</v>
      </c>
      <c r="R35" s="110">
        <f t="shared" si="11"/>
        <v>186.47960612810692</v>
      </c>
      <c r="S35" s="110">
        <f t="shared" si="11"/>
        <v>186.47960612810692</v>
      </c>
      <c r="T35" s="110">
        <f t="shared" si="11"/>
        <v>186.47960612810692</v>
      </c>
      <c r="U35" s="110">
        <f t="shared" si="11"/>
        <v>0</v>
      </c>
      <c r="V35" s="110">
        <f t="shared" si="11"/>
        <v>186.47960612810692</v>
      </c>
      <c r="W35" s="110">
        <f t="shared" si="11"/>
        <v>186.47960612810692</v>
      </c>
      <c r="X35" s="110">
        <f t="shared" si="11"/>
        <v>186.47960612810692</v>
      </c>
      <c r="Y35" s="110">
        <f t="shared" si="11"/>
        <v>186.47960612810692</v>
      </c>
      <c r="Z35" s="110">
        <f t="shared" si="11"/>
        <v>186.47960612810692</v>
      </c>
      <c r="AA35" s="110">
        <f t="shared" si="11"/>
        <v>186.47960612810692</v>
      </c>
      <c r="AB35" s="110">
        <f t="shared" si="11"/>
        <v>186.47960612810692</v>
      </c>
      <c r="AC35" s="110">
        <f t="shared" si="11"/>
        <v>186.47960612810692</v>
      </c>
      <c r="AD35" s="110">
        <f t="shared" si="11"/>
        <v>186.47960612810692</v>
      </c>
      <c r="AE35" s="110">
        <f t="shared" si="11"/>
        <v>186.47960612810692</v>
      </c>
      <c r="AF35" s="110">
        <f t="shared" si="11"/>
        <v>186.47960612810692</v>
      </c>
      <c r="AG35" s="110">
        <f t="shared" si="11"/>
        <v>186.47960612810692</v>
      </c>
      <c r="AH35" s="110">
        <f t="shared" si="11"/>
        <v>186.47960612810692</v>
      </c>
      <c r="AI35" s="110">
        <f t="shared" si="11"/>
        <v>186.47960612810692</v>
      </c>
      <c r="AJ35" s="110">
        <f t="shared" si="11"/>
        <v>186.47960612810692</v>
      </c>
      <c r="AK35" s="110">
        <f t="shared" si="11"/>
        <v>186.47960612810692</v>
      </c>
      <c r="AL35" s="110">
        <f t="shared" si="11"/>
        <v>186.47960612810692</v>
      </c>
      <c r="AM35" s="110">
        <f t="shared" si="11"/>
        <v>186.47960612810692</v>
      </c>
      <c r="AN35" s="110">
        <f t="shared" si="11"/>
        <v>186.47960612810692</v>
      </c>
      <c r="AO35" s="110">
        <f t="shared" si="11"/>
        <v>186.47960612810692</v>
      </c>
      <c r="AP35" s="110">
        <f t="shared" si="11"/>
        <v>186.47960612810692</v>
      </c>
      <c r="AQ35" s="110">
        <f t="shared" si="11"/>
        <v>0</v>
      </c>
      <c r="AR35" s="110">
        <f t="shared" si="11"/>
        <v>186.47960612810692</v>
      </c>
      <c r="AS35" s="110">
        <f t="shared" si="11"/>
        <v>186.47960612810692</v>
      </c>
      <c r="AT35" s="110">
        <f t="shared" si="11"/>
        <v>186.47960612810692</v>
      </c>
      <c r="AU35" s="110">
        <f t="shared" si="11"/>
        <v>186.47960612810692</v>
      </c>
      <c r="AV35" s="110">
        <f t="shared" si="11"/>
        <v>186.47960612810692</v>
      </c>
      <c r="AW35" s="110">
        <f t="shared" si="11"/>
        <v>186.47960612810692</v>
      </c>
      <c r="AX35" s="110">
        <f t="shared" si="11"/>
        <v>186.47960612810692</v>
      </c>
      <c r="AY35" s="110">
        <f t="shared" si="11"/>
        <v>186.47960612810692</v>
      </c>
    </row>
    <row r="36" spans="1:52">
      <c r="A36" s="110"/>
      <c r="B36" s="165" t="s">
        <v>344</v>
      </c>
      <c r="C36" s="110"/>
      <c r="D36" s="110">
        <v>14.133066936767996</v>
      </c>
      <c r="E36" s="110">
        <v>70.665334683839973</v>
      </c>
      <c r="F36" s="110"/>
      <c r="G36" s="110">
        <v>70.665334683839973</v>
      </c>
      <c r="H36" s="110"/>
      <c r="I36" s="110">
        <v>70.665334683839973</v>
      </c>
      <c r="J36" s="110"/>
      <c r="K36" s="110"/>
      <c r="L36" s="110">
        <v>87.850958525022207</v>
      </c>
      <c r="M36" s="110"/>
      <c r="N36" s="110">
        <v>87.850958525022207</v>
      </c>
      <c r="O36" s="110"/>
      <c r="P36" s="110">
        <v>87.850958525022207</v>
      </c>
      <c r="Q36" s="110"/>
      <c r="R36" s="110">
        <v>87.850958525022207</v>
      </c>
      <c r="S36" s="110"/>
      <c r="T36" s="110">
        <v>87.850958525022207</v>
      </c>
      <c r="U36" s="110"/>
      <c r="V36" s="110">
        <v>87.850958525022207</v>
      </c>
      <c r="W36" s="110"/>
      <c r="X36" s="110">
        <v>87.850958525022207</v>
      </c>
      <c r="Y36" s="110"/>
      <c r="Z36" s="110">
        <v>87.850958525022207</v>
      </c>
      <c r="AA36" s="110"/>
      <c r="AB36" s="110">
        <v>87.850958525022207</v>
      </c>
      <c r="AC36" s="110"/>
      <c r="AD36" s="110">
        <v>87.850958525022207</v>
      </c>
      <c r="AE36" s="110"/>
      <c r="AF36" s="110">
        <v>87.850958525022207</v>
      </c>
      <c r="AG36" s="110"/>
      <c r="AH36" s="110">
        <v>87.850958525022207</v>
      </c>
      <c r="AI36" s="110"/>
      <c r="AJ36" s="110">
        <v>87.850958525022207</v>
      </c>
      <c r="AK36" s="110"/>
      <c r="AL36" s="110">
        <v>87.850958525022207</v>
      </c>
      <c r="AM36" s="110"/>
      <c r="AN36" s="110">
        <v>87.850958525022207</v>
      </c>
      <c r="AO36" s="110"/>
      <c r="AP36" s="110">
        <v>87.850958525022207</v>
      </c>
      <c r="AQ36" s="110"/>
      <c r="AR36" s="110">
        <v>87.850958525022207</v>
      </c>
      <c r="AS36" s="110"/>
      <c r="AT36" s="110">
        <v>87.850958525022207</v>
      </c>
      <c r="AU36" s="110"/>
      <c r="AV36" s="110">
        <v>87.850958525022207</v>
      </c>
      <c r="AW36" s="110"/>
      <c r="AX36" s="110">
        <v>87.850958525022207</v>
      </c>
      <c r="AY36" s="110"/>
    </row>
    <row r="37" spans="1:52">
      <c r="A37" s="110"/>
      <c r="B37" s="165" t="s">
        <v>345</v>
      </c>
      <c r="C37" s="110"/>
      <c r="D37" s="110">
        <v>15.866933063232004</v>
      </c>
      <c r="E37" s="110">
        <v>79.334665316160013</v>
      </c>
      <c r="F37" s="110"/>
      <c r="G37" s="110">
        <v>79.334665316160013</v>
      </c>
      <c r="H37" s="110"/>
      <c r="I37" s="110">
        <v>79.334665316160013</v>
      </c>
      <c r="J37" s="110"/>
      <c r="K37" s="110"/>
      <c r="L37" s="110">
        <v>98.628647603084687</v>
      </c>
      <c r="M37" s="110"/>
      <c r="N37" s="110">
        <v>98.628647603084687</v>
      </c>
      <c r="O37" s="110"/>
      <c r="P37" s="110">
        <v>98.628647603084687</v>
      </c>
      <c r="Q37" s="110"/>
      <c r="R37" s="110">
        <v>98.628647603084687</v>
      </c>
      <c r="S37" s="110"/>
      <c r="T37" s="110">
        <v>98.628647603084687</v>
      </c>
      <c r="U37" s="110"/>
      <c r="V37" s="110">
        <v>98.628647603084687</v>
      </c>
      <c r="W37" s="110"/>
      <c r="X37" s="110">
        <v>98.628647603084687</v>
      </c>
      <c r="Y37" s="110"/>
      <c r="Z37" s="110">
        <v>98.628647603084687</v>
      </c>
      <c r="AA37" s="110"/>
      <c r="AB37" s="110">
        <v>98.628647603084687</v>
      </c>
      <c r="AC37" s="110"/>
      <c r="AD37" s="110">
        <v>98.628647603084687</v>
      </c>
      <c r="AE37" s="110"/>
      <c r="AF37" s="110">
        <v>98.628647603084687</v>
      </c>
      <c r="AG37" s="110"/>
      <c r="AH37" s="110">
        <v>98.628647603084687</v>
      </c>
      <c r="AI37" s="110"/>
      <c r="AJ37" s="110">
        <v>98.628647603084687</v>
      </c>
      <c r="AK37" s="110"/>
      <c r="AL37" s="110">
        <v>98.628647603084687</v>
      </c>
      <c r="AM37" s="110"/>
      <c r="AN37" s="110">
        <v>98.628647603084687</v>
      </c>
      <c r="AO37" s="110"/>
      <c r="AP37" s="110">
        <v>98.628647603084687</v>
      </c>
      <c r="AQ37" s="110"/>
      <c r="AR37" s="110">
        <v>98.628647603084687</v>
      </c>
      <c r="AS37" s="110"/>
      <c r="AT37" s="110">
        <v>98.628647603084687</v>
      </c>
      <c r="AU37" s="110"/>
      <c r="AV37" s="110">
        <v>98.628647603084687</v>
      </c>
      <c r="AW37" s="110"/>
      <c r="AX37" s="110">
        <v>98.628647603084687</v>
      </c>
      <c r="AY37" s="110"/>
    </row>
    <row r="38" spans="1:52">
      <c r="A38" s="110"/>
      <c r="B38" s="165" t="s">
        <v>346</v>
      </c>
      <c r="C38" s="110"/>
      <c r="D38" s="110">
        <v>1</v>
      </c>
      <c r="E38" s="110">
        <v>5</v>
      </c>
      <c r="F38" s="110"/>
      <c r="G38" s="110">
        <v>5</v>
      </c>
      <c r="H38" s="110"/>
      <c r="I38" s="110">
        <v>5</v>
      </c>
      <c r="J38" s="110"/>
      <c r="K38" s="110"/>
      <c r="L38" s="110">
        <v>7</v>
      </c>
      <c r="M38" s="110"/>
      <c r="N38" s="110">
        <v>7</v>
      </c>
      <c r="O38" s="110"/>
      <c r="P38" s="110">
        <v>7</v>
      </c>
      <c r="Q38" s="110"/>
      <c r="R38" s="110">
        <v>7</v>
      </c>
      <c r="S38" s="110"/>
      <c r="T38" s="110">
        <v>7</v>
      </c>
      <c r="U38" s="110"/>
      <c r="V38" s="110">
        <v>7</v>
      </c>
      <c r="W38" s="110"/>
      <c r="X38" s="110">
        <v>7</v>
      </c>
      <c r="Y38" s="110"/>
      <c r="Z38" s="110">
        <v>7</v>
      </c>
      <c r="AA38" s="110"/>
      <c r="AB38" s="110">
        <v>7</v>
      </c>
      <c r="AC38" s="110"/>
      <c r="AD38" s="110">
        <v>7</v>
      </c>
      <c r="AE38" s="110"/>
      <c r="AF38" s="110">
        <v>7</v>
      </c>
      <c r="AG38" s="110"/>
      <c r="AH38" s="110">
        <v>7</v>
      </c>
      <c r="AI38" s="110"/>
      <c r="AJ38" s="110">
        <v>7</v>
      </c>
      <c r="AK38" s="110"/>
      <c r="AL38" s="110">
        <v>7</v>
      </c>
      <c r="AM38" s="110"/>
      <c r="AN38" s="110">
        <v>7</v>
      </c>
      <c r="AO38" s="110"/>
      <c r="AP38" s="110">
        <v>7</v>
      </c>
      <c r="AQ38" s="110"/>
      <c r="AR38" s="110">
        <v>7</v>
      </c>
      <c r="AS38" s="110"/>
      <c r="AT38" s="110">
        <v>7</v>
      </c>
      <c r="AU38" s="110"/>
      <c r="AV38" s="110">
        <v>7</v>
      </c>
      <c r="AW38" s="110"/>
      <c r="AX38" s="110">
        <v>7</v>
      </c>
      <c r="AY38" s="110"/>
    </row>
    <row r="39" spans="1:52">
      <c r="A39" s="110"/>
      <c r="B39" s="165" t="s">
        <v>347</v>
      </c>
      <c r="C39" s="110"/>
      <c r="D39" s="110">
        <f>D33-D36</f>
        <v>22.561573938088642</v>
      </c>
      <c r="E39" s="110">
        <f t="shared" ref="E39:AY39" si="12">E33-E36</f>
        <v>17.185623841182249</v>
      </c>
      <c r="F39" s="110">
        <f t="shared" si="12"/>
        <v>87.850958525022222</v>
      </c>
      <c r="G39" s="110">
        <f t="shared" si="12"/>
        <v>17.185623841182249</v>
      </c>
      <c r="H39" s="110">
        <f t="shared" si="12"/>
        <v>87.850958525022222</v>
      </c>
      <c r="I39" s="110">
        <f t="shared" si="12"/>
        <v>17.185623841182249</v>
      </c>
      <c r="J39" s="110">
        <f t="shared" si="12"/>
        <v>87.850958525022222</v>
      </c>
      <c r="K39" s="110">
        <f t="shared" si="12"/>
        <v>0</v>
      </c>
      <c r="L39" s="110">
        <f t="shared" si="12"/>
        <v>0</v>
      </c>
      <c r="M39" s="110">
        <f t="shared" si="12"/>
        <v>87.850958525022222</v>
      </c>
      <c r="N39" s="110">
        <f t="shared" si="12"/>
        <v>0</v>
      </c>
      <c r="O39" s="110">
        <f t="shared" si="12"/>
        <v>87.850958525022222</v>
      </c>
      <c r="P39" s="110">
        <f t="shared" si="12"/>
        <v>0</v>
      </c>
      <c r="Q39" s="110">
        <f t="shared" si="12"/>
        <v>87.850958525022222</v>
      </c>
      <c r="R39" s="110">
        <f t="shared" si="12"/>
        <v>0</v>
      </c>
      <c r="S39" s="110">
        <f t="shared" si="12"/>
        <v>87.850958525022222</v>
      </c>
      <c r="T39" s="110">
        <f t="shared" si="12"/>
        <v>0</v>
      </c>
      <c r="U39" s="110">
        <f t="shared" si="12"/>
        <v>0</v>
      </c>
      <c r="V39" s="110">
        <f t="shared" si="12"/>
        <v>0</v>
      </c>
      <c r="W39" s="110">
        <f t="shared" si="12"/>
        <v>87.850958525022222</v>
      </c>
      <c r="X39" s="110">
        <f t="shared" si="12"/>
        <v>0</v>
      </c>
      <c r="Y39" s="110">
        <f t="shared" si="12"/>
        <v>87.850958525022222</v>
      </c>
      <c r="Z39" s="110">
        <f t="shared" si="12"/>
        <v>0</v>
      </c>
      <c r="AA39" s="110">
        <f t="shared" si="12"/>
        <v>87.850958525022222</v>
      </c>
      <c r="AB39" s="110">
        <f t="shared" si="12"/>
        <v>0</v>
      </c>
      <c r="AC39" s="110">
        <f t="shared" si="12"/>
        <v>87.850958525022222</v>
      </c>
      <c r="AD39" s="110">
        <f t="shared" si="12"/>
        <v>0</v>
      </c>
      <c r="AE39" s="110">
        <f t="shared" si="12"/>
        <v>87.850958525022222</v>
      </c>
      <c r="AF39" s="110">
        <f t="shared" si="12"/>
        <v>0</v>
      </c>
      <c r="AG39" s="110">
        <f t="shared" si="12"/>
        <v>87.850958525022222</v>
      </c>
      <c r="AH39" s="110">
        <f t="shared" si="12"/>
        <v>0</v>
      </c>
      <c r="AI39" s="110">
        <f t="shared" si="12"/>
        <v>87.850958525022222</v>
      </c>
      <c r="AJ39" s="110">
        <f t="shared" si="12"/>
        <v>0</v>
      </c>
      <c r="AK39" s="110">
        <f t="shared" si="12"/>
        <v>87.850958525022222</v>
      </c>
      <c r="AL39" s="110">
        <f t="shared" si="12"/>
        <v>0</v>
      </c>
      <c r="AM39" s="110">
        <f t="shared" si="12"/>
        <v>87.850958525022222</v>
      </c>
      <c r="AN39" s="110">
        <f t="shared" si="12"/>
        <v>0</v>
      </c>
      <c r="AO39" s="110">
        <f t="shared" si="12"/>
        <v>87.850958525022222</v>
      </c>
      <c r="AP39" s="110">
        <f t="shared" si="12"/>
        <v>0</v>
      </c>
      <c r="AQ39" s="110">
        <f t="shared" si="12"/>
        <v>0</v>
      </c>
      <c r="AR39" s="110">
        <f t="shared" si="12"/>
        <v>0</v>
      </c>
      <c r="AS39" s="110">
        <f t="shared" si="12"/>
        <v>87.850958525022222</v>
      </c>
      <c r="AT39" s="110">
        <f t="shared" si="12"/>
        <v>0</v>
      </c>
      <c r="AU39" s="110">
        <f t="shared" si="12"/>
        <v>87.850958525022222</v>
      </c>
      <c r="AV39" s="110">
        <f t="shared" si="12"/>
        <v>0</v>
      </c>
      <c r="AW39" s="110">
        <f t="shared" si="12"/>
        <v>87.850958525022222</v>
      </c>
      <c r="AX39" s="110">
        <f t="shared" si="12"/>
        <v>0</v>
      </c>
      <c r="AY39" s="110">
        <f t="shared" si="12"/>
        <v>87.850958525022222</v>
      </c>
    </row>
    <row r="40" spans="1:52">
      <c r="A40" s="110"/>
      <c r="B40" s="165" t="s">
        <v>348</v>
      </c>
      <c r="C40" s="110"/>
      <c r="D40" s="110">
        <f>D34-D37</f>
        <v>25.329462110272658</v>
      </c>
      <c r="E40" s="110">
        <f t="shared" ref="E40:AY40" si="13">E34-E37</f>
        <v>19.293982286924702</v>
      </c>
      <c r="F40" s="110">
        <f t="shared" si="13"/>
        <v>98.628647603084715</v>
      </c>
      <c r="G40" s="110">
        <f t="shared" si="13"/>
        <v>19.293982286924702</v>
      </c>
      <c r="H40" s="110">
        <f t="shared" si="13"/>
        <v>98.628647603084715</v>
      </c>
      <c r="I40" s="110">
        <f t="shared" si="13"/>
        <v>19.293982286924702</v>
      </c>
      <c r="J40" s="110">
        <f t="shared" si="13"/>
        <v>98.628647603084715</v>
      </c>
      <c r="K40" s="110">
        <f t="shared" si="13"/>
        <v>0</v>
      </c>
      <c r="L40" s="110">
        <f t="shared" si="13"/>
        <v>0</v>
      </c>
      <c r="M40" s="110">
        <f t="shared" si="13"/>
        <v>98.628647603084715</v>
      </c>
      <c r="N40" s="110">
        <f t="shared" si="13"/>
        <v>0</v>
      </c>
      <c r="O40" s="110">
        <f t="shared" si="13"/>
        <v>98.628647603084715</v>
      </c>
      <c r="P40" s="110">
        <f t="shared" si="13"/>
        <v>0</v>
      </c>
      <c r="Q40" s="110">
        <f t="shared" si="13"/>
        <v>98.628647603084715</v>
      </c>
      <c r="R40" s="110">
        <f t="shared" si="13"/>
        <v>0</v>
      </c>
      <c r="S40" s="110">
        <f t="shared" si="13"/>
        <v>98.628647603084715</v>
      </c>
      <c r="T40" s="110">
        <f t="shared" si="13"/>
        <v>0</v>
      </c>
      <c r="U40" s="110">
        <f t="shared" si="13"/>
        <v>0</v>
      </c>
      <c r="V40" s="110">
        <f t="shared" si="13"/>
        <v>0</v>
      </c>
      <c r="W40" s="110">
        <f t="shared" si="13"/>
        <v>98.628647603084715</v>
      </c>
      <c r="X40" s="110">
        <f t="shared" si="13"/>
        <v>0</v>
      </c>
      <c r="Y40" s="110">
        <f t="shared" si="13"/>
        <v>98.628647603084715</v>
      </c>
      <c r="Z40" s="110">
        <f t="shared" si="13"/>
        <v>0</v>
      </c>
      <c r="AA40" s="110">
        <f t="shared" si="13"/>
        <v>98.628647603084715</v>
      </c>
      <c r="AB40" s="110">
        <f t="shared" si="13"/>
        <v>0</v>
      </c>
      <c r="AC40" s="110">
        <f t="shared" si="13"/>
        <v>98.628647603084715</v>
      </c>
      <c r="AD40" s="110">
        <f t="shared" si="13"/>
        <v>0</v>
      </c>
      <c r="AE40" s="110">
        <f t="shared" si="13"/>
        <v>98.628647603084715</v>
      </c>
      <c r="AF40" s="110">
        <f t="shared" si="13"/>
        <v>0</v>
      </c>
      <c r="AG40" s="110">
        <f t="shared" si="13"/>
        <v>98.628647603084715</v>
      </c>
      <c r="AH40" s="110">
        <f t="shared" si="13"/>
        <v>0</v>
      </c>
      <c r="AI40" s="110">
        <f t="shared" si="13"/>
        <v>98.628647603084715</v>
      </c>
      <c r="AJ40" s="110">
        <f t="shared" si="13"/>
        <v>0</v>
      </c>
      <c r="AK40" s="110">
        <f t="shared" si="13"/>
        <v>98.628647603084715</v>
      </c>
      <c r="AL40" s="110">
        <f t="shared" si="13"/>
        <v>0</v>
      </c>
      <c r="AM40" s="110">
        <f t="shared" si="13"/>
        <v>98.628647603084715</v>
      </c>
      <c r="AN40" s="110">
        <f t="shared" si="13"/>
        <v>0</v>
      </c>
      <c r="AO40" s="110">
        <f t="shared" si="13"/>
        <v>98.628647603084715</v>
      </c>
      <c r="AP40" s="110">
        <f t="shared" si="13"/>
        <v>0</v>
      </c>
      <c r="AQ40" s="110">
        <f t="shared" si="13"/>
        <v>0</v>
      </c>
      <c r="AR40" s="110">
        <f t="shared" si="13"/>
        <v>0</v>
      </c>
      <c r="AS40" s="110">
        <f t="shared" si="13"/>
        <v>98.628647603084715</v>
      </c>
      <c r="AT40" s="110">
        <f t="shared" si="13"/>
        <v>0</v>
      </c>
      <c r="AU40" s="110">
        <f t="shared" si="13"/>
        <v>98.628647603084715</v>
      </c>
      <c r="AV40" s="110">
        <f t="shared" si="13"/>
        <v>0</v>
      </c>
      <c r="AW40" s="110">
        <f t="shared" si="13"/>
        <v>98.628647603084715</v>
      </c>
      <c r="AX40" s="110">
        <f t="shared" si="13"/>
        <v>0</v>
      </c>
      <c r="AY40" s="110">
        <f t="shared" si="13"/>
        <v>98.628647603084715</v>
      </c>
    </row>
    <row r="41" spans="1:52">
      <c r="A41" s="110"/>
      <c r="B41" s="165" t="s">
        <v>349</v>
      </c>
      <c r="C41" s="110"/>
      <c r="D41" s="110">
        <v>2</v>
      </c>
      <c r="E41" s="110">
        <v>2</v>
      </c>
      <c r="F41" s="110">
        <v>1</v>
      </c>
      <c r="G41" s="110">
        <v>2</v>
      </c>
      <c r="H41" s="110">
        <v>2</v>
      </c>
      <c r="I41" s="110">
        <v>2</v>
      </c>
      <c r="J41" s="110">
        <v>1</v>
      </c>
      <c r="K41" s="110">
        <v>2</v>
      </c>
      <c r="L41" s="110">
        <v>1</v>
      </c>
      <c r="M41" s="110">
        <v>3</v>
      </c>
      <c r="N41" s="110">
        <v>1</v>
      </c>
      <c r="O41" s="110">
        <v>3</v>
      </c>
      <c r="P41" s="110">
        <v>2</v>
      </c>
      <c r="Q41" s="110">
        <v>1</v>
      </c>
      <c r="R41" s="110">
        <v>2</v>
      </c>
      <c r="S41" s="110">
        <v>1</v>
      </c>
      <c r="T41" s="110">
        <v>1</v>
      </c>
      <c r="U41" s="110">
        <v>1</v>
      </c>
      <c r="V41" s="110">
        <v>2</v>
      </c>
      <c r="W41" s="110">
        <v>1</v>
      </c>
      <c r="X41" s="110">
        <v>2</v>
      </c>
      <c r="Y41" s="110">
        <v>1</v>
      </c>
      <c r="Z41" s="110">
        <v>3</v>
      </c>
      <c r="AA41" s="110">
        <v>1</v>
      </c>
      <c r="AB41" s="110">
        <v>2</v>
      </c>
      <c r="AC41" s="110">
        <v>1</v>
      </c>
      <c r="AD41" s="110">
        <v>1</v>
      </c>
      <c r="AE41" s="110">
        <v>1</v>
      </c>
      <c r="AF41" s="110">
        <v>1</v>
      </c>
      <c r="AG41" s="110">
        <v>2</v>
      </c>
      <c r="AH41" s="110">
        <v>1</v>
      </c>
      <c r="AI41" s="110">
        <v>2</v>
      </c>
      <c r="AJ41" s="110">
        <v>1</v>
      </c>
      <c r="AK41" s="110">
        <v>1</v>
      </c>
      <c r="AL41" s="110">
        <v>2</v>
      </c>
      <c r="AM41" s="110">
        <v>2</v>
      </c>
      <c r="AN41" s="110">
        <v>2</v>
      </c>
      <c r="AO41" s="110">
        <v>1</v>
      </c>
      <c r="AP41" s="110">
        <v>3</v>
      </c>
      <c r="AQ41" s="110">
        <v>1</v>
      </c>
      <c r="AR41" s="110">
        <v>2</v>
      </c>
      <c r="AS41" s="110">
        <v>2</v>
      </c>
      <c r="AT41" s="110">
        <v>1</v>
      </c>
      <c r="AU41" s="110">
        <v>1</v>
      </c>
      <c r="AV41" s="110">
        <v>2</v>
      </c>
      <c r="AW41" s="110">
        <v>1</v>
      </c>
      <c r="AX41" s="110">
        <v>3</v>
      </c>
      <c r="AY41" s="110">
        <v>1</v>
      </c>
    </row>
    <row r="42" spans="1:52">
      <c r="A42" s="110"/>
      <c r="B42" s="178" t="s">
        <v>350</v>
      </c>
      <c r="C42" s="110"/>
      <c r="D42" s="110">
        <v>44100</v>
      </c>
      <c r="E42" s="110">
        <v>220500</v>
      </c>
      <c r="F42" s="110">
        <v>0</v>
      </c>
      <c r="G42" s="110">
        <v>220500</v>
      </c>
      <c r="H42" s="110">
        <v>0</v>
      </c>
      <c r="I42" s="110">
        <v>220500</v>
      </c>
      <c r="J42" s="110">
        <v>0</v>
      </c>
      <c r="K42" s="110">
        <v>0</v>
      </c>
      <c r="L42" s="110">
        <v>308700</v>
      </c>
      <c r="M42" s="110">
        <v>0</v>
      </c>
      <c r="N42" s="110">
        <v>308700</v>
      </c>
      <c r="O42" s="110">
        <v>0</v>
      </c>
      <c r="P42" s="110">
        <v>308700</v>
      </c>
      <c r="Q42" s="110">
        <v>0</v>
      </c>
      <c r="R42" s="110">
        <v>308700</v>
      </c>
      <c r="S42" s="110">
        <v>0</v>
      </c>
      <c r="T42" s="110">
        <v>308700</v>
      </c>
      <c r="U42" s="110">
        <v>0</v>
      </c>
      <c r="V42" s="110">
        <v>308700</v>
      </c>
      <c r="W42" s="110">
        <v>0</v>
      </c>
      <c r="X42" s="110">
        <v>308700</v>
      </c>
      <c r="Y42" s="110">
        <v>0</v>
      </c>
      <c r="Z42" s="110">
        <v>308700</v>
      </c>
      <c r="AA42" s="110">
        <v>0</v>
      </c>
      <c r="AB42" s="110">
        <v>308700</v>
      </c>
      <c r="AC42" s="110">
        <v>0</v>
      </c>
      <c r="AD42" s="110">
        <v>308700</v>
      </c>
      <c r="AE42" s="110">
        <v>0</v>
      </c>
      <c r="AF42" s="110">
        <v>308700</v>
      </c>
      <c r="AG42" s="110">
        <v>0</v>
      </c>
      <c r="AH42" s="110">
        <v>308700</v>
      </c>
      <c r="AI42" s="110">
        <v>0</v>
      </c>
      <c r="AJ42" s="110">
        <v>308700</v>
      </c>
      <c r="AK42" s="110">
        <v>0</v>
      </c>
      <c r="AL42" s="110">
        <v>308700</v>
      </c>
      <c r="AM42" s="110">
        <v>0</v>
      </c>
      <c r="AN42" s="110">
        <v>308700</v>
      </c>
      <c r="AO42" s="110">
        <v>0</v>
      </c>
      <c r="AP42" s="110">
        <v>308700</v>
      </c>
      <c r="AQ42" s="110">
        <v>0</v>
      </c>
      <c r="AR42" s="110">
        <v>308700</v>
      </c>
      <c r="AS42" s="110">
        <v>0</v>
      </c>
      <c r="AT42" s="110">
        <v>308700</v>
      </c>
      <c r="AU42" s="110">
        <v>0</v>
      </c>
      <c r="AV42" s="110">
        <v>308700</v>
      </c>
      <c r="AW42" s="110">
        <v>0</v>
      </c>
      <c r="AX42" s="110">
        <v>308700</v>
      </c>
      <c r="AY42" s="110">
        <v>0</v>
      </c>
      <c r="AZ42" s="100">
        <f>SUM($D$42:$AY$42)</f>
        <v>6879600</v>
      </c>
    </row>
    <row r="43" spans="1:52">
      <c r="A43" s="110"/>
      <c r="B43" s="178" t="s">
        <v>351</v>
      </c>
      <c r="C43" s="110"/>
      <c r="D43" s="110">
        <v>38133.237453507689</v>
      </c>
      <c r="E43" s="110">
        <v>29046.886379505158</v>
      </c>
      <c r="F43" s="110">
        <v>148484.38637950513</v>
      </c>
      <c r="G43" s="110">
        <v>29046.886379505158</v>
      </c>
      <c r="H43" s="110">
        <v>148484.38637950513</v>
      </c>
      <c r="I43" s="110">
        <v>29046.886379505158</v>
      </c>
      <c r="J43" s="110">
        <v>148484.38637950513</v>
      </c>
      <c r="K43" s="110">
        <v>0</v>
      </c>
      <c r="L43" s="110">
        <v>0</v>
      </c>
      <c r="M43" s="110">
        <v>148484.38637950513</v>
      </c>
      <c r="N43" s="110">
        <v>0</v>
      </c>
      <c r="O43" s="110">
        <v>148484.38637950513</v>
      </c>
      <c r="P43" s="110">
        <v>0</v>
      </c>
      <c r="Q43" s="110">
        <v>148484.38637950513</v>
      </c>
      <c r="R43" s="110">
        <v>0</v>
      </c>
      <c r="S43" s="110">
        <v>148484.38637950513</v>
      </c>
      <c r="T43" s="110">
        <v>0</v>
      </c>
      <c r="U43" s="110">
        <v>0</v>
      </c>
      <c r="V43" s="110">
        <v>0</v>
      </c>
      <c r="W43" s="110">
        <v>148484.38637950513</v>
      </c>
      <c r="X43" s="110">
        <v>0</v>
      </c>
      <c r="Y43" s="110">
        <v>148484.38637950513</v>
      </c>
      <c r="Z43" s="110">
        <v>0</v>
      </c>
      <c r="AA43" s="110">
        <v>148484.38637950513</v>
      </c>
      <c r="AB43" s="110">
        <v>0</v>
      </c>
      <c r="AC43" s="110">
        <v>148484.38637950513</v>
      </c>
      <c r="AD43" s="110">
        <v>0</v>
      </c>
      <c r="AE43" s="110">
        <v>148484.38637950513</v>
      </c>
      <c r="AF43" s="110">
        <v>0</v>
      </c>
      <c r="AG43" s="110">
        <v>148484.38637950513</v>
      </c>
      <c r="AH43" s="110">
        <v>0</v>
      </c>
      <c r="AI43" s="110">
        <v>148484.38637950513</v>
      </c>
      <c r="AJ43" s="110">
        <v>0</v>
      </c>
      <c r="AK43" s="110">
        <v>148484.38637950513</v>
      </c>
      <c r="AL43" s="110">
        <v>0</v>
      </c>
      <c r="AM43" s="110">
        <v>148484.38637950513</v>
      </c>
      <c r="AN43" s="110">
        <v>0</v>
      </c>
      <c r="AO43" s="110">
        <v>148484.38637950513</v>
      </c>
      <c r="AP43" s="110">
        <v>0</v>
      </c>
      <c r="AQ43" s="110">
        <v>0</v>
      </c>
      <c r="AR43" s="110">
        <v>0</v>
      </c>
      <c r="AS43" s="110">
        <v>148484.38637950513</v>
      </c>
      <c r="AT43" s="110">
        <v>0</v>
      </c>
      <c r="AU43" s="110">
        <v>148484.38637950513</v>
      </c>
      <c r="AV43" s="110">
        <v>0</v>
      </c>
      <c r="AW43" s="110">
        <v>148484.38637950513</v>
      </c>
      <c r="AX43" s="110">
        <v>0</v>
      </c>
      <c r="AY43" s="110">
        <v>148484.38637950513</v>
      </c>
      <c r="AZ43" s="100">
        <f>SUM($D$43:$AY$43)</f>
        <v>3243446.0105616297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71.007636723153382</v>
      </c>
      <c r="E44" s="124">
        <f>E$21*shipping_manufacturing!$D$28/100</f>
        <v>169.99999999999901</v>
      </c>
      <c r="F44" s="124">
        <f>F$21*shipping_manufacturing!$D$28/100</f>
        <v>169.99999999999901</v>
      </c>
      <c r="G44" s="124">
        <f>G$21*shipping_manufacturing!$D$28/100</f>
        <v>169.99999999999901</v>
      </c>
      <c r="H44" s="124">
        <f>H$21*shipping_manufacturing!$D$28/100</f>
        <v>169.99999999999901</v>
      </c>
      <c r="I44" s="124">
        <f>I$21*shipping_manufacturing!$D$28/100</f>
        <v>169.99999999999901</v>
      </c>
      <c r="J44" s="124">
        <f>J$21*shipping_manufacturing!$D$28/100</f>
        <v>169.99999999999901</v>
      </c>
      <c r="K44" s="124">
        <f>K$21*shipping_manufacturing!$D$28/100</f>
        <v>0</v>
      </c>
      <c r="L44" s="124">
        <f>L$21*shipping_manufacturing!$D$28/100</f>
        <v>169.99999999999901</v>
      </c>
      <c r="M44" s="124">
        <f>M$21*shipping_manufacturing!$D$28/100</f>
        <v>169.99999999999901</v>
      </c>
      <c r="N44" s="124">
        <f>N$21*shipping_manufacturing!$D$28/100</f>
        <v>169.99999999999901</v>
      </c>
      <c r="O44" s="124">
        <f>O$21*shipping_manufacturing!$D$28/100</f>
        <v>169.99999999999901</v>
      </c>
      <c r="P44" s="124">
        <f>P$21*shipping_manufacturing!$D$28/100</f>
        <v>169.99999999999901</v>
      </c>
      <c r="Q44" s="124">
        <f>Q$21*shipping_manufacturing!$D$28/100</f>
        <v>169.99999999999901</v>
      </c>
      <c r="R44" s="124">
        <f>R$21*shipping_manufacturing!$D$28/100</f>
        <v>169.99999999999901</v>
      </c>
      <c r="S44" s="124">
        <f>S$21*shipping_manufacturing!$D$28/100</f>
        <v>169.99999999999901</v>
      </c>
      <c r="T44" s="124">
        <f>T$21*shipping_manufacturing!$D$28/100</f>
        <v>169.99999999999901</v>
      </c>
      <c r="U44" s="124">
        <f>U$21*shipping_manufacturing!$D$28/100</f>
        <v>0</v>
      </c>
      <c r="V44" s="124">
        <f>V$21*shipping_manufacturing!$D$28/100</f>
        <v>169.99999999999901</v>
      </c>
      <c r="W44" s="124">
        <f>W$21*shipping_manufacturing!$D$28/100</f>
        <v>169.99999999999901</v>
      </c>
      <c r="X44" s="124">
        <f>X$21*shipping_manufacturing!$D$28/100</f>
        <v>169.99999999999901</v>
      </c>
      <c r="Y44" s="124">
        <f>Y$21*shipping_manufacturing!$D$28/100</f>
        <v>169.99999999999901</v>
      </c>
      <c r="Z44" s="124">
        <f>Z$21*shipping_manufacturing!$D$28/100</f>
        <v>169.99999999999901</v>
      </c>
      <c r="AA44" s="124">
        <f>AA$21*shipping_manufacturing!$D$28/100</f>
        <v>169.99999999999901</v>
      </c>
      <c r="AB44" s="124">
        <f>AB$21*shipping_manufacturing!$D$28/100</f>
        <v>169.99999999999901</v>
      </c>
      <c r="AC44" s="124">
        <f>AC$21*shipping_manufacturing!$D$28/100</f>
        <v>169.99999999999901</v>
      </c>
      <c r="AD44" s="124">
        <f>AD$21*shipping_manufacturing!$D$28/100</f>
        <v>169.99999999999901</v>
      </c>
      <c r="AE44" s="124">
        <f>AE$21*shipping_manufacturing!$D$28/100</f>
        <v>169.99999999999901</v>
      </c>
      <c r="AF44" s="124">
        <f>AF$21*shipping_manufacturing!$D$28/100</f>
        <v>169.99999999999901</v>
      </c>
      <c r="AG44" s="124">
        <f>AG$21*shipping_manufacturing!$D$28/100</f>
        <v>169.99999999999901</v>
      </c>
      <c r="AH44" s="124">
        <f>AH$21*shipping_manufacturing!$D$28/100</f>
        <v>169.99999999999901</v>
      </c>
      <c r="AI44" s="124">
        <f>AI$21*shipping_manufacturing!$D$28/100</f>
        <v>169.99999999999901</v>
      </c>
      <c r="AJ44" s="124">
        <f>AJ$21*shipping_manufacturing!$D$28/100</f>
        <v>169.99999999999901</v>
      </c>
      <c r="AK44" s="124">
        <f>AK$21*shipping_manufacturing!$D$28/100</f>
        <v>169.99999999999901</v>
      </c>
      <c r="AL44" s="124">
        <f>AL$21*shipping_manufacturing!$D$28/100</f>
        <v>169.99999999999901</v>
      </c>
      <c r="AM44" s="124">
        <f>AM$21*shipping_manufacturing!$D$28/100</f>
        <v>169.99999999999901</v>
      </c>
      <c r="AN44" s="124">
        <f>AN$21*shipping_manufacturing!$D$28/100</f>
        <v>169.99999999999901</v>
      </c>
      <c r="AO44" s="124">
        <f>AO$21*shipping_manufacturing!$D$28/100</f>
        <v>169.99999999999901</v>
      </c>
      <c r="AP44" s="124">
        <f>AP$21*shipping_manufacturing!$D$28/100</f>
        <v>169.99999999999901</v>
      </c>
      <c r="AQ44" s="124">
        <f>AQ$21*shipping_manufacturing!$D$28/100</f>
        <v>0</v>
      </c>
      <c r="AR44" s="124">
        <f>AR$21*shipping_manufacturing!$D$28/100</f>
        <v>169.99999999999901</v>
      </c>
      <c r="AS44" s="124">
        <f>AS$21*shipping_manufacturing!$D$28/100</f>
        <v>169.99999999999901</v>
      </c>
      <c r="AT44" s="124">
        <f>AT$21*shipping_manufacturing!$D$28/100</f>
        <v>169.99999999999901</v>
      </c>
      <c r="AU44" s="124">
        <f>AU$21*shipping_manufacturing!$D$28/100</f>
        <v>169.99999999999901</v>
      </c>
      <c r="AV44" s="124">
        <f>AV$21*shipping_manufacturing!$D$28/100</f>
        <v>169.99999999999901</v>
      </c>
      <c r="AW44" s="124">
        <f>AW$21*shipping_manufacturing!$D$28/100</f>
        <v>169.99999999999901</v>
      </c>
      <c r="AX44" s="124">
        <f>AX$21*shipping_manufacturing!$D$28/100</f>
        <v>169.99999999999901</v>
      </c>
      <c r="AY44" s="124">
        <f>AY$21*shipping_manufacturing!$D$28/100</f>
        <v>169.99999999999901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101.71651566314574</v>
      </c>
      <c r="E45" s="110">
        <f>E$22*shipping_manufacturing!$E$28/100</f>
        <v>243.52039387189402</v>
      </c>
      <c r="F45" s="110">
        <f>F$22*shipping_manufacturing!$E$28/100</f>
        <v>243.52039387189402</v>
      </c>
      <c r="G45" s="110">
        <f>G$22*shipping_manufacturing!$E$28/100</f>
        <v>243.52039387189402</v>
      </c>
      <c r="H45" s="110">
        <f>H$22*shipping_manufacturing!$E$28/100</f>
        <v>243.52039387189402</v>
      </c>
      <c r="I45" s="110">
        <f>I$22*shipping_manufacturing!$E$28/100</f>
        <v>243.52039387189402</v>
      </c>
      <c r="J45" s="110">
        <f>J$22*shipping_manufacturing!$E$28/100</f>
        <v>243.52039387189402</v>
      </c>
      <c r="K45" s="110">
        <f>K$22*shipping_manufacturing!$E$28/100</f>
        <v>0</v>
      </c>
      <c r="L45" s="110">
        <f>L$22*shipping_manufacturing!$E$28/100</f>
        <v>243.52039387189402</v>
      </c>
      <c r="M45" s="110">
        <f>M$22*shipping_manufacturing!$E$28/100</f>
        <v>243.52039387189402</v>
      </c>
      <c r="N45" s="110">
        <f>N$22*shipping_manufacturing!$E$28/100</f>
        <v>243.52039387189402</v>
      </c>
      <c r="O45" s="110">
        <f>O$22*shipping_manufacturing!$E$28/100</f>
        <v>243.52039387189402</v>
      </c>
      <c r="P45" s="110">
        <f>P$22*shipping_manufacturing!$E$28/100</f>
        <v>243.52039387189402</v>
      </c>
      <c r="Q45" s="110">
        <f>Q$22*shipping_manufacturing!$E$28/100</f>
        <v>243.52039387189402</v>
      </c>
      <c r="R45" s="110">
        <f>R$22*shipping_manufacturing!$E$28/100</f>
        <v>243.52039387189402</v>
      </c>
      <c r="S45" s="110">
        <f>S$22*shipping_manufacturing!$E$28/100</f>
        <v>243.52039387189402</v>
      </c>
      <c r="T45" s="110">
        <f>T$22*shipping_manufacturing!$E$28/100</f>
        <v>243.52039387189402</v>
      </c>
      <c r="U45" s="110">
        <f>U$22*shipping_manufacturing!$E$28/100</f>
        <v>0</v>
      </c>
      <c r="V45" s="110">
        <f>V$22*shipping_manufacturing!$E$28/100</f>
        <v>243.52039387189402</v>
      </c>
      <c r="W45" s="110">
        <f>W$22*shipping_manufacturing!$E$28/100</f>
        <v>243.52039387189402</v>
      </c>
      <c r="X45" s="110">
        <f>X$22*shipping_manufacturing!$E$28/100</f>
        <v>243.52039387189402</v>
      </c>
      <c r="Y45" s="110">
        <f>Y$22*shipping_manufacturing!$E$28/100</f>
        <v>243.52039387189402</v>
      </c>
      <c r="Z45" s="110">
        <f>Z$22*shipping_manufacturing!$E$28/100</f>
        <v>243.52039387189402</v>
      </c>
      <c r="AA45" s="110">
        <f>AA$22*shipping_manufacturing!$E$28/100</f>
        <v>243.52039387189402</v>
      </c>
      <c r="AB45" s="110">
        <f>AB$22*shipping_manufacturing!$E$28/100</f>
        <v>243.52039387189402</v>
      </c>
      <c r="AC45" s="110">
        <f>AC$22*shipping_manufacturing!$E$28/100</f>
        <v>243.52039387189402</v>
      </c>
      <c r="AD45" s="110">
        <f>AD$22*shipping_manufacturing!$E$28/100</f>
        <v>243.52039387189402</v>
      </c>
      <c r="AE45" s="110">
        <f>AE$22*shipping_manufacturing!$E$28/100</f>
        <v>243.52039387189402</v>
      </c>
      <c r="AF45" s="110">
        <f>AF$22*shipping_manufacturing!$E$28/100</f>
        <v>243.52039387189402</v>
      </c>
      <c r="AG45" s="110">
        <f>AG$22*shipping_manufacturing!$E$28/100</f>
        <v>243.52039387189402</v>
      </c>
      <c r="AH45" s="110">
        <f>AH$22*shipping_manufacturing!$E$28/100</f>
        <v>243.52039387189402</v>
      </c>
      <c r="AI45" s="110">
        <f>AI$22*shipping_manufacturing!$E$28/100</f>
        <v>243.52039387189402</v>
      </c>
      <c r="AJ45" s="110">
        <f>AJ$22*shipping_manufacturing!$E$28/100</f>
        <v>243.52039387189402</v>
      </c>
      <c r="AK45" s="110">
        <f>AK$22*shipping_manufacturing!$E$28/100</f>
        <v>243.52039387189402</v>
      </c>
      <c r="AL45" s="110">
        <f>AL$22*shipping_manufacturing!$E$28/100</f>
        <v>243.52039387189402</v>
      </c>
      <c r="AM45" s="110">
        <f>AM$22*shipping_manufacturing!$E$28/100</f>
        <v>243.52039387189402</v>
      </c>
      <c r="AN45" s="110">
        <f>AN$22*shipping_manufacturing!$E$28/100</f>
        <v>243.52039387189402</v>
      </c>
      <c r="AO45" s="110">
        <f>AO$22*shipping_manufacturing!$E$28/100</f>
        <v>243.52039387189402</v>
      </c>
      <c r="AP45" s="110">
        <f>AP$22*shipping_manufacturing!$E$28/100</f>
        <v>243.52039387189402</v>
      </c>
      <c r="AQ45" s="110">
        <f>AQ$22*shipping_manufacturing!$E$28/100</f>
        <v>0</v>
      </c>
      <c r="AR45" s="110">
        <f>AR$22*shipping_manufacturing!$E$28/100</f>
        <v>243.52039387189402</v>
      </c>
      <c r="AS45" s="110">
        <f>AS$22*shipping_manufacturing!$E$28/100</f>
        <v>243.52039387189402</v>
      </c>
      <c r="AT45" s="110">
        <f>AT$22*shipping_manufacturing!$E$28/100</f>
        <v>243.52039387189402</v>
      </c>
      <c r="AU45" s="110">
        <f>AU$22*shipping_manufacturing!$E$28/100</f>
        <v>243.52039387189402</v>
      </c>
      <c r="AV45" s="110">
        <f>AV$22*shipping_manufacturing!$E$28/100</f>
        <v>243.52039387189402</v>
      </c>
      <c r="AW45" s="110">
        <f>AW$22*shipping_manufacturing!$E$28/100</f>
        <v>243.52039387189402</v>
      </c>
      <c r="AX45" s="110">
        <f>AX$22*shipping_manufacturing!$E$28/100</f>
        <v>243.52039387189402</v>
      </c>
      <c r="AY45" s="110">
        <f>AY$22*shipping_manufacturing!$E$28/100</f>
        <v>243.52039387189402</v>
      </c>
    </row>
    <row r="46" spans="1:52">
      <c r="A46" s="110">
        <v>89</v>
      </c>
      <c r="B46" s="165" t="s">
        <v>343</v>
      </c>
      <c r="C46" s="110"/>
      <c r="D46" s="110">
        <f>SUM(D44:D45)</f>
        <v>172.72415238629912</v>
      </c>
      <c r="E46" s="110">
        <f t="shared" ref="E46:AY46" si="14">SUM(E44:E45)</f>
        <v>413.52039387189302</v>
      </c>
      <c r="F46" s="110">
        <f t="shared" si="14"/>
        <v>413.52039387189302</v>
      </c>
      <c r="G46" s="110">
        <f t="shared" si="14"/>
        <v>413.52039387189302</v>
      </c>
      <c r="H46" s="110">
        <f t="shared" si="14"/>
        <v>413.52039387189302</v>
      </c>
      <c r="I46" s="110">
        <f t="shared" si="14"/>
        <v>413.52039387189302</v>
      </c>
      <c r="J46" s="110">
        <f t="shared" si="14"/>
        <v>413.52039387189302</v>
      </c>
      <c r="K46" s="110">
        <f t="shared" si="14"/>
        <v>0</v>
      </c>
      <c r="L46" s="110">
        <f t="shared" si="14"/>
        <v>413.52039387189302</v>
      </c>
      <c r="M46" s="110">
        <f t="shared" si="14"/>
        <v>413.52039387189302</v>
      </c>
      <c r="N46" s="110">
        <f t="shared" si="14"/>
        <v>413.52039387189302</v>
      </c>
      <c r="O46" s="110">
        <f t="shared" si="14"/>
        <v>413.52039387189302</v>
      </c>
      <c r="P46" s="110">
        <f t="shared" si="14"/>
        <v>413.52039387189302</v>
      </c>
      <c r="Q46" s="110">
        <f t="shared" si="14"/>
        <v>413.52039387189302</v>
      </c>
      <c r="R46" s="110">
        <f t="shared" si="14"/>
        <v>413.52039387189302</v>
      </c>
      <c r="S46" s="110">
        <f t="shared" si="14"/>
        <v>413.52039387189302</v>
      </c>
      <c r="T46" s="110">
        <f t="shared" si="14"/>
        <v>413.52039387189302</v>
      </c>
      <c r="U46" s="110">
        <f t="shared" si="14"/>
        <v>0</v>
      </c>
      <c r="V46" s="110">
        <f t="shared" si="14"/>
        <v>413.52039387189302</v>
      </c>
      <c r="W46" s="110">
        <f t="shared" si="14"/>
        <v>413.52039387189302</v>
      </c>
      <c r="X46" s="110">
        <f t="shared" si="14"/>
        <v>413.52039387189302</v>
      </c>
      <c r="Y46" s="110">
        <f t="shared" si="14"/>
        <v>413.52039387189302</v>
      </c>
      <c r="Z46" s="110">
        <f t="shared" si="14"/>
        <v>413.52039387189302</v>
      </c>
      <c r="AA46" s="110">
        <f t="shared" si="14"/>
        <v>413.52039387189302</v>
      </c>
      <c r="AB46" s="110">
        <f t="shared" si="14"/>
        <v>413.52039387189302</v>
      </c>
      <c r="AC46" s="110">
        <f t="shared" si="14"/>
        <v>413.52039387189302</v>
      </c>
      <c r="AD46" s="110">
        <f t="shared" si="14"/>
        <v>413.52039387189302</v>
      </c>
      <c r="AE46" s="110">
        <f t="shared" si="14"/>
        <v>413.52039387189302</v>
      </c>
      <c r="AF46" s="110">
        <f t="shared" si="14"/>
        <v>413.52039387189302</v>
      </c>
      <c r="AG46" s="110">
        <f t="shared" si="14"/>
        <v>413.52039387189302</v>
      </c>
      <c r="AH46" s="110">
        <f t="shared" si="14"/>
        <v>413.52039387189302</v>
      </c>
      <c r="AI46" s="110">
        <f t="shared" si="14"/>
        <v>413.52039387189302</v>
      </c>
      <c r="AJ46" s="110">
        <f t="shared" si="14"/>
        <v>413.52039387189302</v>
      </c>
      <c r="AK46" s="110">
        <f t="shared" si="14"/>
        <v>413.52039387189302</v>
      </c>
      <c r="AL46" s="110">
        <f t="shared" si="14"/>
        <v>413.52039387189302</v>
      </c>
      <c r="AM46" s="110">
        <f t="shared" si="14"/>
        <v>413.52039387189302</v>
      </c>
      <c r="AN46" s="110">
        <f t="shared" si="14"/>
        <v>413.52039387189302</v>
      </c>
      <c r="AO46" s="110">
        <f t="shared" si="14"/>
        <v>413.52039387189302</v>
      </c>
      <c r="AP46" s="110">
        <f t="shared" si="14"/>
        <v>413.52039387189302</v>
      </c>
      <c r="AQ46" s="110">
        <f t="shared" si="14"/>
        <v>0</v>
      </c>
      <c r="AR46" s="110">
        <f t="shared" si="14"/>
        <v>413.52039387189302</v>
      </c>
      <c r="AS46" s="110">
        <f t="shared" si="14"/>
        <v>413.52039387189302</v>
      </c>
      <c r="AT46" s="110">
        <f t="shared" si="14"/>
        <v>413.52039387189302</v>
      </c>
      <c r="AU46" s="110">
        <f t="shared" si="14"/>
        <v>413.52039387189302</v>
      </c>
      <c r="AV46" s="110">
        <f t="shared" si="14"/>
        <v>413.52039387189302</v>
      </c>
      <c r="AW46" s="110">
        <f t="shared" si="14"/>
        <v>413.52039387189302</v>
      </c>
      <c r="AX46" s="110">
        <f t="shared" si="14"/>
        <v>413.52039387189302</v>
      </c>
      <c r="AY46" s="110">
        <f t="shared" si="14"/>
        <v>413.52039387189302</v>
      </c>
    </row>
    <row r="47" spans="1:52">
      <c r="A47" s="110"/>
      <c r="B47" s="165" t="s">
        <v>344</v>
      </c>
      <c r="C47" s="110"/>
      <c r="D47" s="110">
        <v>49.332512500749161</v>
      </c>
      <c r="E47" s="110">
        <v>147.99753750224747</v>
      </c>
      <c r="F47" s="110">
        <v>61.665640625936447</v>
      </c>
      <c r="G47" s="110">
        <v>147.99753750224747</v>
      </c>
      <c r="H47" s="110">
        <v>61.665640625936447</v>
      </c>
      <c r="I47" s="110">
        <v>147.99753750224747</v>
      </c>
      <c r="J47" s="110">
        <v>61.665640625936447</v>
      </c>
      <c r="K47" s="110"/>
      <c r="L47" s="110">
        <v>169.99999999999898</v>
      </c>
      <c r="M47" s="110">
        <v>12.333128125187292</v>
      </c>
      <c r="N47" s="110">
        <v>169.99999999999898</v>
      </c>
      <c r="O47" s="110">
        <v>12.333128125187292</v>
      </c>
      <c r="P47" s="110">
        <v>169.99999999999898</v>
      </c>
      <c r="Q47" s="110">
        <v>12.333128125187292</v>
      </c>
      <c r="R47" s="110">
        <v>169.99999999999898</v>
      </c>
      <c r="S47" s="110">
        <v>12.333128125187292</v>
      </c>
      <c r="T47" s="110">
        <v>169.99999999999898</v>
      </c>
      <c r="U47" s="110"/>
      <c r="V47" s="110">
        <v>169.99999999999898</v>
      </c>
      <c r="W47" s="110">
        <v>12.333128125187292</v>
      </c>
      <c r="X47" s="110">
        <v>169.99999999999898</v>
      </c>
      <c r="Y47" s="110">
        <v>12.333128125187292</v>
      </c>
      <c r="Z47" s="110">
        <v>169.99999999999898</v>
      </c>
      <c r="AA47" s="110">
        <v>12.333128125187292</v>
      </c>
      <c r="AB47" s="110">
        <v>169.99999999999898</v>
      </c>
      <c r="AC47" s="110">
        <v>12.333128125187292</v>
      </c>
      <c r="AD47" s="110">
        <v>169.99999999999898</v>
      </c>
      <c r="AE47" s="110">
        <v>12.333128125187292</v>
      </c>
      <c r="AF47" s="110">
        <v>169.99999999999898</v>
      </c>
      <c r="AG47" s="110">
        <v>12.333128125187292</v>
      </c>
      <c r="AH47" s="110">
        <v>169.99999999999898</v>
      </c>
      <c r="AI47" s="110">
        <v>12.333128125187292</v>
      </c>
      <c r="AJ47" s="110">
        <v>169.99999999999898</v>
      </c>
      <c r="AK47" s="110">
        <v>12.333128125187292</v>
      </c>
      <c r="AL47" s="110">
        <v>169.99999999999898</v>
      </c>
      <c r="AM47" s="110">
        <v>12.333128125187292</v>
      </c>
      <c r="AN47" s="110">
        <v>169.99999999999898</v>
      </c>
      <c r="AO47" s="110">
        <v>12.333128125187292</v>
      </c>
      <c r="AP47" s="110">
        <v>169.99999999999898</v>
      </c>
      <c r="AQ47" s="110"/>
      <c r="AR47" s="110">
        <v>169.99999999999898</v>
      </c>
      <c r="AS47" s="110">
        <v>12.333128125187292</v>
      </c>
      <c r="AT47" s="110">
        <v>169.99999999999898</v>
      </c>
      <c r="AU47" s="110">
        <v>12.333128125187292</v>
      </c>
      <c r="AV47" s="110">
        <v>169.99999999999898</v>
      </c>
      <c r="AW47" s="110">
        <v>12.333128125187292</v>
      </c>
      <c r="AX47" s="110">
        <v>169.99999999999898</v>
      </c>
      <c r="AY47" s="110">
        <v>12.333128125187292</v>
      </c>
    </row>
    <row r="48" spans="1:52">
      <c r="A48" s="110"/>
      <c r="B48" s="165" t="s">
        <v>345</v>
      </c>
      <c r="C48" s="110"/>
      <c r="D48" s="110">
        <v>70.667487499250825</v>
      </c>
      <c r="E48" s="110">
        <v>212.00246249775259</v>
      </c>
      <c r="F48" s="110">
        <v>88.334359374063553</v>
      </c>
      <c r="G48" s="110">
        <v>212.00246249775259</v>
      </c>
      <c r="H48" s="110">
        <v>88.334359374063553</v>
      </c>
      <c r="I48" s="110">
        <v>212.00246249775259</v>
      </c>
      <c r="J48" s="110">
        <v>88.334359374063553</v>
      </c>
      <c r="K48" s="110"/>
      <c r="L48" s="110">
        <v>243.5203938718941</v>
      </c>
      <c r="M48" s="110">
        <v>17.66687187481271</v>
      </c>
      <c r="N48" s="110">
        <v>243.5203938718941</v>
      </c>
      <c r="O48" s="110">
        <v>17.66687187481271</v>
      </c>
      <c r="P48" s="110">
        <v>243.5203938718941</v>
      </c>
      <c r="Q48" s="110">
        <v>17.66687187481271</v>
      </c>
      <c r="R48" s="110">
        <v>243.5203938718941</v>
      </c>
      <c r="S48" s="110">
        <v>17.66687187481271</v>
      </c>
      <c r="T48" s="110">
        <v>243.5203938718941</v>
      </c>
      <c r="U48" s="110"/>
      <c r="V48" s="110">
        <v>243.5203938718941</v>
      </c>
      <c r="W48" s="110">
        <v>17.66687187481271</v>
      </c>
      <c r="X48" s="110">
        <v>243.5203938718941</v>
      </c>
      <c r="Y48" s="110">
        <v>17.66687187481271</v>
      </c>
      <c r="Z48" s="110">
        <v>243.5203938718941</v>
      </c>
      <c r="AA48" s="110">
        <v>17.66687187481271</v>
      </c>
      <c r="AB48" s="110">
        <v>243.5203938718941</v>
      </c>
      <c r="AC48" s="110">
        <v>17.66687187481271</v>
      </c>
      <c r="AD48" s="110">
        <v>243.5203938718941</v>
      </c>
      <c r="AE48" s="110">
        <v>17.66687187481271</v>
      </c>
      <c r="AF48" s="110">
        <v>243.5203938718941</v>
      </c>
      <c r="AG48" s="110">
        <v>17.66687187481271</v>
      </c>
      <c r="AH48" s="110">
        <v>243.5203938718941</v>
      </c>
      <c r="AI48" s="110">
        <v>17.66687187481271</v>
      </c>
      <c r="AJ48" s="110">
        <v>243.5203938718941</v>
      </c>
      <c r="AK48" s="110">
        <v>17.66687187481271</v>
      </c>
      <c r="AL48" s="110">
        <v>243.5203938718941</v>
      </c>
      <c r="AM48" s="110">
        <v>17.66687187481271</v>
      </c>
      <c r="AN48" s="110">
        <v>243.5203938718941</v>
      </c>
      <c r="AO48" s="110">
        <v>17.66687187481271</v>
      </c>
      <c r="AP48" s="110">
        <v>243.5203938718941</v>
      </c>
      <c r="AQ48" s="110"/>
      <c r="AR48" s="110">
        <v>243.5203938718941</v>
      </c>
      <c r="AS48" s="110">
        <v>17.66687187481271</v>
      </c>
      <c r="AT48" s="110">
        <v>243.5203938718941</v>
      </c>
      <c r="AU48" s="110">
        <v>17.66687187481271</v>
      </c>
      <c r="AV48" s="110">
        <v>243.5203938718941</v>
      </c>
      <c r="AW48" s="110">
        <v>17.66687187481271</v>
      </c>
      <c r="AX48" s="110">
        <v>243.5203938718941</v>
      </c>
      <c r="AY48" s="110">
        <v>17.66687187481271</v>
      </c>
    </row>
    <row r="49" spans="1:52">
      <c r="A49" s="110"/>
      <c r="B49" s="165" t="s">
        <v>346</v>
      </c>
      <c r="C49" s="110"/>
      <c r="D49" s="110">
        <v>4</v>
      </c>
      <c r="E49" s="110">
        <v>12</v>
      </c>
      <c r="F49" s="110">
        <v>5</v>
      </c>
      <c r="G49" s="110">
        <v>12</v>
      </c>
      <c r="H49" s="110">
        <v>5</v>
      </c>
      <c r="I49" s="110">
        <v>12</v>
      </c>
      <c r="J49" s="110">
        <v>5</v>
      </c>
      <c r="K49" s="110"/>
      <c r="L49" s="110">
        <v>14</v>
      </c>
      <c r="M49" s="110">
        <v>1</v>
      </c>
      <c r="N49" s="110">
        <v>14</v>
      </c>
      <c r="O49" s="110">
        <v>1</v>
      </c>
      <c r="P49" s="110">
        <v>14</v>
      </c>
      <c r="Q49" s="110">
        <v>1</v>
      </c>
      <c r="R49" s="110">
        <v>14</v>
      </c>
      <c r="S49" s="110">
        <v>1</v>
      </c>
      <c r="T49" s="110">
        <v>14</v>
      </c>
      <c r="U49" s="110"/>
      <c r="V49" s="110">
        <v>14</v>
      </c>
      <c r="W49" s="110">
        <v>1</v>
      </c>
      <c r="X49" s="110">
        <v>14</v>
      </c>
      <c r="Y49" s="110">
        <v>1</v>
      </c>
      <c r="Z49" s="110">
        <v>14</v>
      </c>
      <c r="AA49" s="110">
        <v>1</v>
      </c>
      <c r="AB49" s="110">
        <v>14</v>
      </c>
      <c r="AC49" s="110">
        <v>1</v>
      </c>
      <c r="AD49" s="110">
        <v>14</v>
      </c>
      <c r="AE49" s="110">
        <v>1</v>
      </c>
      <c r="AF49" s="110">
        <v>14</v>
      </c>
      <c r="AG49" s="110">
        <v>1</v>
      </c>
      <c r="AH49" s="110">
        <v>14</v>
      </c>
      <c r="AI49" s="110">
        <v>1</v>
      </c>
      <c r="AJ49" s="110">
        <v>14</v>
      </c>
      <c r="AK49" s="110">
        <v>1</v>
      </c>
      <c r="AL49" s="110">
        <v>14</v>
      </c>
      <c r="AM49" s="110">
        <v>1</v>
      </c>
      <c r="AN49" s="110">
        <v>14</v>
      </c>
      <c r="AO49" s="110">
        <v>1</v>
      </c>
      <c r="AP49" s="110">
        <v>14</v>
      </c>
      <c r="AQ49" s="110"/>
      <c r="AR49" s="110">
        <v>14</v>
      </c>
      <c r="AS49" s="110">
        <v>1</v>
      </c>
      <c r="AT49" s="110">
        <v>14</v>
      </c>
      <c r="AU49" s="110">
        <v>1</v>
      </c>
      <c r="AV49" s="110">
        <v>14</v>
      </c>
      <c r="AW49" s="110">
        <v>1</v>
      </c>
      <c r="AX49" s="110">
        <v>14</v>
      </c>
      <c r="AY49" s="110">
        <v>1</v>
      </c>
    </row>
    <row r="50" spans="1:52">
      <c r="A50" s="110"/>
      <c r="B50" s="165" t="s">
        <v>347</v>
      </c>
      <c r="C50" s="110"/>
      <c r="D50" s="110">
        <f>D44-D47</f>
        <v>21.675124222404222</v>
      </c>
      <c r="E50" s="110">
        <f t="shared" ref="E50:AY50" si="15">E44-E47</f>
        <v>22.002462497751537</v>
      </c>
      <c r="F50" s="110">
        <f t="shared" si="15"/>
        <v>108.33435937406256</v>
      </c>
      <c r="G50" s="110">
        <f t="shared" si="15"/>
        <v>22.002462497751537</v>
      </c>
      <c r="H50" s="110">
        <f t="shared" si="15"/>
        <v>108.33435937406256</v>
      </c>
      <c r="I50" s="110">
        <f t="shared" si="15"/>
        <v>22.002462497751537</v>
      </c>
      <c r="J50" s="110">
        <f t="shared" si="15"/>
        <v>108.33435937406256</v>
      </c>
      <c r="K50" s="110">
        <f t="shared" si="15"/>
        <v>0</v>
      </c>
      <c r="L50" s="110">
        <f t="shared" si="15"/>
        <v>0</v>
      </c>
      <c r="M50" s="110">
        <f t="shared" si="15"/>
        <v>157.6668718748117</v>
      </c>
      <c r="N50" s="110">
        <f t="shared" si="15"/>
        <v>0</v>
      </c>
      <c r="O50" s="110">
        <f t="shared" si="15"/>
        <v>157.6668718748117</v>
      </c>
      <c r="P50" s="110">
        <f t="shared" si="15"/>
        <v>0</v>
      </c>
      <c r="Q50" s="110">
        <f t="shared" si="15"/>
        <v>157.6668718748117</v>
      </c>
      <c r="R50" s="110">
        <f t="shared" si="15"/>
        <v>0</v>
      </c>
      <c r="S50" s="110">
        <f t="shared" si="15"/>
        <v>157.6668718748117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157.6668718748117</v>
      </c>
      <c r="X50" s="110">
        <f t="shared" si="15"/>
        <v>0</v>
      </c>
      <c r="Y50" s="110">
        <f t="shared" si="15"/>
        <v>157.6668718748117</v>
      </c>
      <c r="Z50" s="110">
        <f t="shared" si="15"/>
        <v>0</v>
      </c>
      <c r="AA50" s="110">
        <f t="shared" si="15"/>
        <v>157.6668718748117</v>
      </c>
      <c r="AB50" s="110">
        <f t="shared" si="15"/>
        <v>0</v>
      </c>
      <c r="AC50" s="110">
        <f t="shared" si="15"/>
        <v>157.6668718748117</v>
      </c>
      <c r="AD50" s="110">
        <f t="shared" si="15"/>
        <v>0</v>
      </c>
      <c r="AE50" s="110">
        <f t="shared" si="15"/>
        <v>157.6668718748117</v>
      </c>
      <c r="AF50" s="110">
        <f t="shared" si="15"/>
        <v>0</v>
      </c>
      <c r="AG50" s="110">
        <f t="shared" si="15"/>
        <v>157.6668718748117</v>
      </c>
      <c r="AH50" s="110">
        <f t="shared" si="15"/>
        <v>0</v>
      </c>
      <c r="AI50" s="110">
        <f t="shared" si="15"/>
        <v>157.6668718748117</v>
      </c>
      <c r="AJ50" s="110">
        <f t="shared" si="15"/>
        <v>0</v>
      </c>
      <c r="AK50" s="110">
        <f t="shared" si="15"/>
        <v>157.6668718748117</v>
      </c>
      <c r="AL50" s="110">
        <f t="shared" si="15"/>
        <v>0</v>
      </c>
      <c r="AM50" s="110">
        <f t="shared" si="15"/>
        <v>157.6668718748117</v>
      </c>
      <c r="AN50" s="110">
        <f t="shared" si="15"/>
        <v>0</v>
      </c>
      <c r="AO50" s="110">
        <f t="shared" si="15"/>
        <v>157.6668718748117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157.6668718748117</v>
      </c>
      <c r="AT50" s="110">
        <f t="shared" si="15"/>
        <v>0</v>
      </c>
      <c r="AU50" s="110">
        <f t="shared" si="15"/>
        <v>157.6668718748117</v>
      </c>
      <c r="AV50" s="110">
        <f t="shared" si="15"/>
        <v>0</v>
      </c>
      <c r="AW50" s="110">
        <f t="shared" si="15"/>
        <v>157.6668718748117</v>
      </c>
      <c r="AX50" s="110">
        <f t="shared" si="15"/>
        <v>0</v>
      </c>
      <c r="AY50" s="110">
        <f t="shared" si="15"/>
        <v>157.6668718748117</v>
      </c>
    </row>
    <row r="51" spans="1:52">
      <c r="A51" s="110"/>
      <c r="B51" s="165" t="s">
        <v>348</v>
      </c>
      <c r="C51" s="110"/>
      <c r="D51" s="110">
        <f>D45-D48</f>
        <v>31.049028163894917</v>
      </c>
      <c r="E51" s="110">
        <f t="shared" ref="E51:AY51" si="16">E45-E48</f>
        <v>31.517931374141426</v>
      </c>
      <c r="F51" s="110">
        <f t="shared" si="16"/>
        <v>155.18603449783046</v>
      </c>
      <c r="G51" s="110">
        <f t="shared" si="16"/>
        <v>31.517931374141426</v>
      </c>
      <c r="H51" s="110">
        <f t="shared" si="16"/>
        <v>155.18603449783046</v>
      </c>
      <c r="I51" s="110">
        <f t="shared" si="16"/>
        <v>31.517931374141426</v>
      </c>
      <c r="J51" s="110">
        <f t="shared" si="16"/>
        <v>155.18603449783046</v>
      </c>
      <c r="K51" s="110">
        <f t="shared" si="16"/>
        <v>0</v>
      </c>
      <c r="L51" s="110">
        <f t="shared" si="16"/>
        <v>0</v>
      </c>
      <c r="M51" s="110">
        <f t="shared" si="16"/>
        <v>225.85352199708132</v>
      </c>
      <c r="N51" s="110">
        <f t="shared" si="16"/>
        <v>0</v>
      </c>
      <c r="O51" s="110">
        <f t="shared" si="16"/>
        <v>225.85352199708132</v>
      </c>
      <c r="P51" s="110">
        <f t="shared" si="16"/>
        <v>0</v>
      </c>
      <c r="Q51" s="110">
        <f t="shared" si="16"/>
        <v>225.85352199708132</v>
      </c>
      <c r="R51" s="110">
        <f t="shared" si="16"/>
        <v>0</v>
      </c>
      <c r="S51" s="110">
        <f t="shared" si="16"/>
        <v>225.85352199708132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225.85352199708132</v>
      </c>
      <c r="X51" s="110">
        <f t="shared" si="16"/>
        <v>0</v>
      </c>
      <c r="Y51" s="110">
        <f t="shared" si="16"/>
        <v>225.85352199708132</v>
      </c>
      <c r="Z51" s="110">
        <f t="shared" si="16"/>
        <v>0</v>
      </c>
      <c r="AA51" s="110">
        <f t="shared" si="16"/>
        <v>225.85352199708132</v>
      </c>
      <c r="AB51" s="110">
        <f t="shared" si="16"/>
        <v>0</v>
      </c>
      <c r="AC51" s="110">
        <f t="shared" si="16"/>
        <v>225.85352199708132</v>
      </c>
      <c r="AD51" s="110">
        <f t="shared" si="16"/>
        <v>0</v>
      </c>
      <c r="AE51" s="110">
        <f t="shared" si="16"/>
        <v>225.85352199708132</v>
      </c>
      <c r="AF51" s="110">
        <f t="shared" si="16"/>
        <v>0</v>
      </c>
      <c r="AG51" s="110">
        <f t="shared" si="16"/>
        <v>225.85352199708132</v>
      </c>
      <c r="AH51" s="110">
        <f t="shared" si="16"/>
        <v>0</v>
      </c>
      <c r="AI51" s="110">
        <f t="shared" si="16"/>
        <v>225.85352199708132</v>
      </c>
      <c r="AJ51" s="110">
        <f t="shared" si="16"/>
        <v>0</v>
      </c>
      <c r="AK51" s="110">
        <f t="shared" si="16"/>
        <v>225.85352199708132</v>
      </c>
      <c r="AL51" s="110">
        <f t="shared" si="16"/>
        <v>0</v>
      </c>
      <c r="AM51" s="110">
        <f t="shared" si="16"/>
        <v>225.85352199708132</v>
      </c>
      <c r="AN51" s="110">
        <f t="shared" si="16"/>
        <v>0</v>
      </c>
      <c r="AO51" s="110">
        <f t="shared" si="16"/>
        <v>225.85352199708132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225.85352199708132</v>
      </c>
      <c r="AT51" s="110">
        <f t="shared" si="16"/>
        <v>0</v>
      </c>
      <c r="AU51" s="110">
        <f t="shared" si="16"/>
        <v>225.85352199708132</v>
      </c>
      <c r="AV51" s="110">
        <f t="shared" si="16"/>
        <v>0</v>
      </c>
      <c r="AW51" s="110">
        <f t="shared" si="16"/>
        <v>225.85352199708132</v>
      </c>
      <c r="AX51" s="110">
        <f t="shared" si="16"/>
        <v>0</v>
      </c>
      <c r="AY51" s="110">
        <f t="shared" si="16"/>
        <v>225.85352199708132</v>
      </c>
    </row>
    <row r="52" spans="1:52">
      <c r="A52" s="110"/>
      <c r="B52" s="165" t="s">
        <v>349</v>
      </c>
      <c r="C52" s="110"/>
      <c r="D52" s="110">
        <v>2</v>
      </c>
      <c r="E52" s="110">
        <v>2</v>
      </c>
      <c r="F52" s="110">
        <v>2</v>
      </c>
      <c r="G52" s="110">
        <v>2</v>
      </c>
      <c r="H52" s="110">
        <v>2</v>
      </c>
      <c r="I52" s="110">
        <v>3</v>
      </c>
      <c r="J52" s="110">
        <v>2</v>
      </c>
      <c r="K52" s="110">
        <v>1</v>
      </c>
      <c r="L52" s="110">
        <v>1</v>
      </c>
      <c r="M52" s="110">
        <v>1</v>
      </c>
      <c r="N52" s="110">
        <v>2</v>
      </c>
      <c r="O52" s="110">
        <v>1</v>
      </c>
      <c r="P52" s="110">
        <v>2</v>
      </c>
      <c r="Q52" s="110">
        <v>3</v>
      </c>
      <c r="R52" s="110">
        <v>1</v>
      </c>
      <c r="S52" s="110">
        <v>1</v>
      </c>
      <c r="T52" s="110">
        <v>1</v>
      </c>
      <c r="U52" s="110">
        <v>1</v>
      </c>
      <c r="V52" s="110">
        <v>2</v>
      </c>
      <c r="W52" s="110">
        <v>1</v>
      </c>
      <c r="X52" s="110">
        <v>1</v>
      </c>
      <c r="Y52" s="110">
        <v>2</v>
      </c>
      <c r="Z52" s="110">
        <v>1</v>
      </c>
      <c r="AA52" s="110">
        <v>2</v>
      </c>
      <c r="AB52" s="110">
        <v>2</v>
      </c>
      <c r="AC52" s="110">
        <v>1</v>
      </c>
      <c r="AD52" s="110">
        <v>1</v>
      </c>
      <c r="AE52" s="110">
        <v>1</v>
      </c>
      <c r="AF52" s="110">
        <v>2</v>
      </c>
      <c r="AG52" s="110">
        <v>1</v>
      </c>
      <c r="AH52" s="110">
        <v>2</v>
      </c>
      <c r="AI52" s="110">
        <v>2</v>
      </c>
      <c r="AJ52" s="110">
        <v>1</v>
      </c>
      <c r="AK52" s="110">
        <v>1</v>
      </c>
      <c r="AL52" s="110">
        <v>2</v>
      </c>
      <c r="AM52" s="110">
        <v>1</v>
      </c>
      <c r="AN52" s="110">
        <v>1</v>
      </c>
      <c r="AO52" s="110">
        <v>1</v>
      </c>
      <c r="AP52" s="110">
        <v>1</v>
      </c>
      <c r="AQ52" s="110">
        <v>1</v>
      </c>
      <c r="AR52" s="110">
        <v>1</v>
      </c>
      <c r="AS52" s="110">
        <v>1</v>
      </c>
      <c r="AT52" s="110">
        <v>2</v>
      </c>
      <c r="AU52" s="110">
        <v>2</v>
      </c>
      <c r="AV52" s="110">
        <v>3</v>
      </c>
      <c r="AW52" s="110">
        <v>1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12816</v>
      </c>
      <c r="E53" s="110">
        <v>38448</v>
      </c>
      <c r="F53" s="110">
        <v>16020</v>
      </c>
      <c r="G53" s="110">
        <v>38448</v>
      </c>
      <c r="H53" s="110">
        <v>16020</v>
      </c>
      <c r="I53" s="110">
        <v>38448</v>
      </c>
      <c r="J53" s="110">
        <v>16020</v>
      </c>
      <c r="K53" s="110">
        <v>0</v>
      </c>
      <c r="L53" s="110">
        <v>44856</v>
      </c>
      <c r="M53" s="110">
        <v>3204</v>
      </c>
      <c r="N53" s="110">
        <v>44856</v>
      </c>
      <c r="O53" s="110">
        <v>3204</v>
      </c>
      <c r="P53" s="110">
        <v>44856</v>
      </c>
      <c r="Q53" s="110">
        <v>3204</v>
      </c>
      <c r="R53" s="110">
        <v>44856</v>
      </c>
      <c r="S53" s="110">
        <v>3204</v>
      </c>
      <c r="T53" s="110">
        <v>44856</v>
      </c>
      <c r="U53" s="110">
        <v>0</v>
      </c>
      <c r="V53" s="110">
        <v>44856</v>
      </c>
      <c r="W53" s="110">
        <v>3204</v>
      </c>
      <c r="X53" s="110">
        <v>44856</v>
      </c>
      <c r="Y53" s="110">
        <v>3204</v>
      </c>
      <c r="Z53" s="110">
        <v>44856</v>
      </c>
      <c r="AA53" s="110">
        <v>3204</v>
      </c>
      <c r="AB53" s="110">
        <v>44856</v>
      </c>
      <c r="AC53" s="110">
        <v>3204</v>
      </c>
      <c r="AD53" s="110">
        <v>44856</v>
      </c>
      <c r="AE53" s="110">
        <v>3204</v>
      </c>
      <c r="AF53" s="110">
        <v>44856</v>
      </c>
      <c r="AG53" s="110">
        <v>3204</v>
      </c>
      <c r="AH53" s="110">
        <v>44856</v>
      </c>
      <c r="AI53" s="110">
        <v>3204</v>
      </c>
      <c r="AJ53" s="110">
        <v>44856</v>
      </c>
      <c r="AK53" s="110">
        <v>3204</v>
      </c>
      <c r="AL53" s="110">
        <v>44856</v>
      </c>
      <c r="AM53" s="110">
        <v>3204</v>
      </c>
      <c r="AN53" s="110">
        <v>44856</v>
      </c>
      <c r="AO53" s="110">
        <v>3204</v>
      </c>
      <c r="AP53" s="110">
        <v>44856</v>
      </c>
      <c r="AQ53" s="110">
        <v>0</v>
      </c>
      <c r="AR53" s="110">
        <v>44856</v>
      </c>
      <c r="AS53" s="110">
        <v>3204</v>
      </c>
      <c r="AT53" s="110">
        <v>44856</v>
      </c>
      <c r="AU53" s="110">
        <v>3204</v>
      </c>
      <c r="AV53" s="110">
        <v>44856</v>
      </c>
      <c r="AW53" s="110">
        <v>3204</v>
      </c>
      <c r="AX53" s="110">
        <v>44856</v>
      </c>
      <c r="AY53" s="110">
        <v>3204</v>
      </c>
      <c r="AZ53" s="100">
        <f>SUM($D$53:$AY$53)</f>
        <v>1131012</v>
      </c>
    </row>
    <row r="54" spans="1:52">
      <c r="A54" s="110"/>
      <c r="B54" s="178" t="s">
        <v>351</v>
      </c>
      <c r="C54" s="110"/>
      <c r="D54" s="110">
        <v>3050.0922155474054</v>
      </c>
      <c r="E54" s="110">
        <v>3096.1547854890077</v>
      </c>
      <c r="F54" s="110">
        <v>15244.654785489012</v>
      </c>
      <c r="G54" s="110">
        <v>3096.1547854890077</v>
      </c>
      <c r="H54" s="110">
        <v>15244.654785489012</v>
      </c>
      <c r="I54" s="110">
        <v>3096.1547854890077</v>
      </c>
      <c r="J54" s="110">
        <v>15244.654785489012</v>
      </c>
      <c r="K54" s="110">
        <v>0</v>
      </c>
      <c r="L54" s="110">
        <v>0</v>
      </c>
      <c r="M54" s="110">
        <v>22186.654785489009</v>
      </c>
      <c r="N54" s="110">
        <v>0</v>
      </c>
      <c r="O54" s="110">
        <v>22186.654785489009</v>
      </c>
      <c r="P54" s="110">
        <v>0</v>
      </c>
      <c r="Q54" s="110">
        <v>22186.654785489009</v>
      </c>
      <c r="R54" s="110">
        <v>0</v>
      </c>
      <c r="S54" s="110">
        <v>22186.654785489009</v>
      </c>
      <c r="T54" s="110">
        <v>0</v>
      </c>
      <c r="U54" s="110">
        <v>0</v>
      </c>
      <c r="V54" s="110">
        <v>0</v>
      </c>
      <c r="W54" s="110">
        <v>22186.654785489009</v>
      </c>
      <c r="X54" s="110">
        <v>0</v>
      </c>
      <c r="Y54" s="110">
        <v>22186.654785489009</v>
      </c>
      <c r="Z54" s="110">
        <v>0</v>
      </c>
      <c r="AA54" s="110">
        <v>22186.654785489009</v>
      </c>
      <c r="AB54" s="110">
        <v>0</v>
      </c>
      <c r="AC54" s="110">
        <v>22186.654785489009</v>
      </c>
      <c r="AD54" s="110">
        <v>0</v>
      </c>
      <c r="AE54" s="110">
        <v>22186.654785489009</v>
      </c>
      <c r="AF54" s="110">
        <v>0</v>
      </c>
      <c r="AG54" s="110">
        <v>22186.654785489009</v>
      </c>
      <c r="AH54" s="110">
        <v>0</v>
      </c>
      <c r="AI54" s="110">
        <v>22186.654785489009</v>
      </c>
      <c r="AJ54" s="110">
        <v>0</v>
      </c>
      <c r="AK54" s="110">
        <v>22186.654785489009</v>
      </c>
      <c r="AL54" s="110">
        <v>0</v>
      </c>
      <c r="AM54" s="110">
        <v>22186.654785489009</v>
      </c>
      <c r="AN54" s="110">
        <v>0</v>
      </c>
      <c r="AO54" s="110">
        <v>22186.654785489009</v>
      </c>
      <c r="AP54" s="110">
        <v>0</v>
      </c>
      <c r="AQ54" s="110">
        <v>0</v>
      </c>
      <c r="AR54" s="110">
        <v>0</v>
      </c>
      <c r="AS54" s="110">
        <v>22186.654785489009</v>
      </c>
      <c r="AT54" s="110">
        <v>0</v>
      </c>
      <c r="AU54" s="110">
        <v>22186.654785489009</v>
      </c>
      <c r="AV54" s="110">
        <v>0</v>
      </c>
      <c r="AW54" s="110">
        <v>22186.654785489009</v>
      </c>
      <c r="AX54" s="110">
        <v>0</v>
      </c>
      <c r="AY54" s="110">
        <v>22186.654785489009</v>
      </c>
      <c r="AZ54" s="100">
        <f>SUM($D$54:$AY$54)</f>
        <v>457432.30706728384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3</v>
      </c>
      <c r="E63" s="110">
        <v>2</v>
      </c>
      <c r="F63" s="110">
        <v>2</v>
      </c>
      <c r="G63" s="110">
        <v>3</v>
      </c>
      <c r="H63" s="110">
        <v>2</v>
      </c>
      <c r="I63" s="110">
        <v>2</v>
      </c>
      <c r="J63" s="110">
        <v>3</v>
      </c>
      <c r="K63" s="110">
        <v>2</v>
      </c>
      <c r="L63" s="110">
        <v>3</v>
      </c>
      <c r="M63" s="110">
        <v>3</v>
      </c>
      <c r="N63" s="110">
        <v>2</v>
      </c>
      <c r="O63" s="110">
        <v>4</v>
      </c>
      <c r="P63" s="110">
        <v>2</v>
      </c>
      <c r="Q63" s="110">
        <v>3</v>
      </c>
      <c r="R63" s="110">
        <v>2</v>
      </c>
      <c r="S63" s="110">
        <v>2</v>
      </c>
      <c r="T63" s="110">
        <v>2</v>
      </c>
      <c r="U63" s="110">
        <v>2</v>
      </c>
      <c r="V63" s="110">
        <v>3</v>
      </c>
      <c r="W63" s="110">
        <v>2</v>
      </c>
      <c r="X63" s="110">
        <v>3</v>
      </c>
      <c r="Y63" s="110">
        <v>3</v>
      </c>
      <c r="Z63" s="110">
        <v>3</v>
      </c>
      <c r="AA63" s="110">
        <v>2</v>
      </c>
      <c r="AB63" s="110">
        <v>2</v>
      </c>
      <c r="AC63" s="110">
        <v>2</v>
      </c>
      <c r="AD63" s="110">
        <v>3</v>
      </c>
      <c r="AE63" s="110">
        <v>3</v>
      </c>
      <c r="AF63" s="110">
        <v>3</v>
      </c>
      <c r="AG63" s="110">
        <v>2</v>
      </c>
      <c r="AH63" s="110">
        <v>2</v>
      </c>
      <c r="AI63" s="110">
        <v>4</v>
      </c>
      <c r="AJ63" s="110">
        <v>3</v>
      </c>
      <c r="AK63" s="110">
        <v>3</v>
      </c>
      <c r="AL63" s="110">
        <v>3</v>
      </c>
      <c r="AM63" s="110">
        <v>3</v>
      </c>
      <c r="AN63" s="110">
        <v>4</v>
      </c>
      <c r="AO63" s="110">
        <v>3</v>
      </c>
      <c r="AP63" s="110">
        <v>2</v>
      </c>
      <c r="AQ63" s="110">
        <v>2</v>
      </c>
      <c r="AR63" s="110">
        <v>3</v>
      </c>
      <c r="AS63" s="110">
        <v>3</v>
      </c>
      <c r="AT63" s="110">
        <v>2</v>
      </c>
      <c r="AU63" s="110">
        <v>2</v>
      </c>
      <c r="AV63" s="110">
        <v>2</v>
      </c>
      <c r="AW63" s="110">
        <v>4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1628.0837939863113</v>
      </c>
      <c r="E7" s="144">
        <v>1628.0837939863113</v>
      </c>
      <c r="F7" s="144">
        <v>1628.0837939863113</v>
      </c>
      <c r="G7" s="144">
        <v>1628.0837939863113</v>
      </c>
      <c r="H7" s="144">
        <v>1628.0837939863113</v>
      </c>
      <c r="I7" s="144">
        <v>1628.0837939863113</v>
      </c>
      <c r="J7" s="144">
        <v>1628.0837939863113</v>
      </c>
      <c r="K7" s="144">
        <v>1628.0837939863113</v>
      </c>
      <c r="L7" s="144">
        <v>1628.0837939863113</v>
      </c>
      <c r="M7" s="144">
        <v>1628.0837939863113</v>
      </c>
      <c r="N7" s="144">
        <v>1628.0837939863113</v>
      </c>
      <c r="O7" s="144">
        <v>1628.0837939863113</v>
      </c>
      <c r="P7" s="144">
        <v>1302.4761510823307</v>
      </c>
      <c r="Q7" s="144">
        <v>1302.4761510823307</v>
      </c>
      <c r="R7" s="144">
        <v>1302.4761510823307</v>
      </c>
      <c r="S7" s="144">
        <v>1302.4761510823307</v>
      </c>
      <c r="T7" s="144">
        <v>1628.0837939863113</v>
      </c>
      <c r="U7" s="144">
        <v>1628.0837939863113</v>
      </c>
      <c r="V7" s="144">
        <v>1628.0837939863113</v>
      </c>
      <c r="W7" s="144">
        <v>1628.0837939863113</v>
      </c>
      <c r="X7" s="144">
        <v>1628.0837939863113</v>
      </c>
      <c r="Y7" s="144">
        <v>1628.0837939863113</v>
      </c>
      <c r="Z7" s="144">
        <v>1628.0837939863113</v>
      </c>
      <c r="AA7" s="144">
        <v>1628.0837939863113</v>
      </c>
      <c r="AB7" s="144">
        <v>1628.0837939863113</v>
      </c>
      <c r="AC7" s="144">
        <v>1628.0837939863113</v>
      </c>
      <c r="AD7" s="144">
        <v>1628.0837939863113</v>
      </c>
      <c r="AE7" s="144">
        <v>1628.0837939863113</v>
      </c>
      <c r="AF7" s="144">
        <v>1628.0837939863113</v>
      </c>
      <c r="AG7" s="144">
        <v>1628.0837939863113</v>
      </c>
      <c r="AH7" s="144">
        <v>1628.0837939863113</v>
      </c>
      <c r="AI7" s="144">
        <v>1628.0837939863113</v>
      </c>
      <c r="AJ7" s="144">
        <v>1628.0837939863113</v>
      </c>
      <c r="AK7" s="144">
        <v>1628.0837939863113</v>
      </c>
      <c r="AL7" s="144">
        <v>1628.0837939863113</v>
      </c>
      <c r="AM7" s="144">
        <v>1628.0837939863113</v>
      </c>
      <c r="AN7" s="144">
        <v>1628.0837939863113</v>
      </c>
      <c r="AO7" s="144">
        <v>1628.0837939863113</v>
      </c>
      <c r="AP7" s="144">
        <v>1628.0837939863113</v>
      </c>
      <c r="AQ7" s="144">
        <v>1628.0837939863113</v>
      </c>
      <c r="AR7" s="144">
        <v>1628.0837939863113</v>
      </c>
      <c r="AS7" s="144">
        <v>1628.0837939863113</v>
      </c>
      <c r="AT7" s="144">
        <v>1628.0837939863113</v>
      </c>
      <c r="AU7" s="144">
        <v>1628.0837939863113</v>
      </c>
      <c r="AV7" s="144">
        <v>1628.0837939863113</v>
      </c>
      <c r="AW7" s="144">
        <v>1628.0837939863113</v>
      </c>
      <c r="AX7" s="144">
        <v>1628.0837939863113</v>
      </c>
      <c r="AY7" s="144">
        <v>1628.0837939863113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1598.9370904843595</v>
      </c>
      <c r="D13" s="138">
        <f t="shared" ref="D13:AY13" si="1">D$7-D$10</f>
        <v>1628.0837939863113</v>
      </c>
      <c r="E13" s="138">
        <f t="shared" si="1"/>
        <v>1628.0837939863113</v>
      </c>
      <c r="F13" s="138">
        <f t="shared" si="1"/>
        <v>1628.0837939863113</v>
      </c>
      <c r="G13" s="138">
        <f t="shared" si="1"/>
        <v>1628.0837939863113</v>
      </c>
      <c r="H13" s="138">
        <f t="shared" si="1"/>
        <v>1628.0837939863113</v>
      </c>
      <c r="I13" s="138">
        <f t="shared" si="1"/>
        <v>1628.0837939863113</v>
      </c>
      <c r="J13" s="138">
        <f t="shared" si="1"/>
        <v>1628.0837939863113</v>
      </c>
      <c r="K13" s="138">
        <f t="shared" si="1"/>
        <v>1628.0837939863113</v>
      </c>
      <c r="L13" s="138">
        <f t="shared" si="1"/>
        <v>1628.0837939863113</v>
      </c>
      <c r="M13" s="138">
        <f t="shared" si="1"/>
        <v>1628.0837939863113</v>
      </c>
      <c r="N13" s="138">
        <f t="shared" si="1"/>
        <v>1628.0837939863113</v>
      </c>
      <c r="O13" s="138">
        <f t="shared" si="1"/>
        <v>1628.0837939863113</v>
      </c>
      <c r="P13" s="138">
        <f t="shared" si="1"/>
        <v>1302.4761510823307</v>
      </c>
      <c r="Q13" s="138">
        <f t="shared" si="1"/>
        <v>1302.4761510823307</v>
      </c>
      <c r="R13" s="138">
        <f t="shared" si="1"/>
        <v>1302.4761510823307</v>
      </c>
      <c r="S13" s="138">
        <f t="shared" si="1"/>
        <v>1302.4761510823307</v>
      </c>
      <c r="T13" s="138">
        <f t="shared" si="1"/>
        <v>1628.0837939863113</v>
      </c>
      <c r="U13" s="138">
        <f t="shared" si="1"/>
        <v>1628.0837939863113</v>
      </c>
      <c r="V13" s="138">
        <f t="shared" si="1"/>
        <v>1628.0837939863113</v>
      </c>
      <c r="W13" s="138">
        <f t="shared" si="1"/>
        <v>1628.0837939863113</v>
      </c>
      <c r="X13" s="138">
        <f t="shared" si="1"/>
        <v>1628.0837939863113</v>
      </c>
      <c r="Y13" s="138">
        <f t="shared" si="1"/>
        <v>1628.0837939863113</v>
      </c>
      <c r="Z13" s="138">
        <f t="shared" si="1"/>
        <v>1628.0837939863113</v>
      </c>
      <c r="AA13" s="138">
        <f t="shared" si="1"/>
        <v>1628.0837939863113</v>
      </c>
      <c r="AB13" s="138">
        <f t="shared" si="1"/>
        <v>1628.0837939863113</v>
      </c>
      <c r="AC13" s="138">
        <f t="shared" si="1"/>
        <v>1628.0837939863113</v>
      </c>
      <c r="AD13" s="138">
        <f t="shared" si="1"/>
        <v>1628.0837939863113</v>
      </c>
      <c r="AE13" s="138">
        <f t="shared" si="1"/>
        <v>1628.0837939863113</v>
      </c>
      <c r="AF13" s="138">
        <f t="shared" si="1"/>
        <v>1628.0837939863113</v>
      </c>
      <c r="AG13" s="138">
        <f t="shared" si="1"/>
        <v>1628.0837939863113</v>
      </c>
      <c r="AH13" s="138">
        <f t="shared" si="1"/>
        <v>1628.0837939863113</v>
      </c>
      <c r="AI13" s="138">
        <f t="shared" si="1"/>
        <v>1628.0837939863113</v>
      </c>
      <c r="AJ13" s="138">
        <f t="shared" si="1"/>
        <v>1628.0837939863113</v>
      </c>
      <c r="AK13" s="138">
        <f t="shared" si="1"/>
        <v>1628.0837939863113</v>
      </c>
      <c r="AL13" s="138">
        <f t="shared" si="1"/>
        <v>1628.0837939863113</v>
      </c>
      <c r="AM13" s="138">
        <f t="shared" si="1"/>
        <v>1628.0837939863113</v>
      </c>
      <c r="AN13" s="138">
        <f t="shared" si="1"/>
        <v>1628.0837939863113</v>
      </c>
      <c r="AO13" s="138">
        <f t="shared" si="1"/>
        <v>1628.0837939863113</v>
      </c>
      <c r="AP13" s="138">
        <f t="shared" si="1"/>
        <v>1628.0837939863113</v>
      </c>
      <c r="AQ13" s="138">
        <f t="shared" si="1"/>
        <v>1628.0837939863113</v>
      </c>
      <c r="AR13" s="138">
        <f t="shared" si="1"/>
        <v>1628.0837939863113</v>
      </c>
      <c r="AS13" s="138">
        <f t="shared" si="1"/>
        <v>1628.0837939863113</v>
      </c>
      <c r="AT13" s="138">
        <f t="shared" si="1"/>
        <v>1628.0837939863113</v>
      </c>
      <c r="AU13" s="138">
        <f t="shared" si="1"/>
        <v>1628.0837939863113</v>
      </c>
      <c r="AV13" s="138">
        <f t="shared" si="1"/>
        <v>1628.0837939863113</v>
      </c>
      <c r="AW13" s="138">
        <f t="shared" si="1"/>
        <v>1628.0837939863113</v>
      </c>
      <c r="AX13" s="138">
        <f t="shared" si="1"/>
        <v>1628.0837939863113</v>
      </c>
      <c r="AY13" s="138">
        <f t="shared" si="1"/>
        <v>1628.0837939863113</v>
      </c>
      <c r="AZ13" s="109"/>
    </row>
    <row r="14" spans="1:52">
      <c r="A14" s="110"/>
      <c r="B14" s="120">
        <v>2</v>
      </c>
      <c r="C14" s="110">
        <v>1598.9370904843595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1628.0837939863113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1628.0837939863113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 t="s">
        <v>339</v>
      </c>
      <c r="AC20" s="117"/>
      <c r="AD20" s="117"/>
      <c r="AE20" s="117"/>
      <c r="AF20" s="117"/>
      <c r="AG20" s="117"/>
      <c r="AH20" s="117"/>
      <c r="AI20" s="117"/>
      <c r="AJ20" s="117"/>
      <c r="AK20" s="117"/>
      <c r="AL20" s="117" t="s">
        <v>339</v>
      </c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0.42964521025206309</v>
      </c>
      <c r="C21" s="156" t="s">
        <v>293</v>
      </c>
      <c r="D21" s="106">
        <f>IF(C$20="Yes",0,SUM(C$13:C$16)*$B$21)</f>
        <v>1373.9513248419494</v>
      </c>
      <c r="E21" s="106">
        <f t="shared" ref="E21:AY21" si="3">IF(D$20="Yes",0,SUM(D$13:D$16)*$B$21)</f>
        <v>699.4984039752253</v>
      </c>
      <c r="F21" s="106">
        <f t="shared" si="3"/>
        <v>699.4984039752253</v>
      </c>
      <c r="G21" s="106">
        <f t="shared" si="3"/>
        <v>699.4984039752253</v>
      </c>
      <c r="H21" s="106">
        <f t="shared" si="3"/>
        <v>699.4984039752253</v>
      </c>
      <c r="I21" s="106">
        <f t="shared" si="3"/>
        <v>699.4984039752253</v>
      </c>
      <c r="J21" s="106">
        <f t="shared" si="3"/>
        <v>699.4984039752253</v>
      </c>
      <c r="K21" s="106">
        <f t="shared" si="3"/>
        <v>699.4984039752253</v>
      </c>
      <c r="L21" s="106">
        <f t="shared" si="3"/>
        <v>699.4984039752253</v>
      </c>
      <c r="M21" s="106">
        <f t="shared" si="3"/>
        <v>699.4984039752253</v>
      </c>
      <c r="N21" s="106">
        <f t="shared" si="3"/>
        <v>699.4984039752253</v>
      </c>
      <c r="O21" s="106">
        <f t="shared" si="3"/>
        <v>699.4984039752253</v>
      </c>
      <c r="P21" s="106">
        <f t="shared" si="3"/>
        <v>699.4984039752253</v>
      </c>
      <c r="Q21" s="106">
        <f t="shared" si="3"/>
        <v>559.60263978006583</v>
      </c>
      <c r="R21" s="106">
        <f t="shared" si="3"/>
        <v>559.60263978006583</v>
      </c>
      <c r="S21" s="106">
        <f t="shared" si="3"/>
        <v>559.60263978006583</v>
      </c>
      <c r="T21" s="106">
        <f t="shared" si="3"/>
        <v>559.60263978006583</v>
      </c>
      <c r="U21" s="106">
        <f t="shared" si="3"/>
        <v>699.4984039752253</v>
      </c>
      <c r="V21" s="106">
        <f t="shared" si="3"/>
        <v>699.4984039752253</v>
      </c>
      <c r="W21" s="106">
        <f t="shared" si="3"/>
        <v>699.4984039752253</v>
      </c>
      <c r="X21" s="106">
        <f t="shared" si="3"/>
        <v>699.4984039752253</v>
      </c>
      <c r="Y21" s="106">
        <f t="shared" si="3"/>
        <v>699.4984039752253</v>
      </c>
      <c r="Z21" s="106">
        <f t="shared" si="3"/>
        <v>699.4984039752253</v>
      </c>
      <c r="AA21" s="106">
        <f t="shared" si="3"/>
        <v>699.4984039752253</v>
      </c>
      <c r="AB21" s="106">
        <f t="shared" si="3"/>
        <v>699.4984039752253</v>
      </c>
      <c r="AC21" s="106">
        <f t="shared" si="3"/>
        <v>0</v>
      </c>
      <c r="AD21" s="106">
        <f t="shared" si="3"/>
        <v>1398.9968079504506</v>
      </c>
      <c r="AE21" s="106">
        <f t="shared" si="3"/>
        <v>699.4984039752253</v>
      </c>
      <c r="AF21" s="106">
        <f t="shared" si="3"/>
        <v>699.4984039752253</v>
      </c>
      <c r="AG21" s="106">
        <f t="shared" si="3"/>
        <v>699.4984039752253</v>
      </c>
      <c r="AH21" s="106">
        <f t="shared" si="3"/>
        <v>699.4984039752253</v>
      </c>
      <c r="AI21" s="106">
        <f t="shared" si="3"/>
        <v>699.4984039752253</v>
      </c>
      <c r="AJ21" s="106">
        <f t="shared" si="3"/>
        <v>699.4984039752253</v>
      </c>
      <c r="AK21" s="106">
        <f t="shared" si="3"/>
        <v>699.4984039752253</v>
      </c>
      <c r="AL21" s="106">
        <f t="shared" si="3"/>
        <v>699.4984039752253</v>
      </c>
      <c r="AM21" s="106">
        <f t="shared" si="3"/>
        <v>0</v>
      </c>
      <c r="AN21" s="106">
        <f t="shared" si="3"/>
        <v>1398.9968079504506</v>
      </c>
      <c r="AO21" s="106">
        <f t="shared" si="3"/>
        <v>699.4984039752253</v>
      </c>
      <c r="AP21" s="106">
        <f t="shared" si="3"/>
        <v>699.4984039752253</v>
      </c>
      <c r="AQ21" s="106">
        <f t="shared" si="3"/>
        <v>699.4984039752253</v>
      </c>
      <c r="AR21" s="106">
        <f t="shared" si="3"/>
        <v>699.4984039752253</v>
      </c>
      <c r="AS21" s="106">
        <f t="shared" si="3"/>
        <v>699.4984039752253</v>
      </c>
      <c r="AT21" s="106">
        <f t="shared" si="3"/>
        <v>699.4984039752253</v>
      </c>
      <c r="AU21" s="106">
        <f t="shared" si="3"/>
        <v>699.4984039752253</v>
      </c>
      <c r="AV21" s="106">
        <f t="shared" si="3"/>
        <v>699.4984039752253</v>
      </c>
      <c r="AW21" s="106">
        <f t="shared" si="3"/>
        <v>699.4984039752253</v>
      </c>
      <c r="AX21" s="106">
        <f t="shared" si="3"/>
        <v>699.4984039752253</v>
      </c>
      <c r="AY21" s="106">
        <f t="shared" si="3"/>
        <v>699.4984039752253</v>
      </c>
      <c r="AZ21" s="157">
        <f>SUM($D21:$AY21)</f>
        <v>33690.793254896867</v>
      </c>
    </row>
    <row r="22" spans="1:52" s="110" customFormat="1">
      <c r="A22" s="158" t="s">
        <v>123</v>
      </c>
      <c r="B22" s="159">
        <f>1-$B$21</f>
        <v>0.57035478974793685</v>
      </c>
      <c r="C22" s="159" t="s">
        <v>293</v>
      </c>
      <c r="D22" s="114">
        <f>IF(C$20="Yes",0,SUM(C$13:C$16)*$B$22)</f>
        <v>1823.9228561267694</v>
      </c>
      <c r="E22" s="114">
        <f t="shared" ref="E22:AY22" si="4">IF(D$20="Yes",0,SUM(D$13:D$16)*$B$22)</f>
        <v>928.58539001108591</v>
      </c>
      <c r="F22" s="114">
        <f t="shared" si="4"/>
        <v>928.58539001108591</v>
      </c>
      <c r="G22" s="114">
        <f t="shared" si="4"/>
        <v>928.58539001108591</v>
      </c>
      <c r="H22" s="114">
        <f t="shared" si="4"/>
        <v>928.58539001108591</v>
      </c>
      <c r="I22" s="114">
        <f t="shared" si="4"/>
        <v>928.58539001108591</v>
      </c>
      <c r="J22" s="114">
        <f t="shared" si="4"/>
        <v>928.58539001108591</v>
      </c>
      <c r="K22" s="114">
        <f t="shared" si="4"/>
        <v>928.58539001108591</v>
      </c>
      <c r="L22" s="114">
        <f t="shared" si="4"/>
        <v>928.58539001108591</v>
      </c>
      <c r="M22" s="114">
        <f t="shared" si="4"/>
        <v>928.58539001108591</v>
      </c>
      <c r="N22" s="114">
        <f t="shared" si="4"/>
        <v>928.58539001108591</v>
      </c>
      <c r="O22" s="114">
        <f t="shared" si="4"/>
        <v>928.58539001108591</v>
      </c>
      <c r="P22" s="114">
        <f t="shared" si="4"/>
        <v>928.58539001108591</v>
      </c>
      <c r="Q22" s="114">
        <f t="shared" si="4"/>
        <v>742.87351130226477</v>
      </c>
      <c r="R22" s="114">
        <f t="shared" si="4"/>
        <v>742.87351130226477</v>
      </c>
      <c r="S22" s="114">
        <f t="shared" si="4"/>
        <v>742.87351130226477</v>
      </c>
      <c r="T22" s="114">
        <f t="shared" si="4"/>
        <v>742.87351130226477</v>
      </c>
      <c r="U22" s="114">
        <f t="shared" si="4"/>
        <v>928.58539001108591</v>
      </c>
      <c r="V22" s="114">
        <f t="shared" si="4"/>
        <v>928.58539001108591</v>
      </c>
      <c r="W22" s="114">
        <f t="shared" si="4"/>
        <v>928.58539001108591</v>
      </c>
      <c r="X22" s="114">
        <f t="shared" si="4"/>
        <v>928.58539001108591</v>
      </c>
      <c r="Y22" s="114">
        <f t="shared" si="4"/>
        <v>928.58539001108591</v>
      </c>
      <c r="Z22" s="114">
        <f t="shared" si="4"/>
        <v>928.58539001108591</v>
      </c>
      <c r="AA22" s="114">
        <f t="shared" si="4"/>
        <v>928.58539001108591</v>
      </c>
      <c r="AB22" s="114">
        <f t="shared" si="4"/>
        <v>928.58539001108591</v>
      </c>
      <c r="AC22" s="114">
        <f t="shared" si="4"/>
        <v>0</v>
      </c>
      <c r="AD22" s="114">
        <f t="shared" si="4"/>
        <v>1857.1707800221718</v>
      </c>
      <c r="AE22" s="114">
        <f t="shared" si="4"/>
        <v>928.58539001108591</v>
      </c>
      <c r="AF22" s="114">
        <f t="shared" si="4"/>
        <v>928.58539001108591</v>
      </c>
      <c r="AG22" s="114">
        <f t="shared" si="4"/>
        <v>928.58539001108591</v>
      </c>
      <c r="AH22" s="114">
        <f t="shared" si="4"/>
        <v>928.58539001108591</v>
      </c>
      <c r="AI22" s="114">
        <f t="shared" si="4"/>
        <v>928.58539001108591</v>
      </c>
      <c r="AJ22" s="114">
        <f t="shared" si="4"/>
        <v>928.58539001108591</v>
      </c>
      <c r="AK22" s="114">
        <f t="shared" si="4"/>
        <v>928.58539001108591</v>
      </c>
      <c r="AL22" s="114">
        <f t="shared" si="4"/>
        <v>928.58539001108591</v>
      </c>
      <c r="AM22" s="114">
        <f t="shared" si="4"/>
        <v>0</v>
      </c>
      <c r="AN22" s="114">
        <f t="shared" si="4"/>
        <v>1857.1707800221718</v>
      </c>
      <c r="AO22" s="114">
        <f t="shared" si="4"/>
        <v>928.58539001108591</v>
      </c>
      <c r="AP22" s="114">
        <f t="shared" si="4"/>
        <v>928.58539001108591</v>
      </c>
      <c r="AQ22" s="114">
        <f t="shared" si="4"/>
        <v>928.58539001108591</v>
      </c>
      <c r="AR22" s="114">
        <f t="shared" si="4"/>
        <v>928.58539001108591</v>
      </c>
      <c r="AS22" s="114">
        <f t="shared" si="4"/>
        <v>928.58539001108591</v>
      </c>
      <c r="AT22" s="114">
        <f t="shared" si="4"/>
        <v>928.58539001108591</v>
      </c>
      <c r="AU22" s="114">
        <f t="shared" si="4"/>
        <v>928.58539001108591</v>
      </c>
      <c r="AV22" s="114">
        <f t="shared" si="4"/>
        <v>928.58539001108591</v>
      </c>
      <c r="AW22" s="114">
        <f t="shared" si="4"/>
        <v>928.58539001108591</v>
      </c>
      <c r="AX22" s="114">
        <f t="shared" si="4"/>
        <v>928.58539001108591</v>
      </c>
      <c r="AY22" s="114">
        <f t="shared" si="4"/>
        <v>928.58539001108591</v>
      </c>
      <c r="AZ22" s="141">
        <f t="shared" ref="AZ22:AZ30" si="5">SUM($D22:$AY22)</f>
        <v>44724.58867181254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2747902.6496838988</v>
      </c>
      <c r="E23" s="100">
        <f t="shared" ref="E23:AY23" si="6">E$21*$B$23</f>
        <v>1398996.8079504506</v>
      </c>
      <c r="F23" s="100">
        <f t="shared" si="6"/>
        <v>1398996.8079504506</v>
      </c>
      <c r="G23" s="100">
        <f t="shared" si="6"/>
        <v>1398996.8079504506</v>
      </c>
      <c r="H23" s="100">
        <f t="shared" si="6"/>
        <v>1398996.8079504506</v>
      </c>
      <c r="I23" s="100">
        <f t="shared" si="6"/>
        <v>1398996.8079504506</v>
      </c>
      <c r="J23" s="100">
        <f t="shared" si="6"/>
        <v>1398996.8079504506</v>
      </c>
      <c r="K23" s="100">
        <f t="shared" si="6"/>
        <v>1398996.8079504506</v>
      </c>
      <c r="L23" s="100">
        <f t="shared" si="6"/>
        <v>1398996.8079504506</v>
      </c>
      <c r="M23" s="100">
        <f t="shared" si="6"/>
        <v>1398996.8079504506</v>
      </c>
      <c r="N23" s="100">
        <f t="shared" si="6"/>
        <v>1398996.8079504506</v>
      </c>
      <c r="O23" s="100">
        <f t="shared" si="6"/>
        <v>1398996.8079504506</v>
      </c>
      <c r="P23" s="100">
        <f t="shared" si="6"/>
        <v>1398996.8079504506</v>
      </c>
      <c r="Q23" s="100">
        <f t="shared" si="6"/>
        <v>1119205.2795601317</v>
      </c>
      <c r="R23" s="100">
        <f t="shared" si="6"/>
        <v>1119205.2795601317</v>
      </c>
      <c r="S23" s="100">
        <f t="shared" si="6"/>
        <v>1119205.2795601317</v>
      </c>
      <c r="T23" s="100">
        <f t="shared" si="6"/>
        <v>1119205.2795601317</v>
      </c>
      <c r="U23" s="100">
        <f t="shared" si="6"/>
        <v>1398996.8079504506</v>
      </c>
      <c r="V23" s="100">
        <f t="shared" si="6"/>
        <v>1398996.8079504506</v>
      </c>
      <c r="W23" s="100">
        <f t="shared" si="6"/>
        <v>1398996.8079504506</v>
      </c>
      <c r="X23" s="100">
        <f t="shared" si="6"/>
        <v>1398996.8079504506</v>
      </c>
      <c r="Y23" s="100">
        <f t="shared" si="6"/>
        <v>1398996.8079504506</v>
      </c>
      <c r="Z23" s="100">
        <f t="shared" si="6"/>
        <v>1398996.8079504506</v>
      </c>
      <c r="AA23" s="100">
        <f t="shared" si="6"/>
        <v>1398996.8079504506</v>
      </c>
      <c r="AB23" s="100">
        <f t="shared" si="6"/>
        <v>1398996.8079504506</v>
      </c>
      <c r="AC23" s="100">
        <f t="shared" si="6"/>
        <v>0</v>
      </c>
      <c r="AD23" s="100">
        <f t="shared" si="6"/>
        <v>2797993.6159009011</v>
      </c>
      <c r="AE23" s="100">
        <f t="shared" si="6"/>
        <v>1398996.8079504506</v>
      </c>
      <c r="AF23" s="100">
        <f t="shared" si="6"/>
        <v>1398996.8079504506</v>
      </c>
      <c r="AG23" s="100">
        <f t="shared" si="6"/>
        <v>1398996.8079504506</v>
      </c>
      <c r="AH23" s="100">
        <f t="shared" si="6"/>
        <v>1398996.8079504506</v>
      </c>
      <c r="AI23" s="100">
        <f t="shared" si="6"/>
        <v>1398996.8079504506</v>
      </c>
      <c r="AJ23" s="100">
        <f t="shared" si="6"/>
        <v>1398996.8079504506</v>
      </c>
      <c r="AK23" s="100">
        <f t="shared" si="6"/>
        <v>1398996.8079504506</v>
      </c>
      <c r="AL23" s="100">
        <f t="shared" si="6"/>
        <v>1398996.8079504506</v>
      </c>
      <c r="AM23" s="100">
        <f t="shared" si="6"/>
        <v>0</v>
      </c>
      <c r="AN23" s="100">
        <f t="shared" si="6"/>
        <v>2797993.6159009011</v>
      </c>
      <c r="AO23" s="100">
        <f t="shared" si="6"/>
        <v>1398996.8079504506</v>
      </c>
      <c r="AP23" s="100">
        <f t="shared" si="6"/>
        <v>1398996.8079504506</v>
      </c>
      <c r="AQ23" s="100">
        <f t="shared" si="6"/>
        <v>1398996.8079504506</v>
      </c>
      <c r="AR23" s="100">
        <f t="shared" si="6"/>
        <v>1398996.8079504506</v>
      </c>
      <c r="AS23" s="100">
        <f t="shared" si="6"/>
        <v>1398996.8079504506</v>
      </c>
      <c r="AT23" s="100">
        <f t="shared" si="6"/>
        <v>1398996.8079504506</v>
      </c>
      <c r="AU23" s="100">
        <f t="shared" si="6"/>
        <v>1398996.8079504506</v>
      </c>
      <c r="AV23" s="100">
        <f t="shared" si="6"/>
        <v>1398996.8079504506</v>
      </c>
      <c r="AW23" s="100">
        <f t="shared" si="6"/>
        <v>1398996.8079504506</v>
      </c>
      <c r="AX23" s="100">
        <f t="shared" si="6"/>
        <v>1398996.8079504506</v>
      </c>
      <c r="AY23" s="100">
        <f t="shared" si="6"/>
        <v>1398996.8079504506</v>
      </c>
      <c r="AZ23" s="139">
        <f t="shared" si="5"/>
        <v>67381586.509793833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1823922.8561267694</v>
      </c>
      <c r="E24" s="106">
        <f t="shared" ref="E24:AY24" si="7">E$22*$B$24</f>
        <v>928585.3900110859</v>
      </c>
      <c r="F24" s="106">
        <f t="shared" si="7"/>
        <v>928585.3900110859</v>
      </c>
      <c r="G24" s="106">
        <f t="shared" si="7"/>
        <v>928585.3900110859</v>
      </c>
      <c r="H24" s="106">
        <f t="shared" si="7"/>
        <v>928585.3900110859</v>
      </c>
      <c r="I24" s="106">
        <f t="shared" si="7"/>
        <v>928585.3900110859</v>
      </c>
      <c r="J24" s="106">
        <f t="shared" si="7"/>
        <v>928585.3900110859</v>
      </c>
      <c r="K24" s="106">
        <f t="shared" si="7"/>
        <v>928585.3900110859</v>
      </c>
      <c r="L24" s="106">
        <f t="shared" si="7"/>
        <v>928585.3900110859</v>
      </c>
      <c r="M24" s="106">
        <f t="shared" si="7"/>
        <v>928585.3900110859</v>
      </c>
      <c r="N24" s="106">
        <f t="shared" si="7"/>
        <v>928585.3900110859</v>
      </c>
      <c r="O24" s="106">
        <f t="shared" si="7"/>
        <v>928585.3900110859</v>
      </c>
      <c r="P24" s="106">
        <f t="shared" si="7"/>
        <v>928585.3900110859</v>
      </c>
      <c r="Q24" s="106">
        <f t="shared" si="7"/>
        <v>742873.51130226476</v>
      </c>
      <c r="R24" s="106">
        <f t="shared" si="7"/>
        <v>742873.51130226476</v>
      </c>
      <c r="S24" s="106">
        <f t="shared" si="7"/>
        <v>742873.51130226476</v>
      </c>
      <c r="T24" s="106">
        <f t="shared" si="7"/>
        <v>742873.51130226476</v>
      </c>
      <c r="U24" s="106">
        <f t="shared" si="7"/>
        <v>928585.3900110859</v>
      </c>
      <c r="V24" s="106">
        <f t="shared" si="7"/>
        <v>928585.3900110859</v>
      </c>
      <c r="W24" s="106">
        <f t="shared" si="7"/>
        <v>928585.3900110859</v>
      </c>
      <c r="X24" s="106">
        <f t="shared" si="7"/>
        <v>928585.3900110859</v>
      </c>
      <c r="Y24" s="106">
        <f t="shared" si="7"/>
        <v>928585.3900110859</v>
      </c>
      <c r="Z24" s="106">
        <f t="shared" si="7"/>
        <v>928585.3900110859</v>
      </c>
      <c r="AA24" s="106">
        <f t="shared" si="7"/>
        <v>928585.3900110859</v>
      </c>
      <c r="AB24" s="106">
        <f t="shared" si="7"/>
        <v>928585.3900110859</v>
      </c>
      <c r="AC24" s="106">
        <f t="shared" si="7"/>
        <v>0</v>
      </c>
      <c r="AD24" s="106">
        <f t="shared" si="7"/>
        <v>1857170.7800221718</v>
      </c>
      <c r="AE24" s="106">
        <f t="shared" si="7"/>
        <v>928585.3900110859</v>
      </c>
      <c r="AF24" s="106">
        <f t="shared" si="7"/>
        <v>928585.3900110859</v>
      </c>
      <c r="AG24" s="106">
        <f t="shared" si="7"/>
        <v>928585.3900110859</v>
      </c>
      <c r="AH24" s="106">
        <f t="shared" si="7"/>
        <v>928585.3900110859</v>
      </c>
      <c r="AI24" s="106">
        <f t="shared" si="7"/>
        <v>928585.3900110859</v>
      </c>
      <c r="AJ24" s="106">
        <f t="shared" si="7"/>
        <v>928585.3900110859</v>
      </c>
      <c r="AK24" s="106">
        <f t="shared" si="7"/>
        <v>928585.3900110859</v>
      </c>
      <c r="AL24" s="106">
        <f t="shared" si="7"/>
        <v>928585.3900110859</v>
      </c>
      <c r="AM24" s="106">
        <f t="shared" si="7"/>
        <v>0</v>
      </c>
      <c r="AN24" s="106">
        <f t="shared" si="7"/>
        <v>1857170.7800221718</v>
      </c>
      <c r="AO24" s="106">
        <f t="shared" si="7"/>
        <v>928585.3900110859</v>
      </c>
      <c r="AP24" s="106">
        <f t="shared" si="7"/>
        <v>928585.3900110859</v>
      </c>
      <c r="AQ24" s="106">
        <f t="shared" si="7"/>
        <v>928585.3900110859</v>
      </c>
      <c r="AR24" s="106">
        <f t="shared" si="7"/>
        <v>928585.3900110859</v>
      </c>
      <c r="AS24" s="106">
        <f t="shared" si="7"/>
        <v>928585.3900110859</v>
      </c>
      <c r="AT24" s="106">
        <f t="shared" si="7"/>
        <v>928585.3900110859</v>
      </c>
      <c r="AU24" s="106">
        <f t="shared" si="7"/>
        <v>928585.3900110859</v>
      </c>
      <c r="AV24" s="106">
        <f t="shared" si="7"/>
        <v>928585.3900110859</v>
      </c>
      <c r="AW24" s="106">
        <f t="shared" si="7"/>
        <v>928585.3900110859</v>
      </c>
      <c r="AX24" s="106">
        <f t="shared" si="7"/>
        <v>928585.3900110859</v>
      </c>
      <c r="AY24" s="106">
        <f t="shared" si="7"/>
        <v>928585.3900110859</v>
      </c>
      <c r="AZ24" s="141">
        <f t="shared" si="5"/>
        <v>44724588.671812549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0</v>
      </c>
      <c r="X27" s="124">
        <f t="shared" si="8"/>
        <v>15</v>
      </c>
      <c r="Y27" s="124">
        <f t="shared" si="8"/>
        <v>0</v>
      </c>
      <c r="Z27" s="124">
        <f t="shared" si="8"/>
        <v>15</v>
      </c>
      <c r="AA27" s="124">
        <f t="shared" si="8"/>
        <v>0</v>
      </c>
      <c r="AB27" s="124">
        <f t="shared" si="8"/>
        <v>15</v>
      </c>
      <c r="AC27" s="124">
        <f t="shared" si="8"/>
        <v>0</v>
      </c>
      <c r="AD27" s="124">
        <f t="shared" si="8"/>
        <v>15</v>
      </c>
      <c r="AE27" s="124">
        <f t="shared" si="8"/>
        <v>0</v>
      </c>
      <c r="AF27" s="124">
        <f t="shared" si="8"/>
        <v>15</v>
      </c>
      <c r="AG27" s="124">
        <f t="shared" si="8"/>
        <v>0</v>
      </c>
      <c r="AH27" s="124">
        <f t="shared" si="8"/>
        <v>15</v>
      </c>
      <c r="AI27" s="124">
        <f t="shared" si="8"/>
        <v>0</v>
      </c>
      <c r="AJ27" s="124">
        <f t="shared" si="8"/>
        <v>15</v>
      </c>
      <c r="AK27" s="124">
        <f t="shared" si="8"/>
        <v>0</v>
      </c>
      <c r="AL27" s="124">
        <f t="shared" si="8"/>
        <v>15</v>
      </c>
      <c r="AM27" s="124">
        <f t="shared" si="8"/>
        <v>0</v>
      </c>
      <c r="AN27" s="124">
        <f t="shared" si="8"/>
        <v>15</v>
      </c>
      <c r="AO27" s="124">
        <f t="shared" si="8"/>
        <v>0</v>
      </c>
      <c r="AP27" s="124">
        <f t="shared" si="8"/>
        <v>15</v>
      </c>
      <c r="AQ27" s="124">
        <f t="shared" si="8"/>
        <v>0</v>
      </c>
      <c r="AR27" s="124">
        <f t="shared" si="8"/>
        <v>15</v>
      </c>
      <c r="AS27" s="124">
        <f t="shared" si="8"/>
        <v>0</v>
      </c>
      <c r="AT27" s="124">
        <f t="shared" si="8"/>
        <v>15</v>
      </c>
      <c r="AU27" s="124">
        <f t="shared" si="8"/>
        <v>0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15</v>
      </c>
      <c r="W28" s="110">
        <v>0</v>
      </c>
      <c r="X28" s="110">
        <v>15</v>
      </c>
      <c r="Y28" s="110">
        <v>0</v>
      </c>
      <c r="Z28" s="110">
        <v>15</v>
      </c>
      <c r="AA28" s="110">
        <v>0</v>
      </c>
      <c r="AB28" s="110">
        <v>15</v>
      </c>
      <c r="AC28" s="110">
        <v>0</v>
      </c>
      <c r="AD28" s="110">
        <v>15</v>
      </c>
      <c r="AE28" s="110">
        <v>0</v>
      </c>
      <c r="AF28" s="110">
        <v>15</v>
      </c>
      <c r="AG28" s="110">
        <v>0</v>
      </c>
      <c r="AH28" s="110">
        <v>15</v>
      </c>
      <c r="AI28" s="110">
        <v>0</v>
      </c>
      <c r="AJ28" s="110">
        <v>15</v>
      </c>
      <c r="AK28" s="110">
        <v>0</v>
      </c>
      <c r="AL28" s="110">
        <v>15</v>
      </c>
      <c r="AM28" s="110">
        <v>0</v>
      </c>
      <c r="AN28" s="110">
        <v>15</v>
      </c>
      <c r="AO28" s="110">
        <v>0</v>
      </c>
      <c r="AP28" s="110">
        <v>15</v>
      </c>
      <c r="AQ28" s="110">
        <v>0</v>
      </c>
      <c r="AR28" s="110">
        <v>15</v>
      </c>
      <c r="AS28" s="110">
        <v>0</v>
      </c>
      <c r="AT28" s="110">
        <v>15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0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15</v>
      </c>
      <c r="X29" s="125">
        <f t="shared" si="9"/>
        <v>0</v>
      </c>
      <c r="Y29" s="125">
        <f t="shared" si="9"/>
        <v>15</v>
      </c>
      <c r="Z29" s="125">
        <f t="shared" si="9"/>
        <v>0</v>
      </c>
      <c r="AA29" s="125">
        <f t="shared" si="9"/>
        <v>15</v>
      </c>
      <c r="AB29" s="125">
        <f t="shared" si="9"/>
        <v>0</v>
      </c>
      <c r="AC29" s="125">
        <f t="shared" si="9"/>
        <v>15</v>
      </c>
      <c r="AD29" s="125">
        <f t="shared" si="9"/>
        <v>0</v>
      </c>
      <c r="AE29" s="125">
        <f t="shared" si="9"/>
        <v>15</v>
      </c>
      <c r="AF29" s="125">
        <f t="shared" si="9"/>
        <v>0</v>
      </c>
      <c r="AG29" s="125">
        <f t="shared" si="9"/>
        <v>15</v>
      </c>
      <c r="AH29" s="125">
        <f t="shared" si="9"/>
        <v>0</v>
      </c>
      <c r="AI29" s="125">
        <f t="shared" si="9"/>
        <v>15</v>
      </c>
      <c r="AJ29" s="125">
        <f t="shared" si="9"/>
        <v>0</v>
      </c>
      <c r="AK29" s="125">
        <f t="shared" si="9"/>
        <v>15</v>
      </c>
      <c r="AL29" s="125">
        <f t="shared" si="9"/>
        <v>0</v>
      </c>
      <c r="AM29" s="125">
        <f t="shared" si="9"/>
        <v>15</v>
      </c>
      <c r="AN29" s="125">
        <f t="shared" si="9"/>
        <v>0</v>
      </c>
      <c r="AO29" s="125">
        <f t="shared" si="9"/>
        <v>15</v>
      </c>
      <c r="AP29" s="125">
        <f t="shared" si="9"/>
        <v>0</v>
      </c>
      <c r="AQ29" s="125">
        <f t="shared" si="9"/>
        <v>15</v>
      </c>
      <c r="AR29" s="125">
        <f t="shared" si="9"/>
        <v>0</v>
      </c>
      <c r="AS29" s="125">
        <f t="shared" si="9"/>
        <v>15</v>
      </c>
      <c r="AT29" s="125">
        <f t="shared" si="9"/>
        <v>0</v>
      </c>
      <c r="AU29" s="125">
        <f t="shared" si="9"/>
        <v>15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0</v>
      </c>
      <c r="X30" s="117">
        <f t="shared" si="10"/>
        <v>150</v>
      </c>
      <c r="Y30" s="117">
        <f t="shared" si="10"/>
        <v>0</v>
      </c>
      <c r="Z30" s="117">
        <f t="shared" si="10"/>
        <v>150</v>
      </c>
      <c r="AA30" s="117">
        <f t="shared" si="10"/>
        <v>0</v>
      </c>
      <c r="AB30" s="117">
        <f t="shared" si="10"/>
        <v>150</v>
      </c>
      <c r="AC30" s="117">
        <f t="shared" si="10"/>
        <v>0</v>
      </c>
      <c r="AD30" s="117">
        <f t="shared" si="10"/>
        <v>150</v>
      </c>
      <c r="AE30" s="117">
        <f>AE$27*$B$30</f>
        <v>0</v>
      </c>
      <c r="AF30" s="117">
        <f t="shared" si="10"/>
        <v>150</v>
      </c>
      <c r="AG30" s="117">
        <f t="shared" si="10"/>
        <v>0</v>
      </c>
      <c r="AH30" s="117">
        <f t="shared" si="10"/>
        <v>150</v>
      </c>
      <c r="AI30" s="117">
        <f t="shared" si="10"/>
        <v>0</v>
      </c>
      <c r="AJ30" s="117">
        <f t="shared" si="10"/>
        <v>150</v>
      </c>
      <c r="AK30" s="117">
        <f t="shared" si="10"/>
        <v>0</v>
      </c>
      <c r="AL30" s="117">
        <f t="shared" si="10"/>
        <v>150</v>
      </c>
      <c r="AM30" s="117">
        <f t="shared" si="10"/>
        <v>0</v>
      </c>
      <c r="AN30" s="117">
        <f t="shared" si="10"/>
        <v>150</v>
      </c>
      <c r="AO30" s="117">
        <f t="shared" si="10"/>
        <v>0</v>
      </c>
      <c r="AP30" s="117">
        <f t="shared" si="10"/>
        <v>150</v>
      </c>
      <c r="AQ30" s="117">
        <f t="shared" si="10"/>
        <v>0</v>
      </c>
      <c r="AR30" s="117">
        <f t="shared" si="10"/>
        <v>150</v>
      </c>
      <c r="AS30" s="117">
        <f t="shared" si="10"/>
        <v>0</v>
      </c>
      <c r="AT30" s="117">
        <f t="shared" si="10"/>
        <v>150</v>
      </c>
      <c r="AU30" s="117">
        <f t="shared" si="10"/>
        <v>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3600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180.99869406127181</v>
      </c>
      <c r="E33" s="124">
        <f>E$21*shipping_manufacturing!$F$27/100</f>
        <v>92.149041474976514</v>
      </c>
      <c r="F33" s="124">
        <f>F$21*shipping_manufacturing!$F$27/100</f>
        <v>92.149041474976514</v>
      </c>
      <c r="G33" s="124">
        <f>G$21*shipping_manufacturing!$F$27/100</f>
        <v>92.149041474976514</v>
      </c>
      <c r="H33" s="124">
        <f>H$21*shipping_manufacturing!$F$27/100</f>
        <v>92.149041474976514</v>
      </c>
      <c r="I33" s="124">
        <f>I$21*shipping_manufacturing!$F$27/100</f>
        <v>92.149041474976514</v>
      </c>
      <c r="J33" s="124">
        <f>J$21*shipping_manufacturing!$F$27/100</f>
        <v>92.149041474976514</v>
      </c>
      <c r="K33" s="124">
        <f>K$21*shipping_manufacturing!$F$27/100</f>
        <v>92.149041474976514</v>
      </c>
      <c r="L33" s="124">
        <f>L$21*shipping_manufacturing!$F$27/100</f>
        <v>92.149041474976514</v>
      </c>
      <c r="M33" s="124">
        <f>M$21*shipping_manufacturing!$F$27/100</f>
        <v>92.149041474976514</v>
      </c>
      <c r="N33" s="124">
        <f>N$21*shipping_manufacturing!$F$27/100</f>
        <v>92.149041474976514</v>
      </c>
      <c r="O33" s="124">
        <f>O$21*shipping_manufacturing!$F$27/100</f>
        <v>92.149041474976514</v>
      </c>
      <c r="P33" s="124">
        <f>P$21*shipping_manufacturing!$F$27/100</f>
        <v>92.149041474976514</v>
      </c>
      <c r="Q33" s="124">
        <f>Q$21*shipping_manufacturing!$F$27/100</f>
        <v>73.719749136734293</v>
      </c>
      <c r="R33" s="124">
        <f>R$21*shipping_manufacturing!$F$27/100</f>
        <v>73.719749136734293</v>
      </c>
      <c r="S33" s="124">
        <f>S$21*shipping_manufacturing!$F$27/100</f>
        <v>73.719749136734293</v>
      </c>
      <c r="T33" s="124">
        <f>T$21*shipping_manufacturing!$F$27/100</f>
        <v>73.719749136734293</v>
      </c>
      <c r="U33" s="124">
        <f>U$21*shipping_manufacturing!$F$27/100</f>
        <v>92.149041474976514</v>
      </c>
      <c r="V33" s="124">
        <f>V$21*shipping_manufacturing!$F$27/100</f>
        <v>92.149041474976514</v>
      </c>
      <c r="W33" s="124">
        <f>W$21*shipping_manufacturing!$F$27/100</f>
        <v>92.149041474976514</v>
      </c>
      <c r="X33" s="124">
        <f>X$21*shipping_manufacturing!$F$27/100</f>
        <v>92.149041474976514</v>
      </c>
      <c r="Y33" s="124">
        <f>Y$21*shipping_manufacturing!$F$27/100</f>
        <v>92.149041474976514</v>
      </c>
      <c r="Z33" s="124">
        <f>Z$21*shipping_manufacturing!$F$27/100</f>
        <v>92.149041474976514</v>
      </c>
      <c r="AA33" s="124">
        <f>AA$21*shipping_manufacturing!$F$27/100</f>
        <v>92.149041474976514</v>
      </c>
      <c r="AB33" s="124">
        <f>AB$21*shipping_manufacturing!$F$27/100</f>
        <v>92.149041474976514</v>
      </c>
      <c r="AC33" s="124">
        <f>AC$21*shipping_manufacturing!$F$27/100</f>
        <v>0</v>
      </c>
      <c r="AD33" s="124">
        <f>AD$21*shipping_manufacturing!$F$27/100</f>
        <v>184.29808294995303</v>
      </c>
      <c r="AE33" s="124">
        <f>AE$21*shipping_manufacturing!$F$27/100</f>
        <v>92.149041474976514</v>
      </c>
      <c r="AF33" s="124">
        <f>AF$21*shipping_manufacturing!$F$27/100</f>
        <v>92.149041474976514</v>
      </c>
      <c r="AG33" s="124">
        <f>AG$21*shipping_manufacturing!$F$27/100</f>
        <v>92.149041474976514</v>
      </c>
      <c r="AH33" s="124">
        <f>AH$21*shipping_manufacturing!$F$27/100</f>
        <v>92.149041474976514</v>
      </c>
      <c r="AI33" s="124">
        <f>AI$21*shipping_manufacturing!$F$27/100</f>
        <v>92.149041474976514</v>
      </c>
      <c r="AJ33" s="124">
        <f>AJ$21*shipping_manufacturing!$F$27/100</f>
        <v>92.149041474976514</v>
      </c>
      <c r="AK33" s="124">
        <f>AK$21*shipping_manufacturing!$F$27/100</f>
        <v>92.149041474976514</v>
      </c>
      <c r="AL33" s="124">
        <f>AL$21*shipping_manufacturing!$F$27/100</f>
        <v>92.149041474976514</v>
      </c>
      <c r="AM33" s="124">
        <f>AM$21*shipping_manufacturing!$F$27/100</f>
        <v>0</v>
      </c>
      <c r="AN33" s="124">
        <f>AN$21*shipping_manufacturing!$F$27/100</f>
        <v>184.29808294995303</v>
      </c>
      <c r="AO33" s="124">
        <f>AO$21*shipping_manufacturing!$F$27/100</f>
        <v>92.149041474976514</v>
      </c>
      <c r="AP33" s="124">
        <f>AP$21*shipping_manufacturing!$F$27/100</f>
        <v>92.149041474976514</v>
      </c>
      <c r="AQ33" s="124">
        <f>AQ$21*shipping_manufacturing!$F$27/100</f>
        <v>92.149041474976514</v>
      </c>
      <c r="AR33" s="124">
        <f>AR$21*shipping_manufacturing!$F$27/100</f>
        <v>92.149041474976514</v>
      </c>
      <c r="AS33" s="124">
        <f>AS$21*shipping_manufacturing!$F$27/100</f>
        <v>92.149041474976514</v>
      </c>
      <c r="AT33" s="124">
        <f>AT$21*shipping_manufacturing!$F$27/100</f>
        <v>92.149041474976514</v>
      </c>
      <c r="AU33" s="124">
        <f>AU$21*shipping_manufacturing!$F$27/100</f>
        <v>92.149041474976514</v>
      </c>
      <c r="AV33" s="124">
        <f>AV$21*shipping_manufacturing!$F$27/100</f>
        <v>92.149041474976514</v>
      </c>
      <c r="AW33" s="124">
        <f>AW$21*shipping_manufacturing!$F$27/100</f>
        <v>92.149041474976514</v>
      </c>
      <c r="AX33" s="124">
        <f>AX$21*shipping_manufacturing!$F$27/100</f>
        <v>92.149041474976514</v>
      </c>
      <c r="AY33" s="124">
        <f>AY$21*shipping_manufacturing!$F$27/100</f>
        <v>92.149041474976514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202.15159252589027</v>
      </c>
      <c r="E34" s="110">
        <f>E$22*shipping_manufacturing!$G$27/100</f>
        <v>102.91828667887972</v>
      </c>
      <c r="F34" s="110">
        <f>F$22*shipping_manufacturing!$G$27/100</f>
        <v>102.91828667887972</v>
      </c>
      <c r="G34" s="110">
        <f>G$22*shipping_manufacturing!$G$27/100</f>
        <v>102.91828667887972</v>
      </c>
      <c r="H34" s="110">
        <f>H$22*shipping_manufacturing!$G$27/100</f>
        <v>102.91828667887972</v>
      </c>
      <c r="I34" s="110">
        <f>I$22*shipping_manufacturing!$G$27/100</f>
        <v>102.91828667887972</v>
      </c>
      <c r="J34" s="110">
        <f>J$22*shipping_manufacturing!$G$27/100</f>
        <v>102.91828667887972</v>
      </c>
      <c r="K34" s="110">
        <f>K$22*shipping_manufacturing!$G$27/100</f>
        <v>102.91828667887972</v>
      </c>
      <c r="L34" s="110">
        <f>L$22*shipping_manufacturing!$G$27/100</f>
        <v>102.91828667887972</v>
      </c>
      <c r="M34" s="110">
        <f>M$22*shipping_manufacturing!$G$27/100</f>
        <v>102.91828667887972</v>
      </c>
      <c r="N34" s="110">
        <f>N$22*shipping_manufacturing!$G$27/100</f>
        <v>102.91828667887972</v>
      </c>
      <c r="O34" s="110">
        <f>O$22*shipping_manufacturing!$G$27/100</f>
        <v>102.91828667887972</v>
      </c>
      <c r="P34" s="110">
        <f>P$22*shipping_manufacturing!$G$27/100</f>
        <v>102.91828667887972</v>
      </c>
      <c r="Q34" s="110">
        <f>Q$22*shipping_manufacturing!$G$27/100</f>
        <v>82.335205598528447</v>
      </c>
      <c r="R34" s="110">
        <f>R$22*shipping_manufacturing!$G$27/100</f>
        <v>82.335205598528447</v>
      </c>
      <c r="S34" s="110">
        <f>S$22*shipping_manufacturing!$G$27/100</f>
        <v>82.335205598528447</v>
      </c>
      <c r="T34" s="110">
        <f>T$22*shipping_manufacturing!$G$27/100</f>
        <v>82.335205598528447</v>
      </c>
      <c r="U34" s="110">
        <f>U$22*shipping_manufacturing!$G$27/100</f>
        <v>102.91828667887972</v>
      </c>
      <c r="V34" s="110">
        <f>V$22*shipping_manufacturing!$G$27/100</f>
        <v>102.91828667887972</v>
      </c>
      <c r="W34" s="110">
        <f>W$22*shipping_manufacturing!$G$27/100</f>
        <v>102.91828667887972</v>
      </c>
      <c r="X34" s="110">
        <f>X$22*shipping_manufacturing!$G$27/100</f>
        <v>102.91828667887972</v>
      </c>
      <c r="Y34" s="110">
        <f>Y$22*shipping_manufacturing!$G$27/100</f>
        <v>102.91828667887972</v>
      </c>
      <c r="Z34" s="110">
        <f>Z$22*shipping_manufacturing!$G$27/100</f>
        <v>102.91828667887972</v>
      </c>
      <c r="AA34" s="110">
        <f>AA$22*shipping_manufacturing!$G$27/100</f>
        <v>102.91828667887972</v>
      </c>
      <c r="AB34" s="110">
        <f>AB$22*shipping_manufacturing!$G$27/100</f>
        <v>102.91828667887972</v>
      </c>
      <c r="AC34" s="110">
        <f>AC$22*shipping_manufacturing!$G$27/100</f>
        <v>0</v>
      </c>
      <c r="AD34" s="110">
        <f>AD$22*shipping_manufacturing!$G$27/100</f>
        <v>205.83657335775945</v>
      </c>
      <c r="AE34" s="110">
        <f>AE$22*shipping_manufacturing!$G$27/100</f>
        <v>102.91828667887972</v>
      </c>
      <c r="AF34" s="110">
        <f>AF$22*shipping_manufacturing!$G$27/100</f>
        <v>102.91828667887972</v>
      </c>
      <c r="AG34" s="110">
        <f>AG$22*shipping_manufacturing!$G$27/100</f>
        <v>102.91828667887972</v>
      </c>
      <c r="AH34" s="110">
        <f>AH$22*shipping_manufacturing!$G$27/100</f>
        <v>102.91828667887972</v>
      </c>
      <c r="AI34" s="110">
        <f>AI$22*shipping_manufacturing!$G$27/100</f>
        <v>102.91828667887972</v>
      </c>
      <c r="AJ34" s="110">
        <f>AJ$22*shipping_manufacturing!$G$27/100</f>
        <v>102.91828667887972</v>
      </c>
      <c r="AK34" s="110">
        <f>AK$22*shipping_manufacturing!$G$27/100</f>
        <v>102.91828667887972</v>
      </c>
      <c r="AL34" s="110">
        <f>AL$22*shipping_manufacturing!$G$27/100</f>
        <v>102.91828667887972</v>
      </c>
      <c r="AM34" s="110">
        <f>AM$22*shipping_manufacturing!$G$27/100</f>
        <v>0</v>
      </c>
      <c r="AN34" s="110">
        <f>AN$22*shipping_manufacturing!$G$27/100</f>
        <v>205.83657335775945</v>
      </c>
      <c r="AO34" s="110">
        <f>AO$22*shipping_manufacturing!$G$27/100</f>
        <v>102.91828667887972</v>
      </c>
      <c r="AP34" s="110">
        <f>AP$22*shipping_manufacturing!$G$27/100</f>
        <v>102.91828667887972</v>
      </c>
      <c r="AQ34" s="110">
        <f>AQ$22*shipping_manufacturing!$G$27/100</f>
        <v>102.91828667887972</v>
      </c>
      <c r="AR34" s="110">
        <f>AR$22*shipping_manufacturing!$G$27/100</f>
        <v>102.91828667887972</v>
      </c>
      <c r="AS34" s="110">
        <f>AS$22*shipping_manufacturing!$G$27/100</f>
        <v>102.91828667887972</v>
      </c>
      <c r="AT34" s="110">
        <f>AT$22*shipping_manufacturing!$G$27/100</f>
        <v>102.91828667887972</v>
      </c>
      <c r="AU34" s="110">
        <f>AU$22*shipping_manufacturing!$G$27/100</f>
        <v>102.91828667887972</v>
      </c>
      <c r="AV34" s="110">
        <f>AV$22*shipping_manufacturing!$G$27/100</f>
        <v>102.91828667887972</v>
      </c>
      <c r="AW34" s="110">
        <f>AW$22*shipping_manufacturing!$G$27/100</f>
        <v>102.91828667887972</v>
      </c>
      <c r="AX34" s="110">
        <f>AX$22*shipping_manufacturing!$G$27/100</f>
        <v>102.91828667887972</v>
      </c>
      <c r="AY34" s="110">
        <f>AY$22*shipping_manufacturing!$G$27/100</f>
        <v>102.91828667887972</v>
      </c>
    </row>
    <row r="35" spans="1:52">
      <c r="A35" s="110">
        <v>1245</v>
      </c>
      <c r="B35" s="165" t="s">
        <v>343</v>
      </c>
      <c r="C35" s="110"/>
      <c r="D35" s="110">
        <f>SUM(D33:D34)</f>
        <v>383.1502865871621</v>
      </c>
      <c r="E35" s="110">
        <f t="shared" ref="E35:AY35" si="11">SUM(E33:E34)</f>
        <v>195.06732815385624</v>
      </c>
      <c r="F35" s="110">
        <f t="shared" si="11"/>
        <v>195.06732815385624</v>
      </c>
      <c r="G35" s="110">
        <f t="shared" si="11"/>
        <v>195.06732815385624</v>
      </c>
      <c r="H35" s="110">
        <f t="shared" si="11"/>
        <v>195.06732815385624</v>
      </c>
      <c r="I35" s="110">
        <f t="shared" si="11"/>
        <v>195.06732815385624</v>
      </c>
      <c r="J35" s="110">
        <f t="shared" si="11"/>
        <v>195.06732815385624</v>
      </c>
      <c r="K35" s="110">
        <f t="shared" si="11"/>
        <v>195.06732815385624</v>
      </c>
      <c r="L35" s="110">
        <f t="shared" si="11"/>
        <v>195.06732815385624</v>
      </c>
      <c r="M35" s="110">
        <f t="shared" si="11"/>
        <v>195.06732815385624</v>
      </c>
      <c r="N35" s="110">
        <f t="shared" si="11"/>
        <v>195.06732815385624</v>
      </c>
      <c r="O35" s="110">
        <f t="shared" si="11"/>
        <v>195.06732815385624</v>
      </c>
      <c r="P35" s="110">
        <f t="shared" si="11"/>
        <v>195.06732815385624</v>
      </c>
      <c r="Q35" s="110">
        <f t="shared" si="11"/>
        <v>156.05495473526275</v>
      </c>
      <c r="R35" s="110">
        <f t="shared" si="11"/>
        <v>156.05495473526275</v>
      </c>
      <c r="S35" s="110">
        <f t="shared" si="11"/>
        <v>156.05495473526275</v>
      </c>
      <c r="T35" s="110">
        <f t="shared" si="11"/>
        <v>156.05495473526275</v>
      </c>
      <c r="U35" s="110">
        <f t="shared" si="11"/>
        <v>195.06732815385624</v>
      </c>
      <c r="V35" s="110">
        <f t="shared" si="11"/>
        <v>195.06732815385624</v>
      </c>
      <c r="W35" s="110">
        <f t="shared" si="11"/>
        <v>195.06732815385624</v>
      </c>
      <c r="X35" s="110">
        <f t="shared" si="11"/>
        <v>195.06732815385624</v>
      </c>
      <c r="Y35" s="110">
        <f t="shared" si="11"/>
        <v>195.06732815385624</v>
      </c>
      <c r="Z35" s="110">
        <f t="shared" si="11"/>
        <v>195.06732815385624</v>
      </c>
      <c r="AA35" s="110">
        <f t="shared" si="11"/>
        <v>195.06732815385624</v>
      </c>
      <c r="AB35" s="110">
        <f t="shared" si="11"/>
        <v>195.06732815385624</v>
      </c>
      <c r="AC35" s="110">
        <f t="shared" si="11"/>
        <v>0</v>
      </c>
      <c r="AD35" s="110">
        <f t="shared" si="11"/>
        <v>390.13465630771248</v>
      </c>
      <c r="AE35" s="110">
        <f t="shared" si="11"/>
        <v>195.06732815385624</v>
      </c>
      <c r="AF35" s="110">
        <f t="shared" si="11"/>
        <v>195.06732815385624</v>
      </c>
      <c r="AG35" s="110">
        <f t="shared" si="11"/>
        <v>195.06732815385624</v>
      </c>
      <c r="AH35" s="110">
        <f t="shared" si="11"/>
        <v>195.06732815385624</v>
      </c>
      <c r="AI35" s="110">
        <f t="shared" si="11"/>
        <v>195.06732815385624</v>
      </c>
      <c r="AJ35" s="110">
        <f t="shared" si="11"/>
        <v>195.06732815385624</v>
      </c>
      <c r="AK35" s="110">
        <f t="shared" si="11"/>
        <v>195.06732815385624</v>
      </c>
      <c r="AL35" s="110">
        <f t="shared" si="11"/>
        <v>195.06732815385624</v>
      </c>
      <c r="AM35" s="110">
        <f t="shared" si="11"/>
        <v>0</v>
      </c>
      <c r="AN35" s="110">
        <f t="shared" si="11"/>
        <v>390.13465630771248</v>
      </c>
      <c r="AO35" s="110">
        <f t="shared" si="11"/>
        <v>195.06732815385624</v>
      </c>
      <c r="AP35" s="110">
        <f t="shared" si="11"/>
        <v>195.06732815385624</v>
      </c>
      <c r="AQ35" s="110">
        <f t="shared" si="11"/>
        <v>195.06732815385624</v>
      </c>
      <c r="AR35" s="110">
        <f t="shared" si="11"/>
        <v>195.06732815385624</v>
      </c>
      <c r="AS35" s="110">
        <f t="shared" si="11"/>
        <v>195.06732815385624</v>
      </c>
      <c r="AT35" s="110">
        <f t="shared" si="11"/>
        <v>195.06732815385624</v>
      </c>
      <c r="AU35" s="110">
        <f t="shared" si="11"/>
        <v>195.06732815385624</v>
      </c>
      <c r="AV35" s="110">
        <f t="shared" si="11"/>
        <v>195.06732815385624</v>
      </c>
      <c r="AW35" s="110">
        <f t="shared" si="11"/>
        <v>195.06732815385624</v>
      </c>
      <c r="AX35" s="110">
        <f t="shared" si="11"/>
        <v>195.06732815385624</v>
      </c>
      <c r="AY35" s="110">
        <f t="shared" si="11"/>
        <v>195.06732815385624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180.99869406127181</v>
      </c>
      <c r="E39" s="110">
        <f t="shared" ref="E39:AY39" si="12">E33-E36</f>
        <v>92.149041474976514</v>
      </c>
      <c r="F39" s="110">
        <f t="shared" si="12"/>
        <v>92.149041474976514</v>
      </c>
      <c r="G39" s="110">
        <f t="shared" si="12"/>
        <v>92.149041474976514</v>
      </c>
      <c r="H39" s="110">
        <f t="shared" si="12"/>
        <v>92.149041474976514</v>
      </c>
      <c r="I39" s="110">
        <f t="shared" si="12"/>
        <v>92.149041474976514</v>
      </c>
      <c r="J39" s="110">
        <f t="shared" si="12"/>
        <v>92.149041474976514</v>
      </c>
      <c r="K39" s="110">
        <f t="shared" si="12"/>
        <v>92.149041474976514</v>
      </c>
      <c r="L39" s="110">
        <f t="shared" si="12"/>
        <v>92.149041474976514</v>
      </c>
      <c r="M39" s="110">
        <f t="shared" si="12"/>
        <v>92.149041474976514</v>
      </c>
      <c r="N39" s="110">
        <f t="shared" si="12"/>
        <v>92.149041474976514</v>
      </c>
      <c r="O39" s="110">
        <f t="shared" si="12"/>
        <v>92.149041474976514</v>
      </c>
      <c r="P39" s="110">
        <f t="shared" si="12"/>
        <v>92.149041474976514</v>
      </c>
      <c r="Q39" s="110">
        <f t="shared" si="12"/>
        <v>73.719749136734293</v>
      </c>
      <c r="R39" s="110">
        <f t="shared" si="12"/>
        <v>73.719749136734293</v>
      </c>
      <c r="S39" s="110">
        <f t="shared" si="12"/>
        <v>73.719749136734293</v>
      </c>
      <c r="T39" s="110">
        <f t="shared" si="12"/>
        <v>73.719749136734293</v>
      </c>
      <c r="U39" s="110">
        <f t="shared" si="12"/>
        <v>92.149041474976514</v>
      </c>
      <c r="V39" s="110">
        <f t="shared" si="12"/>
        <v>92.149041474976514</v>
      </c>
      <c r="W39" s="110">
        <f t="shared" si="12"/>
        <v>92.149041474976514</v>
      </c>
      <c r="X39" s="110">
        <f t="shared" si="12"/>
        <v>92.149041474976514</v>
      </c>
      <c r="Y39" s="110">
        <f t="shared" si="12"/>
        <v>92.149041474976514</v>
      </c>
      <c r="Z39" s="110">
        <f t="shared" si="12"/>
        <v>92.149041474976514</v>
      </c>
      <c r="AA39" s="110">
        <f t="shared" si="12"/>
        <v>92.149041474976514</v>
      </c>
      <c r="AB39" s="110">
        <f t="shared" si="12"/>
        <v>92.149041474976514</v>
      </c>
      <c r="AC39" s="110">
        <f t="shared" si="12"/>
        <v>0</v>
      </c>
      <c r="AD39" s="110">
        <f t="shared" si="12"/>
        <v>184.29808294995303</v>
      </c>
      <c r="AE39" s="110">
        <f t="shared" si="12"/>
        <v>92.149041474976514</v>
      </c>
      <c r="AF39" s="110">
        <f t="shared" si="12"/>
        <v>92.149041474976514</v>
      </c>
      <c r="AG39" s="110">
        <f t="shared" si="12"/>
        <v>92.149041474976514</v>
      </c>
      <c r="AH39" s="110">
        <f t="shared" si="12"/>
        <v>92.149041474976514</v>
      </c>
      <c r="AI39" s="110">
        <f t="shared" si="12"/>
        <v>92.149041474976514</v>
      </c>
      <c r="AJ39" s="110">
        <f t="shared" si="12"/>
        <v>92.149041474976514</v>
      </c>
      <c r="AK39" s="110">
        <f t="shared" si="12"/>
        <v>92.149041474976514</v>
      </c>
      <c r="AL39" s="110">
        <f t="shared" si="12"/>
        <v>92.149041474976514</v>
      </c>
      <c r="AM39" s="110">
        <f t="shared" si="12"/>
        <v>0</v>
      </c>
      <c r="AN39" s="110">
        <f t="shared" si="12"/>
        <v>184.29808294995303</v>
      </c>
      <c r="AO39" s="110">
        <f t="shared" si="12"/>
        <v>92.149041474976514</v>
      </c>
      <c r="AP39" s="110">
        <f t="shared" si="12"/>
        <v>92.149041474976514</v>
      </c>
      <c r="AQ39" s="110">
        <f t="shared" si="12"/>
        <v>92.149041474976514</v>
      </c>
      <c r="AR39" s="110">
        <f t="shared" si="12"/>
        <v>92.149041474976514</v>
      </c>
      <c r="AS39" s="110">
        <f t="shared" si="12"/>
        <v>92.149041474976514</v>
      </c>
      <c r="AT39" s="110">
        <f t="shared" si="12"/>
        <v>92.149041474976514</v>
      </c>
      <c r="AU39" s="110">
        <f t="shared" si="12"/>
        <v>92.149041474976514</v>
      </c>
      <c r="AV39" s="110">
        <f t="shared" si="12"/>
        <v>92.149041474976514</v>
      </c>
      <c r="AW39" s="110">
        <f t="shared" si="12"/>
        <v>92.149041474976514</v>
      </c>
      <c r="AX39" s="110">
        <f t="shared" si="12"/>
        <v>92.149041474976514</v>
      </c>
      <c r="AY39" s="110">
        <f t="shared" si="12"/>
        <v>92.149041474976514</v>
      </c>
    </row>
    <row r="40" spans="1:52">
      <c r="A40" s="110"/>
      <c r="B40" s="165" t="s">
        <v>348</v>
      </c>
      <c r="C40" s="110"/>
      <c r="D40" s="110">
        <f>D34-D37</f>
        <v>202.15159252589027</v>
      </c>
      <c r="E40" s="110">
        <f t="shared" ref="E40:AY40" si="13">E34-E37</f>
        <v>102.91828667887972</v>
      </c>
      <c r="F40" s="110">
        <f t="shared" si="13"/>
        <v>102.91828667887972</v>
      </c>
      <c r="G40" s="110">
        <f t="shared" si="13"/>
        <v>102.91828667887972</v>
      </c>
      <c r="H40" s="110">
        <f t="shared" si="13"/>
        <v>102.91828667887972</v>
      </c>
      <c r="I40" s="110">
        <f t="shared" si="13"/>
        <v>102.91828667887972</v>
      </c>
      <c r="J40" s="110">
        <f t="shared" si="13"/>
        <v>102.91828667887972</v>
      </c>
      <c r="K40" s="110">
        <f t="shared" si="13"/>
        <v>102.91828667887972</v>
      </c>
      <c r="L40" s="110">
        <f t="shared" si="13"/>
        <v>102.91828667887972</v>
      </c>
      <c r="M40" s="110">
        <f t="shared" si="13"/>
        <v>102.91828667887972</v>
      </c>
      <c r="N40" s="110">
        <f t="shared" si="13"/>
        <v>102.91828667887972</v>
      </c>
      <c r="O40" s="110">
        <f t="shared" si="13"/>
        <v>102.91828667887972</v>
      </c>
      <c r="P40" s="110">
        <f t="shared" si="13"/>
        <v>102.91828667887972</v>
      </c>
      <c r="Q40" s="110">
        <f t="shared" si="13"/>
        <v>82.335205598528447</v>
      </c>
      <c r="R40" s="110">
        <f t="shared" si="13"/>
        <v>82.335205598528447</v>
      </c>
      <c r="S40" s="110">
        <f t="shared" si="13"/>
        <v>82.335205598528447</v>
      </c>
      <c r="T40" s="110">
        <f t="shared" si="13"/>
        <v>82.335205598528447</v>
      </c>
      <c r="U40" s="110">
        <f t="shared" si="13"/>
        <v>102.91828667887972</v>
      </c>
      <c r="V40" s="110">
        <f t="shared" si="13"/>
        <v>102.91828667887972</v>
      </c>
      <c r="W40" s="110">
        <f t="shared" si="13"/>
        <v>102.91828667887972</v>
      </c>
      <c r="X40" s="110">
        <f t="shared" si="13"/>
        <v>102.91828667887972</v>
      </c>
      <c r="Y40" s="110">
        <f t="shared" si="13"/>
        <v>102.91828667887972</v>
      </c>
      <c r="Z40" s="110">
        <f t="shared" si="13"/>
        <v>102.91828667887972</v>
      </c>
      <c r="AA40" s="110">
        <f t="shared" si="13"/>
        <v>102.91828667887972</v>
      </c>
      <c r="AB40" s="110">
        <f t="shared" si="13"/>
        <v>102.91828667887972</v>
      </c>
      <c r="AC40" s="110">
        <f t="shared" si="13"/>
        <v>0</v>
      </c>
      <c r="AD40" s="110">
        <f t="shared" si="13"/>
        <v>205.83657335775945</v>
      </c>
      <c r="AE40" s="110">
        <f t="shared" si="13"/>
        <v>102.91828667887972</v>
      </c>
      <c r="AF40" s="110">
        <f t="shared" si="13"/>
        <v>102.91828667887972</v>
      </c>
      <c r="AG40" s="110">
        <f t="shared" si="13"/>
        <v>102.91828667887972</v>
      </c>
      <c r="AH40" s="110">
        <f t="shared" si="13"/>
        <v>102.91828667887972</v>
      </c>
      <c r="AI40" s="110">
        <f t="shared" si="13"/>
        <v>102.91828667887972</v>
      </c>
      <c r="AJ40" s="110">
        <f t="shared" si="13"/>
        <v>102.91828667887972</v>
      </c>
      <c r="AK40" s="110">
        <f t="shared" si="13"/>
        <v>102.91828667887972</v>
      </c>
      <c r="AL40" s="110">
        <f t="shared" si="13"/>
        <v>102.91828667887972</v>
      </c>
      <c r="AM40" s="110">
        <f t="shared" si="13"/>
        <v>0</v>
      </c>
      <c r="AN40" s="110">
        <f t="shared" si="13"/>
        <v>205.83657335775945</v>
      </c>
      <c r="AO40" s="110">
        <f t="shared" si="13"/>
        <v>102.91828667887972</v>
      </c>
      <c r="AP40" s="110">
        <f t="shared" si="13"/>
        <v>102.91828667887972</v>
      </c>
      <c r="AQ40" s="110">
        <f t="shared" si="13"/>
        <v>102.91828667887972</v>
      </c>
      <c r="AR40" s="110">
        <f t="shared" si="13"/>
        <v>102.91828667887972</v>
      </c>
      <c r="AS40" s="110">
        <f t="shared" si="13"/>
        <v>102.91828667887972</v>
      </c>
      <c r="AT40" s="110">
        <f t="shared" si="13"/>
        <v>102.91828667887972</v>
      </c>
      <c r="AU40" s="110">
        <f t="shared" si="13"/>
        <v>102.91828667887972</v>
      </c>
      <c r="AV40" s="110">
        <f t="shared" si="13"/>
        <v>102.91828667887972</v>
      </c>
      <c r="AW40" s="110">
        <f t="shared" si="13"/>
        <v>102.91828667887972</v>
      </c>
      <c r="AX40" s="110">
        <f t="shared" si="13"/>
        <v>102.91828667887972</v>
      </c>
      <c r="AY40" s="110">
        <f t="shared" si="13"/>
        <v>102.91828667887972</v>
      </c>
    </row>
    <row r="41" spans="1:52">
      <c r="A41" s="110"/>
      <c r="B41" s="165" t="s">
        <v>349</v>
      </c>
      <c r="C41" s="110"/>
      <c r="D41" s="110">
        <v>2</v>
      </c>
      <c r="E41" s="110">
        <v>2</v>
      </c>
      <c r="F41" s="110">
        <v>1</v>
      </c>
      <c r="G41" s="110">
        <v>2</v>
      </c>
      <c r="H41" s="110">
        <v>1</v>
      </c>
      <c r="I41" s="110">
        <v>1</v>
      </c>
      <c r="J41" s="110">
        <v>2</v>
      </c>
      <c r="K41" s="110">
        <v>1</v>
      </c>
      <c r="L41" s="110">
        <v>1</v>
      </c>
      <c r="M41" s="110">
        <v>2</v>
      </c>
      <c r="N41" s="110">
        <v>1</v>
      </c>
      <c r="O41" s="110">
        <v>1</v>
      </c>
      <c r="P41" s="110">
        <v>1</v>
      </c>
      <c r="Q41" s="110">
        <v>2</v>
      </c>
      <c r="R41" s="110">
        <v>1</v>
      </c>
      <c r="S41" s="110">
        <v>1</v>
      </c>
      <c r="T41" s="110">
        <v>1</v>
      </c>
      <c r="U41" s="110">
        <v>2</v>
      </c>
      <c r="V41" s="110">
        <v>2</v>
      </c>
      <c r="W41" s="110">
        <v>1</v>
      </c>
      <c r="X41" s="110">
        <v>1</v>
      </c>
      <c r="Y41" s="110">
        <v>1</v>
      </c>
      <c r="Z41" s="110">
        <v>1</v>
      </c>
      <c r="AA41" s="110">
        <v>1</v>
      </c>
      <c r="AB41" s="110">
        <v>2</v>
      </c>
      <c r="AC41" s="110">
        <v>1</v>
      </c>
      <c r="AD41" s="110">
        <v>3</v>
      </c>
      <c r="AE41" s="110">
        <v>1</v>
      </c>
      <c r="AF41" s="110">
        <v>1</v>
      </c>
      <c r="AG41" s="110">
        <v>1</v>
      </c>
      <c r="AH41" s="110">
        <v>2</v>
      </c>
      <c r="AI41" s="110">
        <v>1</v>
      </c>
      <c r="AJ41" s="110">
        <v>1</v>
      </c>
      <c r="AK41" s="110">
        <v>2</v>
      </c>
      <c r="AL41" s="110">
        <v>3</v>
      </c>
      <c r="AM41" s="110">
        <v>1</v>
      </c>
      <c r="AN41" s="110">
        <v>2</v>
      </c>
      <c r="AO41" s="110">
        <v>2</v>
      </c>
      <c r="AP41" s="110">
        <v>1</v>
      </c>
      <c r="AQ41" s="110">
        <v>1</v>
      </c>
      <c r="AR41" s="110">
        <v>1</v>
      </c>
      <c r="AS41" s="110">
        <v>3</v>
      </c>
      <c r="AT41" s="110">
        <v>2</v>
      </c>
      <c r="AU41" s="110">
        <v>1</v>
      </c>
      <c r="AV41" s="110">
        <v>2</v>
      </c>
      <c r="AW41" s="110">
        <v>2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310064.36942066095</v>
      </c>
      <c r="E43" s="110">
        <v>157858.23530850816</v>
      </c>
      <c r="F43" s="110">
        <v>157858.23530850816</v>
      </c>
      <c r="G43" s="110">
        <v>157858.23530850816</v>
      </c>
      <c r="H43" s="110">
        <v>157858.23530850816</v>
      </c>
      <c r="I43" s="110">
        <v>157858.23530850816</v>
      </c>
      <c r="J43" s="110">
        <v>157858.23530850816</v>
      </c>
      <c r="K43" s="110">
        <v>157858.23530850816</v>
      </c>
      <c r="L43" s="110">
        <v>157858.23530850816</v>
      </c>
      <c r="M43" s="110">
        <v>157858.23530850816</v>
      </c>
      <c r="N43" s="110">
        <v>157858.23530850816</v>
      </c>
      <c r="O43" s="110">
        <v>157858.23530850816</v>
      </c>
      <c r="P43" s="110">
        <v>157858.23530850816</v>
      </c>
      <c r="Q43" s="110">
        <v>126287.47211951138</v>
      </c>
      <c r="R43" s="110">
        <v>126287.47211951138</v>
      </c>
      <c r="S43" s="110">
        <v>126287.47211951138</v>
      </c>
      <c r="T43" s="110">
        <v>126287.47211951138</v>
      </c>
      <c r="U43" s="110">
        <v>157858.23530850816</v>
      </c>
      <c r="V43" s="110">
        <v>157858.23530850816</v>
      </c>
      <c r="W43" s="110">
        <v>157858.23530850816</v>
      </c>
      <c r="X43" s="110">
        <v>157858.23530850816</v>
      </c>
      <c r="Y43" s="110">
        <v>157858.23530850816</v>
      </c>
      <c r="Z43" s="110">
        <v>157858.23530850816</v>
      </c>
      <c r="AA43" s="110">
        <v>157858.23530850816</v>
      </c>
      <c r="AB43" s="110">
        <v>157858.23530850816</v>
      </c>
      <c r="AC43" s="110">
        <v>0</v>
      </c>
      <c r="AD43" s="110">
        <v>315716.47061701631</v>
      </c>
      <c r="AE43" s="110">
        <v>157858.23530850816</v>
      </c>
      <c r="AF43" s="110">
        <v>157858.23530850816</v>
      </c>
      <c r="AG43" s="110">
        <v>157858.23530850816</v>
      </c>
      <c r="AH43" s="110">
        <v>157858.23530850816</v>
      </c>
      <c r="AI43" s="110">
        <v>157858.23530850816</v>
      </c>
      <c r="AJ43" s="110">
        <v>157858.23530850816</v>
      </c>
      <c r="AK43" s="110">
        <v>157858.23530850816</v>
      </c>
      <c r="AL43" s="110">
        <v>157858.23530850816</v>
      </c>
      <c r="AM43" s="110">
        <v>0</v>
      </c>
      <c r="AN43" s="110">
        <v>315716.47061701631</v>
      </c>
      <c r="AO43" s="110">
        <v>157858.23530850816</v>
      </c>
      <c r="AP43" s="110">
        <v>157858.23530850816</v>
      </c>
      <c r="AQ43" s="110">
        <v>157858.23530850816</v>
      </c>
      <c r="AR43" s="110">
        <v>157858.23530850816</v>
      </c>
      <c r="AS43" s="110">
        <v>157858.23530850816</v>
      </c>
      <c r="AT43" s="110">
        <v>157858.23530850816</v>
      </c>
      <c r="AU43" s="110">
        <v>157858.23530850816</v>
      </c>
      <c r="AV43" s="110">
        <v>157858.23530850816</v>
      </c>
      <c r="AW43" s="110">
        <v>157858.23530850816</v>
      </c>
      <c r="AX43" s="110">
        <v>157858.23530850816</v>
      </c>
      <c r="AY43" s="110">
        <v>157858.23530850816</v>
      </c>
      <c r="AZ43" s="100">
        <f>SUM($D$43:$AY$43)</f>
        <v>7603118.3761645639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2</v>
      </c>
      <c r="F52" s="110">
        <v>1</v>
      </c>
      <c r="G52" s="110">
        <v>2</v>
      </c>
      <c r="H52" s="110">
        <v>1</v>
      </c>
      <c r="I52" s="110">
        <v>1</v>
      </c>
      <c r="J52" s="110">
        <v>3</v>
      </c>
      <c r="K52" s="110">
        <v>1</v>
      </c>
      <c r="L52" s="110">
        <v>2</v>
      </c>
      <c r="M52" s="110">
        <v>3</v>
      </c>
      <c r="N52" s="110">
        <v>3</v>
      </c>
      <c r="O52" s="110">
        <v>1</v>
      </c>
      <c r="P52" s="110">
        <v>2</v>
      </c>
      <c r="Q52" s="110">
        <v>2</v>
      </c>
      <c r="R52" s="110">
        <v>1</v>
      </c>
      <c r="S52" s="110">
        <v>1</v>
      </c>
      <c r="T52" s="110">
        <v>2</v>
      </c>
      <c r="U52" s="110">
        <v>1</v>
      </c>
      <c r="V52" s="110">
        <v>1</v>
      </c>
      <c r="W52" s="110">
        <v>2</v>
      </c>
      <c r="X52" s="110">
        <v>1</v>
      </c>
      <c r="Y52" s="110">
        <v>3</v>
      </c>
      <c r="Z52" s="110">
        <v>3</v>
      </c>
      <c r="AA52" s="110">
        <v>1</v>
      </c>
      <c r="AB52" s="110">
        <v>2</v>
      </c>
      <c r="AC52" s="110">
        <v>1</v>
      </c>
      <c r="AD52" s="110">
        <v>1</v>
      </c>
      <c r="AE52" s="110">
        <v>2</v>
      </c>
      <c r="AF52" s="110">
        <v>2</v>
      </c>
      <c r="AG52" s="110">
        <v>1</v>
      </c>
      <c r="AH52" s="110">
        <v>1</v>
      </c>
      <c r="AI52" s="110">
        <v>1</v>
      </c>
      <c r="AJ52" s="110">
        <v>1</v>
      </c>
      <c r="AK52" s="110">
        <v>2</v>
      </c>
      <c r="AL52" s="110">
        <v>1</v>
      </c>
      <c r="AM52" s="110">
        <v>1</v>
      </c>
      <c r="AN52" s="110">
        <v>2</v>
      </c>
      <c r="AO52" s="110">
        <v>1</v>
      </c>
      <c r="AP52" s="110">
        <v>2</v>
      </c>
      <c r="AQ52" s="110">
        <v>1</v>
      </c>
      <c r="AR52" s="110">
        <v>1</v>
      </c>
      <c r="AS52" s="110">
        <v>1</v>
      </c>
      <c r="AT52" s="110">
        <v>2</v>
      </c>
      <c r="AU52" s="110">
        <v>1</v>
      </c>
      <c r="AV52" s="110">
        <v>1</v>
      </c>
      <c r="AW52" s="110">
        <v>1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1192.9526307806775</v>
      </c>
      <c r="E55" s="124">
        <f>E$21*shipping_manufacturing!$F$29/100</f>
        <v>607.34936250024873</v>
      </c>
      <c r="F55" s="124">
        <f>F$21*shipping_manufacturing!$F$29/100</f>
        <v>607.34936250024873</v>
      </c>
      <c r="G55" s="124">
        <f>G$21*shipping_manufacturing!$F$29/100</f>
        <v>607.34936250024873</v>
      </c>
      <c r="H55" s="124">
        <f>H$21*shipping_manufacturing!$F$29/100</f>
        <v>607.34936250024873</v>
      </c>
      <c r="I55" s="124">
        <f>I$21*shipping_manufacturing!$F$29/100</f>
        <v>607.34936250024873</v>
      </c>
      <c r="J55" s="124">
        <f>J$21*shipping_manufacturing!$F$29/100</f>
        <v>607.34936250024873</v>
      </c>
      <c r="K55" s="124">
        <f>K$21*shipping_manufacturing!$F$29/100</f>
        <v>607.34936250024873</v>
      </c>
      <c r="L55" s="124">
        <f>L$21*shipping_manufacturing!$F$29/100</f>
        <v>607.34936250024873</v>
      </c>
      <c r="M55" s="124">
        <f>M$21*shipping_manufacturing!$F$29/100</f>
        <v>607.34936250024873</v>
      </c>
      <c r="N55" s="124">
        <f>N$21*shipping_manufacturing!$F$29/100</f>
        <v>607.34936250024873</v>
      </c>
      <c r="O55" s="124">
        <f>O$21*shipping_manufacturing!$F$29/100</f>
        <v>607.34936250024873</v>
      </c>
      <c r="P55" s="124">
        <f>P$21*shipping_manufacturing!$F$29/100</f>
        <v>607.34936250024873</v>
      </c>
      <c r="Q55" s="124">
        <f>Q$21*shipping_manufacturing!$F$29/100</f>
        <v>485.88289064333151</v>
      </c>
      <c r="R55" s="124">
        <f>R$21*shipping_manufacturing!$F$29/100</f>
        <v>485.88289064333151</v>
      </c>
      <c r="S55" s="124">
        <f>S$21*shipping_manufacturing!$F$29/100</f>
        <v>485.88289064333151</v>
      </c>
      <c r="T55" s="124">
        <f>T$21*shipping_manufacturing!$F$29/100</f>
        <v>485.88289064333151</v>
      </c>
      <c r="U55" s="124">
        <f>U$21*shipping_manufacturing!$F$29/100</f>
        <v>607.34936250024873</v>
      </c>
      <c r="V55" s="124">
        <f>V$21*shipping_manufacturing!$F$29/100</f>
        <v>607.34936250024873</v>
      </c>
      <c r="W55" s="124">
        <f>W$21*shipping_manufacturing!$F$29/100</f>
        <v>607.34936250024873</v>
      </c>
      <c r="X55" s="124">
        <f>X$21*shipping_manufacturing!$F$29/100</f>
        <v>607.34936250024873</v>
      </c>
      <c r="Y55" s="124">
        <f>Y$21*shipping_manufacturing!$F$29/100</f>
        <v>607.34936250024873</v>
      </c>
      <c r="Z55" s="124">
        <f>Z$21*shipping_manufacturing!$F$29/100</f>
        <v>607.34936250024873</v>
      </c>
      <c r="AA55" s="124">
        <f>AA$21*shipping_manufacturing!$F$29/100</f>
        <v>607.34936250024873</v>
      </c>
      <c r="AB55" s="124">
        <f>AB$21*shipping_manufacturing!$F$29/100</f>
        <v>607.34936250024873</v>
      </c>
      <c r="AC55" s="124">
        <f>AC$21*shipping_manufacturing!$F$29/100</f>
        <v>0</v>
      </c>
      <c r="AD55" s="124">
        <f>AD$21*shipping_manufacturing!$F$29/100</f>
        <v>1214.6987250004975</v>
      </c>
      <c r="AE55" s="124">
        <f>AE$21*shipping_manufacturing!$F$29/100</f>
        <v>607.34936250024873</v>
      </c>
      <c r="AF55" s="124">
        <f>AF$21*shipping_manufacturing!$F$29/100</f>
        <v>607.34936250024873</v>
      </c>
      <c r="AG55" s="124">
        <f>AG$21*shipping_manufacturing!$F$29/100</f>
        <v>607.34936250024873</v>
      </c>
      <c r="AH55" s="124">
        <f>AH$21*shipping_manufacturing!$F$29/100</f>
        <v>607.34936250024873</v>
      </c>
      <c r="AI55" s="124">
        <f>AI$21*shipping_manufacturing!$F$29/100</f>
        <v>607.34936250024873</v>
      </c>
      <c r="AJ55" s="124">
        <f>AJ$21*shipping_manufacturing!$F$29/100</f>
        <v>607.34936250024873</v>
      </c>
      <c r="AK55" s="124">
        <f>AK$21*shipping_manufacturing!$F$29/100</f>
        <v>607.34936250024873</v>
      </c>
      <c r="AL55" s="124">
        <f>AL$21*shipping_manufacturing!$F$29/100</f>
        <v>607.34936250024873</v>
      </c>
      <c r="AM55" s="124">
        <f>AM$21*shipping_manufacturing!$F$29/100</f>
        <v>0</v>
      </c>
      <c r="AN55" s="124">
        <f>AN$21*shipping_manufacturing!$F$29/100</f>
        <v>1214.6987250004975</v>
      </c>
      <c r="AO55" s="124">
        <f>AO$21*shipping_manufacturing!$F$29/100</f>
        <v>607.34936250024873</v>
      </c>
      <c r="AP55" s="124">
        <f>AP$21*shipping_manufacturing!$F$29/100</f>
        <v>607.34936250024873</v>
      </c>
      <c r="AQ55" s="124">
        <f>AQ$21*shipping_manufacturing!$F$29/100</f>
        <v>607.34936250024873</v>
      </c>
      <c r="AR55" s="124">
        <f>AR$21*shipping_manufacturing!$F$29/100</f>
        <v>607.34936250024873</v>
      </c>
      <c r="AS55" s="124">
        <f>AS$21*shipping_manufacturing!$F$29/100</f>
        <v>607.34936250024873</v>
      </c>
      <c r="AT55" s="124">
        <f>AT$21*shipping_manufacturing!$F$29/100</f>
        <v>607.34936250024873</v>
      </c>
      <c r="AU55" s="124">
        <f>AU$21*shipping_manufacturing!$F$29/100</f>
        <v>607.34936250024873</v>
      </c>
      <c r="AV55" s="124">
        <f>AV$21*shipping_manufacturing!$F$29/100</f>
        <v>607.34936250024873</v>
      </c>
      <c r="AW55" s="124">
        <f>AW$21*shipping_manufacturing!$F$29/100</f>
        <v>607.34936250024873</v>
      </c>
      <c r="AX55" s="124">
        <f>AX$21*shipping_manufacturing!$F$29/100</f>
        <v>607.34936250024873</v>
      </c>
      <c r="AY55" s="124">
        <f>AY$21*shipping_manufacturing!$F$29/100</f>
        <v>607.34936250024873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1621.7712636008794</v>
      </c>
      <c r="E56" s="110">
        <f>E$22*shipping_manufacturing!$G$29/100</f>
        <v>825.66710333220635</v>
      </c>
      <c r="F56" s="110">
        <f>F$22*shipping_manufacturing!$G$29/100</f>
        <v>825.66710333220635</v>
      </c>
      <c r="G56" s="110">
        <f>G$22*shipping_manufacturing!$G$29/100</f>
        <v>825.66710333220635</v>
      </c>
      <c r="H56" s="110">
        <f>H$22*shipping_manufacturing!$G$29/100</f>
        <v>825.66710333220635</v>
      </c>
      <c r="I56" s="110">
        <f>I$22*shipping_manufacturing!$G$29/100</f>
        <v>825.66710333220635</v>
      </c>
      <c r="J56" s="110">
        <f>J$22*shipping_manufacturing!$G$29/100</f>
        <v>825.66710333220635</v>
      </c>
      <c r="K56" s="110">
        <f>K$22*shipping_manufacturing!$G$29/100</f>
        <v>825.66710333220635</v>
      </c>
      <c r="L56" s="110">
        <f>L$22*shipping_manufacturing!$G$29/100</f>
        <v>825.66710333220635</v>
      </c>
      <c r="M56" s="110">
        <f>M$22*shipping_manufacturing!$G$29/100</f>
        <v>825.66710333220635</v>
      </c>
      <c r="N56" s="110">
        <f>N$22*shipping_manufacturing!$G$29/100</f>
        <v>825.66710333220635</v>
      </c>
      <c r="O56" s="110">
        <f>O$22*shipping_manufacturing!$G$29/100</f>
        <v>825.66710333220635</v>
      </c>
      <c r="P56" s="110">
        <f>P$22*shipping_manufacturing!$G$29/100</f>
        <v>825.66710333220635</v>
      </c>
      <c r="Q56" s="110">
        <f>Q$22*shipping_manufacturing!$G$29/100</f>
        <v>660.53830570373646</v>
      </c>
      <c r="R56" s="110">
        <f>R$22*shipping_manufacturing!$G$29/100</f>
        <v>660.53830570373646</v>
      </c>
      <c r="S56" s="110">
        <f>S$22*shipping_manufacturing!$G$29/100</f>
        <v>660.53830570373646</v>
      </c>
      <c r="T56" s="110">
        <f>T$22*shipping_manufacturing!$G$29/100</f>
        <v>660.53830570373646</v>
      </c>
      <c r="U56" s="110">
        <f>U$22*shipping_manufacturing!$G$29/100</f>
        <v>825.66710333220635</v>
      </c>
      <c r="V56" s="110">
        <f>V$22*shipping_manufacturing!$G$29/100</f>
        <v>825.66710333220635</v>
      </c>
      <c r="W56" s="110">
        <f>W$22*shipping_manufacturing!$G$29/100</f>
        <v>825.66710333220635</v>
      </c>
      <c r="X56" s="110">
        <f>X$22*shipping_manufacturing!$G$29/100</f>
        <v>825.66710333220635</v>
      </c>
      <c r="Y56" s="110">
        <f>Y$22*shipping_manufacturing!$G$29/100</f>
        <v>825.66710333220635</v>
      </c>
      <c r="Z56" s="110">
        <f>Z$22*shipping_manufacturing!$G$29/100</f>
        <v>825.66710333220635</v>
      </c>
      <c r="AA56" s="110">
        <f>AA$22*shipping_manufacturing!$G$29/100</f>
        <v>825.66710333220635</v>
      </c>
      <c r="AB56" s="110">
        <f>AB$22*shipping_manufacturing!$G$29/100</f>
        <v>825.66710333220635</v>
      </c>
      <c r="AC56" s="110">
        <f>AC$22*shipping_manufacturing!$G$29/100</f>
        <v>0</v>
      </c>
      <c r="AD56" s="110">
        <f>AD$22*shipping_manufacturing!$G$29/100</f>
        <v>1651.3342066644127</v>
      </c>
      <c r="AE56" s="110">
        <f>AE$22*shipping_manufacturing!$G$29/100</f>
        <v>825.66710333220635</v>
      </c>
      <c r="AF56" s="110">
        <f>AF$22*shipping_manufacturing!$G$29/100</f>
        <v>825.66710333220635</v>
      </c>
      <c r="AG56" s="110">
        <f>AG$22*shipping_manufacturing!$G$29/100</f>
        <v>825.66710333220635</v>
      </c>
      <c r="AH56" s="110">
        <f>AH$22*shipping_manufacturing!$G$29/100</f>
        <v>825.66710333220635</v>
      </c>
      <c r="AI56" s="110">
        <f>AI$22*shipping_manufacturing!$G$29/100</f>
        <v>825.66710333220635</v>
      </c>
      <c r="AJ56" s="110">
        <f>AJ$22*shipping_manufacturing!$G$29/100</f>
        <v>825.66710333220635</v>
      </c>
      <c r="AK56" s="110">
        <f>AK$22*shipping_manufacturing!$G$29/100</f>
        <v>825.66710333220635</v>
      </c>
      <c r="AL56" s="110">
        <f>AL$22*shipping_manufacturing!$G$29/100</f>
        <v>825.66710333220635</v>
      </c>
      <c r="AM56" s="110">
        <f>AM$22*shipping_manufacturing!$G$29/100</f>
        <v>0</v>
      </c>
      <c r="AN56" s="110">
        <f>AN$22*shipping_manufacturing!$G$29/100</f>
        <v>1651.3342066644127</v>
      </c>
      <c r="AO56" s="110">
        <f>AO$22*shipping_manufacturing!$G$29/100</f>
        <v>825.66710333220635</v>
      </c>
      <c r="AP56" s="110">
        <f>AP$22*shipping_manufacturing!$G$29/100</f>
        <v>825.66710333220635</v>
      </c>
      <c r="AQ56" s="110">
        <f>AQ$22*shipping_manufacturing!$G$29/100</f>
        <v>825.66710333220635</v>
      </c>
      <c r="AR56" s="110">
        <f>AR$22*shipping_manufacturing!$G$29/100</f>
        <v>825.66710333220635</v>
      </c>
      <c r="AS56" s="110">
        <f>AS$22*shipping_manufacturing!$G$29/100</f>
        <v>825.66710333220635</v>
      </c>
      <c r="AT56" s="110">
        <f>AT$22*shipping_manufacturing!$G$29/100</f>
        <v>825.66710333220635</v>
      </c>
      <c r="AU56" s="110">
        <f>AU$22*shipping_manufacturing!$G$29/100</f>
        <v>825.66710333220635</v>
      </c>
      <c r="AV56" s="110">
        <f>AV$22*shipping_manufacturing!$G$29/100</f>
        <v>825.66710333220635</v>
      </c>
      <c r="AW56" s="110">
        <f>AW$22*shipping_manufacturing!$G$29/100</f>
        <v>825.66710333220635</v>
      </c>
      <c r="AX56" s="110">
        <f>AX$22*shipping_manufacturing!$G$29/100</f>
        <v>825.66710333220635</v>
      </c>
      <c r="AY56" s="110">
        <f>AY$22*shipping_manufacturing!$G$29/100</f>
        <v>825.66710333220635</v>
      </c>
    </row>
    <row r="57" spans="1:52">
      <c r="A57" s="110">
        <v>495</v>
      </c>
      <c r="B57" s="165" t="s">
        <v>343</v>
      </c>
      <c r="C57" s="110"/>
      <c r="D57" s="110">
        <f>SUM(D55:D56)</f>
        <v>2814.7238943815569</v>
      </c>
      <c r="E57" s="110">
        <f t="shared" ref="E57:AY57" si="17">SUM(E55:E56)</f>
        <v>1433.0164658324552</v>
      </c>
      <c r="F57" s="110">
        <f t="shared" si="17"/>
        <v>1433.0164658324552</v>
      </c>
      <c r="G57" s="110">
        <f t="shared" si="17"/>
        <v>1433.0164658324552</v>
      </c>
      <c r="H57" s="110">
        <f t="shared" si="17"/>
        <v>1433.0164658324552</v>
      </c>
      <c r="I57" s="110">
        <f t="shared" si="17"/>
        <v>1433.0164658324552</v>
      </c>
      <c r="J57" s="110">
        <f t="shared" si="17"/>
        <v>1433.0164658324552</v>
      </c>
      <c r="K57" s="110">
        <f t="shared" si="17"/>
        <v>1433.0164658324552</v>
      </c>
      <c r="L57" s="110">
        <f t="shared" si="17"/>
        <v>1433.0164658324552</v>
      </c>
      <c r="M57" s="110">
        <f t="shared" si="17"/>
        <v>1433.0164658324552</v>
      </c>
      <c r="N57" s="110">
        <f t="shared" si="17"/>
        <v>1433.0164658324552</v>
      </c>
      <c r="O57" s="110">
        <f t="shared" si="17"/>
        <v>1433.0164658324552</v>
      </c>
      <c r="P57" s="110">
        <f t="shared" si="17"/>
        <v>1433.0164658324552</v>
      </c>
      <c r="Q57" s="110">
        <f t="shared" si="17"/>
        <v>1146.421196347068</v>
      </c>
      <c r="R57" s="110">
        <f t="shared" si="17"/>
        <v>1146.421196347068</v>
      </c>
      <c r="S57" s="110">
        <f t="shared" si="17"/>
        <v>1146.421196347068</v>
      </c>
      <c r="T57" s="110">
        <f t="shared" si="17"/>
        <v>1146.421196347068</v>
      </c>
      <c r="U57" s="110">
        <f t="shared" si="17"/>
        <v>1433.0164658324552</v>
      </c>
      <c r="V57" s="110">
        <f t="shared" si="17"/>
        <v>1433.0164658324552</v>
      </c>
      <c r="W57" s="110">
        <f t="shared" si="17"/>
        <v>1433.0164658324552</v>
      </c>
      <c r="X57" s="110">
        <f t="shared" si="17"/>
        <v>1433.0164658324552</v>
      </c>
      <c r="Y57" s="110">
        <f t="shared" si="17"/>
        <v>1433.0164658324552</v>
      </c>
      <c r="Z57" s="110">
        <f t="shared" si="17"/>
        <v>1433.0164658324552</v>
      </c>
      <c r="AA57" s="110">
        <f t="shared" si="17"/>
        <v>1433.0164658324552</v>
      </c>
      <c r="AB57" s="110">
        <f t="shared" si="17"/>
        <v>1433.0164658324552</v>
      </c>
      <c r="AC57" s="110">
        <f t="shared" si="17"/>
        <v>0</v>
      </c>
      <c r="AD57" s="110">
        <f t="shared" si="17"/>
        <v>2866.0329316649104</v>
      </c>
      <c r="AE57" s="110">
        <f t="shared" si="17"/>
        <v>1433.0164658324552</v>
      </c>
      <c r="AF57" s="110">
        <f t="shared" si="17"/>
        <v>1433.0164658324552</v>
      </c>
      <c r="AG57" s="110">
        <f t="shared" si="17"/>
        <v>1433.0164658324552</v>
      </c>
      <c r="AH57" s="110">
        <f t="shared" si="17"/>
        <v>1433.0164658324552</v>
      </c>
      <c r="AI57" s="110">
        <f t="shared" si="17"/>
        <v>1433.0164658324552</v>
      </c>
      <c r="AJ57" s="110">
        <f t="shared" si="17"/>
        <v>1433.0164658324552</v>
      </c>
      <c r="AK57" s="110">
        <f t="shared" si="17"/>
        <v>1433.0164658324552</v>
      </c>
      <c r="AL57" s="110">
        <f t="shared" si="17"/>
        <v>1433.0164658324552</v>
      </c>
      <c r="AM57" s="110">
        <f t="shared" si="17"/>
        <v>0</v>
      </c>
      <c r="AN57" s="110">
        <f t="shared" si="17"/>
        <v>2866.0329316649104</v>
      </c>
      <c r="AO57" s="110">
        <f t="shared" si="17"/>
        <v>1433.0164658324552</v>
      </c>
      <c r="AP57" s="110">
        <f t="shared" si="17"/>
        <v>1433.0164658324552</v>
      </c>
      <c r="AQ57" s="110">
        <f t="shared" si="17"/>
        <v>1433.0164658324552</v>
      </c>
      <c r="AR57" s="110">
        <f t="shared" si="17"/>
        <v>1433.0164658324552</v>
      </c>
      <c r="AS57" s="110">
        <f t="shared" si="17"/>
        <v>1433.0164658324552</v>
      </c>
      <c r="AT57" s="110">
        <f t="shared" si="17"/>
        <v>1433.0164658324552</v>
      </c>
      <c r="AU57" s="110">
        <f t="shared" si="17"/>
        <v>1433.0164658324552</v>
      </c>
      <c r="AV57" s="110">
        <f t="shared" si="17"/>
        <v>1433.0164658324552</v>
      </c>
      <c r="AW57" s="110">
        <f t="shared" si="17"/>
        <v>1433.0164658324552</v>
      </c>
      <c r="AX57" s="110">
        <f t="shared" si="17"/>
        <v>1433.0164658324552</v>
      </c>
      <c r="AY57" s="110">
        <f t="shared" si="17"/>
        <v>1433.0164658324552</v>
      </c>
    </row>
    <row r="58" spans="1:52">
      <c r="A58" s="110"/>
      <c r="B58" s="165" t="s">
        <v>344</v>
      </c>
      <c r="C58" s="110"/>
      <c r="D58" s="110">
        <v>190.72161391135506</v>
      </c>
      <c r="E58" s="110"/>
      <c r="F58" s="110">
        <v>190.72161391135495</v>
      </c>
      <c r="G58" s="110"/>
      <c r="H58" s="110">
        <v>190.72161391135495</v>
      </c>
      <c r="I58" s="110"/>
      <c r="J58" s="110">
        <v>190.72161391135495</v>
      </c>
      <c r="K58" s="110"/>
      <c r="L58" s="110">
        <v>190.72161391135495</v>
      </c>
      <c r="M58" s="110"/>
      <c r="N58" s="110">
        <v>190.72161391135495</v>
      </c>
      <c r="O58" s="110"/>
      <c r="P58" s="110">
        <v>190.72161391135495</v>
      </c>
      <c r="Q58" s="110"/>
      <c r="R58" s="110">
        <v>190.72161391135498</v>
      </c>
      <c r="S58" s="110"/>
      <c r="T58" s="110">
        <v>190.72161391135498</v>
      </c>
      <c r="U58" s="110"/>
      <c r="V58" s="110">
        <v>190.72161391135495</v>
      </c>
      <c r="W58" s="110"/>
      <c r="X58" s="110">
        <v>190.72161391135495</v>
      </c>
      <c r="Y58" s="110"/>
      <c r="Z58" s="110">
        <v>190.72161391135495</v>
      </c>
      <c r="AA58" s="110"/>
      <c r="AB58" s="110">
        <v>190.72161391135495</v>
      </c>
      <c r="AC58" s="110"/>
      <c r="AD58" s="110">
        <v>190.72161391135498</v>
      </c>
      <c r="AE58" s="110"/>
      <c r="AF58" s="110">
        <v>190.72161391135495</v>
      </c>
      <c r="AG58" s="110"/>
      <c r="AH58" s="110">
        <v>190.72161391135495</v>
      </c>
      <c r="AI58" s="110"/>
      <c r="AJ58" s="110">
        <v>190.72161391135495</v>
      </c>
      <c r="AK58" s="110"/>
      <c r="AL58" s="110">
        <v>190.72161391135495</v>
      </c>
      <c r="AM58" s="110"/>
      <c r="AN58" s="110">
        <v>190.72161391135498</v>
      </c>
      <c r="AO58" s="110"/>
      <c r="AP58" s="110">
        <v>190.72161391135495</v>
      </c>
      <c r="AQ58" s="110"/>
      <c r="AR58" s="110">
        <v>190.72161391135495</v>
      </c>
      <c r="AS58" s="110"/>
      <c r="AT58" s="110">
        <v>190.72161391135495</v>
      </c>
      <c r="AU58" s="110"/>
      <c r="AV58" s="110">
        <v>190.72161391135495</v>
      </c>
      <c r="AW58" s="110"/>
      <c r="AX58" s="110">
        <v>190.72161391135495</v>
      </c>
      <c r="AY58" s="110"/>
    </row>
    <row r="59" spans="1:52">
      <c r="A59" s="110"/>
      <c r="B59" s="165" t="s">
        <v>345</v>
      </c>
      <c r="C59" s="110"/>
      <c r="D59" s="110">
        <v>259.27838608864499</v>
      </c>
      <c r="E59" s="110"/>
      <c r="F59" s="110">
        <v>259.27838608864505</v>
      </c>
      <c r="G59" s="110"/>
      <c r="H59" s="110">
        <v>259.27838608864505</v>
      </c>
      <c r="I59" s="110"/>
      <c r="J59" s="110">
        <v>259.27838608864505</v>
      </c>
      <c r="K59" s="110"/>
      <c r="L59" s="110">
        <v>259.27838608864505</v>
      </c>
      <c r="M59" s="110"/>
      <c r="N59" s="110">
        <v>259.27838608864505</v>
      </c>
      <c r="O59" s="110"/>
      <c r="P59" s="110">
        <v>259.27838608864505</v>
      </c>
      <c r="Q59" s="110"/>
      <c r="R59" s="110">
        <v>259.27838608864505</v>
      </c>
      <c r="S59" s="110"/>
      <c r="T59" s="110">
        <v>259.27838608864505</v>
      </c>
      <c r="U59" s="110"/>
      <c r="V59" s="110">
        <v>259.27838608864505</v>
      </c>
      <c r="W59" s="110"/>
      <c r="X59" s="110">
        <v>259.27838608864505</v>
      </c>
      <c r="Y59" s="110"/>
      <c r="Z59" s="110">
        <v>259.27838608864505</v>
      </c>
      <c r="AA59" s="110"/>
      <c r="AB59" s="110">
        <v>259.27838608864505</v>
      </c>
      <c r="AC59" s="110"/>
      <c r="AD59" s="110">
        <v>259.27838608864499</v>
      </c>
      <c r="AE59" s="110"/>
      <c r="AF59" s="110">
        <v>259.27838608864505</v>
      </c>
      <c r="AG59" s="110"/>
      <c r="AH59" s="110">
        <v>259.27838608864505</v>
      </c>
      <c r="AI59" s="110"/>
      <c r="AJ59" s="110">
        <v>259.27838608864505</v>
      </c>
      <c r="AK59" s="110"/>
      <c r="AL59" s="110">
        <v>259.27838608864505</v>
      </c>
      <c r="AM59" s="110"/>
      <c r="AN59" s="110">
        <v>259.27838608864499</v>
      </c>
      <c r="AO59" s="110"/>
      <c r="AP59" s="110">
        <v>259.27838608864505</v>
      </c>
      <c r="AQ59" s="110"/>
      <c r="AR59" s="110">
        <v>259.27838608864505</v>
      </c>
      <c r="AS59" s="110"/>
      <c r="AT59" s="110">
        <v>259.27838608864505</v>
      </c>
      <c r="AU59" s="110"/>
      <c r="AV59" s="110">
        <v>259.27838608864505</v>
      </c>
      <c r="AW59" s="110"/>
      <c r="AX59" s="110">
        <v>259.27838608864505</v>
      </c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15</v>
      </c>
      <c r="W60" s="110"/>
      <c r="X60" s="110">
        <v>15</v>
      </c>
      <c r="Y60" s="110"/>
      <c r="Z60" s="110">
        <v>15</v>
      </c>
      <c r="AA60" s="110"/>
      <c r="AB60" s="110">
        <v>15</v>
      </c>
      <c r="AC60" s="110"/>
      <c r="AD60" s="110">
        <v>15</v>
      </c>
      <c r="AE60" s="110"/>
      <c r="AF60" s="110">
        <v>15</v>
      </c>
      <c r="AG60" s="110"/>
      <c r="AH60" s="110">
        <v>15</v>
      </c>
      <c r="AI60" s="110"/>
      <c r="AJ60" s="110">
        <v>15</v>
      </c>
      <c r="AK60" s="110"/>
      <c r="AL60" s="110">
        <v>15</v>
      </c>
      <c r="AM60" s="110"/>
      <c r="AN60" s="110">
        <v>15</v>
      </c>
      <c r="AO60" s="110"/>
      <c r="AP60" s="110">
        <v>15</v>
      </c>
      <c r="AQ60" s="110"/>
      <c r="AR60" s="110">
        <v>15</v>
      </c>
      <c r="AS60" s="110"/>
      <c r="AT60" s="110">
        <v>15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1002.2310168693225</v>
      </c>
      <c r="E61" s="110">
        <f t="shared" ref="E61:AY61" si="18">E55-E58</f>
        <v>607.34936250024873</v>
      </c>
      <c r="F61" s="110">
        <f t="shared" si="18"/>
        <v>416.62774858889378</v>
      </c>
      <c r="G61" s="110">
        <f t="shared" si="18"/>
        <v>607.34936250024873</v>
      </c>
      <c r="H61" s="110">
        <f t="shared" si="18"/>
        <v>416.62774858889378</v>
      </c>
      <c r="I61" s="110">
        <f t="shared" si="18"/>
        <v>607.34936250024873</v>
      </c>
      <c r="J61" s="110">
        <f t="shared" si="18"/>
        <v>416.62774858889378</v>
      </c>
      <c r="K61" s="110">
        <f t="shared" si="18"/>
        <v>607.34936250024873</v>
      </c>
      <c r="L61" s="110">
        <f t="shared" si="18"/>
        <v>416.62774858889378</v>
      </c>
      <c r="M61" s="110">
        <f t="shared" si="18"/>
        <v>607.34936250024873</v>
      </c>
      <c r="N61" s="110">
        <f t="shared" si="18"/>
        <v>416.62774858889378</v>
      </c>
      <c r="O61" s="110">
        <f t="shared" si="18"/>
        <v>607.34936250024873</v>
      </c>
      <c r="P61" s="110">
        <f t="shared" si="18"/>
        <v>416.62774858889378</v>
      </c>
      <c r="Q61" s="110">
        <f t="shared" si="18"/>
        <v>485.88289064333151</v>
      </c>
      <c r="R61" s="110">
        <f t="shared" si="18"/>
        <v>295.1612767319765</v>
      </c>
      <c r="S61" s="110">
        <f t="shared" si="18"/>
        <v>485.88289064333151</v>
      </c>
      <c r="T61" s="110">
        <f t="shared" si="18"/>
        <v>295.1612767319765</v>
      </c>
      <c r="U61" s="110">
        <f t="shared" si="18"/>
        <v>607.34936250024873</v>
      </c>
      <c r="V61" s="110">
        <f t="shared" si="18"/>
        <v>416.62774858889378</v>
      </c>
      <c r="W61" s="110">
        <f t="shared" si="18"/>
        <v>607.34936250024873</v>
      </c>
      <c r="X61" s="110">
        <f t="shared" si="18"/>
        <v>416.62774858889378</v>
      </c>
      <c r="Y61" s="110">
        <f t="shared" si="18"/>
        <v>607.34936250024873</v>
      </c>
      <c r="Z61" s="110">
        <f t="shared" si="18"/>
        <v>416.62774858889378</v>
      </c>
      <c r="AA61" s="110">
        <f t="shared" si="18"/>
        <v>607.34936250024873</v>
      </c>
      <c r="AB61" s="110">
        <f t="shared" si="18"/>
        <v>416.62774858889378</v>
      </c>
      <c r="AC61" s="110">
        <f t="shared" si="18"/>
        <v>0</v>
      </c>
      <c r="AD61" s="110">
        <f t="shared" si="18"/>
        <v>1023.9771110891425</v>
      </c>
      <c r="AE61" s="110">
        <f t="shared" si="18"/>
        <v>607.34936250024873</v>
      </c>
      <c r="AF61" s="110">
        <f t="shared" si="18"/>
        <v>416.62774858889378</v>
      </c>
      <c r="AG61" s="110">
        <f t="shared" si="18"/>
        <v>607.34936250024873</v>
      </c>
      <c r="AH61" s="110">
        <f t="shared" si="18"/>
        <v>416.62774858889378</v>
      </c>
      <c r="AI61" s="110">
        <f t="shared" si="18"/>
        <v>607.34936250024873</v>
      </c>
      <c r="AJ61" s="110">
        <f t="shared" si="18"/>
        <v>416.62774858889378</v>
      </c>
      <c r="AK61" s="110">
        <f t="shared" si="18"/>
        <v>607.34936250024873</v>
      </c>
      <c r="AL61" s="110">
        <f t="shared" si="18"/>
        <v>416.62774858889378</v>
      </c>
      <c r="AM61" s="110">
        <f t="shared" si="18"/>
        <v>0</v>
      </c>
      <c r="AN61" s="110">
        <f t="shared" si="18"/>
        <v>1023.9771110891425</v>
      </c>
      <c r="AO61" s="110">
        <f t="shared" si="18"/>
        <v>607.34936250024873</v>
      </c>
      <c r="AP61" s="110">
        <f t="shared" si="18"/>
        <v>416.62774858889378</v>
      </c>
      <c r="AQ61" s="110">
        <f t="shared" si="18"/>
        <v>607.34936250024873</v>
      </c>
      <c r="AR61" s="110">
        <f t="shared" si="18"/>
        <v>416.62774858889378</v>
      </c>
      <c r="AS61" s="110">
        <f t="shared" si="18"/>
        <v>607.34936250024873</v>
      </c>
      <c r="AT61" s="110">
        <f t="shared" si="18"/>
        <v>416.62774858889378</v>
      </c>
      <c r="AU61" s="110">
        <f t="shared" si="18"/>
        <v>607.34936250024873</v>
      </c>
      <c r="AV61" s="110">
        <f t="shared" si="18"/>
        <v>416.62774858889378</v>
      </c>
      <c r="AW61" s="110">
        <f t="shared" si="18"/>
        <v>607.34936250024873</v>
      </c>
      <c r="AX61" s="110">
        <f t="shared" si="18"/>
        <v>416.62774858889378</v>
      </c>
      <c r="AY61" s="110">
        <f t="shared" si="18"/>
        <v>607.34936250024873</v>
      </c>
    </row>
    <row r="62" spans="1:52">
      <c r="A62" s="110"/>
      <c r="B62" s="165" t="s">
        <v>348</v>
      </c>
      <c r="C62" s="110"/>
      <c r="D62" s="110">
        <f>D56-D59</f>
        <v>1362.4928775122344</v>
      </c>
      <c r="E62" s="110">
        <f t="shared" ref="E62:AY62" si="19">E56-E59</f>
        <v>825.66710333220635</v>
      </c>
      <c r="F62" s="110">
        <f t="shared" si="19"/>
        <v>566.38871724356136</v>
      </c>
      <c r="G62" s="110">
        <f t="shared" si="19"/>
        <v>825.66710333220635</v>
      </c>
      <c r="H62" s="110">
        <f t="shared" si="19"/>
        <v>566.38871724356136</v>
      </c>
      <c r="I62" s="110">
        <f t="shared" si="19"/>
        <v>825.66710333220635</v>
      </c>
      <c r="J62" s="110">
        <f t="shared" si="19"/>
        <v>566.38871724356136</v>
      </c>
      <c r="K62" s="110">
        <f t="shared" si="19"/>
        <v>825.66710333220635</v>
      </c>
      <c r="L62" s="110">
        <f t="shared" si="19"/>
        <v>566.38871724356136</v>
      </c>
      <c r="M62" s="110">
        <f t="shared" si="19"/>
        <v>825.66710333220635</v>
      </c>
      <c r="N62" s="110">
        <f t="shared" si="19"/>
        <v>566.38871724356136</v>
      </c>
      <c r="O62" s="110">
        <f t="shared" si="19"/>
        <v>825.66710333220635</v>
      </c>
      <c r="P62" s="110">
        <f t="shared" si="19"/>
        <v>566.38871724356136</v>
      </c>
      <c r="Q62" s="110">
        <f t="shared" si="19"/>
        <v>660.53830570373646</v>
      </c>
      <c r="R62" s="110">
        <f t="shared" si="19"/>
        <v>401.25991961509141</v>
      </c>
      <c r="S62" s="110">
        <f t="shared" si="19"/>
        <v>660.53830570373646</v>
      </c>
      <c r="T62" s="110">
        <f t="shared" si="19"/>
        <v>401.25991961509141</v>
      </c>
      <c r="U62" s="110">
        <f t="shared" si="19"/>
        <v>825.66710333220635</v>
      </c>
      <c r="V62" s="110">
        <f t="shared" si="19"/>
        <v>566.38871724356136</v>
      </c>
      <c r="W62" s="110">
        <f t="shared" si="19"/>
        <v>825.66710333220635</v>
      </c>
      <c r="X62" s="110">
        <f t="shared" si="19"/>
        <v>566.38871724356136</v>
      </c>
      <c r="Y62" s="110">
        <f t="shared" si="19"/>
        <v>825.66710333220635</v>
      </c>
      <c r="Z62" s="110">
        <f t="shared" si="19"/>
        <v>566.38871724356136</v>
      </c>
      <c r="AA62" s="110">
        <f t="shared" si="19"/>
        <v>825.66710333220635</v>
      </c>
      <c r="AB62" s="110">
        <f t="shared" si="19"/>
        <v>566.38871724356136</v>
      </c>
      <c r="AC62" s="110">
        <f t="shared" si="19"/>
        <v>0</v>
      </c>
      <c r="AD62" s="110">
        <f t="shared" si="19"/>
        <v>1392.0558205757677</v>
      </c>
      <c r="AE62" s="110">
        <f t="shared" si="19"/>
        <v>825.66710333220635</v>
      </c>
      <c r="AF62" s="110">
        <f t="shared" si="19"/>
        <v>566.38871724356136</v>
      </c>
      <c r="AG62" s="110">
        <f t="shared" si="19"/>
        <v>825.66710333220635</v>
      </c>
      <c r="AH62" s="110">
        <f t="shared" si="19"/>
        <v>566.38871724356136</v>
      </c>
      <c r="AI62" s="110">
        <f t="shared" si="19"/>
        <v>825.66710333220635</v>
      </c>
      <c r="AJ62" s="110">
        <f t="shared" si="19"/>
        <v>566.38871724356136</v>
      </c>
      <c r="AK62" s="110">
        <f t="shared" si="19"/>
        <v>825.66710333220635</v>
      </c>
      <c r="AL62" s="110">
        <f t="shared" si="19"/>
        <v>566.38871724356136</v>
      </c>
      <c r="AM62" s="110">
        <f t="shared" si="19"/>
        <v>0</v>
      </c>
      <c r="AN62" s="110">
        <f t="shared" si="19"/>
        <v>1392.0558205757677</v>
      </c>
      <c r="AO62" s="110">
        <f t="shared" si="19"/>
        <v>825.66710333220635</v>
      </c>
      <c r="AP62" s="110">
        <f t="shared" si="19"/>
        <v>566.38871724356136</v>
      </c>
      <c r="AQ62" s="110">
        <f t="shared" si="19"/>
        <v>825.66710333220635</v>
      </c>
      <c r="AR62" s="110">
        <f t="shared" si="19"/>
        <v>566.38871724356136</v>
      </c>
      <c r="AS62" s="110">
        <f t="shared" si="19"/>
        <v>825.66710333220635</v>
      </c>
      <c r="AT62" s="110">
        <f t="shared" si="19"/>
        <v>566.38871724356136</v>
      </c>
      <c r="AU62" s="110">
        <f t="shared" si="19"/>
        <v>825.66710333220635</v>
      </c>
      <c r="AV62" s="110">
        <f t="shared" si="19"/>
        <v>566.38871724356136</v>
      </c>
      <c r="AW62" s="110">
        <f t="shared" si="19"/>
        <v>825.66710333220635</v>
      </c>
      <c r="AX62" s="110">
        <f t="shared" si="19"/>
        <v>566.38871724356136</v>
      </c>
      <c r="AY62" s="110">
        <f t="shared" si="19"/>
        <v>825.66710333220635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3</v>
      </c>
      <c r="G63" s="110">
        <v>1</v>
      </c>
      <c r="H63" s="110">
        <v>1</v>
      </c>
      <c r="I63" s="110">
        <v>1</v>
      </c>
      <c r="J63" s="110">
        <v>2</v>
      </c>
      <c r="K63" s="110">
        <v>1</v>
      </c>
      <c r="L63" s="110">
        <v>1</v>
      </c>
      <c r="M63" s="110">
        <v>2</v>
      </c>
      <c r="N63" s="110">
        <v>2</v>
      </c>
      <c r="O63" s="110">
        <v>1</v>
      </c>
      <c r="P63" s="110">
        <v>2</v>
      </c>
      <c r="Q63" s="110">
        <v>2</v>
      </c>
      <c r="R63" s="110">
        <v>1</v>
      </c>
      <c r="S63" s="110">
        <v>2</v>
      </c>
      <c r="T63" s="110">
        <v>3</v>
      </c>
      <c r="U63" s="110">
        <v>1</v>
      </c>
      <c r="V63" s="110">
        <v>3</v>
      </c>
      <c r="W63" s="110">
        <v>2</v>
      </c>
      <c r="X63" s="110">
        <v>1</v>
      </c>
      <c r="Y63" s="110">
        <v>1</v>
      </c>
      <c r="Z63" s="110">
        <v>1</v>
      </c>
      <c r="AA63" s="110">
        <v>2</v>
      </c>
      <c r="AB63" s="110">
        <v>1</v>
      </c>
      <c r="AC63" s="110">
        <v>1</v>
      </c>
      <c r="AD63" s="110">
        <v>1</v>
      </c>
      <c r="AE63" s="110">
        <v>2</v>
      </c>
      <c r="AF63" s="110">
        <v>3</v>
      </c>
      <c r="AG63" s="110">
        <v>1</v>
      </c>
      <c r="AH63" s="110">
        <v>2</v>
      </c>
      <c r="AI63" s="110">
        <v>1</v>
      </c>
      <c r="AJ63" s="110">
        <v>1</v>
      </c>
      <c r="AK63" s="110">
        <v>1</v>
      </c>
      <c r="AL63" s="110">
        <v>1</v>
      </c>
      <c r="AM63" s="110">
        <v>2</v>
      </c>
      <c r="AN63" s="110">
        <v>3</v>
      </c>
      <c r="AO63" s="110">
        <v>1</v>
      </c>
      <c r="AP63" s="110">
        <v>1</v>
      </c>
      <c r="AQ63" s="110">
        <v>2</v>
      </c>
      <c r="AR63" s="110">
        <v>2</v>
      </c>
      <c r="AS63" s="110">
        <v>1</v>
      </c>
      <c r="AT63" s="110">
        <v>3</v>
      </c>
      <c r="AU63" s="110">
        <v>3</v>
      </c>
      <c r="AV63" s="110">
        <v>1</v>
      </c>
      <c r="AW63" s="110">
        <v>3</v>
      </c>
      <c r="AX63" s="110">
        <v>1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267300</v>
      </c>
      <c r="W64" s="110">
        <v>0</v>
      </c>
      <c r="X64" s="110">
        <v>267300</v>
      </c>
      <c r="Y64" s="110">
        <v>0</v>
      </c>
      <c r="Z64" s="110">
        <v>267300</v>
      </c>
      <c r="AA64" s="110">
        <v>0</v>
      </c>
      <c r="AB64" s="110">
        <v>267300</v>
      </c>
      <c r="AC64" s="110">
        <v>0</v>
      </c>
      <c r="AD64" s="110">
        <v>267300</v>
      </c>
      <c r="AE64" s="110">
        <v>0</v>
      </c>
      <c r="AF64" s="110">
        <v>267300</v>
      </c>
      <c r="AG64" s="110">
        <v>0</v>
      </c>
      <c r="AH64" s="110">
        <v>267300</v>
      </c>
      <c r="AI64" s="110">
        <v>0</v>
      </c>
      <c r="AJ64" s="110">
        <v>267300</v>
      </c>
      <c r="AK64" s="110">
        <v>0</v>
      </c>
      <c r="AL64" s="110">
        <v>267300</v>
      </c>
      <c r="AM64" s="110">
        <v>0</v>
      </c>
      <c r="AN64" s="110">
        <v>267300</v>
      </c>
      <c r="AO64" s="110">
        <v>0</v>
      </c>
      <c r="AP64" s="110">
        <v>267300</v>
      </c>
      <c r="AQ64" s="110">
        <v>0</v>
      </c>
      <c r="AR64" s="110">
        <v>267300</v>
      </c>
      <c r="AS64" s="110">
        <v>0</v>
      </c>
      <c r="AT64" s="110">
        <v>267300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6415200</v>
      </c>
    </row>
    <row r="65" spans="1:52">
      <c r="A65" s="125"/>
      <c r="B65" s="140" t="s">
        <v>351</v>
      </c>
      <c r="C65" s="125"/>
      <c r="D65" s="125">
        <v>760849.91301726596</v>
      </c>
      <c r="E65" s="125">
        <v>461073.04788159253</v>
      </c>
      <c r="F65" s="125">
        <v>316285.54788159247</v>
      </c>
      <c r="G65" s="125">
        <v>461073.04788159253</v>
      </c>
      <c r="H65" s="125">
        <v>316285.54788159247</v>
      </c>
      <c r="I65" s="125">
        <v>461073.04788159253</v>
      </c>
      <c r="J65" s="125">
        <v>316285.54788159247</v>
      </c>
      <c r="K65" s="125">
        <v>461073.04788159253</v>
      </c>
      <c r="L65" s="125">
        <v>316285.54788159247</v>
      </c>
      <c r="M65" s="125">
        <v>461073.04788159253</v>
      </c>
      <c r="N65" s="125">
        <v>316285.54788159247</v>
      </c>
      <c r="O65" s="125">
        <v>461073.04788159253</v>
      </c>
      <c r="P65" s="125">
        <v>316285.54788159247</v>
      </c>
      <c r="Q65" s="125">
        <v>368861.01992466912</v>
      </c>
      <c r="R65" s="125">
        <v>224073.51992466912</v>
      </c>
      <c r="S65" s="125">
        <v>368861.01992466912</v>
      </c>
      <c r="T65" s="125">
        <v>224073.51992466912</v>
      </c>
      <c r="U65" s="125">
        <v>461073.04788159253</v>
      </c>
      <c r="V65" s="125">
        <v>316285.54788159247</v>
      </c>
      <c r="W65" s="125">
        <v>461073.04788159253</v>
      </c>
      <c r="X65" s="125">
        <v>316285.54788159247</v>
      </c>
      <c r="Y65" s="125">
        <v>461073.04788159253</v>
      </c>
      <c r="Z65" s="125">
        <v>316285.54788159247</v>
      </c>
      <c r="AA65" s="125">
        <v>461073.04788159253</v>
      </c>
      <c r="AB65" s="125">
        <v>316285.54788159247</v>
      </c>
      <c r="AC65" s="125">
        <v>0</v>
      </c>
      <c r="AD65" s="125">
        <v>777358.59576318506</v>
      </c>
      <c r="AE65" s="125">
        <v>461073.04788159253</v>
      </c>
      <c r="AF65" s="125">
        <v>316285.54788159247</v>
      </c>
      <c r="AG65" s="125">
        <v>461073.04788159253</v>
      </c>
      <c r="AH65" s="125">
        <v>316285.54788159247</v>
      </c>
      <c r="AI65" s="125">
        <v>461073.04788159253</v>
      </c>
      <c r="AJ65" s="125">
        <v>316285.54788159247</v>
      </c>
      <c r="AK65" s="125">
        <v>461073.04788159253</v>
      </c>
      <c r="AL65" s="125">
        <v>316285.54788159247</v>
      </c>
      <c r="AM65" s="125">
        <v>0</v>
      </c>
      <c r="AN65" s="125">
        <v>777358.59576318506</v>
      </c>
      <c r="AO65" s="125">
        <v>461073.04788159253</v>
      </c>
      <c r="AP65" s="125">
        <v>316285.54788159247</v>
      </c>
      <c r="AQ65" s="125">
        <v>461073.04788159253</v>
      </c>
      <c r="AR65" s="125">
        <v>316285.54788159247</v>
      </c>
      <c r="AS65" s="125">
        <v>461073.04788159253</v>
      </c>
      <c r="AT65" s="125">
        <v>316285.54788159247</v>
      </c>
      <c r="AU65" s="125">
        <v>461073.04788159253</v>
      </c>
      <c r="AV65" s="125">
        <v>316285.54788159247</v>
      </c>
      <c r="AW65" s="125">
        <v>461073.04788159253</v>
      </c>
      <c r="AX65" s="125">
        <v>316285.54788159247</v>
      </c>
      <c r="AY65" s="125">
        <v>461073.04788159253</v>
      </c>
      <c r="AZ65" s="100">
        <f>SUM($D$65:$AY$65)</f>
        <v>18732322.55162441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1300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112</v>
      </c>
      <c r="E9" s="117">
        <v>112</v>
      </c>
      <c r="F9" s="117">
        <v>112</v>
      </c>
      <c r="G9" s="117">
        <v>112</v>
      </c>
      <c r="H9" s="117">
        <v>140</v>
      </c>
      <c r="I9" s="117">
        <v>140</v>
      </c>
      <c r="J9" s="117">
        <v>140</v>
      </c>
      <c r="K9" s="117">
        <v>140</v>
      </c>
      <c r="L9" s="117">
        <v>140</v>
      </c>
      <c r="M9" s="117">
        <v>140</v>
      </c>
      <c r="N9" s="117">
        <v>140</v>
      </c>
      <c r="O9" s="117">
        <v>140</v>
      </c>
      <c r="P9" s="117">
        <v>112</v>
      </c>
      <c r="Q9" s="117">
        <v>112</v>
      </c>
      <c r="R9" s="117">
        <v>112</v>
      </c>
      <c r="S9" s="117">
        <v>112</v>
      </c>
      <c r="T9" s="117">
        <v>140</v>
      </c>
      <c r="U9" s="117">
        <v>140</v>
      </c>
      <c r="V9" s="117">
        <v>140</v>
      </c>
      <c r="W9" s="117">
        <v>140</v>
      </c>
      <c r="X9" s="117">
        <v>140</v>
      </c>
      <c r="Y9" s="117">
        <v>140</v>
      </c>
      <c r="Z9" s="117">
        <v>140</v>
      </c>
      <c r="AA9" s="117">
        <v>140</v>
      </c>
      <c r="AB9" s="117">
        <v>140</v>
      </c>
      <c r="AC9" s="117">
        <v>140</v>
      </c>
      <c r="AD9" s="117">
        <v>140</v>
      </c>
      <c r="AE9" s="117">
        <v>140</v>
      </c>
      <c r="AF9" s="117">
        <v>140</v>
      </c>
      <c r="AG9" s="117">
        <v>140</v>
      </c>
      <c r="AH9" s="117">
        <v>140</v>
      </c>
      <c r="AI9" s="117">
        <v>140</v>
      </c>
      <c r="AJ9" s="117">
        <v>168</v>
      </c>
      <c r="AK9" s="117">
        <v>168</v>
      </c>
      <c r="AL9" s="117">
        <v>168</v>
      </c>
      <c r="AM9" s="117">
        <v>168</v>
      </c>
      <c r="AN9" s="117">
        <v>140</v>
      </c>
      <c r="AO9" s="117">
        <v>140</v>
      </c>
      <c r="AP9" s="117">
        <v>140</v>
      </c>
      <c r="AQ9" s="117">
        <v>140</v>
      </c>
      <c r="AR9" s="117">
        <v>140</v>
      </c>
      <c r="AS9" s="117">
        <v>140</v>
      </c>
      <c r="AT9" s="117">
        <v>140</v>
      </c>
      <c r="AU9" s="117">
        <v>140</v>
      </c>
      <c r="AV9" s="117">
        <v>140</v>
      </c>
      <c r="AW9" s="117">
        <v>140</v>
      </c>
      <c r="AX9" s="117">
        <v>140</v>
      </c>
      <c r="AY9" s="117">
        <v>140</v>
      </c>
    </row>
    <row r="10" spans="1:53">
      <c r="A10" s="118" t="s">
        <v>133</v>
      </c>
      <c r="B10" s="119">
        <v>1</v>
      </c>
      <c r="C10" s="106" t="s">
        <v>293</v>
      </c>
      <c r="D10" s="100">
        <v>75.547175652597446</v>
      </c>
      <c r="E10" s="100">
        <v>14.133066936767996</v>
      </c>
      <c r="F10" s="100">
        <v>70.665334683839973</v>
      </c>
      <c r="G10" s="100">
        <v>179.99999999999875</v>
      </c>
      <c r="H10" s="100">
        <v>70.665334683839973</v>
      </c>
      <c r="I10" s="100">
        <v>92.149041474976514</v>
      </c>
      <c r="J10" s="100">
        <v>162.81437615881649</v>
      </c>
      <c r="K10" s="100">
        <v>87.850958525022222</v>
      </c>
      <c r="L10" s="100">
        <v>92.149041474976514</v>
      </c>
      <c r="M10" s="100">
        <v>179.99999999999872</v>
      </c>
      <c r="N10" s="100">
        <v>0</v>
      </c>
      <c r="O10" s="100">
        <v>179.99999999999872</v>
      </c>
      <c r="P10" s="100">
        <v>92.149041474976514</v>
      </c>
      <c r="Q10" s="100">
        <v>179.99999999999872</v>
      </c>
      <c r="R10" s="100">
        <v>87.850958525022222</v>
      </c>
      <c r="S10" s="100">
        <v>161.5707076617565</v>
      </c>
      <c r="T10" s="100">
        <v>161.5707076617565</v>
      </c>
      <c r="U10" s="100">
        <v>161.5707076617565</v>
      </c>
      <c r="V10" s="100">
        <v>0</v>
      </c>
      <c r="W10" s="100">
        <v>87.850958525022207</v>
      </c>
      <c r="X10" s="100">
        <v>179.99999999999875</v>
      </c>
      <c r="Y10" s="100">
        <v>179.99999999999872</v>
      </c>
      <c r="Z10" s="100">
        <v>179.99999999999875</v>
      </c>
      <c r="AA10" s="100">
        <v>179.99999999999872</v>
      </c>
      <c r="AB10" s="100">
        <v>179.99999999999875</v>
      </c>
      <c r="AC10" s="100">
        <v>87.850958525022207</v>
      </c>
      <c r="AD10" s="100">
        <v>87.850958525022222</v>
      </c>
      <c r="AE10" s="100">
        <v>87.850958525022207</v>
      </c>
      <c r="AF10" s="100">
        <v>179.99999999999875</v>
      </c>
      <c r="AG10" s="100">
        <v>179.99999999999872</v>
      </c>
      <c r="AH10" s="100">
        <v>92.149041474976514</v>
      </c>
      <c r="AI10" s="100">
        <v>87.850958525022207</v>
      </c>
      <c r="AJ10" s="100">
        <v>92.149041474976514</v>
      </c>
      <c r="AK10" s="100">
        <v>179.99999999999872</v>
      </c>
      <c r="AL10" s="100">
        <v>87.850958525022222</v>
      </c>
      <c r="AM10" s="100">
        <v>87.850958525022207</v>
      </c>
      <c r="AN10" s="100">
        <v>0</v>
      </c>
      <c r="AO10" s="100">
        <v>87.850958525022207</v>
      </c>
      <c r="AP10" s="100">
        <v>87.850958525022222</v>
      </c>
      <c r="AQ10" s="100">
        <v>179.99999999999872</v>
      </c>
      <c r="AR10" s="100">
        <v>92.149041474976514</v>
      </c>
      <c r="AS10" s="100">
        <v>179.99999999999872</v>
      </c>
      <c r="AT10" s="100">
        <v>0</v>
      </c>
      <c r="AU10" s="100">
        <v>87.850958525022207</v>
      </c>
      <c r="AV10" s="100">
        <v>179.99999999999875</v>
      </c>
      <c r="AW10" s="100">
        <v>87.850958525022207</v>
      </c>
      <c r="AX10" s="100">
        <v>87.850958525022222</v>
      </c>
      <c r="AY10" s="100">
        <v>179.99999999999872</v>
      </c>
      <c r="AZ10" s="100">
        <v>179.99999999999875</v>
      </c>
    </row>
    <row r="11" spans="1:53">
      <c r="B11" s="119">
        <v>2</v>
      </c>
      <c r="C11" s="106" t="s">
        <v>293</v>
      </c>
      <c r="E11" s="100">
        <v>0</v>
      </c>
      <c r="F11" s="100">
        <v>203.56026799936046</v>
      </c>
      <c r="G11" s="100">
        <v>109.33466531615876</v>
      </c>
      <c r="I11" s="100">
        <v>109.33466531615876</v>
      </c>
      <c r="J11" s="100">
        <v>87.850958525022222</v>
      </c>
      <c r="K11" s="100">
        <v>17.185623841182249</v>
      </c>
      <c r="L11" s="100">
        <v>92.149041474976514</v>
      </c>
      <c r="M11" s="100">
        <v>0</v>
      </c>
      <c r="O11" s="100">
        <v>92.149041474976514</v>
      </c>
      <c r="R11" s="100">
        <v>0</v>
      </c>
      <c r="S11" s="100">
        <v>73.719749136734293</v>
      </c>
      <c r="T11" s="100">
        <v>0</v>
      </c>
      <c r="W11" s="100">
        <v>92.149041474976514</v>
      </c>
      <c r="X11" s="100">
        <v>92.149041474976514</v>
      </c>
      <c r="Z11" s="100">
        <v>0</v>
      </c>
      <c r="AD11" s="100">
        <v>92.149041474976514</v>
      </c>
      <c r="AI11" s="100">
        <v>87.850958525022222</v>
      </c>
      <c r="AJ11" s="100">
        <v>92.149041474976514</v>
      </c>
      <c r="AK11" s="100">
        <v>87.850958525022222</v>
      </c>
      <c r="AM11" s="100">
        <v>92.149041474976514</v>
      </c>
      <c r="AN11" s="100">
        <v>0</v>
      </c>
      <c r="AO11" s="100">
        <v>87.850958525022222</v>
      </c>
      <c r="AP11" s="100">
        <v>184.29808294995303</v>
      </c>
      <c r="AQ11" s="100">
        <v>92.149041474976514</v>
      </c>
      <c r="AT11" s="100">
        <v>0</v>
      </c>
      <c r="AU11" s="100">
        <v>87.850958525022222</v>
      </c>
      <c r="AV11" s="100">
        <v>92.149041474976514</v>
      </c>
      <c r="AX11" s="100">
        <v>92.149041474976514</v>
      </c>
      <c r="AY11" s="100">
        <v>92.149041474976514</v>
      </c>
    </row>
    <row r="12" spans="1:53">
      <c r="B12" s="120">
        <v>3</v>
      </c>
      <c r="C12" s="106" t="s">
        <v>293</v>
      </c>
      <c r="F12" s="100">
        <v>0</v>
      </c>
      <c r="P12" s="100">
        <v>87.850958525022222</v>
      </c>
      <c r="R12" s="100">
        <v>87.850958525022222</v>
      </c>
      <c r="AC12" s="100">
        <v>0</v>
      </c>
      <c r="AG12" s="100">
        <v>184.29808294995303</v>
      </c>
      <c r="AO12" s="100">
        <v>92.149041474976514</v>
      </c>
      <c r="AS12" s="100">
        <v>0</v>
      </c>
      <c r="AV12" s="100">
        <v>92.149041474976514</v>
      </c>
      <c r="BA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68.073862457800715</v>
      </c>
      <c r="E14" s="117">
        <f t="shared" ref="E14:AZ14" si="0">D$172*SUM(D$122:D$169)</f>
        <v>25.929544561533717</v>
      </c>
      <c r="F14" s="117">
        <f t="shared" si="0"/>
        <v>5.6388659455296732</v>
      </c>
      <c r="G14" s="117">
        <f t="shared" si="0"/>
        <v>108.93687813991095</v>
      </c>
      <c r="H14" s="117">
        <f t="shared" si="0"/>
        <v>134.56083463377007</v>
      </c>
      <c r="I14" s="117">
        <f t="shared" si="0"/>
        <v>82.295375015028483</v>
      </c>
      <c r="J14" s="117">
        <f t="shared" si="0"/>
        <v>81.887313632258582</v>
      </c>
      <c r="K14" s="117">
        <f t="shared" si="0"/>
        <v>99.729267724199687</v>
      </c>
      <c r="L14" s="117">
        <f t="shared" si="0"/>
        <v>73.17552777362549</v>
      </c>
      <c r="M14" s="117">
        <f t="shared" si="0"/>
        <v>80.516488094390155</v>
      </c>
      <c r="N14" s="117">
        <f t="shared" si="0"/>
        <v>80.887830436916502</v>
      </c>
      <c r="O14" s="117">
        <f t="shared" si="0"/>
        <v>5.4943044993804495E-3</v>
      </c>
      <c r="P14" s="117">
        <f t="shared" si="0"/>
        <v>108.10236057384455</v>
      </c>
      <c r="Q14" s="117">
        <f t="shared" si="0"/>
        <v>94.801445841823522</v>
      </c>
      <c r="R14" s="117">
        <f t="shared" si="0"/>
        <v>93.651463340965961</v>
      </c>
      <c r="S14" s="117">
        <f t="shared" si="0"/>
        <v>81.800743278349287</v>
      </c>
      <c r="T14" s="117">
        <f t="shared" si="0"/>
        <v>93.486789337614837</v>
      </c>
      <c r="U14" s="117">
        <f t="shared" si="0"/>
        <v>83.365544031684394</v>
      </c>
      <c r="V14" s="117">
        <f t="shared" si="0"/>
        <v>66.54161454049175</v>
      </c>
      <c r="W14" s="117">
        <f t="shared" si="0"/>
        <v>2.0928517466793837</v>
      </c>
      <c r="X14" s="117">
        <f t="shared" si="0"/>
        <v>71.562409519048231</v>
      </c>
      <c r="Y14" s="117">
        <f t="shared" si="0"/>
        <v>115.76295303491908</v>
      </c>
      <c r="Z14" s="117">
        <f t="shared" si="0"/>
        <v>98.814104393114135</v>
      </c>
      <c r="AA14" s="117">
        <f t="shared" si="0"/>
        <v>90.203819746040722</v>
      </c>
      <c r="AB14" s="117">
        <f t="shared" si="0"/>
        <v>93.881517612148386</v>
      </c>
      <c r="AC14" s="117">
        <f t="shared" si="0"/>
        <v>78.856606215893279</v>
      </c>
      <c r="AD14" s="117">
        <f t="shared" si="0"/>
        <v>36.886626963398015</v>
      </c>
      <c r="AE14" s="117">
        <f t="shared" si="0"/>
        <v>71.562409519048231</v>
      </c>
      <c r="AF14" s="117">
        <f t="shared" si="0"/>
        <v>42.833304807950825</v>
      </c>
      <c r="AG14" s="117">
        <f t="shared" si="0"/>
        <v>71.562409519048231</v>
      </c>
      <c r="AH14" s="117">
        <f t="shared" si="0"/>
        <v>144.64231162864087</v>
      </c>
      <c r="AI14" s="117">
        <f t="shared" si="0"/>
        <v>79.197088386872096</v>
      </c>
      <c r="AJ14" s="117">
        <f t="shared" si="0"/>
        <v>90.585189473769205</v>
      </c>
      <c r="AK14" s="117">
        <f t="shared" si="0"/>
        <v>82.514049913998008</v>
      </c>
      <c r="AL14" s="117">
        <f t="shared" si="0"/>
        <v>126.42414534814885</v>
      </c>
      <c r="AM14" s="117">
        <f t="shared" si="0"/>
        <v>62.595321190120018</v>
      </c>
      <c r="AN14" s="117">
        <f t="shared" si="0"/>
        <v>71.562409519048231</v>
      </c>
      <c r="AO14" s="117">
        <f t="shared" si="0"/>
        <v>11.721763820047904</v>
      </c>
      <c r="AP14" s="117">
        <f t="shared" si="0"/>
        <v>106.57937367880078</v>
      </c>
      <c r="AQ14" s="117">
        <f t="shared" si="0"/>
        <v>134.88674418067433</v>
      </c>
      <c r="AR14" s="117">
        <f t="shared" si="0"/>
        <v>150.00923574329519</v>
      </c>
      <c r="AS14" s="117">
        <f t="shared" si="0"/>
        <v>92.821245934029506</v>
      </c>
      <c r="AT14" s="117">
        <f t="shared" si="0"/>
        <v>77.1076563618319</v>
      </c>
      <c r="AU14" s="117">
        <f t="shared" si="0"/>
        <v>5.4943044993804495E-3</v>
      </c>
      <c r="AV14" s="117">
        <f t="shared" si="0"/>
        <v>70.039422624004459</v>
      </c>
      <c r="AW14" s="117">
        <f t="shared" si="0"/>
        <v>145.77881217702475</v>
      </c>
      <c r="AX14" s="117">
        <f t="shared" si="0"/>
        <v>85.552993253648211</v>
      </c>
      <c r="AY14" s="117">
        <f t="shared" si="0"/>
        <v>71.562409519048231</v>
      </c>
      <c r="AZ14" s="110">
        <f t="shared" si="0"/>
        <v>108.10236057384455</v>
      </c>
      <c r="BA14" s="107">
        <f>SUM($E14:$AZ14)</f>
        <v>3881.0204219150714</v>
      </c>
    </row>
    <row r="15" spans="1:53">
      <c r="A15" s="122" t="s">
        <v>123</v>
      </c>
      <c r="B15" s="123">
        <v>1</v>
      </c>
      <c r="C15" s="124" t="s">
        <v>293</v>
      </c>
      <c r="D15" s="124">
        <v>73.033056246702998</v>
      </c>
      <c r="E15" s="124">
        <v>15.882408300314843</v>
      </c>
      <c r="F15" s="124">
        <v>79.350140553242852</v>
      </c>
      <c r="G15" s="124">
        <v>201.56240951904726</v>
      </c>
      <c r="H15" s="124">
        <v>79.350140553242852</v>
      </c>
      <c r="I15" s="124">
        <v>102.93376191596256</v>
      </c>
      <c r="J15" s="124">
        <v>182.26842723212258</v>
      </c>
      <c r="K15" s="124">
        <v>98.644122840167555</v>
      </c>
      <c r="L15" s="124">
        <v>102.93376191596256</v>
      </c>
      <c r="M15" s="124">
        <v>201.56240951904726</v>
      </c>
      <c r="N15" s="124">
        <v>1.5475237082838723E-2</v>
      </c>
      <c r="O15" s="124">
        <v>201.56240951904726</v>
      </c>
      <c r="P15" s="124">
        <v>102.93376191596256</v>
      </c>
      <c r="Q15" s="124">
        <v>201.56240951904726</v>
      </c>
      <c r="R15" s="124">
        <v>98.644122840167555</v>
      </c>
      <c r="S15" s="124">
        <v>180.97932843869597</v>
      </c>
      <c r="T15" s="124">
        <v>180.979328438696</v>
      </c>
      <c r="U15" s="124">
        <v>180.97932843869597</v>
      </c>
      <c r="V15" s="124">
        <v>1.5475237082838723E-2</v>
      </c>
      <c r="W15" s="124">
        <v>98.644122840167526</v>
      </c>
      <c r="X15" s="124">
        <v>201.56240951904726</v>
      </c>
      <c r="Y15" s="124">
        <v>201.56240951904726</v>
      </c>
      <c r="Z15" s="124">
        <v>201.56240951904726</v>
      </c>
      <c r="AA15" s="124">
        <v>201.56240951904726</v>
      </c>
      <c r="AB15" s="124">
        <v>201.56240951904726</v>
      </c>
      <c r="AC15" s="124">
        <v>98.644122840167526</v>
      </c>
      <c r="AD15" s="124">
        <v>98.644122840167555</v>
      </c>
      <c r="AE15" s="124">
        <v>98.644122840167526</v>
      </c>
      <c r="AF15" s="124">
        <v>201.56240951904726</v>
      </c>
      <c r="AG15" s="124">
        <v>201.56240951904726</v>
      </c>
      <c r="AH15" s="124">
        <v>102.93376191596256</v>
      </c>
      <c r="AI15" s="124">
        <v>98.644122840167526</v>
      </c>
      <c r="AJ15" s="124">
        <v>102.93376191596256</v>
      </c>
      <c r="AK15" s="124">
        <v>201.56240951904726</v>
      </c>
      <c r="AL15" s="124">
        <v>98.644122840167555</v>
      </c>
      <c r="AM15" s="124">
        <v>98.644122840167526</v>
      </c>
      <c r="AN15" s="124">
        <v>1.5475237082838723E-2</v>
      </c>
      <c r="AO15" s="124">
        <v>98.644122840167526</v>
      </c>
      <c r="AP15" s="124">
        <v>98.644122840167555</v>
      </c>
      <c r="AQ15" s="124">
        <v>201.56240951904726</v>
      </c>
      <c r="AR15" s="124">
        <v>102.93376191596256</v>
      </c>
      <c r="AS15" s="124">
        <v>201.56240951904726</v>
      </c>
      <c r="AT15" s="124">
        <v>1.5475237082838723E-2</v>
      </c>
      <c r="AU15" s="124">
        <v>98.644122840167526</v>
      </c>
      <c r="AV15" s="124">
        <v>201.56240951904726</v>
      </c>
      <c r="AW15" s="124">
        <v>98.644122840167526</v>
      </c>
      <c r="AX15" s="124">
        <v>98.644122840167555</v>
      </c>
      <c r="AY15" s="124">
        <v>201.56240951904726</v>
      </c>
      <c r="AZ15" s="100">
        <v>201.54693428196444</v>
      </c>
    </row>
    <row r="16" spans="1:53">
      <c r="A16" s="110"/>
      <c r="B16" s="119">
        <v>2</v>
      </c>
      <c r="C16" s="109" t="s">
        <v>293</v>
      </c>
      <c r="D16" s="106"/>
      <c r="E16" s="110">
        <v>0</v>
      </c>
      <c r="F16" s="110">
        <v>227.48105463616292</v>
      </c>
      <c r="G16" s="110">
        <v>122.21226896580443</v>
      </c>
      <c r="H16" s="110"/>
      <c r="I16" s="110">
        <v>122.21226896580443</v>
      </c>
      <c r="J16" s="110">
        <v>98.628647603084715</v>
      </c>
      <c r="K16" s="110">
        <v>19.293982286924702</v>
      </c>
      <c r="L16" s="110">
        <v>102.91828667887972</v>
      </c>
      <c r="M16" s="110">
        <v>0</v>
      </c>
      <c r="N16" s="110"/>
      <c r="O16" s="110">
        <v>102.91828667887972</v>
      </c>
      <c r="P16" s="110"/>
      <c r="Q16" s="110"/>
      <c r="R16" s="110">
        <v>0</v>
      </c>
      <c r="S16" s="110">
        <v>82.335205598528447</v>
      </c>
      <c r="T16" s="110">
        <v>0</v>
      </c>
      <c r="U16" s="110"/>
      <c r="V16" s="110"/>
      <c r="W16" s="110">
        <v>102.91828667887972</v>
      </c>
      <c r="X16" s="110">
        <v>102.91828667887972</v>
      </c>
      <c r="Y16" s="110"/>
      <c r="Z16" s="110">
        <v>0</v>
      </c>
      <c r="AA16" s="110"/>
      <c r="AB16" s="110"/>
      <c r="AC16" s="110"/>
      <c r="AD16" s="110">
        <v>102.91828667887972</v>
      </c>
      <c r="AE16" s="110"/>
      <c r="AF16" s="110"/>
      <c r="AG16" s="110"/>
      <c r="AH16" s="110"/>
      <c r="AI16" s="110">
        <v>98.628647603084715</v>
      </c>
      <c r="AJ16" s="110">
        <v>102.91828667887972</v>
      </c>
      <c r="AK16" s="110">
        <v>98.628647603084715</v>
      </c>
      <c r="AL16" s="110"/>
      <c r="AM16" s="110">
        <v>102.91828667887972</v>
      </c>
      <c r="AN16" s="110">
        <v>0</v>
      </c>
      <c r="AO16" s="110">
        <v>98.628647603084715</v>
      </c>
      <c r="AP16" s="110">
        <v>205.83657335775945</v>
      </c>
      <c r="AQ16" s="110">
        <v>102.91828667887972</v>
      </c>
      <c r="AR16" s="110"/>
      <c r="AS16" s="110"/>
      <c r="AT16" s="110">
        <v>0</v>
      </c>
      <c r="AU16" s="110">
        <v>98.628647603084715</v>
      </c>
      <c r="AV16" s="110">
        <v>102.91828667887972</v>
      </c>
      <c r="AW16" s="110"/>
      <c r="AX16" s="110">
        <v>102.91828667887972</v>
      </c>
      <c r="AY16" s="110">
        <v>102.91828667887972</v>
      </c>
    </row>
    <row r="17" spans="1:53">
      <c r="A17" s="110"/>
      <c r="B17" s="119">
        <v>3</v>
      </c>
      <c r="C17" s="109" t="s">
        <v>293</v>
      </c>
      <c r="D17" s="106"/>
      <c r="E17" s="110"/>
      <c r="F17" s="110">
        <v>0</v>
      </c>
      <c r="G17" s="110"/>
      <c r="H17" s="110"/>
      <c r="I17" s="110"/>
      <c r="J17" s="110"/>
      <c r="K17" s="110"/>
      <c r="L17" s="110"/>
      <c r="M17" s="110"/>
      <c r="N17" s="110"/>
      <c r="O17" s="110"/>
      <c r="P17" s="110">
        <v>98.628647603084715</v>
      </c>
      <c r="Q17" s="110"/>
      <c r="R17" s="110">
        <v>98.628647603084715</v>
      </c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>
        <v>0</v>
      </c>
      <c r="AD17" s="110"/>
      <c r="AE17" s="110"/>
      <c r="AF17" s="110"/>
      <c r="AG17" s="110">
        <v>205.83657335775945</v>
      </c>
      <c r="AH17" s="110"/>
      <c r="AI17" s="110"/>
      <c r="AJ17" s="110"/>
      <c r="AK17" s="110"/>
      <c r="AL17" s="110"/>
      <c r="AM17" s="110"/>
      <c r="AN17" s="110"/>
      <c r="AO17" s="110">
        <v>102.91828667887972</v>
      </c>
      <c r="AP17" s="110"/>
      <c r="AQ17" s="110"/>
      <c r="AR17" s="110"/>
      <c r="AS17" s="110">
        <v>0</v>
      </c>
      <c r="AT17" s="110"/>
      <c r="AU17" s="110"/>
      <c r="AV17" s="110">
        <v>102.91828667887972</v>
      </c>
      <c r="AW17" s="110"/>
      <c r="AX17" s="110"/>
      <c r="AY17" s="110"/>
      <c r="BA17" s="100">
        <v>0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>
        <v>35.130600188645303</v>
      </c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>
        <v>1</v>
      </c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>
        <v>0</v>
      </c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>
        <v>0</v>
      </c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>
        <v>0</v>
      </c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>
        <v>0</v>
      </c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>
        <v>0</v>
      </c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>
        <v>0</v>
      </c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36.130600188645303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160</v>
      </c>
      <c r="D95" s="110">
        <v>112</v>
      </c>
      <c r="E95" s="110">
        <v>112</v>
      </c>
      <c r="F95" s="110">
        <v>112</v>
      </c>
      <c r="G95" s="110">
        <v>112</v>
      </c>
      <c r="H95" s="110">
        <v>140</v>
      </c>
      <c r="I95" s="110">
        <v>140</v>
      </c>
      <c r="J95" s="110">
        <v>140</v>
      </c>
      <c r="K95" s="110">
        <v>140</v>
      </c>
      <c r="L95" s="110">
        <v>140</v>
      </c>
      <c r="M95" s="110">
        <v>140</v>
      </c>
      <c r="N95" s="110">
        <v>140</v>
      </c>
      <c r="O95" s="110">
        <v>140</v>
      </c>
      <c r="P95" s="110">
        <v>112</v>
      </c>
      <c r="Q95" s="110">
        <v>112</v>
      </c>
      <c r="R95" s="110">
        <v>112</v>
      </c>
      <c r="S95" s="110">
        <v>112</v>
      </c>
      <c r="T95" s="110">
        <v>140</v>
      </c>
      <c r="U95" s="110">
        <v>140</v>
      </c>
      <c r="V95" s="110">
        <v>140</v>
      </c>
      <c r="W95" s="110">
        <v>140</v>
      </c>
      <c r="X95" s="110">
        <v>140</v>
      </c>
      <c r="Y95" s="110">
        <v>140</v>
      </c>
      <c r="Z95" s="110">
        <v>140</v>
      </c>
      <c r="AA95" s="110">
        <v>140</v>
      </c>
      <c r="AB95" s="110">
        <v>140</v>
      </c>
      <c r="AC95" s="110">
        <v>140</v>
      </c>
      <c r="AD95" s="110">
        <v>140</v>
      </c>
      <c r="AE95" s="110">
        <v>140</v>
      </c>
      <c r="AF95" s="110">
        <v>140</v>
      </c>
      <c r="AG95" s="110">
        <v>140</v>
      </c>
      <c r="AH95" s="110">
        <v>140</v>
      </c>
      <c r="AI95" s="110">
        <v>140</v>
      </c>
      <c r="AJ95" s="110">
        <v>168</v>
      </c>
      <c r="AK95" s="110">
        <v>168</v>
      </c>
      <c r="AL95" s="110">
        <v>168</v>
      </c>
      <c r="AM95" s="110">
        <v>168</v>
      </c>
      <c r="AN95" s="110">
        <v>140</v>
      </c>
      <c r="AO95" s="110">
        <v>140</v>
      </c>
      <c r="AP95" s="110">
        <v>140</v>
      </c>
      <c r="AQ95" s="110">
        <v>140</v>
      </c>
      <c r="AR95" s="110">
        <v>140</v>
      </c>
      <c r="AS95" s="110">
        <v>140</v>
      </c>
      <c r="AT95" s="110">
        <v>140</v>
      </c>
      <c r="AU95" s="110">
        <v>140</v>
      </c>
      <c r="AV95" s="110">
        <v>140</v>
      </c>
      <c r="AW95" s="110">
        <v>140</v>
      </c>
      <c r="AX95" s="110">
        <v>140</v>
      </c>
      <c r="AY95" s="110">
        <v>140</v>
      </c>
    </row>
    <row r="96" spans="1:52">
      <c r="A96" s="109"/>
      <c r="B96" s="120">
        <v>2</v>
      </c>
      <c r="C96" s="110">
        <v>160</v>
      </c>
      <c r="D96" s="110">
        <v>160</v>
      </c>
      <c r="E96" s="110">
        <v>112</v>
      </c>
      <c r="F96" s="110">
        <v>112</v>
      </c>
      <c r="G96" s="110">
        <v>112</v>
      </c>
      <c r="H96" s="110">
        <v>112</v>
      </c>
      <c r="I96" s="110">
        <v>140</v>
      </c>
      <c r="J96" s="110">
        <v>140</v>
      </c>
      <c r="K96" s="110">
        <v>140</v>
      </c>
      <c r="L96" s="110">
        <v>140</v>
      </c>
      <c r="M96" s="110">
        <v>140</v>
      </c>
      <c r="N96" s="110">
        <v>140</v>
      </c>
      <c r="O96" s="110">
        <v>140</v>
      </c>
      <c r="P96" s="110">
        <v>140</v>
      </c>
      <c r="Q96" s="110">
        <v>112</v>
      </c>
      <c r="R96" s="110">
        <v>112</v>
      </c>
      <c r="S96" s="110">
        <v>112</v>
      </c>
      <c r="T96" s="110">
        <v>112</v>
      </c>
      <c r="U96" s="110">
        <v>140</v>
      </c>
      <c r="V96" s="110">
        <v>114</v>
      </c>
      <c r="W96" s="110">
        <v>140</v>
      </c>
      <c r="X96" s="110">
        <v>109</v>
      </c>
      <c r="Y96" s="110">
        <v>127</v>
      </c>
      <c r="Z96" s="110">
        <v>137</v>
      </c>
      <c r="AA96" s="110">
        <v>122</v>
      </c>
      <c r="AB96" s="110">
        <v>134</v>
      </c>
      <c r="AC96" s="110">
        <v>140</v>
      </c>
      <c r="AD96" s="110">
        <v>140</v>
      </c>
      <c r="AE96" s="110">
        <v>140</v>
      </c>
      <c r="AF96" s="110">
        <v>140</v>
      </c>
      <c r="AG96" s="110">
        <v>140</v>
      </c>
      <c r="AH96" s="110">
        <v>140</v>
      </c>
      <c r="AI96" s="110">
        <v>140</v>
      </c>
      <c r="AJ96" s="110">
        <v>140</v>
      </c>
      <c r="AK96" s="110">
        <v>133</v>
      </c>
      <c r="AL96" s="110">
        <v>167</v>
      </c>
      <c r="AM96" s="110">
        <v>165</v>
      </c>
      <c r="AN96" s="110">
        <v>168</v>
      </c>
      <c r="AO96" s="110">
        <v>140</v>
      </c>
      <c r="AP96" s="110">
        <v>140</v>
      </c>
      <c r="AQ96" s="110">
        <v>104.8693998113547</v>
      </c>
      <c r="AR96" s="110">
        <v>123.8693998113547</v>
      </c>
      <c r="AS96" s="110">
        <v>92.869399811354697</v>
      </c>
      <c r="AT96" s="110">
        <v>127.8693998113547</v>
      </c>
      <c r="AU96" s="110">
        <v>140</v>
      </c>
      <c r="AV96" s="110">
        <v>96.869399811354697</v>
      </c>
      <c r="AW96" s="110">
        <v>54.869399811354697</v>
      </c>
      <c r="AX96" s="110">
        <v>26.869399811354697</v>
      </c>
      <c r="AY96" s="110">
        <v>7.8693998113546968</v>
      </c>
    </row>
    <row r="97" spans="1:52">
      <c r="A97" s="109"/>
      <c r="B97" s="127">
        <v>3</v>
      </c>
      <c r="C97" s="110">
        <v>160</v>
      </c>
      <c r="D97" s="110">
        <v>160</v>
      </c>
      <c r="E97" s="110">
        <v>160</v>
      </c>
      <c r="F97" s="110">
        <v>112</v>
      </c>
      <c r="G97" s="110">
        <v>112</v>
      </c>
      <c r="H97" s="110">
        <v>112</v>
      </c>
      <c r="I97" s="110">
        <v>112</v>
      </c>
      <c r="J97" s="110">
        <v>140</v>
      </c>
      <c r="K97" s="110">
        <v>140</v>
      </c>
      <c r="L97" s="110">
        <v>140</v>
      </c>
      <c r="M97" s="110">
        <v>140</v>
      </c>
      <c r="N97" s="110">
        <v>140</v>
      </c>
      <c r="O97" s="110">
        <v>140</v>
      </c>
      <c r="P97" s="110">
        <v>140</v>
      </c>
      <c r="Q97" s="110">
        <v>135</v>
      </c>
      <c r="R97" s="110">
        <v>88</v>
      </c>
      <c r="S97" s="110">
        <v>73</v>
      </c>
      <c r="T97" s="110">
        <v>22</v>
      </c>
      <c r="U97" s="110">
        <v>6</v>
      </c>
      <c r="V97" s="110">
        <v>0</v>
      </c>
      <c r="W97" s="110">
        <v>4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24</v>
      </c>
      <c r="AD97" s="110">
        <v>12</v>
      </c>
      <c r="AE97" s="110">
        <v>28</v>
      </c>
      <c r="AF97" s="110">
        <v>30</v>
      </c>
      <c r="AG97" s="110">
        <v>12</v>
      </c>
      <c r="AH97" s="110">
        <v>3</v>
      </c>
      <c r="AI97" s="110">
        <v>17</v>
      </c>
      <c r="AJ97" s="110">
        <v>7</v>
      </c>
      <c r="AK97" s="110">
        <v>0</v>
      </c>
      <c r="AL97" s="110">
        <v>0</v>
      </c>
      <c r="AM97" s="110">
        <v>0</v>
      </c>
      <c r="AN97" s="110">
        <v>1</v>
      </c>
      <c r="AO97" s="110">
        <v>43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2.8693998113546968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138.13385274332791</v>
      </c>
      <c r="D98" s="110">
        <v>158.13385274332791</v>
      </c>
      <c r="E98" s="110">
        <v>160</v>
      </c>
      <c r="F98" s="110">
        <v>160</v>
      </c>
      <c r="G98" s="110">
        <v>103</v>
      </c>
      <c r="H98" s="110">
        <v>112</v>
      </c>
      <c r="I98" s="110">
        <v>94</v>
      </c>
      <c r="J98" s="110">
        <v>64</v>
      </c>
      <c r="K98" s="110">
        <v>49</v>
      </c>
      <c r="L98" s="110">
        <v>88</v>
      </c>
      <c r="M98" s="110">
        <v>85</v>
      </c>
      <c r="N98" s="110">
        <v>62</v>
      </c>
      <c r="O98" s="110">
        <v>24</v>
      </c>
      <c r="P98" s="110">
        <v>18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13.133852743327907</v>
      </c>
      <c r="F99" s="125">
        <v>41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54.133852743327907</v>
      </c>
    </row>
    <row r="100" spans="1:52">
      <c r="A100" s="131" t="s">
        <v>133</v>
      </c>
      <c r="B100" s="119">
        <v>1</v>
      </c>
      <c r="C100" s="106">
        <v>161.11320608685071</v>
      </c>
      <c r="D100" s="106">
        <v>75.547175652597446</v>
      </c>
      <c r="E100" s="106">
        <v>14.133066936767996</v>
      </c>
      <c r="F100" s="106">
        <v>70.665334683839973</v>
      </c>
      <c r="G100" s="106">
        <v>179.99999999999875</v>
      </c>
      <c r="H100" s="106">
        <v>70.665334683839973</v>
      </c>
      <c r="I100" s="106">
        <v>92.149041474976514</v>
      </c>
      <c r="J100" s="106">
        <v>162.81437615881649</v>
      </c>
      <c r="K100" s="106">
        <v>87.850958525022222</v>
      </c>
      <c r="L100" s="106">
        <v>92.149041474976514</v>
      </c>
      <c r="M100" s="106">
        <v>179.99999999999872</v>
      </c>
      <c r="N100" s="106">
        <v>0</v>
      </c>
      <c r="O100" s="106">
        <v>179.99999999999872</v>
      </c>
      <c r="P100" s="106">
        <v>92.149041474976514</v>
      </c>
      <c r="Q100" s="106">
        <v>179.99999999999872</v>
      </c>
      <c r="R100" s="106">
        <v>87.850958525022222</v>
      </c>
      <c r="S100" s="106">
        <v>161.5707076617565</v>
      </c>
      <c r="T100" s="106">
        <v>161.5707076617565</v>
      </c>
      <c r="U100" s="106">
        <v>161.5707076617565</v>
      </c>
      <c r="V100" s="106">
        <v>0</v>
      </c>
      <c r="W100" s="106">
        <v>87.850958525022207</v>
      </c>
      <c r="X100" s="106">
        <v>179.99999999999875</v>
      </c>
      <c r="Y100" s="106">
        <v>179.99999999999872</v>
      </c>
      <c r="Z100" s="106">
        <v>179.99999999999875</v>
      </c>
      <c r="AA100" s="106">
        <v>179.99999999999872</v>
      </c>
      <c r="AB100" s="106">
        <v>179.99999999999875</v>
      </c>
      <c r="AC100" s="106">
        <v>87.850958525022207</v>
      </c>
      <c r="AD100" s="106">
        <v>87.850958525022222</v>
      </c>
      <c r="AE100" s="106">
        <v>87.850958525022207</v>
      </c>
      <c r="AF100" s="106">
        <v>179.99999999999875</v>
      </c>
      <c r="AG100" s="106">
        <v>179.99999999999872</v>
      </c>
      <c r="AH100" s="106">
        <v>92.149041474976514</v>
      </c>
      <c r="AI100" s="106">
        <v>87.850958525022207</v>
      </c>
      <c r="AJ100" s="106">
        <v>92.149041474976514</v>
      </c>
      <c r="AK100" s="106">
        <v>179.99999999999872</v>
      </c>
      <c r="AL100" s="106">
        <v>87.850958525022222</v>
      </c>
      <c r="AM100" s="106">
        <v>87.850958525022207</v>
      </c>
      <c r="AN100" s="106">
        <v>0</v>
      </c>
      <c r="AO100" s="106">
        <v>87.850958525022207</v>
      </c>
      <c r="AP100" s="106">
        <v>87.850958525022222</v>
      </c>
      <c r="AQ100" s="106">
        <v>179.99999999999872</v>
      </c>
      <c r="AR100" s="106">
        <v>92.149041474976514</v>
      </c>
      <c r="AS100" s="106">
        <v>179.99999999999872</v>
      </c>
      <c r="AT100" s="106">
        <v>0</v>
      </c>
      <c r="AU100" s="106">
        <v>87.850958525022207</v>
      </c>
      <c r="AV100" s="106">
        <v>179.99999999999875</v>
      </c>
      <c r="AW100" s="106">
        <v>87.850958525022207</v>
      </c>
      <c r="AX100" s="106">
        <v>87.850958525022222</v>
      </c>
      <c r="AY100" s="106">
        <v>179.99999999999872</v>
      </c>
    </row>
    <row r="101" spans="1:52">
      <c r="A101" s="109"/>
      <c r="B101" s="119">
        <v>2</v>
      </c>
      <c r="C101" s="106">
        <v>64.547175652597517</v>
      </c>
      <c r="D101" s="106">
        <v>26.660381739448212</v>
      </c>
      <c r="E101" s="106">
        <v>0</v>
      </c>
      <c r="F101" s="106">
        <v>203.56026799936046</v>
      </c>
      <c r="G101" s="106">
        <v>172.56026799935921</v>
      </c>
      <c r="H101" s="106">
        <v>179.99999999999875</v>
      </c>
      <c r="I101" s="106">
        <v>179.99999999999875</v>
      </c>
      <c r="J101" s="106">
        <v>179.99999999999875</v>
      </c>
      <c r="K101" s="106">
        <v>179.99999999999875</v>
      </c>
      <c r="L101" s="106">
        <v>179.99999999999875</v>
      </c>
      <c r="M101" s="106">
        <v>92.149041474976514</v>
      </c>
      <c r="N101" s="106">
        <v>125.70930947432819</v>
      </c>
      <c r="O101" s="106">
        <v>92.149041474976514</v>
      </c>
      <c r="P101" s="106">
        <v>137.14904147497523</v>
      </c>
      <c r="Q101" s="106">
        <v>92.149041474976514</v>
      </c>
      <c r="R101" s="106">
        <v>179.99999999999872</v>
      </c>
      <c r="S101" s="106">
        <v>161.5707076617565</v>
      </c>
      <c r="T101" s="106">
        <v>161.5707076617565</v>
      </c>
      <c r="U101" s="106">
        <v>161.5707076617565</v>
      </c>
      <c r="V101" s="106">
        <v>142.28283064702094</v>
      </c>
      <c r="W101" s="106">
        <v>92.149041474976514</v>
      </c>
      <c r="X101" s="106">
        <v>92.149041474976514</v>
      </c>
      <c r="Y101" s="106">
        <v>76.149041474975263</v>
      </c>
      <c r="Z101" s="106">
        <v>75.149041474973984</v>
      </c>
      <c r="AA101" s="106">
        <v>112.14904147497273</v>
      </c>
      <c r="AB101" s="106">
        <v>77.149041474971455</v>
      </c>
      <c r="AC101" s="106">
        <v>81.149041474970204</v>
      </c>
      <c r="AD101" s="106">
        <v>120.14904147496893</v>
      </c>
      <c r="AE101" s="106">
        <v>28.999999999991147</v>
      </c>
      <c r="AF101" s="106">
        <v>0</v>
      </c>
      <c r="AG101" s="106">
        <v>0</v>
      </c>
      <c r="AH101" s="106">
        <v>175.29808294995175</v>
      </c>
      <c r="AI101" s="106">
        <v>179.99999999999875</v>
      </c>
      <c r="AJ101" s="106">
        <v>179.99999999999872</v>
      </c>
      <c r="AK101" s="106">
        <v>179.99999999999875</v>
      </c>
      <c r="AL101" s="106">
        <v>179.99999999999872</v>
      </c>
      <c r="AM101" s="106">
        <v>179.99999999999875</v>
      </c>
      <c r="AN101" s="106">
        <v>87.850958525022207</v>
      </c>
      <c r="AO101" s="106">
        <v>87.850958525022222</v>
      </c>
      <c r="AP101" s="106">
        <v>272.14904147497521</v>
      </c>
      <c r="AQ101" s="106">
        <v>179.99999999999875</v>
      </c>
      <c r="AR101" s="106">
        <v>179.99999999999872</v>
      </c>
      <c r="AS101" s="106">
        <v>92.149041474976514</v>
      </c>
      <c r="AT101" s="106">
        <v>163.29808294994666</v>
      </c>
      <c r="AU101" s="106">
        <v>87.850958525022222</v>
      </c>
      <c r="AV101" s="106">
        <v>92.149041474976528</v>
      </c>
      <c r="AW101" s="106">
        <v>145.29808294995181</v>
      </c>
      <c r="AX101" s="106">
        <v>128.29808294995053</v>
      </c>
      <c r="AY101" s="106">
        <v>92.149041474976528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4.5602679993592119</v>
      </c>
      <c r="I102" s="106">
        <v>11.560267999357961</v>
      </c>
      <c r="J102" s="106">
        <v>6.5602679993567108</v>
      </c>
      <c r="K102" s="106">
        <v>2.5602679993554602</v>
      </c>
      <c r="L102" s="106">
        <v>22.56026799935421</v>
      </c>
      <c r="M102" s="106">
        <v>36.560267999352959</v>
      </c>
      <c r="N102" s="106">
        <v>0</v>
      </c>
      <c r="O102" s="106">
        <v>0</v>
      </c>
      <c r="P102" s="106">
        <v>87.850958525022236</v>
      </c>
      <c r="Q102" s="106">
        <v>84.99999999999747</v>
      </c>
      <c r="R102" s="106">
        <v>118.99999999999622</v>
      </c>
      <c r="S102" s="106">
        <v>105.99999999999494</v>
      </c>
      <c r="T102" s="106">
        <v>64.570707661751442</v>
      </c>
      <c r="U102" s="106">
        <v>38.141415323507943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184.29808294995303</v>
      </c>
      <c r="AH102" s="106">
        <v>0</v>
      </c>
      <c r="AI102" s="106">
        <v>32.298082949951748</v>
      </c>
      <c r="AJ102" s="106">
        <v>44.298082949950498</v>
      </c>
      <c r="AK102" s="106">
        <v>53.298082949949219</v>
      </c>
      <c r="AL102" s="106">
        <v>38.298082949947968</v>
      </c>
      <c r="AM102" s="106">
        <v>5.2980829499466893</v>
      </c>
      <c r="AN102" s="106">
        <v>23.298082949945439</v>
      </c>
      <c r="AO102" s="106">
        <v>92.149041474976514</v>
      </c>
      <c r="AP102" s="106">
        <v>0.99999999999873523</v>
      </c>
      <c r="AQ102" s="106">
        <v>132.14904147497396</v>
      </c>
      <c r="AR102" s="106">
        <v>87.149041474972705</v>
      </c>
      <c r="AS102" s="106">
        <v>120.14904147497143</v>
      </c>
      <c r="AT102" s="106">
        <v>0</v>
      </c>
      <c r="AU102" s="106">
        <v>0</v>
      </c>
      <c r="AV102" s="106">
        <v>92.149041474976528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101.55537472663801</v>
      </c>
      <c r="D109" s="106">
        <v>68.073862457800715</v>
      </c>
      <c r="E109" s="106">
        <v>25.929544561533717</v>
      </c>
      <c r="F109" s="106">
        <v>5.6388659455296732</v>
      </c>
      <c r="G109" s="106">
        <v>108.93687813991095</v>
      </c>
      <c r="H109" s="106">
        <v>134.56083463377007</v>
      </c>
      <c r="I109" s="106">
        <v>82.295375015028483</v>
      </c>
      <c r="J109" s="106">
        <v>81.887313632258582</v>
      </c>
      <c r="K109" s="106">
        <v>99.729267724199687</v>
      </c>
      <c r="L109" s="106">
        <v>73.17552777362549</v>
      </c>
      <c r="M109" s="106">
        <v>80.516488094390155</v>
      </c>
      <c r="N109" s="106">
        <v>80.887830436916502</v>
      </c>
      <c r="O109" s="106">
        <v>5.4943044993804495E-3</v>
      </c>
      <c r="P109" s="106">
        <v>108.10236057384455</v>
      </c>
      <c r="Q109" s="106">
        <v>94.801445841823522</v>
      </c>
      <c r="R109" s="106">
        <v>93.651463340965961</v>
      </c>
      <c r="S109" s="106">
        <v>81.800743278349287</v>
      </c>
      <c r="T109" s="106">
        <v>93.486789337614837</v>
      </c>
      <c r="U109" s="106">
        <v>83.365544031684394</v>
      </c>
      <c r="V109" s="106">
        <v>66.54161454049175</v>
      </c>
      <c r="W109" s="106">
        <v>2.0928517466793837</v>
      </c>
      <c r="X109" s="106">
        <v>71.562409519048231</v>
      </c>
      <c r="Y109" s="106">
        <v>115.76295303491908</v>
      </c>
      <c r="Z109" s="106">
        <v>98.814104393114135</v>
      </c>
      <c r="AA109" s="106">
        <v>90.203819746040722</v>
      </c>
      <c r="AB109" s="106">
        <v>93.881517612148386</v>
      </c>
      <c r="AC109" s="106">
        <v>78.856606215893279</v>
      </c>
      <c r="AD109" s="106">
        <v>36.886626963398015</v>
      </c>
      <c r="AE109" s="106">
        <v>71.562409519048231</v>
      </c>
      <c r="AF109" s="106">
        <v>42.833304807950825</v>
      </c>
      <c r="AG109" s="106">
        <v>71.562409519048231</v>
      </c>
      <c r="AH109" s="106">
        <v>144.64231162864087</v>
      </c>
      <c r="AI109" s="106">
        <v>79.197088386872096</v>
      </c>
      <c r="AJ109" s="106">
        <v>90.585189473769205</v>
      </c>
      <c r="AK109" s="106">
        <v>82.514049913998008</v>
      </c>
      <c r="AL109" s="106">
        <v>126.42414534814885</v>
      </c>
      <c r="AM109" s="106">
        <v>62.595321190120018</v>
      </c>
      <c r="AN109" s="106">
        <v>71.562409519048231</v>
      </c>
      <c r="AO109" s="106">
        <v>11.721763820047904</v>
      </c>
      <c r="AP109" s="106">
        <v>106.57937367880078</v>
      </c>
      <c r="AQ109" s="106">
        <v>134.88674418067433</v>
      </c>
      <c r="AR109" s="106">
        <v>150.00923574329519</v>
      </c>
      <c r="AS109" s="106">
        <v>92.821245934029506</v>
      </c>
      <c r="AT109" s="106">
        <v>77.1076563618319</v>
      </c>
      <c r="AU109" s="106">
        <v>5.4943044993804495E-3</v>
      </c>
      <c r="AV109" s="106">
        <v>70.039422624004459</v>
      </c>
      <c r="AW109" s="106">
        <v>145.77881217702475</v>
      </c>
      <c r="AX109" s="106">
        <v>85.552993253648211</v>
      </c>
      <c r="AY109" s="106">
        <v>71.562409519048231</v>
      </c>
    </row>
    <row r="110" spans="1:52">
      <c r="A110" s="109"/>
      <c r="B110" s="119">
        <v>2</v>
      </c>
      <c r="C110" s="106">
        <v>0</v>
      </c>
      <c r="D110" s="106">
        <v>32.555374726638007</v>
      </c>
      <c r="E110" s="106">
        <v>24.32741380465032</v>
      </c>
      <c r="F110" s="106">
        <v>0</v>
      </c>
      <c r="G110" s="106">
        <v>0</v>
      </c>
      <c r="H110" s="106">
        <v>50.936878139910945</v>
      </c>
      <c r="I110" s="106">
        <v>86.497712773681016</v>
      </c>
      <c r="J110" s="106">
        <v>82.295375015028483</v>
      </c>
      <c r="K110" s="106">
        <v>81.887313632258582</v>
      </c>
      <c r="L110" s="106">
        <v>99.729267724199687</v>
      </c>
      <c r="M110" s="106">
        <v>73.17552777362549</v>
      </c>
      <c r="N110" s="106">
        <v>80.516488094390155</v>
      </c>
      <c r="O110" s="106">
        <v>80.887830436916502</v>
      </c>
      <c r="P110" s="106">
        <v>1.2949710748166865E-15</v>
      </c>
      <c r="Q110" s="106">
        <v>4.1023605738445497</v>
      </c>
      <c r="R110" s="106">
        <v>34.903806415668072</v>
      </c>
      <c r="S110" s="106">
        <v>39.555269756634033</v>
      </c>
      <c r="T110" s="106">
        <v>12.35601303498332</v>
      </c>
      <c r="U110" s="106">
        <v>40.842802372598157</v>
      </c>
      <c r="V110" s="106">
        <v>59.208346404282551</v>
      </c>
      <c r="W110" s="106">
        <v>66.336384792544294</v>
      </c>
      <c r="X110" s="106">
        <v>0</v>
      </c>
      <c r="Y110" s="106">
        <v>0</v>
      </c>
      <c r="Z110" s="106">
        <v>52.762953034919079</v>
      </c>
      <c r="AA110" s="106">
        <v>62.577057428033214</v>
      </c>
      <c r="AB110" s="106">
        <v>77.780877174073936</v>
      </c>
      <c r="AC110" s="106">
        <v>80.662394786222322</v>
      </c>
      <c r="AD110" s="106">
        <v>78.856606215893279</v>
      </c>
      <c r="AE110" s="106">
        <v>16.405627965513617</v>
      </c>
      <c r="AF110" s="106">
        <v>0</v>
      </c>
      <c r="AG110" s="106">
        <v>0</v>
      </c>
      <c r="AH110" s="106">
        <v>0</v>
      </c>
      <c r="AI110" s="106">
        <v>69.642311628640869</v>
      </c>
      <c r="AJ110" s="106">
        <v>55.839400015512965</v>
      </c>
      <c r="AK110" s="106">
        <v>77.42458948928217</v>
      </c>
      <c r="AL110" s="106">
        <v>72.938639403280177</v>
      </c>
      <c r="AM110" s="106">
        <v>102.36278475142903</v>
      </c>
      <c r="AN110" s="106">
        <v>56.95810594154905</v>
      </c>
      <c r="AO110" s="106">
        <v>51.488116842144692</v>
      </c>
      <c r="AP110" s="106">
        <v>0</v>
      </c>
      <c r="AQ110" s="106">
        <v>5.5793736788007777</v>
      </c>
      <c r="AR110" s="106">
        <v>54.466117859475105</v>
      </c>
      <c r="AS110" s="106">
        <v>89.475353602770298</v>
      </c>
      <c r="AT110" s="106">
        <v>78.296599536799803</v>
      </c>
      <c r="AU110" s="106">
        <v>72.994208393780923</v>
      </c>
      <c r="AV110" s="106">
        <v>1.2949710748166865E-15</v>
      </c>
      <c r="AW110" s="106">
        <v>0</v>
      </c>
      <c r="AX110" s="106">
        <v>75.778812177024747</v>
      </c>
      <c r="AY110" s="106">
        <v>64.331805430672958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20.497712773681016</v>
      </c>
      <c r="K111" s="106">
        <v>23.793087788709499</v>
      </c>
      <c r="L111" s="106">
        <v>1.6804014209680815</v>
      </c>
      <c r="M111" s="106">
        <v>13.409669145167769</v>
      </c>
      <c r="N111" s="106">
        <v>6.5851969187932582</v>
      </c>
      <c r="O111" s="106">
        <v>12.590668445662388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6.6623947862223218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155.43726581718812</v>
      </c>
      <c r="D122" s="106">
        <v>73.033056246702998</v>
      </c>
      <c r="E122" s="106">
        <v>15.882408300314843</v>
      </c>
      <c r="F122" s="106">
        <v>79.350140553242852</v>
      </c>
      <c r="G122" s="106">
        <v>201.56240951904726</v>
      </c>
      <c r="H122" s="106">
        <v>79.350140553242852</v>
      </c>
      <c r="I122" s="106">
        <v>102.93376191596256</v>
      </c>
      <c r="J122" s="106">
        <v>182.26842723212258</v>
      </c>
      <c r="K122" s="106">
        <v>98.644122840167555</v>
      </c>
      <c r="L122" s="106">
        <v>102.93376191596256</v>
      </c>
      <c r="M122" s="106">
        <v>201.56240951904726</v>
      </c>
      <c r="N122" s="106">
        <v>1.5475237082838723E-2</v>
      </c>
      <c r="O122" s="106">
        <v>201.56240951904726</v>
      </c>
      <c r="P122" s="106">
        <v>102.93376191596256</v>
      </c>
      <c r="Q122" s="106">
        <v>201.56240951904726</v>
      </c>
      <c r="R122" s="106">
        <v>98.644122840167555</v>
      </c>
      <c r="S122" s="106">
        <v>180.97932843869597</v>
      </c>
      <c r="T122" s="106">
        <v>180.979328438696</v>
      </c>
      <c r="U122" s="106">
        <v>180.97932843869597</v>
      </c>
      <c r="V122" s="106">
        <v>1.5475237082838723E-2</v>
      </c>
      <c r="W122" s="106">
        <v>98.644122840167526</v>
      </c>
      <c r="X122" s="106">
        <v>201.56240951904726</v>
      </c>
      <c r="Y122" s="106">
        <v>201.56240951904726</v>
      </c>
      <c r="Z122" s="106">
        <v>201.56240951904726</v>
      </c>
      <c r="AA122" s="106">
        <v>201.56240951904726</v>
      </c>
      <c r="AB122" s="106">
        <v>201.56240951904726</v>
      </c>
      <c r="AC122" s="106">
        <v>98.644122840167526</v>
      </c>
      <c r="AD122" s="106">
        <v>98.644122840167555</v>
      </c>
      <c r="AE122" s="106">
        <v>98.644122840167526</v>
      </c>
      <c r="AF122" s="106">
        <v>201.56240951904726</v>
      </c>
      <c r="AG122" s="106">
        <v>201.56240951904726</v>
      </c>
      <c r="AH122" s="106">
        <v>102.93376191596256</v>
      </c>
      <c r="AI122" s="106">
        <v>98.644122840167526</v>
      </c>
      <c r="AJ122" s="106">
        <v>102.93376191596256</v>
      </c>
      <c r="AK122" s="106">
        <v>201.56240951904726</v>
      </c>
      <c r="AL122" s="106">
        <v>98.644122840167555</v>
      </c>
      <c r="AM122" s="106">
        <v>98.644122840167526</v>
      </c>
      <c r="AN122" s="106">
        <v>1.5475237082838723E-2</v>
      </c>
      <c r="AO122" s="106">
        <v>98.644122840167526</v>
      </c>
      <c r="AP122" s="106">
        <v>98.644122840167555</v>
      </c>
      <c r="AQ122" s="106">
        <v>201.56240951904726</v>
      </c>
      <c r="AR122" s="106">
        <v>102.93376191596256</v>
      </c>
      <c r="AS122" s="106">
        <v>201.56240951904726</v>
      </c>
      <c r="AT122" s="106">
        <v>1.5475237082838723E-2</v>
      </c>
      <c r="AU122" s="106">
        <v>98.644122840167526</v>
      </c>
      <c r="AV122" s="106">
        <v>201.56240951904726</v>
      </c>
      <c r="AW122" s="106">
        <v>98.644122840167526</v>
      </c>
      <c r="AX122" s="106">
        <v>98.644122840167555</v>
      </c>
      <c r="AY122" s="106">
        <v>201.56240951904726</v>
      </c>
    </row>
    <row r="123" spans="1:52">
      <c r="A123" s="109"/>
      <c r="B123" s="119">
        <v>2</v>
      </c>
      <c r="C123" s="106">
        <v>9.9350845638246312</v>
      </c>
      <c r="D123" s="106">
        <v>0</v>
      </c>
      <c r="E123" s="106">
        <v>0</v>
      </c>
      <c r="F123" s="106">
        <v>227.48105463616292</v>
      </c>
      <c r="G123" s="106">
        <v>173.39005700939643</v>
      </c>
      <c r="H123" s="106">
        <v>129.99999999999903</v>
      </c>
      <c r="I123" s="106">
        <v>127.70973312128343</v>
      </c>
      <c r="J123" s="106">
        <v>98.628647603084715</v>
      </c>
      <c r="K123" s="106">
        <v>107.46178939793228</v>
      </c>
      <c r="L123" s="106">
        <v>123.84867114335408</v>
      </c>
      <c r="M123" s="106">
        <v>26.26594496492649</v>
      </c>
      <c r="N123" s="106">
        <v>0</v>
      </c>
      <c r="O123" s="106">
        <v>102.91828667887972</v>
      </c>
      <c r="P123" s="106">
        <v>65.454981010280846</v>
      </c>
      <c r="Q123" s="106">
        <v>62.21594468750461</v>
      </c>
      <c r="R123" s="106">
        <v>33.126890865585921</v>
      </c>
      <c r="S123" s="106">
        <v>82.335205598528461</v>
      </c>
      <c r="T123" s="106">
        <v>53.82774469960961</v>
      </c>
      <c r="U123" s="106">
        <v>6.4415291066212035</v>
      </c>
      <c r="V123" s="106">
        <v>5.8792430048254261</v>
      </c>
      <c r="W123" s="106">
        <v>102.91828667887972</v>
      </c>
      <c r="X123" s="106">
        <v>124.49508216655308</v>
      </c>
      <c r="Y123" s="106">
        <v>76.757019770728988</v>
      </c>
      <c r="Z123" s="106">
        <v>52.505324896662131</v>
      </c>
      <c r="AA123" s="106">
        <v>62.863914669668674</v>
      </c>
      <c r="AB123" s="106">
        <v>20.544806576567566</v>
      </c>
      <c r="AC123" s="106">
        <v>5.2506098797215515</v>
      </c>
      <c r="AD123" s="106">
        <v>102.91828667887972</v>
      </c>
      <c r="AE123" s="106">
        <v>21.999999999999034</v>
      </c>
      <c r="AF123" s="106">
        <v>0</v>
      </c>
      <c r="AG123" s="106">
        <v>0</v>
      </c>
      <c r="AH123" s="106">
        <v>120.13245496291262</v>
      </c>
      <c r="AI123" s="106">
        <v>156.4977760950878</v>
      </c>
      <c r="AJ123" s="106">
        <v>129.47499614036582</v>
      </c>
      <c r="AK123" s="106">
        <v>154.52335574541507</v>
      </c>
      <c r="AL123" s="106">
        <v>77.661619916313484</v>
      </c>
      <c r="AM123" s="106">
        <v>102.91828667887972</v>
      </c>
      <c r="AN123" s="106">
        <v>32.999999999999012</v>
      </c>
      <c r="AO123" s="106">
        <v>98.628647603084715</v>
      </c>
      <c r="AP123" s="106">
        <v>269.45823773367505</v>
      </c>
      <c r="AQ123" s="106">
        <v>166.53995105479535</v>
      </c>
      <c r="AR123" s="106">
        <v>129.99999999999903</v>
      </c>
      <c r="AS123" s="106">
        <v>15.618721092836537</v>
      </c>
      <c r="AT123" s="106">
        <v>0</v>
      </c>
      <c r="AU123" s="106">
        <v>98.628647603084715</v>
      </c>
      <c r="AV123" s="106">
        <v>106.11934978577531</v>
      </c>
      <c r="AW123" s="106">
        <v>129.99999999999903</v>
      </c>
      <c r="AX123" s="106">
        <v>102.91828667887972</v>
      </c>
      <c r="AY123" s="106">
        <v>102.91828667887972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4.0510667225910026</v>
      </c>
      <c r="H124" s="106">
        <v>22.442698617265606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98.628647603084715</v>
      </c>
      <c r="Q124" s="106">
        <v>0</v>
      </c>
      <c r="R124" s="106">
        <v>98.628647603084715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205.83657335775945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102.91828667887972</v>
      </c>
      <c r="AP124" s="106">
        <v>11.819128263103423</v>
      </c>
      <c r="AQ124" s="106">
        <v>54.41308028035607</v>
      </c>
      <c r="AR124" s="106">
        <v>28.50620511090446</v>
      </c>
      <c r="AS124" s="106">
        <v>0</v>
      </c>
      <c r="AT124" s="106">
        <v>0</v>
      </c>
      <c r="AU124" s="106">
        <v>0</v>
      </c>
      <c r="AV124" s="106">
        <v>102.91828667887972</v>
      </c>
      <c r="AW124" s="106">
        <v>12.324111427883196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0.41163992832514418</v>
      </c>
      <c r="D172" s="134">
        <v>0.35503847016814771</v>
      </c>
      <c r="E172" s="134">
        <v>0.35503847016814771</v>
      </c>
      <c r="F172" s="134">
        <v>0.35503847016814771</v>
      </c>
      <c r="G172" s="134">
        <v>0.35503847016814771</v>
      </c>
      <c r="H172" s="134">
        <v>0.35503847016814771</v>
      </c>
      <c r="I172" s="134">
        <v>0.35503847016814771</v>
      </c>
      <c r="J172" s="134">
        <v>0.35503847016814771</v>
      </c>
      <c r="K172" s="134">
        <v>0.35503847016814771</v>
      </c>
      <c r="L172" s="134">
        <v>0.35503847016814771</v>
      </c>
      <c r="M172" s="134">
        <v>0.35503847016814771</v>
      </c>
      <c r="N172" s="134">
        <v>0.35503847016814771</v>
      </c>
      <c r="O172" s="134">
        <v>0.35503847016814771</v>
      </c>
      <c r="P172" s="134">
        <v>0.35503847016814771</v>
      </c>
      <c r="Q172" s="134">
        <v>0.35503847016814771</v>
      </c>
      <c r="R172" s="134">
        <v>0.35503847016814771</v>
      </c>
      <c r="S172" s="134">
        <v>0.35503847016814771</v>
      </c>
      <c r="T172" s="134">
        <v>0.35503847016814771</v>
      </c>
      <c r="U172" s="134">
        <v>0.35503847016814771</v>
      </c>
      <c r="V172" s="134">
        <v>0.35503847016814771</v>
      </c>
      <c r="W172" s="134">
        <v>0.35503847016814771</v>
      </c>
      <c r="X172" s="134">
        <v>0.35503847016814771</v>
      </c>
      <c r="Y172" s="134">
        <v>0.35503847016814771</v>
      </c>
      <c r="Z172" s="134">
        <v>0.35503847016814771</v>
      </c>
      <c r="AA172" s="134">
        <v>0.35503847016814771</v>
      </c>
      <c r="AB172" s="134">
        <v>0.35503847016814771</v>
      </c>
      <c r="AC172" s="134">
        <v>0.35503847016814771</v>
      </c>
      <c r="AD172" s="134">
        <v>0.35503847016814771</v>
      </c>
      <c r="AE172" s="134">
        <v>0.35503847016814771</v>
      </c>
      <c r="AF172" s="134">
        <v>0.35503847016814771</v>
      </c>
      <c r="AG172" s="134">
        <v>0.35503847016814771</v>
      </c>
      <c r="AH172" s="134">
        <v>0.35503847016814771</v>
      </c>
      <c r="AI172" s="134">
        <v>0.35503847016814771</v>
      </c>
      <c r="AJ172" s="134">
        <v>0.35503847016814771</v>
      </c>
      <c r="AK172" s="134">
        <v>0.35503847016814771</v>
      </c>
      <c r="AL172" s="134">
        <v>0.35503847016814771</v>
      </c>
      <c r="AM172" s="134">
        <v>0.35503847016814771</v>
      </c>
      <c r="AN172" s="134">
        <v>0.35503847016814771</v>
      </c>
      <c r="AO172" s="134">
        <v>0.35503847016814771</v>
      </c>
      <c r="AP172" s="134">
        <v>0.35503847016814771</v>
      </c>
      <c r="AQ172" s="134">
        <v>0.35503847016814771</v>
      </c>
      <c r="AR172" s="134">
        <v>0.35503847016814771</v>
      </c>
      <c r="AS172" s="134">
        <v>0.35503847016814771</v>
      </c>
      <c r="AT172" s="134">
        <v>0.35503847016814771</v>
      </c>
      <c r="AU172" s="134">
        <v>0.35503847016814771</v>
      </c>
      <c r="AV172" s="134">
        <v>0.35503847016814771</v>
      </c>
      <c r="AW172" s="134">
        <v>0.35503847016814771</v>
      </c>
      <c r="AX172" s="134">
        <v>0.35503847016814771</v>
      </c>
      <c r="AY172" s="134">
        <v>0.35503847016814771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590.13385274332791</v>
      </c>
      <c r="E175" s="124">
        <f t="shared" si="1"/>
        <v>544</v>
      </c>
      <c r="F175" s="124">
        <f t="shared" si="1"/>
        <v>496</v>
      </c>
      <c r="G175" s="124">
        <f t="shared" si="1"/>
        <v>439</v>
      </c>
      <c r="H175" s="124">
        <f t="shared" si="1"/>
        <v>476</v>
      </c>
      <c r="I175" s="124">
        <f t="shared" si="1"/>
        <v>486</v>
      </c>
      <c r="J175" s="124">
        <f t="shared" si="1"/>
        <v>484</v>
      </c>
      <c r="K175" s="124">
        <f t="shared" si="1"/>
        <v>469</v>
      </c>
      <c r="L175" s="124">
        <f t="shared" si="1"/>
        <v>508</v>
      </c>
      <c r="M175" s="124">
        <f t="shared" si="1"/>
        <v>505</v>
      </c>
      <c r="N175" s="124">
        <f t="shared" si="1"/>
        <v>482</v>
      </c>
      <c r="O175" s="124">
        <f t="shared" si="1"/>
        <v>444</v>
      </c>
      <c r="P175" s="124">
        <f t="shared" si="1"/>
        <v>410</v>
      </c>
      <c r="Q175" s="124">
        <f t="shared" si="1"/>
        <v>359</v>
      </c>
      <c r="R175" s="124">
        <f t="shared" si="1"/>
        <v>312</v>
      </c>
      <c r="S175" s="124">
        <f t="shared" si="1"/>
        <v>297</v>
      </c>
      <c r="T175" s="124">
        <f t="shared" si="1"/>
        <v>274</v>
      </c>
      <c r="U175" s="124">
        <f t="shared" si="1"/>
        <v>286</v>
      </c>
      <c r="V175" s="124">
        <f t="shared" si="1"/>
        <v>254</v>
      </c>
      <c r="W175" s="124">
        <f t="shared" si="1"/>
        <v>284</v>
      </c>
      <c r="X175" s="124">
        <f t="shared" si="1"/>
        <v>249</v>
      </c>
      <c r="Y175" s="124">
        <f t="shared" si="1"/>
        <v>267</v>
      </c>
      <c r="Z175" s="124">
        <f t="shared" si="1"/>
        <v>277</v>
      </c>
      <c r="AA175" s="124">
        <f t="shared" si="1"/>
        <v>262</v>
      </c>
      <c r="AB175" s="124">
        <f t="shared" si="1"/>
        <v>274</v>
      </c>
      <c r="AC175" s="124">
        <f t="shared" si="1"/>
        <v>304</v>
      </c>
      <c r="AD175" s="124">
        <f t="shared" si="1"/>
        <v>292</v>
      </c>
      <c r="AE175" s="124">
        <f t="shared" si="1"/>
        <v>308</v>
      </c>
      <c r="AF175" s="124">
        <f t="shared" si="1"/>
        <v>310</v>
      </c>
      <c r="AG175" s="124">
        <f t="shared" si="1"/>
        <v>292</v>
      </c>
      <c r="AH175" s="124">
        <f t="shared" si="1"/>
        <v>283</v>
      </c>
      <c r="AI175" s="124">
        <f t="shared" si="1"/>
        <v>297</v>
      </c>
      <c r="AJ175" s="124">
        <f t="shared" si="1"/>
        <v>315</v>
      </c>
      <c r="AK175" s="124">
        <f t="shared" si="1"/>
        <v>301</v>
      </c>
      <c r="AL175" s="124">
        <f t="shared" si="1"/>
        <v>335</v>
      </c>
      <c r="AM175" s="124">
        <f t="shared" si="1"/>
        <v>333</v>
      </c>
      <c r="AN175" s="124">
        <f t="shared" si="1"/>
        <v>309</v>
      </c>
      <c r="AO175" s="124">
        <f t="shared" si="1"/>
        <v>323</v>
      </c>
      <c r="AP175" s="124">
        <f t="shared" si="1"/>
        <v>280</v>
      </c>
      <c r="AQ175" s="124">
        <f t="shared" si="1"/>
        <v>244.8693998113547</v>
      </c>
      <c r="AR175" s="124">
        <f t="shared" si="1"/>
        <v>263.8693998113547</v>
      </c>
      <c r="AS175" s="124">
        <f t="shared" si="1"/>
        <v>232.8693998113547</v>
      </c>
      <c r="AT175" s="124">
        <f t="shared" si="1"/>
        <v>267.8693998113547</v>
      </c>
      <c r="AU175" s="124">
        <f t="shared" si="1"/>
        <v>282.8693998113547</v>
      </c>
      <c r="AV175" s="124">
        <f t="shared" si="1"/>
        <v>236.8693998113547</v>
      </c>
      <c r="AW175" s="124">
        <f t="shared" si="1"/>
        <v>194.8693998113547</v>
      </c>
      <c r="AX175" s="124">
        <f t="shared" si="1"/>
        <v>166.8693998113547</v>
      </c>
      <c r="AY175" s="124">
        <f t="shared" si="1"/>
        <v>147.8693998113547</v>
      </c>
    </row>
    <row r="176" spans="1:52">
      <c r="A176" s="125"/>
      <c r="B176" s="136" t="s">
        <v>299</v>
      </c>
      <c r="C176" s="125" t="s">
        <v>293</v>
      </c>
      <c r="D176" s="125">
        <v>145</v>
      </c>
      <c r="E176" s="125">
        <v>119</v>
      </c>
      <c r="F176" s="125">
        <v>169</v>
      </c>
      <c r="G176" s="125">
        <v>103</v>
      </c>
      <c r="H176" s="125">
        <v>130</v>
      </c>
      <c r="I176" s="125">
        <v>142</v>
      </c>
      <c r="J176" s="125">
        <v>155</v>
      </c>
      <c r="K176" s="125">
        <v>101</v>
      </c>
      <c r="L176" s="125">
        <v>143</v>
      </c>
      <c r="M176" s="125">
        <v>163</v>
      </c>
      <c r="N176" s="125">
        <v>178</v>
      </c>
      <c r="O176" s="125">
        <v>146</v>
      </c>
      <c r="P176" s="125">
        <v>163</v>
      </c>
      <c r="Q176" s="125">
        <v>159</v>
      </c>
      <c r="R176" s="125">
        <v>127</v>
      </c>
      <c r="S176" s="125">
        <v>163</v>
      </c>
      <c r="T176" s="125">
        <v>128</v>
      </c>
      <c r="U176" s="125">
        <v>172</v>
      </c>
      <c r="V176" s="125">
        <v>110</v>
      </c>
      <c r="W176" s="125">
        <v>175</v>
      </c>
      <c r="X176" s="125">
        <v>122</v>
      </c>
      <c r="Y176" s="125">
        <v>130</v>
      </c>
      <c r="Z176" s="125">
        <v>155</v>
      </c>
      <c r="AA176" s="125">
        <v>128</v>
      </c>
      <c r="AB176" s="125">
        <v>110</v>
      </c>
      <c r="AC176" s="125">
        <v>152</v>
      </c>
      <c r="AD176" s="125">
        <v>124</v>
      </c>
      <c r="AE176" s="125">
        <v>138</v>
      </c>
      <c r="AF176" s="125">
        <v>158</v>
      </c>
      <c r="AG176" s="125">
        <v>149</v>
      </c>
      <c r="AH176" s="125">
        <v>126</v>
      </c>
      <c r="AI176" s="125">
        <v>150</v>
      </c>
      <c r="AJ176" s="125">
        <v>182</v>
      </c>
      <c r="AK176" s="125">
        <v>134</v>
      </c>
      <c r="AL176" s="125">
        <v>170</v>
      </c>
      <c r="AM176" s="125">
        <v>164</v>
      </c>
      <c r="AN176" s="125">
        <v>126</v>
      </c>
      <c r="AO176" s="125">
        <v>183</v>
      </c>
      <c r="AP176" s="125">
        <v>139</v>
      </c>
      <c r="AQ176" s="125">
        <v>121</v>
      </c>
      <c r="AR176" s="125">
        <v>171</v>
      </c>
      <c r="AS176" s="125">
        <v>105</v>
      </c>
      <c r="AT176" s="125">
        <v>125</v>
      </c>
      <c r="AU176" s="125">
        <v>186</v>
      </c>
      <c r="AV176" s="125">
        <v>182</v>
      </c>
      <c r="AW176" s="125">
        <v>168</v>
      </c>
      <c r="AX176" s="125">
        <v>159</v>
      </c>
      <c r="AY176" s="125">
        <v>141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102.20755739204566</v>
      </c>
      <c r="E177" s="124">
        <f t="shared" si="2"/>
        <v>14.133066936767996</v>
      </c>
      <c r="F177" s="124">
        <f t="shared" si="2"/>
        <v>274.22560268320046</v>
      </c>
      <c r="G177" s="124">
        <f t="shared" si="2"/>
        <v>352.56026799935796</v>
      </c>
      <c r="H177" s="124">
        <f t="shared" si="2"/>
        <v>255.22560268319793</v>
      </c>
      <c r="I177" s="124">
        <f t="shared" si="2"/>
        <v>283.70930947433322</v>
      </c>
      <c r="J177" s="124">
        <f t="shared" si="2"/>
        <v>349.37464415817192</v>
      </c>
      <c r="K177" s="124">
        <f t="shared" si="2"/>
        <v>270.41122652437645</v>
      </c>
      <c r="L177" s="124">
        <f t="shared" si="2"/>
        <v>294.70930947432947</v>
      </c>
      <c r="M177" s="124">
        <f t="shared" si="2"/>
        <v>308.70930947432817</v>
      </c>
      <c r="N177" s="124">
        <f t="shared" si="2"/>
        <v>125.70930947432819</v>
      </c>
      <c r="O177" s="124">
        <f t="shared" si="2"/>
        <v>272.14904147497521</v>
      </c>
      <c r="P177" s="124">
        <f t="shared" si="2"/>
        <v>317.14904147497396</v>
      </c>
      <c r="Q177" s="124">
        <f t="shared" si="2"/>
        <v>357.14904147497271</v>
      </c>
      <c r="R177" s="124">
        <f t="shared" si="2"/>
        <v>386.85095852501718</v>
      </c>
      <c r="S177" s="124">
        <f t="shared" si="2"/>
        <v>429.14141532350794</v>
      </c>
      <c r="T177" s="124">
        <f t="shared" si="2"/>
        <v>387.71212298526444</v>
      </c>
      <c r="U177" s="124">
        <f t="shared" si="2"/>
        <v>361.28283064702094</v>
      </c>
      <c r="V177" s="124">
        <f t="shared" si="2"/>
        <v>142.28283064702094</v>
      </c>
      <c r="W177" s="124">
        <f t="shared" si="2"/>
        <v>179.99999999999872</v>
      </c>
      <c r="X177" s="124">
        <f t="shared" si="2"/>
        <v>272.14904147497526</v>
      </c>
      <c r="Y177" s="124">
        <f t="shared" si="2"/>
        <v>256.14904147497396</v>
      </c>
      <c r="Z177" s="124">
        <f t="shared" si="2"/>
        <v>255.14904147497273</v>
      </c>
      <c r="AA177" s="124">
        <f t="shared" si="2"/>
        <v>292.14904147497145</v>
      </c>
      <c r="AB177" s="124">
        <f t="shared" si="2"/>
        <v>257.1490414749702</v>
      </c>
      <c r="AC177" s="124">
        <f t="shared" si="2"/>
        <v>168.99999999999241</v>
      </c>
      <c r="AD177" s="124">
        <f t="shared" si="2"/>
        <v>207.99999999999113</v>
      </c>
      <c r="AE177" s="124">
        <f t="shared" si="2"/>
        <v>116.85095852501335</v>
      </c>
      <c r="AF177" s="124">
        <f t="shared" si="2"/>
        <v>179.99999999999875</v>
      </c>
      <c r="AG177" s="124">
        <f t="shared" si="2"/>
        <v>364.29808294995178</v>
      </c>
      <c r="AH177" s="124">
        <f t="shared" si="2"/>
        <v>267.44712442492823</v>
      </c>
      <c r="AI177" s="124">
        <f t="shared" si="2"/>
        <v>300.14904147497271</v>
      </c>
      <c r="AJ177" s="124">
        <f t="shared" si="2"/>
        <v>316.44712442492573</v>
      </c>
      <c r="AK177" s="124">
        <f t="shared" si="2"/>
        <v>413.29808294994672</v>
      </c>
      <c r="AL177" s="124">
        <f t="shared" si="2"/>
        <v>306.1490414749689</v>
      </c>
      <c r="AM177" s="124">
        <f t="shared" si="2"/>
        <v>273.14904147496759</v>
      </c>
      <c r="AN177" s="124">
        <f t="shared" si="2"/>
        <v>111.14904147496765</v>
      </c>
      <c r="AO177" s="124">
        <f t="shared" si="2"/>
        <v>267.85095852502093</v>
      </c>
      <c r="AP177" s="124">
        <f t="shared" si="2"/>
        <v>360.99999999999619</v>
      </c>
      <c r="AQ177" s="124">
        <f t="shared" si="2"/>
        <v>492.14904147497145</v>
      </c>
      <c r="AR177" s="124">
        <f t="shared" si="2"/>
        <v>359.29808294994791</v>
      </c>
      <c r="AS177" s="124">
        <f t="shared" si="2"/>
        <v>392.29808294994666</v>
      </c>
      <c r="AT177" s="124">
        <f t="shared" si="2"/>
        <v>163.29808294994666</v>
      </c>
      <c r="AU177" s="124">
        <f t="shared" si="2"/>
        <v>175.70191705004441</v>
      </c>
      <c r="AV177" s="124">
        <f t="shared" si="2"/>
        <v>364.29808294995178</v>
      </c>
      <c r="AW177" s="124">
        <f t="shared" si="2"/>
        <v>233.14904147497401</v>
      </c>
      <c r="AX177" s="124">
        <f t="shared" si="2"/>
        <v>216.14904147497276</v>
      </c>
      <c r="AY177" s="124">
        <f t="shared" si="2"/>
        <v>272.14904147497526</v>
      </c>
    </row>
    <row r="178" spans="1:51">
      <c r="A178" s="125"/>
      <c r="B178" s="136" t="s">
        <v>299</v>
      </c>
      <c r="C178" s="125" t="s">
        <v>293</v>
      </c>
      <c r="D178" s="125">
        <v>102.20755739204566</v>
      </c>
      <c r="E178" s="125">
        <v>14.133066936767996</v>
      </c>
      <c r="F178" s="125">
        <v>211</v>
      </c>
      <c r="G178" s="125">
        <v>168</v>
      </c>
      <c r="H178" s="125">
        <v>173</v>
      </c>
      <c r="I178" s="125">
        <v>185</v>
      </c>
      <c r="J178" s="125">
        <v>184</v>
      </c>
      <c r="K178" s="125">
        <v>160</v>
      </c>
      <c r="L178" s="125">
        <v>166</v>
      </c>
      <c r="M178" s="125">
        <v>183</v>
      </c>
      <c r="N178" s="125">
        <v>125.70930947432819</v>
      </c>
      <c r="O178" s="125">
        <v>135</v>
      </c>
      <c r="P178" s="125">
        <v>140</v>
      </c>
      <c r="Q178" s="125">
        <v>146</v>
      </c>
      <c r="R178" s="125">
        <v>193</v>
      </c>
      <c r="S178" s="125">
        <v>203</v>
      </c>
      <c r="T178" s="125">
        <v>188</v>
      </c>
      <c r="U178" s="125">
        <v>219</v>
      </c>
      <c r="V178" s="125">
        <v>142.28283064702094</v>
      </c>
      <c r="W178" s="125">
        <v>179.99999999999872</v>
      </c>
      <c r="X178" s="125">
        <v>196</v>
      </c>
      <c r="Y178" s="125">
        <v>181</v>
      </c>
      <c r="Z178" s="125">
        <v>143</v>
      </c>
      <c r="AA178" s="125">
        <v>215</v>
      </c>
      <c r="AB178" s="125">
        <v>176</v>
      </c>
      <c r="AC178" s="125">
        <v>141</v>
      </c>
      <c r="AD178" s="125">
        <v>179</v>
      </c>
      <c r="AE178" s="125">
        <v>116.85095852501335</v>
      </c>
      <c r="AF178" s="125">
        <v>179.99999999999875</v>
      </c>
      <c r="AG178" s="125">
        <v>189</v>
      </c>
      <c r="AH178" s="125">
        <v>143</v>
      </c>
      <c r="AI178" s="125">
        <v>168</v>
      </c>
      <c r="AJ178" s="125">
        <v>171</v>
      </c>
      <c r="AK178" s="125">
        <v>195</v>
      </c>
      <c r="AL178" s="125">
        <v>213</v>
      </c>
      <c r="AM178" s="125">
        <v>162</v>
      </c>
      <c r="AN178" s="125">
        <v>111.14904147496765</v>
      </c>
      <c r="AO178" s="125">
        <v>179</v>
      </c>
      <c r="AP178" s="125">
        <v>141</v>
      </c>
      <c r="AQ178" s="125">
        <v>225</v>
      </c>
      <c r="AR178" s="125">
        <v>147</v>
      </c>
      <c r="AS178" s="125">
        <v>229</v>
      </c>
      <c r="AT178" s="125">
        <v>163.29808294994666</v>
      </c>
      <c r="AU178" s="125">
        <v>175.70191705004441</v>
      </c>
      <c r="AV178" s="125">
        <v>219</v>
      </c>
      <c r="AW178" s="125">
        <v>197</v>
      </c>
      <c r="AX178" s="125">
        <v>216.14904147497276</v>
      </c>
      <c r="AY178" s="125">
        <v>247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100.62923718443872</v>
      </c>
      <c r="E179" s="124">
        <f t="shared" si="3"/>
        <v>50.256958366184037</v>
      </c>
      <c r="F179" s="124">
        <f t="shared" si="3"/>
        <v>5.6388659455296732</v>
      </c>
      <c r="G179" s="124">
        <f t="shared" si="3"/>
        <v>108.93687813991095</v>
      </c>
      <c r="H179" s="124">
        <f t="shared" si="3"/>
        <v>185.49771277368103</v>
      </c>
      <c r="I179" s="124">
        <f t="shared" si="3"/>
        <v>168.7930877887095</v>
      </c>
      <c r="J179" s="124">
        <f t="shared" si="3"/>
        <v>184.68040142096811</v>
      </c>
      <c r="K179" s="124">
        <f t="shared" si="3"/>
        <v>205.40966914516775</v>
      </c>
      <c r="L179" s="124">
        <f t="shared" si="3"/>
        <v>174.58519691879326</v>
      </c>
      <c r="M179" s="124">
        <f t="shared" si="3"/>
        <v>167.10168501318338</v>
      </c>
      <c r="N179" s="124">
        <f t="shared" si="3"/>
        <v>167.98951545009993</v>
      </c>
      <c r="O179" s="124">
        <f t="shared" si="3"/>
        <v>93.483993187078269</v>
      </c>
      <c r="P179" s="124">
        <f t="shared" si="3"/>
        <v>108.10236057384455</v>
      </c>
      <c r="Q179" s="124">
        <f t="shared" si="3"/>
        <v>98.903806415668072</v>
      </c>
      <c r="R179" s="124">
        <f t="shared" si="3"/>
        <v>128.55526975663403</v>
      </c>
      <c r="S179" s="124">
        <f t="shared" si="3"/>
        <v>121.35601303498332</v>
      </c>
      <c r="T179" s="124">
        <f t="shared" si="3"/>
        <v>105.84280237259816</v>
      </c>
      <c r="U179" s="124">
        <f t="shared" si="3"/>
        <v>124.20834640428255</v>
      </c>
      <c r="V179" s="124">
        <f t="shared" si="3"/>
        <v>125.7499609447743</v>
      </c>
      <c r="W179" s="124">
        <f t="shared" si="3"/>
        <v>68.42923653922368</v>
      </c>
      <c r="X179" s="124">
        <f t="shared" si="3"/>
        <v>71.562409519048231</v>
      </c>
      <c r="Y179" s="124">
        <f t="shared" si="3"/>
        <v>115.76295303491908</v>
      </c>
      <c r="Z179" s="124">
        <f t="shared" si="3"/>
        <v>151.57705742803321</v>
      </c>
      <c r="AA179" s="124">
        <f t="shared" si="3"/>
        <v>152.78087717407394</v>
      </c>
      <c r="AB179" s="124">
        <f t="shared" si="3"/>
        <v>171.66239478622231</v>
      </c>
      <c r="AC179" s="124">
        <f t="shared" si="3"/>
        <v>159.5190010021156</v>
      </c>
      <c r="AD179" s="124">
        <f t="shared" si="3"/>
        <v>122.40562796551362</v>
      </c>
      <c r="AE179" s="124">
        <f t="shared" si="3"/>
        <v>87.968037484561847</v>
      </c>
      <c r="AF179" s="124">
        <f t="shared" si="3"/>
        <v>42.833304807950825</v>
      </c>
      <c r="AG179" s="124">
        <f t="shared" si="3"/>
        <v>71.562409519048231</v>
      </c>
      <c r="AH179" s="124">
        <f t="shared" si="3"/>
        <v>144.64231162864087</v>
      </c>
      <c r="AI179" s="124">
        <f t="shared" si="3"/>
        <v>148.83940001551298</v>
      </c>
      <c r="AJ179" s="124">
        <f t="shared" si="3"/>
        <v>146.42458948928217</v>
      </c>
      <c r="AK179" s="124">
        <f t="shared" si="3"/>
        <v>159.93863940328018</v>
      </c>
      <c r="AL179" s="124">
        <f t="shared" si="3"/>
        <v>199.36278475142905</v>
      </c>
      <c r="AM179" s="124">
        <f t="shared" si="3"/>
        <v>164.95810594154904</v>
      </c>
      <c r="AN179" s="124">
        <f t="shared" si="3"/>
        <v>128.52051546059727</v>
      </c>
      <c r="AO179" s="124">
        <f t="shared" si="3"/>
        <v>63.209880662192596</v>
      </c>
      <c r="AP179" s="124">
        <f t="shared" si="3"/>
        <v>106.57937367880078</v>
      </c>
      <c r="AQ179" s="124">
        <f t="shared" si="3"/>
        <v>140.4661178594751</v>
      </c>
      <c r="AR179" s="124">
        <f t="shared" si="3"/>
        <v>204.4753536027703</v>
      </c>
      <c r="AS179" s="124">
        <f t="shared" si="3"/>
        <v>182.29659953679982</v>
      </c>
      <c r="AT179" s="124">
        <f t="shared" si="3"/>
        <v>155.4042558986317</v>
      </c>
      <c r="AU179" s="124">
        <f t="shared" si="3"/>
        <v>72.999702698280302</v>
      </c>
      <c r="AV179" s="124">
        <f t="shared" si="3"/>
        <v>70.039422624004459</v>
      </c>
      <c r="AW179" s="124">
        <f t="shared" si="3"/>
        <v>145.77881217702475</v>
      </c>
      <c r="AX179" s="124">
        <f t="shared" si="3"/>
        <v>161.33180543067294</v>
      </c>
      <c r="AY179" s="124">
        <f t="shared" si="3"/>
        <v>135.89421494972117</v>
      </c>
    </row>
    <row r="180" spans="1:51">
      <c r="A180" s="125"/>
      <c r="B180" s="136" t="s">
        <v>299</v>
      </c>
      <c r="C180" s="125" t="s">
        <v>293</v>
      </c>
      <c r="D180" s="125">
        <v>76.301823379788402</v>
      </c>
      <c r="E180" s="125">
        <v>50.256958366184037</v>
      </c>
      <c r="F180" s="125">
        <v>5.6388659455296732</v>
      </c>
      <c r="G180" s="125">
        <v>58</v>
      </c>
      <c r="H180" s="125">
        <v>99</v>
      </c>
      <c r="I180" s="125">
        <v>66</v>
      </c>
      <c r="J180" s="125">
        <v>79</v>
      </c>
      <c r="K180" s="125">
        <v>104</v>
      </c>
      <c r="L180" s="125">
        <v>88</v>
      </c>
      <c r="M180" s="125">
        <v>80</v>
      </c>
      <c r="N180" s="125">
        <v>74.511016567521025</v>
      </c>
      <c r="O180" s="125">
        <v>93.483993187078269</v>
      </c>
      <c r="P180" s="125">
        <v>104</v>
      </c>
      <c r="Q180" s="125">
        <v>64</v>
      </c>
      <c r="R180" s="125">
        <v>89</v>
      </c>
      <c r="S180" s="125">
        <v>109</v>
      </c>
      <c r="T180" s="125">
        <v>65</v>
      </c>
      <c r="U180" s="125">
        <v>65</v>
      </c>
      <c r="V180" s="125">
        <v>59.413576152230014</v>
      </c>
      <c r="W180" s="125">
        <v>68.42923653922368</v>
      </c>
      <c r="X180" s="125">
        <v>71.562409519048231</v>
      </c>
      <c r="Y180" s="125">
        <v>63</v>
      </c>
      <c r="Z180" s="125">
        <v>89</v>
      </c>
      <c r="AA180" s="125">
        <v>75</v>
      </c>
      <c r="AB180" s="125">
        <v>91</v>
      </c>
      <c r="AC180" s="125">
        <v>74</v>
      </c>
      <c r="AD180" s="125">
        <v>106</v>
      </c>
      <c r="AE180" s="125">
        <v>87.968037484561847</v>
      </c>
      <c r="AF180" s="125">
        <v>42.833304807950825</v>
      </c>
      <c r="AG180" s="125">
        <v>71.562409519048231</v>
      </c>
      <c r="AH180" s="125">
        <v>75</v>
      </c>
      <c r="AI180" s="125">
        <v>93</v>
      </c>
      <c r="AJ180" s="125">
        <v>69</v>
      </c>
      <c r="AK180" s="125">
        <v>87</v>
      </c>
      <c r="AL180" s="125">
        <v>97</v>
      </c>
      <c r="AM180" s="125">
        <v>108</v>
      </c>
      <c r="AN180" s="125">
        <v>77.032398618452589</v>
      </c>
      <c r="AO180" s="125">
        <v>63.209880662192596</v>
      </c>
      <c r="AP180" s="125">
        <v>101</v>
      </c>
      <c r="AQ180" s="125">
        <v>86</v>
      </c>
      <c r="AR180" s="125">
        <v>115</v>
      </c>
      <c r="AS180" s="125">
        <v>104</v>
      </c>
      <c r="AT180" s="125">
        <v>82.41004750485078</v>
      </c>
      <c r="AU180" s="125">
        <v>72.999702698280302</v>
      </c>
      <c r="AV180" s="125">
        <v>70.039422624004459</v>
      </c>
      <c r="AW180" s="125">
        <v>70</v>
      </c>
      <c r="AX180" s="125">
        <v>97</v>
      </c>
      <c r="AY180" s="125">
        <v>111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47.103511685169281</v>
      </c>
      <c r="E181" s="124">
        <f t="shared" si="4"/>
        <v>10.24354235478517</v>
      </c>
      <c r="F181" s="124">
        <f t="shared" si="4"/>
        <v>197.89431704949482</v>
      </c>
      <c r="G181" s="124">
        <f t="shared" si="4"/>
        <v>244.44269861726463</v>
      </c>
      <c r="H181" s="124">
        <f t="shared" si="4"/>
        <v>149.49746415547901</v>
      </c>
      <c r="I181" s="124">
        <f t="shared" si="4"/>
        <v>148.75618140498742</v>
      </c>
      <c r="J181" s="124">
        <f t="shared" si="4"/>
        <v>181.16780711100756</v>
      </c>
      <c r="K181" s="124">
        <f t="shared" si="4"/>
        <v>132.93038446447437</v>
      </c>
      <c r="L181" s="124">
        <f t="shared" si="4"/>
        <v>146.26594496492649</v>
      </c>
      <c r="M181" s="124">
        <f t="shared" si="4"/>
        <v>146.94052404705727</v>
      </c>
      <c r="N181" s="124">
        <f t="shared" si="4"/>
        <v>9.9809325834582744E-3</v>
      </c>
      <c r="O181" s="124">
        <f t="shared" si="4"/>
        <v>196.37833562408244</v>
      </c>
      <c r="P181" s="124">
        <f t="shared" si="4"/>
        <v>172.21594468750465</v>
      </c>
      <c r="Q181" s="124">
        <f t="shared" si="4"/>
        <v>170.12689086558589</v>
      </c>
      <c r="R181" s="124">
        <f t="shared" si="4"/>
        <v>148.5989180304889</v>
      </c>
      <c r="S181" s="124">
        <f t="shared" si="4"/>
        <v>169.82774469960964</v>
      </c>
      <c r="T181" s="124">
        <f t="shared" si="4"/>
        <v>151.4415291066212</v>
      </c>
      <c r="U181" s="124">
        <f t="shared" si="4"/>
        <v>120.87924300482543</v>
      </c>
      <c r="V181" s="124">
        <f t="shared" si="4"/>
        <v>3.8018664952288814</v>
      </c>
      <c r="W181" s="124">
        <f t="shared" si="4"/>
        <v>129.99999999999903</v>
      </c>
      <c r="X181" s="124">
        <f t="shared" si="4"/>
        <v>210.29453865068123</v>
      </c>
      <c r="Y181" s="124">
        <f t="shared" si="4"/>
        <v>179.50532489666216</v>
      </c>
      <c r="Z181" s="124">
        <f t="shared" si="4"/>
        <v>163.86391466966867</v>
      </c>
      <c r="AA181" s="124">
        <f t="shared" si="4"/>
        <v>170.54480657656757</v>
      </c>
      <c r="AB181" s="124">
        <f t="shared" si="4"/>
        <v>143.25060987972154</v>
      </c>
      <c r="AC181" s="124">
        <f t="shared" si="4"/>
        <v>67.008105756491062</v>
      </c>
      <c r="AD181" s="124">
        <f t="shared" si="4"/>
        <v>129.99999999999903</v>
      </c>
      <c r="AE181" s="124">
        <f t="shared" si="4"/>
        <v>77.810818032215735</v>
      </c>
      <c r="AF181" s="124">
        <f t="shared" si="4"/>
        <v>129.99999999999903</v>
      </c>
      <c r="AG181" s="124">
        <f t="shared" si="4"/>
        <v>262.75667124816584</v>
      </c>
      <c r="AH181" s="124">
        <f t="shared" si="4"/>
        <v>143.86912849200309</v>
      </c>
      <c r="AI181" s="124">
        <f t="shared" si="4"/>
        <v>164.55670946148612</v>
      </c>
      <c r="AJ181" s="124">
        <f t="shared" si="4"/>
        <v>149.89470814233039</v>
      </c>
      <c r="AK181" s="124">
        <f t="shared" si="4"/>
        <v>229.66161991631347</v>
      </c>
      <c r="AL181" s="124">
        <f t="shared" si="4"/>
        <v>113.71042156636102</v>
      </c>
      <c r="AM181" s="124">
        <f t="shared" si="4"/>
        <v>129.99999999999903</v>
      </c>
      <c r="AN181" s="124">
        <f t="shared" si="4"/>
        <v>21.293711417033947</v>
      </c>
      <c r="AO181" s="124">
        <f t="shared" si="4"/>
        <v>193.61168344333117</v>
      </c>
      <c r="AP181" s="124">
        <f t="shared" si="4"/>
        <v>245.0347446562717</v>
      </c>
      <c r="AQ181" s="124">
        <f t="shared" si="4"/>
        <v>272.50620511090347</v>
      </c>
      <c r="AR181" s="124">
        <f t="shared" si="4"/>
        <v>168.61872109283655</v>
      </c>
      <c r="AS181" s="124">
        <f t="shared" si="4"/>
        <v>140.0734742500519</v>
      </c>
      <c r="AT181" s="124">
        <f t="shared" si="4"/>
        <v>9.9809325834582744E-3</v>
      </c>
      <c r="AU181" s="124">
        <f t="shared" si="4"/>
        <v>127.23334781924777</v>
      </c>
      <c r="AV181" s="124">
        <f t="shared" si="4"/>
        <v>264.82123380667753</v>
      </c>
      <c r="AW181" s="124">
        <f t="shared" si="4"/>
        <v>155.41524101440154</v>
      </c>
      <c r="AX181" s="124">
        <f t="shared" si="4"/>
        <v>129.99999999999903</v>
      </c>
      <c r="AY181" s="124">
        <f t="shared" si="4"/>
        <v>196.37833562408244</v>
      </c>
    </row>
    <row r="182" spans="1:51">
      <c r="A182" s="125"/>
      <c r="B182" s="136" t="s">
        <v>299</v>
      </c>
      <c r="C182" s="125" t="s">
        <v>293</v>
      </c>
      <c r="D182" s="125">
        <v>47.103511685169281</v>
      </c>
      <c r="E182" s="125">
        <v>10.24354235478517</v>
      </c>
      <c r="F182" s="125">
        <v>142.6654622833118</v>
      </c>
      <c r="G182" s="125">
        <v>92</v>
      </c>
      <c r="H182" s="125">
        <v>144</v>
      </c>
      <c r="I182" s="125">
        <v>148.75618140498742</v>
      </c>
      <c r="J182" s="125">
        <v>93</v>
      </c>
      <c r="K182" s="125">
        <v>112</v>
      </c>
      <c r="L182" s="125">
        <v>120</v>
      </c>
      <c r="M182" s="125">
        <v>146.94052404705727</v>
      </c>
      <c r="N182" s="125">
        <v>9.9809325834582744E-3</v>
      </c>
      <c r="O182" s="125">
        <v>130.92335461380159</v>
      </c>
      <c r="P182" s="125">
        <v>110</v>
      </c>
      <c r="Q182" s="125">
        <v>137</v>
      </c>
      <c r="R182" s="125">
        <v>148.5989180304889</v>
      </c>
      <c r="S182" s="125">
        <v>116</v>
      </c>
      <c r="T182" s="125">
        <v>145</v>
      </c>
      <c r="U182" s="125">
        <v>115</v>
      </c>
      <c r="V182" s="125">
        <v>3.8018664952288814</v>
      </c>
      <c r="W182" s="125">
        <v>108.42320451232565</v>
      </c>
      <c r="X182" s="125">
        <v>133.53751887995227</v>
      </c>
      <c r="Y182" s="125">
        <v>127</v>
      </c>
      <c r="Z182" s="125">
        <v>101</v>
      </c>
      <c r="AA182" s="125">
        <v>150</v>
      </c>
      <c r="AB182" s="125">
        <v>138</v>
      </c>
      <c r="AC182" s="125">
        <v>67.008105756491062</v>
      </c>
      <c r="AD182" s="125">
        <v>108</v>
      </c>
      <c r="AE182" s="125">
        <v>77.810818032215735</v>
      </c>
      <c r="AF182" s="125">
        <v>129.99999999999903</v>
      </c>
      <c r="AG182" s="125">
        <v>142.62421628525323</v>
      </c>
      <c r="AH182" s="125">
        <v>86</v>
      </c>
      <c r="AI182" s="125">
        <v>138</v>
      </c>
      <c r="AJ182" s="125">
        <v>94</v>
      </c>
      <c r="AK182" s="125">
        <v>152</v>
      </c>
      <c r="AL182" s="125">
        <v>113.71042156636102</v>
      </c>
      <c r="AM182" s="125">
        <v>97</v>
      </c>
      <c r="AN182" s="125">
        <v>21.293711417033947</v>
      </c>
      <c r="AO182" s="125">
        <v>118.17089080431215</v>
      </c>
      <c r="AP182" s="125">
        <v>127</v>
      </c>
      <c r="AQ182" s="125">
        <v>114</v>
      </c>
      <c r="AR182" s="125">
        <v>153</v>
      </c>
      <c r="AS182" s="125">
        <v>140.0734742500519</v>
      </c>
      <c r="AT182" s="125">
        <v>9.9809325834582744E-3</v>
      </c>
      <c r="AU182" s="125">
        <v>124.03228471235218</v>
      </c>
      <c r="AV182" s="125">
        <v>122.4971223787953</v>
      </c>
      <c r="AW182" s="125">
        <v>155.41524101440154</v>
      </c>
      <c r="AX182" s="125">
        <v>129.99999999999903</v>
      </c>
      <c r="AY182" s="125">
        <v>146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26</v>
      </c>
      <c r="V185" s="124">
        <v>0</v>
      </c>
      <c r="W185" s="124">
        <v>31</v>
      </c>
      <c r="X185" s="124">
        <v>13</v>
      </c>
      <c r="Y185" s="124">
        <v>3</v>
      </c>
      <c r="Z185" s="124">
        <v>18</v>
      </c>
      <c r="AA185" s="124">
        <v>6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35</v>
      </c>
      <c r="AK185" s="124">
        <v>1</v>
      </c>
      <c r="AL185" s="124">
        <v>3</v>
      </c>
      <c r="AM185" s="124">
        <v>0</v>
      </c>
      <c r="AN185" s="124">
        <v>0</v>
      </c>
      <c r="AO185" s="124">
        <v>0</v>
      </c>
      <c r="AP185" s="124">
        <v>0</v>
      </c>
      <c r="AQ185" s="124">
        <v>16.130600188645303</v>
      </c>
      <c r="AR185" s="124">
        <v>47.130600188645303</v>
      </c>
      <c r="AS185" s="124">
        <v>12.130600188645303</v>
      </c>
      <c r="AT185" s="124">
        <v>0</v>
      </c>
      <c r="AU185" s="124">
        <v>43.130600188645303</v>
      </c>
      <c r="AV185" s="124">
        <v>85.130600188645303</v>
      </c>
      <c r="AW185" s="124">
        <v>113.1306001886453</v>
      </c>
      <c r="AX185" s="124">
        <v>132.1306001886453</v>
      </c>
      <c r="AY185" s="124">
        <v>133.1306001886453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5</v>
      </c>
      <c r="Q186" s="106">
        <v>24</v>
      </c>
      <c r="R186" s="106">
        <v>39</v>
      </c>
      <c r="S186" s="106">
        <v>90</v>
      </c>
      <c r="T186" s="106">
        <v>106</v>
      </c>
      <c r="U186" s="106">
        <v>140</v>
      </c>
      <c r="V186" s="106">
        <v>110</v>
      </c>
      <c r="W186" s="106">
        <v>140</v>
      </c>
      <c r="X186" s="106">
        <v>109</v>
      </c>
      <c r="Y186" s="106">
        <v>127</v>
      </c>
      <c r="Z186" s="106">
        <v>137</v>
      </c>
      <c r="AA186" s="106">
        <v>122</v>
      </c>
      <c r="AB186" s="106">
        <v>110</v>
      </c>
      <c r="AC186" s="106">
        <v>128</v>
      </c>
      <c r="AD186" s="106">
        <v>112</v>
      </c>
      <c r="AE186" s="106">
        <v>110</v>
      </c>
      <c r="AF186" s="106">
        <v>128</v>
      </c>
      <c r="AG186" s="106">
        <v>137</v>
      </c>
      <c r="AH186" s="106">
        <v>123</v>
      </c>
      <c r="AI186" s="106">
        <v>133</v>
      </c>
      <c r="AJ186" s="106">
        <v>140</v>
      </c>
      <c r="AK186" s="106">
        <v>133</v>
      </c>
      <c r="AL186" s="106">
        <v>167</v>
      </c>
      <c r="AM186" s="106">
        <v>164</v>
      </c>
      <c r="AN186" s="106">
        <v>125</v>
      </c>
      <c r="AO186" s="106">
        <v>140</v>
      </c>
      <c r="AP186" s="106">
        <v>139</v>
      </c>
      <c r="AQ186" s="106">
        <v>104.8693998113547</v>
      </c>
      <c r="AR186" s="106">
        <v>123.8693998113547</v>
      </c>
      <c r="AS186" s="106">
        <v>92.869399811354697</v>
      </c>
      <c r="AT186" s="106">
        <v>125</v>
      </c>
      <c r="AU186" s="106">
        <v>140</v>
      </c>
      <c r="AV186" s="106">
        <v>96.869399811354697</v>
      </c>
      <c r="AW186" s="106">
        <v>54.869399811354697</v>
      </c>
      <c r="AX186" s="106">
        <v>26.869399811354697</v>
      </c>
      <c r="AY186" s="106">
        <v>7.8693998113546968</v>
      </c>
    </row>
    <row r="187" spans="1:51">
      <c r="A187" s="109"/>
      <c r="B187" s="127">
        <v>3</v>
      </c>
      <c r="C187" s="106">
        <v>1.8661472566720931</v>
      </c>
      <c r="D187" s="106">
        <v>0</v>
      </c>
      <c r="E187" s="106">
        <v>0</v>
      </c>
      <c r="F187" s="106">
        <v>9</v>
      </c>
      <c r="G187" s="106">
        <v>0</v>
      </c>
      <c r="H187" s="106">
        <v>18</v>
      </c>
      <c r="I187" s="106">
        <v>48</v>
      </c>
      <c r="J187" s="106">
        <v>91</v>
      </c>
      <c r="K187" s="106">
        <v>52</v>
      </c>
      <c r="L187" s="106">
        <v>55</v>
      </c>
      <c r="M187" s="106">
        <v>78</v>
      </c>
      <c r="N187" s="106">
        <v>116</v>
      </c>
      <c r="O187" s="106">
        <v>122</v>
      </c>
      <c r="P187" s="106">
        <v>140</v>
      </c>
      <c r="Q187" s="106">
        <v>135</v>
      </c>
      <c r="R187" s="106">
        <v>88</v>
      </c>
      <c r="S187" s="106">
        <v>73</v>
      </c>
      <c r="T187" s="106">
        <v>22</v>
      </c>
      <c r="U187" s="106">
        <v>6</v>
      </c>
      <c r="V187" s="106">
        <v>0</v>
      </c>
      <c r="W187" s="106">
        <v>4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24</v>
      </c>
      <c r="AD187" s="106">
        <v>12</v>
      </c>
      <c r="AE187" s="106">
        <v>28</v>
      </c>
      <c r="AF187" s="106">
        <v>30</v>
      </c>
      <c r="AG187" s="106">
        <v>12</v>
      </c>
      <c r="AH187" s="106">
        <v>3</v>
      </c>
      <c r="AI187" s="106">
        <v>17</v>
      </c>
      <c r="AJ187" s="106">
        <v>7</v>
      </c>
      <c r="AK187" s="106">
        <v>0</v>
      </c>
      <c r="AL187" s="106">
        <v>0</v>
      </c>
      <c r="AM187" s="106">
        <v>0</v>
      </c>
      <c r="AN187" s="106">
        <v>1</v>
      </c>
      <c r="AO187" s="106">
        <v>43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2.8693998113546968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138.13385274332791</v>
      </c>
      <c r="D188" s="106">
        <v>145</v>
      </c>
      <c r="E188" s="106">
        <v>119</v>
      </c>
      <c r="F188" s="106">
        <v>160</v>
      </c>
      <c r="G188" s="106">
        <v>103</v>
      </c>
      <c r="H188" s="106">
        <v>112</v>
      </c>
      <c r="I188" s="106">
        <v>94</v>
      </c>
      <c r="J188" s="106">
        <v>64</v>
      </c>
      <c r="K188" s="106">
        <v>49</v>
      </c>
      <c r="L188" s="106">
        <v>88</v>
      </c>
      <c r="M188" s="106">
        <v>85</v>
      </c>
      <c r="N188" s="106">
        <v>62</v>
      </c>
      <c r="O188" s="106">
        <v>24</v>
      </c>
      <c r="P188" s="106">
        <v>18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134.4528243474025</v>
      </c>
      <c r="D189" s="124">
        <v>75.547175652597446</v>
      </c>
      <c r="E189" s="124">
        <v>14.133066936767996</v>
      </c>
      <c r="F189" s="124">
        <v>7.4397320006395375</v>
      </c>
      <c r="G189" s="124">
        <v>0</v>
      </c>
      <c r="H189" s="124">
        <v>0</v>
      </c>
      <c r="I189" s="124">
        <v>0</v>
      </c>
      <c r="J189" s="124">
        <v>0</v>
      </c>
      <c r="K189" s="124">
        <v>0</v>
      </c>
      <c r="L189" s="124">
        <v>0</v>
      </c>
      <c r="M189" s="124">
        <v>54.290690525670527</v>
      </c>
      <c r="N189" s="124">
        <v>0</v>
      </c>
      <c r="O189" s="124">
        <v>42.850958525023486</v>
      </c>
      <c r="P189" s="124">
        <v>0</v>
      </c>
      <c r="Q189" s="124">
        <v>0</v>
      </c>
      <c r="R189" s="124">
        <v>0</v>
      </c>
      <c r="S189" s="124">
        <v>0</v>
      </c>
      <c r="T189" s="124">
        <v>0</v>
      </c>
      <c r="U189" s="124">
        <v>19.287877014735557</v>
      </c>
      <c r="V189" s="124">
        <v>0</v>
      </c>
      <c r="W189" s="124">
        <v>87.850958525022207</v>
      </c>
      <c r="X189" s="124">
        <v>103.85095852502349</v>
      </c>
      <c r="Y189" s="124">
        <v>104.85095852502474</v>
      </c>
      <c r="Z189" s="124">
        <v>67.850958525026016</v>
      </c>
      <c r="AA189" s="124">
        <v>102.85095852502727</v>
      </c>
      <c r="AB189" s="124">
        <v>98.850958525028545</v>
      </c>
      <c r="AC189" s="124">
        <v>59.850958525029796</v>
      </c>
      <c r="AD189" s="124">
        <v>58.850958525031075</v>
      </c>
      <c r="AE189" s="124">
        <v>87.850958525022207</v>
      </c>
      <c r="AF189" s="124">
        <v>179.99999999999875</v>
      </c>
      <c r="AG189" s="124">
        <v>4.7019170500469727</v>
      </c>
      <c r="AH189" s="124">
        <v>0</v>
      </c>
      <c r="AI189" s="124">
        <v>0</v>
      </c>
      <c r="AJ189" s="124">
        <v>0</v>
      </c>
      <c r="AK189" s="124">
        <v>0</v>
      </c>
      <c r="AL189" s="124">
        <v>0</v>
      </c>
      <c r="AM189" s="124">
        <v>0</v>
      </c>
      <c r="AN189" s="124">
        <v>0</v>
      </c>
      <c r="AO189" s="124">
        <v>0</v>
      </c>
      <c r="AP189" s="124">
        <v>0</v>
      </c>
      <c r="AQ189" s="124">
        <v>0</v>
      </c>
      <c r="AR189" s="124">
        <v>0</v>
      </c>
      <c r="AS189" s="124">
        <v>16.70191705005206</v>
      </c>
      <c r="AT189" s="124">
        <v>0</v>
      </c>
      <c r="AU189" s="124">
        <v>87.850958525022193</v>
      </c>
      <c r="AV189" s="124">
        <v>34.701917050046944</v>
      </c>
      <c r="AW189" s="124">
        <v>51.701917050048195</v>
      </c>
      <c r="AX189" s="124">
        <v>87.850958525022222</v>
      </c>
      <c r="AY189" s="124">
        <v>154.85095852502349</v>
      </c>
    </row>
    <row r="190" spans="1:51">
      <c r="A190" s="109"/>
      <c r="B190" s="119">
        <v>2</v>
      </c>
      <c r="C190" s="106">
        <v>64.547175652597517</v>
      </c>
      <c r="D190" s="106">
        <v>26.660381739448212</v>
      </c>
      <c r="E190" s="106">
        <v>0</v>
      </c>
      <c r="F190" s="106">
        <v>203.56026799936046</v>
      </c>
      <c r="G190" s="106">
        <v>168</v>
      </c>
      <c r="H190" s="106">
        <v>168.43973200064079</v>
      </c>
      <c r="I190" s="106">
        <v>173.43973200064204</v>
      </c>
      <c r="J190" s="106">
        <v>177.43973200064329</v>
      </c>
      <c r="K190" s="106">
        <v>157.43973200064454</v>
      </c>
      <c r="L190" s="106">
        <v>143.43973200064579</v>
      </c>
      <c r="M190" s="106">
        <v>92.149041474976514</v>
      </c>
      <c r="N190" s="106">
        <v>125.70930947432819</v>
      </c>
      <c r="O190" s="106">
        <v>92.149041474976514</v>
      </c>
      <c r="P190" s="106">
        <v>52.149041474977764</v>
      </c>
      <c r="Q190" s="106">
        <v>61.00000000000253</v>
      </c>
      <c r="R190" s="106">
        <v>74.00000000000378</v>
      </c>
      <c r="S190" s="106">
        <v>97.000000000005059</v>
      </c>
      <c r="T190" s="106">
        <v>123.42929233824856</v>
      </c>
      <c r="U190" s="106">
        <v>161.5707076617565</v>
      </c>
      <c r="V190" s="106">
        <v>142.28283064702094</v>
      </c>
      <c r="W190" s="106">
        <v>92.149041474976514</v>
      </c>
      <c r="X190" s="106">
        <v>92.149041474976514</v>
      </c>
      <c r="Y190" s="106">
        <v>76.149041474975263</v>
      </c>
      <c r="Z190" s="106">
        <v>75.149041474973984</v>
      </c>
      <c r="AA190" s="106">
        <v>112.14904147497273</v>
      </c>
      <c r="AB190" s="106">
        <v>77.149041474971455</v>
      </c>
      <c r="AC190" s="106">
        <v>81.149041474970204</v>
      </c>
      <c r="AD190" s="106">
        <v>120.14904147496893</v>
      </c>
      <c r="AE190" s="106">
        <v>28.999999999991147</v>
      </c>
      <c r="AF190" s="106">
        <v>0</v>
      </c>
      <c r="AG190" s="106">
        <v>0</v>
      </c>
      <c r="AH190" s="106">
        <v>143</v>
      </c>
      <c r="AI190" s="106">
        <v>135.70191705004825</v>
      </c>
      <c r="AJ190" s="106">
        <v>126.7019170500495</v>
      </c>
      <c r="AK190" s="106">
        <v>141.70191705005078</v>
      </c>
      <c r="AL190" s="106">
        <v>174.70191705005203</v>
      </c>
      <c r="AM190" s="106">
        <v>156.70191705005331</v>
      </c>
      <c r="AN190" s="106">
        <v>87.850958525022207</v>
      </c>
      <c r="AO190" s="106">
        <v>86.850958525023486</v>
      </c>
      <c r="AP190" s="106">
        <v>140.00000000000125</v>
      </c>
      <c r="AQ190" s="106">
        <v>92.850958525026044</v>
      </c>
      <c r="AR190" s="106">
        <v>59.850958525027295</v>
      </c>
      <c r="AS190" s="106">
        <v>92.149041474976514</v>
      </c>
      <c r="AT190" s="106">
        <v>163.29808294994666</v>
      </c>
      <c r="AU190" s="106">
        <v>87.850958525022222</v>
      </c>
      <c r="AV190" s="106">
        <v>92.149041474976528</v>
      </c>
      <c r="AW190" s="106">
        <v>145.29808294995181</v>
      </c>
      <c r="AX190" s="106">
        <v>128.29808294995053</v>
      </c>
      <c r="AY190" s="106">
        <v>92.149041474976528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4.5602679993592119</v>
      </c>
      <c r="I191" s="106">
        <v>11.560267999357961</v>
      </c>
      <c r="J191" s="106">
        <v>6.5602679993567108</v>
      </c>
      <c r="K191" s="106">
        <v>2.5602679993554602</v>
      </c>
      <c r="L191" s="106">
        <v>22.56026799935421</v>
      </c>
      <c r="M191" s="106">
        <v>36.560267999352959</v>
      </c>
      <c r="N191" s="106">
        <v>0</v>
      </c>
      <c r="O191" s="106">
        <v>0</v>
      </c>
      <c r="P191" s="106">
        <v>87.850958525022236</v>
      </c>
      <c r="Q191" s="106">
        <v>84.99999999999747</v>
      </c>
      <c r="R191" s="106">
        <v>118.99999999999622</v>
      </c>
      <c r="S191" s="106">
        <v>105.99999999999494</v>
      </c>
      <c r="T191" s="106">
        <v>64.570707661751442</v>
      </c>
      <c r="U191" s="106">
        <v>38.141415323507943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184.29808294995303</v>
      </c>
      <c r="AH191" s="106">
        <v>0</v>
      </c>
      <c r="AI191" s="106">
        <v>32.298082949951748</v>
      </c>
      <c r="AJ191" s="106">
        <v>44.298082949950498</v>
      </c>
      <c r="AK191" s="106">
        <v>53.298082949949219</v>
      </c>
      <c r="AL191" s="106">
        <v>38.298082949947968</v>
      </c>
      <c r="AM191" s="106">
        <v>5.2980829499466893</v>
      </c>
      <c r="AN191" s="106">
        <v>23.298082949945439</v>
      </c>
      <c r="AO191" s="106">
        <v>92.149041474976514</v>
      </c>
      <c r="AP191" s="106">
        <v>0.99999999999873523</v>
      </c>
      <c r="AQ191" s="106">
        <v>132.14904147497396</v>
      </c>
      <c r="AR191" s="106">
        <v>87.149041474972705</v>
      </c>
      <c r="AS191" s="106">
        <v>120.14904147497143</v>
      </c>
      <c r="AT191" s="106">
        <v>0</v>
      </c>
      <c r="AU191" s="106">
        <v>0</v>
      </c>
      <c r="AV191" s="106">
        <v>92.149041474976528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69</v>
      </c>
      <c r="D197" s="106">
        <v>43.746448653150395</v>
      </c>
      <c r="E197" s="106">
        <v>25.929544561533717</v>
      </c>
      <c r="F197" s="106">
        <v>5.6388659455296732</v>
      </c>
      <c r="G197" s="106">
        <v>58</v>
      </c>
      <c r="H197" s="106">
        <v>48.063121860089055</v>
      </c>
      <c r="I197" s="106">
        <v>0</v>
      </c>
      <c r="J197" s="106">
        <v>0</v>
      </c>
      <c r="K197" s="106">
        <v>0</v>
      </c>
      <c r="L197" s="106">
        <v>0</v>
      </c>
      <c r="M197" s="106">
        <v>0</v>
      </c>
      <c r="N197" s="106">
        <v>0</v>
      </c>
      <c r="O197" s="106">
        <v>5.4943044993791545E-3</v>
      </c>
      <c r="P197" s="106">
        <v>104</v>
      </c>
      <c r="Q197" s="106">
        <v>59.89763942615545</v>
      </c>
      <c r="R197" s="106">
        <v>54.096193584331928</v>
      </c>
      <c r="S197" s="106">
        <v>69.444730243365967</v>
      </c>
      <c r="T197" s="106">
        <v>52.64398696501668</v>
      </c>
      <c r="U197" s="106">
        <v>24.157197627401843</v>
      </c>
      <c r="V197" s="106">
        <v>0.20522974794746318</v>
      </c>
      <c r="W197" s="106">
        <v>2.0928517466793837</v>
      </c>
      <c r="X197" s="106">
        <v>71.562409519048231</v>
      </c>
      <c r="Y197" s="106">
        <v>63</v>
      </c>
      <c r="Z197" s="106">
        <v>36.237046965080921</v>
      </c>
      <c r="AA197" s="106">
        <v>12.422942571966786</v>
      </c>
      <c r="AB197" s="106">
        <v>13.219122825926064</v>
      </c>
      <c r="AC197" s="106">
        <v>0</v>
      </c>
      <c r="AD197" s="106">
        <v>20.480998997884399</v>
      </c>
      <c r="AE197" s="106">
        <v>71.562409519048231</v>
      </c>
      <c r="AF197" s="106">
        <v>42.833304807950825</v>
      </c>
      <c r="AG197" s="106">
        <v>71.562409519048231</v>
      </c>
      <c r="AH197" s="106">
        <v>75</v>
      </c>
      <c r="AI197" s="106">
        <v>23.357688371359131</v>
      </c>
      <c r="AJ197" s="106">
        <v>13.160599984487035</v>
      </c>
      <c r="AK197" s="106">
        <v>9.5754105107178304</v>
      </c>
      <c r="AL197" s="106">
        <v>24.061360596719823</v>
      </c>
      <c r="AM197" s="106">
        <v>5.6372152485709677</v>
      </c>
      <c r="AN197" s="106">
        <v>20.074292676903539</v>
      </c>
      <c r="AO197" s="106">
        <v>11.721763820047904</v>
      </c>
      <c r="AP197" s="106">
        <v>101</v>
      </c>
      <c r="AQ197" s="106">
        <v>80.420626321199222</v>
      </c>
      <c r="AR197" s="106">
        <v>60.533882140524895</v>
      </c>
      <c r="AS197" s="106">
        <v>14.524646397229702</v>
      </c>
      <c r="AT197" s="106">
        <v>4.113447968050977</v>
      </c>
      <c r="AU197" s="106">
        <v>5.4943044993791545E-3</v>
      </c>
      <c r="AV197" s="106">
        <v>70.039422624004459</v>
      </c>
      <c r="AW197" s="106">
        <v>70</v>
      </c>
      <c r="AX197" s="106">
        <v>21.221187822975253</v>
      </c>
      <c r="AY197" s="106">
        <v>46.668194569327042</v>
      </c>
    </row>
    <row r="198" spans="1:51">
      <c r="A198" s="109"/>
      <c r="B198" s="119">
        <v>2</v>
      </c>
      <c r="C198" s="106">
        <v>0</v>
      </c>
      <c r="D198" s="106">
        <v>32.555374726638007</v>
      </c>
      <c r="E198" s="106">
        <v>24.32741380465032</v>
      </c>
      <c r="F198" s="106">
        <v>0</v>
      </c>
      <c r="G198" s="106">
        <v>0</v>
      </c>
      <c r="H198" s="106">
        <v>50.936878139910945</v>
      </c>
      <c r="I198" s="106">
        <v>66</v>
      </c>
      <c r="J198" s="106">
        <v>58.502287226318984</v>
      </c>
      <c r="K198" s="106">
        <v>80.206912211290501</v>
      </c>
      <c r="L198" s="106">
        <v>86.319598579031918</v>
      </c>
      <c r="M198" s="106">
        <v>66.590330854832231</v>
      </c>
      <c r="N198" s="106">
        <v>67.925819648727767</v>
      </c>
      <c r="O198" s="106">
        <v>80.887830436916502</v>
      </c>
      <c r="P198" s="106">
        <v>1.2949710748166865E-15</v>
      </c>
      <c r="Q198" s="106">
        <v>4.1023605738445497</v>
      </c>
      <c r="R198" s="106">
        <v>34.903806415668072</v>
      </c>
      <c r="S198" s="106">
        <v>39.555269756634033</v>
      </c>
      <c r="T198" s="106">
        <v>12.35601303498332</v>
      </c>
      <c r="U198" s="106">
        <v>40.842802372598157</v>
      </c>
      <c r="V198" s="106">
        <v>59.208346404282551</v>
      </c>
      <c r="W198" s="106">
        <v>66.336384792544294</v>
      </c>
      <c r="X198" s="106">
        <v>0</v>
      </c>
      <c r="Y198" s="106">
        <v>0</v>
      </c>
      <c r="Z198" s="106">
        <v>52.762953034919079</v>
      </c>
      <c r="AA198" s="106">
        <v>62.577057428033214</v>
      </c>
      <c r="AB198" s="106">
        <v>77.780877174073936</v>
      </c>
      <c r="AC198" s="106">
        <v>74</v>
      </c>
      <c r="AD198" s="106">
        <v>78.856606215893279</v>
      </c>
      <c r="AE198" s="106">
        <v>16.405627965513617</v>
      </c>
      <c r="AF198" s="106">
        <v>0</v>
      </c>
      <c r="AG198" s="106">
        <v>0</v>
      </c>
      <c r="AH198" s="106">
        <v>0</v>
      </c>
      <c r="AI198" s="106">
        <v>69.642311628640869</v>
      </c>
      <c r="AJ198" s="106">
        <v>55.839400015512965</v>
      </c>
      <c r="AK198" s="106">
        <v>77.42458948928217</v>
      </c>
      <c r="AL198" s="106">
        <v>72.938639403280177</v>
      </c>
      <c r="AM198" s="106">
        <v>102.36278475142903</v>
      </c>
      <c r="AN198" s="106">
        <v>56.95810594154905</v>
      </c>
      <c r="AO198" s="106">
        <v>51.488116842144692</v>
      </c>
      <c r="AP198" s="106">
        <v>0</v>
      </c>
      <c r="AQ198" s="106">
        <v>5.5793736788007777</v>
      </c>
      <c r="AR198" s="106">
        <v>54.466117859475105</v>
      </c>
      <c r="AS198" s="106">
        <v>89.475353602770298</v>
      </c>
      <c r="AT198" s="106">
        <v>78.296599536799803</v>
      </c>
      <c r="AU198" s="106">
        <v>72.994208393780923</v>
      </c>
      <c r="AV198" s="106">
        <v>1.2949710748166865E-15</v>
      </c>
      <c r="AW198" s="106">
        <v>0</v>
      </c>
      <c r="AX198" s="106">
        <v>75.778812177024747</v>
      </c>
      <c r="AY198" s="106">
        <v>64.331805430672958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20.497712773681016</v>
      </c>
      <c r="K199" s="106">
        <v>23.793087788709499</v>
      </c>
      <c r="L199" s="106">
        <v>1.6804014209680815</v>
      </c>
      <c r="M199" s="106">
        <v>13.409669145167769</v>
      </c>
      <c r="N199" s="106">
        <v>6.5851969187932582</v>
      </c>
      <c r="O199" s="106">
        <v>12.590668445662388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6.6623947862223218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91.453080857144414</v>
      </c>
      <c r="D209" s="124">
        <v>47.103511685169281</v>
      </c>
      <c r="E209" s="124">
        <v>10.24354235478517</v>
      </c>
      <c r="F209" s="124">
        <v>0</v>
      </c>
      <c r="G209" s="124">
        <v>0</v>
      </c>
      <c r="H209" s="124">
        <v>45.680323888112994</v>
      </c>
      <c r="I209" s="124">
        <v>66.388316556666865</v>
      </c>
      <c r="J209" s="124">
        <v>29.388316556667831</v>
      </c>
      <c r="K209" s="124">
        <v>42.691279911441271</v>
      </c>
      <c r="L209" s="124">
        <v>40.122371591740375</v>
      </c>
      <c r="M209" s="124">
        <v>129.99999999999903</v>
      </c>
      <c r="N209" s="124">
        <v>9.9809325834582744E-3</v>
      </c>
      <c r="O209" s="124">
        <v>64.545018989718187</v>
      </c>
      <c r="P209" s="124">
        <v>4.1723718691622551</v>
      </c>
      <c r="Q209" s="124">
        <v>96.873109134413113</v>
      </c>
      <c r="R209" s="124">
        <v>63.621664375915628</v>
      </c>
      <c r="S209" s="124">
        <v>62.896959838152995</v>
      </c>
      <c r="T209" s="124">
        <v>110.28317543114142</v>
      </c>
      <c r="U209" s="124">
        <v>110.84546153293718</v>
      </c>
      <c r="V209" s="124">
        <v>9.9809325834582744E-3</v>
      </c>
      <c r="W209" s="124">
        <v>42.044868888242249</v>
      </c>
      <c r="X209" s="124">
        <v>53.242980229270046</v>
      </c>
      <c r="Y209" s="124">
        <v>77.494675103336903</v>
      </c>
      <c r="Z209" s="124">
        <v>67.13608533033036</v>
      </c>
      <c r="AA209" s="124">
        <v>109.45519342343147</v>
      </c>
      <c r="AB209" s="124">
        <v>124.74939012027748</v>
      </c>
      <c r="AC209" s="124">
        <v>63.621664375915607</v>
      </c>
      <c r="AD209" s="124">
        <v>41.621664375916595</v>
      </c>
      <c r="AE209" s="124">
        <v>63.621664375915607</v>
      </c>
      <c r="AF209" s="124">
        <v>129.99999999999903</v>
      </c>
      <c r="AG209" s="124">
        <v>9.8675450370864155</v>
      </c>
      <c r="AH209" s="124">
        <v>8.5191880646637799</v>
      </c>
      <c r="AI209" s="124">
        <v>37.064954914429492</v>
      </c>
      <c r="AJ209" s="124">
        <v>10.493608414336492</v>
      </c>
      <c r="AK209" s="124">
        <v>52.33838008368555</v>
      </c>
      <c r="AL209" s="124">
        <v>63.621664375915628</v>
      </c>
      <c r="AM209" s="124">
        <v>30.621664375916595</v>
      </c>
      <c r="AN209" s="124">
        <v>9.9809325834582744E-3</v>
      </c>
      <c r="AO209" s="124">
        <v>0</v>
      </c>
      <c r="AP209" s="124">
        <v>0</v>
      </c>
      <c r="AQ209" s="124">
        <v>0</v>
      </c>
      <c r="AR209" s="124">
        <v>50.769595463830328</v>
      </c>
      <c r="AS209" s="124">
        <v>129.99999999999903</v>
      </c>
      <c r="AT209" s="124">
        <v>9.9809325834582744E-3</v>
      </c>
      <c r="AU209" s="124">
        <v>60.420601269020011</v>
      </c>
      <c r="AV209" s="124">
        <v>0</v>
      </c>
      <c r="AW209" s="124">
        <v>63.621664375915607</v>
      </c>
      <c r="AX209" s="124">
        <v>63.621664375915628</v>
      </c>
      <c r="AY209" s="124">
        <v>79.621664375916595</v>
      </c>
    </row>
    <row r="210" spans="1:51">
      <c r="A210" s="109"/>
      <c r="B210" s="119">
        <v>2</v>
      </c>
      <c r="C210" s="106">
        <v>5.8454070660676134</v>
      </c>
      <c r="D210" s="110">
        <v>0</v>
      </c>
      <c r="E210" s="110">
        <v>0</v>
      </c>
      <c r="F210" s="110">
        <v>142.6654622833118</v>
      </c>
      <c r="G210" s="110">
        <v>89.387217809146804</v>
      </c>
      <c r="H210" s="110">
        <v>83.844998878140174</v>
      </c>
      <c r="I210" s="110">
        <v>82.367864848320536</v>
      </c>
      <c r="J210" s="110">
        <v>63.611683443332169</v>
      </c>
      <c r="K210" s="110">
        <v>69.308720088558729</v>
      </c>
      <c r="L210" s="110">
        <v>79.877628408259625</v>
      </c>
      <c r="M210" s="110">
        <v>16.940524047058226</v>
      </c>
      <c r="N210" s="110">
        <v>0</v>
      </c>
      <c r="O210" s="110">
        <v>66.378335624083405</v>
      </c>
      <c r="P210" s="110">
        <v>42.215944687505576</v>
      </c>
      <c r="Q210" s="110">
        <v>40.12689086558688</v>
      </c>
      <c r="R210" s="110">
        <v>21.36557021124111</v>
      </c>
      <c r="S210" s="110">
        <v>53.103040161847005</v>
      </c>
      <c r="T210" s="110">
        <v>34.716824568858591</v>
      </c>
      <c r="U210" s="110">
        <v>4.1545384670628165</v>
      </c>
      <c r="V210" s="110">
        <v>3.7918855626454229</v>
      </c>
      <c r="W210" s="110">
        <v>66.378335624083405</v>
      </c>
      <c r="X210" s="110">
        <v>80.294538650682227</v>
      </c>
      <c r="Y210" s="110">
        <v>49.505324896663097</v>
      </c>
      <c r="Z210" s="110">
        <v>33.863914669669647</v>
      </c>
      <c r="AA210" s="110">
        <v>40.544806576568526</v>
      </c>
      <c r="AB210" s="110">
        <v>13.250609879722518</v>
      </c>
      <c r="AC210" s="110">
        <v>3.3864413805754499</v>
      </c>
      <c r="AD210" s="110">
        <v>66.378335624083405</v>
      </c>
      <c r="AE210" s="110">
        <v>14.189153656300126</v>
      </c>
      <c r="AF210" s="110">
        <v>0</v>
      </c>
      <c r="AG210" s="110">
        <v>0</v>
      </c>
      <c r="AH210" s="110">
        <v>77.48081193533622</v>
      </c>
      <c r="AI210" s="110">
        <v>100.93504508557051</v>
      </c>
      <c r="AJ210" s="110">
        <v>83.506391585663508</v>
      </c>
      <c r="AK210" s="110">
        <v>99.66161991631445</v>
      </c>
      <c r="AL210" s="110">
        <v>50.088757190445392</v>
      </c>
      <c r="AM210" s="110">
        <v>66.378335624083405</v>
      </c>
      <c r="AN210" s="110">
        <v>21.283730484450487</v>
      </c>
      <c r="AO210" s="110">
        <v>51.792555180228746</v>
      </c>
      <c r="AP210" s="110">
        <v>119.37711695414993</v>
      </c>
      <c r="AQ210" s="110">
        <v>78.905656499518159</v>
      </c>
      <c r="AR210" s="110">
        <v>83.844998878140174</v>
      </c>
      <c r="AS210" s="110">
        <v>10.073474250052874</v>
      </c>
      <c r="AT210" s="110">
        <v>0</v>
      </c>
      <c r="AU210" s="110">
        <v>63.611683443332169</v>
      </c>
      <c r="AV210" s="110">
        <v>56.118786754711891</v>
      </c>
      <c r="AW210" s="110">
        <v>83.844998878140174</v>
      </c>
      <c r="AX210" s="110">
        <v>66.378335624083405</v>
      </c>
      <c r="AY210" s="110">
        <v>66.378335624083405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2.612782190853201</v>
      </c>
      <c r="H211" s="110">
        <v>14.474677233746821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63.611683443332169</v>
      </c>
      <c r="Q211" s="110">
        <v>0</v>
      </c>
      <c r="R211" s="110">
        <v>63.611683443332169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132.75667124816681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66.378335624083405</v>
      </c>
      <c r="AP211" s="110">
        <v>7.6228830458500667</v>
      </c>
      <c r="AQ211" s="110">
        <v>35.094343500481848</v>
      </c>
      <c r="AR211" s="110">
        <v>18.385405658029509</v>
      </c>
      <c r="AS211" s="110">
        <v>0</v>
      </c>
      <c r="AT211" s="110">
        <v>0</v>
      </c>
      <c r="AU211" s="110">
        <v>0</v>
      </c>
      <c r="AV211" s="110">
        <v>66.378335624083405</v>
      </c>
      <c r="AW211" s="110">
        <v>7.9485777603457599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16854.203964996916</v>
      </c>
      <c r="E259" s="124">
        <f t="shared" ref="E259:AX259" si="5">F$14*$B$259</f>
        <v>3665.2628645942877</v>
      </c>
      <c r="F259" s="124">
        <f t="shared" si="5"/>
        <v>70808.970790942112</v>
      </c>
      <c r="G259" s="124">
        <f t="shared" si="5"/>
        <v>87464.542511950553</v>
      </c>
      <c r="H259" s="124">
        <f t="shared" si="5"/>
        <v>53491.993759768513</v>
      </c>
      <c r="I259" s="124">
        <f t="shared" si="5"/>
        <v>53226.753860968078</v>
      </c>
      <c r="J259" s="124">
        <f t="shared" si="5"/>
        <v>64824.024020729797</v>
      </c>
      <c r="K259" s="124">
        <f t="shared" si="5"/>
        <v>47564.093052856566</v>
      </c>
      <c r="L259" s="124">
        <f t="shared" si="5"/>
        <v>52335.717261353602</v>
      </c>
      <c r="M259" s="124">
        <f t="shared" si="5"/>
        <v>52577.089783995725</v>
      </c>
      <c r="N259" s="124">
        <f t="shared" si="5"/>
        <v>3.571297924597292</v>
      </c>
      <c r="O259" s="124">
        <f t="shared" si="5"/>
        <v>70266.534372998954</v>
      </c>
      <c r="P259" s="124">
        <f t="shared" si="5"/>
        <v>61620.939797185289</v>
      </c>
      <c r="Q259" s="124">
        <f t="shared" si="5"/>
        <v>60873.451171627872</v>
      </c>
      <c r="R259" s="124">
        <f t="shared" si="5"/>
        <v>53170.483130927038</v>
      </c>
      <c r="S259" s="124">
        <f t="shared" si="5"/>
        <v>60766.413069449642</v>
      </c>
      <c r="T259" s="124">
        <f t="shared" si="5"/>
        <v>54187.603620594855</v>
      </c>
      <c r="U259" s="124">
        <f t="shared" si="5"/>
        <v>43252.049451319639</v>
      </c>
      <c r="V259" s="124">
        <f t="shared" si="5"/>
        <v>1360.3536353415993</v>
      </c>
      <c r="W259" s="124">
        <f t="shared" si="5"/>
        <v>46515.566187381351</v>
      </c>
      <c r="X259" s="124">
        <f t="shared" si="5"/>
        <v>75245.919472697395</v>
      </c>
      <c r="Y259" s="124">
        <f t="shared" si="5"/>
        <v>64229.167855524189</v>
      </c>
      <c r="Z259" s="124">
        <f t="shared" si="5"/>
        <v>58632.482834926472</v>
      </c>
      <c r="AA259" s="124">
        <f t="shared" si="5"/>
        <v>61022.986447896452</v>
      </c>
      <c r="AB259" s="124">
        <f t="shared" si="5"/>
        <v>51256.794040330635</v>
      </c>
      <c r="AC259" s="124">
        <f t="shared" si="5"/>
        <v>23976.307526208711</v>
      </c>
      <c r="AD259" s="124">
        <f t="shared" si="5"/>
        <v>46515.566187381351</v>
      </c>
      <c r="AE259" s="124">
        <f t="shared" si="5"/>
        <v>27841.648125168034</v>
      </c>
      <c r="AF259" s="124">
        <f t="shared" si="5"/>
        <v>46515.566187381351</v>
      </c>
      <c r="AG259" s="124">
        <f t="shared" si="5"/>
        <v>94017.502558616558</v>
      </c>
      <c r="AH259" s="124">
        <f t="shared" si="5"/>
        <v>51478.107451466865</v>
      </c>
      <c r="AI259" s="124">
        <f t="shared" si="5"/>
        <v>58880.37315794998</v>
      </c>
      <c r="AJ259" s="124">
        <f t="shared" si="5"/>
        <v>53634.132444098708</v>
      </c>
      <c r="AK259" s="124">
        <f t="shared" si="5"/>
        <v>82175.694476296761</v>
      </c>
      <c r="AL259" s="124">
        <f t="shared" si="5"/>
        <v>40686.958773578015</v>
      </c>
      <c r="AM259" s="124">
        <f t="shared" si="5"/>
        <v>46515.566187381351</v>
      </c>
      <c r="AN259" s="124">
        <f t="shared" si="5"/>
        <v>7619.1464830311379</v>
      </c>
      <c r="AO259" s="124">
        <f t="shared" si="5"/>
        <v>69276.592891220513</v>
      </c>
      <c r="AP259" s="124">
        <f t="shared" si="5"/>
        <v>87676.383717438308</v>
      </c>
      <c r="AQ259" s="124">
        <f t="shared" si="5"/>
        <v>97506.003233141877</v>
      </c>
      <c r="AR259" s="124">
        <f t="shared" si="5"/>
        <v>60333.80985711918</v>
      </c>
      <c r="AS259" s="124">
        <f t="shared" si="5"/>
        <v>50119.976635190738</v>
      </c>
      <c r="AT259" s="124">
        <f t="shared" si="5"/>
        <v>3.571297924597292</v>
      </c>
      <c r="AU259" s="124">
        <f t="shared" si="5"/>
        <v>45525.624705602895</v>
      </c>
      <c r="AV259" s="124">
        <f t="shared" si="5"/>
        <v>94756.227915066091</v>
      </c>
      <c r="AW259" s="124">
        <f t="shared" si="5"/>
        <v>55609.445614871336</v>
      </c>
      <c r="AX259" s="124">
        <f t="shared" si="5"/>
        <v>46515.566187381351</v>
      </c>
      <c r="AY259" s="124">
        <f>AZ$14*$B$259</f>
        <v>70266.534372998954</v>
      </c>
      <c r="AZ259" s="139">
        <f>SUM($D259:$AY259)</f>
        <v>2522663.2742447956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28167.675992878696</v>
      </c>
      <c r="E260" s="125">
        <f t="shared" ref="E260:AY260" si="6">(E$175-E$176+E$177-E$178+E$179-E$180+E$181-E$182)*$B$260</f>
        <v>25500</v>
      </c>
      <c r="F260" s="125">
        <f t="shared" si="6"/>
        <v>26727.267446963007</v>
      </c>
      <c r="G260" s="125">
        <f t="shared" si="6"/>
        <v>43436.39068539202</v>
      </c>
      <c r="H260" s="125">
        <f t="shared" si="6"/>
        <v>31213.246776741478</v>
      </c>
      <c r="I260" s="125">
        <f t="shared" si="6"/>
        <v>32730.143835782561</v>
      </c>
      <c r="J260" s="125">
        <f t="shared" si="6"/>
        <v>41293.371161408861</v>
      </c>
      <c r="K260" s="125">
        <f t="shared" si="6"/>
        <v>36045.076808041114</v>
      </c>
      <c r="L260" s="125">
        <f t="shared" si="6"/>
        <v>36393.627081482955</v>
      </c>
      <c r="M260" s="125">
        <f t="shared" si="6"/>
        <v>33288.659669250694</v>
      </c>
      <c r="N260" s="125">
        <f t="shared" si="6"/>
        <v>23848.709932954735</v>
      </c>
      <c r="O260" s="125">
        <f t="shared" si="6"/>
        <v>30036.24134911536</v>
      </c>
      <c r="P260" s="125">
        <f t="shared" si="6"/>
        <v>29428.040804179393</v>
      </c>
      <c r="Q260" s="125">
        <f t="shared" si="6"/>
        <v>28750.784325373603</v>
      </c>
      <c r="R260" s="125">
        <f t="shared" si="6"/>
        <v>25104.373696899074</v>
      </c>
      <c r="S260" s="125">
        <f t="shared" si="6"/>
        <v>25579.510383486057</v>
      </c>
      <c r="T260" s="125">
        <f t="shared" si="6"/>
        <v>23579.787267869029</v>
      </c>
      <c r="U260" s="125">
        <f t="shared" si="6"/>
        <v>19282.225203367736</v>
      </c>
      <c r="V260" s="125">
        <f t="shared" si="6"/>
        <v>12620.183087552659</v>
      </c>
      <c r="W260" s="125">
        <f t="shared" si="6"/>
        <v>7834.6077292604068</v>
      </c>
      <c r="X260" s="125">
        <f t="shared" si="6"/>
        <v>16794.363674742253</v>
      </c>
      <c r="Y260" s="125">
        <f t="shared" si="6"/>
        <v>19045.039164393311</v>
      </c>
      <c r="Z260" s="125">
        <f t="shared" si="6"/>
        <v>21575.400814360477</v>
      </c>
      <c r="AA260" s="125">
        <f t="shared" si="6"/>
        <v>18568.483513536776</v>
      </c>
      <c r="AB260" s="125">
        <f t="shared" si="6"/>
        <v>19863.722768454842</v>
      </c>
      <c r="AC260" s="125">
        <f t="shared" si="6"/>
        <v>15931.14006012648</v>
      </c>
      <c r="AD260" s="125">
        <f t="shared" si="6"/>
        <v>14124.337677930229</v>
      </c>
      <c r="AE260" s="125">
        <f t="shared" si="6"/>
        <v>10199.999999999998</v>
      </c>
      <c r="AF260" s="125">
        <f t="shared" si="6"/>
        <v>9120</v>
      </c>
      <c r="AG260" s="125">
        <f t="shared" si="6"/>
        <v>26305.832274771863</v>
      </c>
      <c r="AH260" s="125">
        <f t="shared" si="6"/>
        <v>24537.513872734333</v>
      </c>
      <c r="AI260" s="125">
        <f t="shared" si="6"/>
        <v>21692.709057118307</v>
      </c>
      <c r="AJ260" s="125">
        <f t="shared" si="6"/>
        <v>24705.985323392299</v>
      </c>
      <c r="AK260" s="125">
        <f t="shared" si="6"/>
        <v>32153.900536172427</v>
      </c>
      <c r="AL260" s="125">
        <f t="shared" si="6"/>
        <v>21630.709573583877</v>
      </c>
      <c r="AM260" s="125">
        <f t="shared" si="6"/>
        <v>22206.42884499094</v>
      </c>
      <c r="AN260" s="125">
        <f t="shared" si="6"/>
        <v>14069.28701052868</v>
      </c>
      <c r="AO260" s="125">
        <f t="shared" si="6"/>
        <v>18257.505069842395</v>
      </c>
      <c r="AP260" s="125">
        <f t="shared" si="6"/>
        <v>29076.847100104125</v>
      </c>
      <c r="AQ260" s="125">
        <f t="shared" si="6"/>
        <v>36239.445855402286</v>
      </c>
      <c r="AR260" s="125">
        <f t="shared" si="6"/>
        <v>24615.693447414567</v>
      </c>
      <c r="AS260" s="125">
        <f t="shared" si="6"/>
        <v>22167.844937886071</v>
      </c>
      <c r="AT260" s="125">
        <f t="shared" si="6"/>
        <v>12951.816492308139</v>
      </c>
      <c r="AU260" s="125">
        <f t="shared" si="6"/>
        <v>6004.2277750950188</v>
      </c>
      <c r="AV260" s="125">
        <f t="shared" si="6"/>
        <v>20549.495651351324</v>
      </c>
      <c r="AW260" s="125">
        <f t="shared" si="6"/>
        <v>8327.8352078012067</v>
      </c>
      <c r="AX260" s="125">
        <f t="shared" si="6"/>
        <v>4332.072314521658</v>
      </c>
      <c r="AY260" s="125">
        <f t="shared" si="6"/>
        <v>6437.4595116080145</v>
      </c>
      <c r="AZ260" s="141">
        <f>SUM($D260:$AY260)</f>
        <v>1082345.0207681721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1500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190</v>
      </c>
      <c r="AK9" s="117">
        <v>190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190</v>
      </c>
      <c r="AW9" s="117">
        <v>190</v>
      </c>
      <c r="AX9" s="117">
        <v>190</v>
      </c>
      <c r="AY9" s="117">
        <v>190</v>
      </c>
    </row>
    <row r="10" spans="1:53">
      <c r="A10" s="118" t="s">
        <v>133</v>
      </c>
      <c r="B10" s="119">
        <v>1</v>
      </c>
      <c r="C10" s="106" t="s">
        <v>293</v>
      </c>
      <c r="D10" s="100">
        <v>135.99999999999997</v>
      </c>
      <c r="E10" s="100">
        <v>49.332512500749161</v>
      </c>
      <c r="F10" s="100">
        <v>147.99753750224747</v>
      </c>
      <c r="G10" s="100">
        <v>61.665640625936447</v>
      </c>
      <c r="H10" s="100">
        <v>147.99753750224747</v>
      </c>
      <c r="I10" s="100">
        <v>61.665640625936447</v>
      </c>
      <c r="J10" s="100">
        <v>147.99753750224747</v>
      </c>
      <c r="K10" s="100">
        <v>61.665640625936447</v>
      </c>
      <c r="L10" s="100">
        <v>0</v>
      </c>
      <c r="M10" s="100">
        <v>169.99999999999898</v>
      </c>
      <c r="N10" s="100">
        <v>169.99999999999901</v>
      </c>
      <c r="O10" s="100">
        <v>169.99999999999898</v>
      </c>
      <c r="P10" s="100">
        <v>169.99999999999901</v>
      </c>
      <c r="Q10" s="100">
        <v>169.99999999999898</v>
      </c>
      <c r="R10" s="100">
        <v>12.333128125187292</v>
      </c>
      <c r="S10" s="100">
        <v>169.99999999999898</v>
      </c>
      <c r="T10" s="100">
        <v>169.99999999999901</v>
      </c>
      <c r="U10" s="100">
        <v>169.99999999999898</v>
      </c>
      <c r="V10" s="100">
        <v>0</v>
      </c>
      <c r="W10" s="100">
        <v>169.99999999999898</v>
      </c>
      <c r="X10" s="100">
        <v>169.99999999999901</v>
      </c>
      <c r="Y10" s="100">
        <v>169.99999999999898</v>
      </c>
      <c r="Z10" s="100">
        <v>12.333128125187292</v>
      </c>
      <c r="AA10" s="100">
        <v>169.99999999999898</v>
      </c>
      <c r="AB10" s="100">
        <v>12.333128125187292</v>
      </c>
      <c r="AC10" s="100">
        <v>169.99999999999898</v>
      </c>
      <c r="AD10" s="100">
        <v>169.99999999999901</v>
      </c>
      <c r="AE10" s="100">
        <v>169.99999999999898</v>
      </c>
      <c r="AF10" s="100">
        <v>169.99999999999901</v>
      </c>
      <c r="AG10" s="100">
        <v>169.99999999999898</v>
      </c>
      <c r="AH10" s="100">
        <v>169.99999999999901</v>
      </c>
      <c r="AI10" s="100">
        <v>169.99999999999898</v>
      </c>
      <c r="AJ10" s="100">
        <v>12.333128125187292</v>
      </c>
      <c r="AK10" s="100">
        <v>169.99999999999898</v>
      </c>
      <c r="AL10" s="100">
        <v>169.99999999999901</v>
      </c>
      <c r="AM10" s="100">
        <v>169.99999999999898</v>
      </c>
      <c r="AN10" s="100">
        <v>169.99999999999901</v>
      </c>
      <c r="AO10" s="100">
        <v>169.99999999999898</v>
      </c>
      <c r="AP10" s="100">
        <v>169.99999999999901</v>
      </c>
      <c r="AQ10" s="100">
        <v>169.99999999999898</v>
      </c>
      <c r="AR10" s="100">
        <v>0</v>
      </c>
      <c r="AS10" s="100">
        <v>169.99999999999898</v>
      </c>
      <c r="AT10" s="100">
        <v>169.99999999999901</v>
      </c>
      <c r="AU10" s="100">
        <v>169.99999999999898</v>
      </c>
      <c r="AV10" s="100">
        <v>12.333128125187292</v>
      </c>
      <c r="AW10" s="100">
        <v>169.99999999999898</v>
      </c>
      <c r="AX10" s="100">
        <v>169.99999999999901</v>
      </c>
      <c r="AY10" s="100">
        <v>169.99999999999898</v>
      </c>
      <c r="AZ10" s="100">
        <v>169.99999999999901</v>
      </c>
    </row>
    <row r="11" spans="1:53">
      <c r="B11" s="119">
        <v>2</v>
      </c>
      <c r="C11" s="106" t="s">
        <v>293</v>
      </c>
      <c r="D11" s="100">
        <v>74.449514920145845</v>
      </c>
      <c r="E11" s="100">
        <v>0</v>
      </c>
      <c r="F11" s="100">
        <v>21.675124222404222</v>
      </c>
      <c r="G11" s="100">
        <v>22.002462497751537</v>
      </c>
      <c r="H11" s="100">
        <v>108.33435937406256</v>
      </c>
      <c r="I11" s="100">
        <v>22.002462497751537</v>
      </c>
      <c r="J11" s="100">
        <v>108.33435937406256</v>
      </c>
      <c r="L11" s="100">
        <v>108.33435937406256</v>
      </c>
      <c r="N11" s="100">
        <v>0</v>
      </c>
      <c r="P11" s="100">
        <v>0</v>
      </c>
      <c r="R11" s="100">
        <v>0</v>
      </c>
      <c r="S11" s="100">
        <v>0</v>
      </c>
      <c r="V11" s="100">
        <v>0</v>
      </c>
      <c r="X11" s="100">
        <v>0</v>
      </c>
      <c r="Y11" s="100">
        <v>0</v>
      </c>
      <c r="AA11" s="100">
        <v>157.6668718748117</v>
      </c>
      <c r="AC11" s="100">
        <v>157.6668718748117</v>
      </c>
      <c r="AD11" s="100">
        <v>0</v>
      </c>
      <c r="AG11" s="100">
        <v>0</v>
      </c>
      <c r="AH11" s="100">
        <v>0</v>
      </c>
      <c r="AJ11" s="100">
        <v>0</v>
      </c>
      <c r="AK11" s="100">
        <v>157.6668718748117</v>
      </c>
      <c r="AM11" s="100">
        <v>0</v>
      </c>
      <c r="AN11" s="100">
        <v>0</v>
      </c>
      <c r="AP11" s="100">
        <v>0</v>
      </c>
      <c r="AR11" s="100">
        <v>0</v>
      </c>
      <c r="AV11" s="100">
        <v>0</v>
      </c>
      <c r="AW11" s="100">
        <v>157.6668718748117</v>
      </c>
      <c r="AZ11" s="100">
        <v>0</v>
      </c>
    </row>
    <row r="12" spans="1:53">
      <c r="B12" s="120">
        <v>3</v>
      </c>
      <c r="C12" s="106" t="s">
        <v>293</v>
      </c>
      <c r="L12" s="100">
        <v>22.002462497751537</v>
      </c>
      <c r="M12" s="100">
        <v>0</v>
      </c>
      <c r="P12" s="100">
        <v>0</v>
      </c>
      <c r="Q12" s="100">
        <v>0</v>
      </c>
      <c r="T12" s="100">
        <v>157.6668718748117</v>
      </c>
      <c r="AB12" s="100">
        <v>0</v>
      </c>
      <c r="AC12" s="100">
        <v>0</v>
      </c>
      <c r="AY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154.75524087006036</v>
      </c>
      <c r="E14" s="117">
        <f t="shared" ref="E14:AZ14" si="0">D$172*SUM(D$122:D$169)</f>
        <v>149.02230621016687</v>
      </c>
      <c r="F14" s="117">
        <f t="shared" si="0"/>
        <v>45.382642999532131</v>
      </c>
      <c r="G14" s="117">
        <f t="shared" si="0"/>
        <v>119.76895553422827</v>
      </c>
      <c r="H14" s="117">
        <f t="shared" si="0"/>
        <v>59.064544249739093</v>
      </c>
      <c r="I14" s="117">
        <f t="shared" si="0"/>
        <v>180.93545575025954</v>
      </c>
      <c r="J14" s="117">
        <f t="shared" si="0"/>
        <v>63.935336965333967</v>
      </c>
      <c r="K14" s="117">
        <f t="shared" si="0"/>
        <v>180.93545575025954</v>
      </c>
      <c r="L14" s="117">
        <f t="shared" si="0"/>
        <v>48.280088656730499</v>
      </c>
      <c r="M14" s="117">
        <f t="shared" si="0"/>
        <v>92.004624904657391</v>
      </c>
      <c r="N14" s="117">
        <f t="shared" si="0"/>
        <v>119.99999999999935</v>
      </c>
      <c r="O14" s="117">
        <f t="shared" si="0"/>
        <v>119.9999999999993</v>
      </c>
      <c r="P14" s="117">
        <f t="shared" si="0"/>
        <v>119.99999999999935</v>
      </c>
      <c r="Q14" s="117">
        <f t="shared" si="0"/>
        <v>119.9999999999993</v>
      </c>
      <c r="R14" s="117">
        <f t="shared" si="0"/>
        <v>119.99999999999935</v>
      </c>
      <c r="S14" s="117">
        <f t="shared" si="0"/>
        <v>8.7143333804607597</v>
      </c>
      <c r="T14" s="117">
        <f t="shared" si="0"/>
        <v>119.99999999999935</v>
      </c>
      <c r="U14" s="117">
        <f t="shared" si="0"/>
        <v>231.28566661953786</v>
      </c>
      <c r="V14" s="117">
        <f t="shared" si="0"/>
        <v>154.33922792968463</v>
      </c>
      <c r="W14" s="117">
        <f t="shared" si="0"/>
        <v>15.230412432693976</v>
      </c>
      <c r="X14" s="117">
        <f t="shared" si="0"/>
        <v>119.99999999999935</v>
      </c>
      <c r="Y14" s="117">
        <f t="shared" si="0"/>
        <v>119.9999999999993</v>
      </c>
      <c r="Z14" s="117">
        <f t="shared" si="0"/>
        <v>119.99999999999935</v>
      </c>
      <c r="AA14" s="117">
        <f t="shared" si="0"/>
        <v>8.7143333804607597</v>
      </c>
      <c r="AB14" s="117">
        <f t="shared" si="0"/>
        <v>231.28566661953789</v>
      </c>
      <c r="AC14" s="117">
        <f t="shared" si="0"/>
        <v>47.820743371165065</v>
      </c>
      <c r="AD14" s="117">
        <f t="shared" si="0"/>
        <v>231.28566661953789</v>
      </c>
      <c r="AE14" s="117">
        <f t="shared" si="0"/>
        <v>143.12570724084648</v>
      </c>
      <c r="AF14" s="117">
        <f t="shared" si="0"/>
        <v>119.99999999999936</v>
      </c>
      <c r="AG14" s="117">
        <f t="shared" si="0"/>
        <v>119.9999999999993</v>
      </c>
      <c r="AH14" s="117">
        <f t="shared" si="0"/>
        <v>119.99999999999935</v>
      </c>
      <c r="AI14" s="117">
        <f t="shared" si="0"/>
        <v>119.9999999999993</v>
      </c>
      <c r="AJ14" s="117">
        <f t="shared" si="0"/>
        <v>119.99999999999935</v>
      </c>
      <c r="AK14" s="117">
        <f t="shared" si="0"/>
        <v>8.7143333804607597</v>
      </c>
      <c r="AL14" s="117">
        <f t="shared" si="0"/>
        <v>231.28566661953789</v>
      </c>
      <c r="AM14" s="117">
        <f t="shared" si="0"/>
        <v>163.56866695867569</v>
      </c>
      <c r="AN14" s="117">
        <f t="shared" si="0"/>
        <v>119.99999999999936</v>
      </c>
      <c r="AO14" s="117">
        <f t="shared" si="0"/>
        <v>119.9999999999993</v>
      </c>
      <c r="AP14" s="117">
        <f t="shared" si="0"/>
        <v>119.99999999999935</v>
      </c>
      <c r="AQ14" s="117">
        <f t="shared" si="0"/>
        <v>119.9999999999993</v>
      </c>
      <c r="AR14" s="117">
        <f t="shared" si="0"/>
        <v>119.99999999999935</v>
      </c>
      <c r="AS14" s="117">
        <f t="shared" si="0"/>
        <v>9.2682732807326425E-3</v>
      </c>
      <c r="AT14" s="117">
        <f t="shared" si="0"/>
        <v>119.99999999999935</v>
      </c>
      <c r="AU14" s="117">
        <f t="shared" si="0"/>
        <v>119.9999999999993</v>
      </c>
      <c r="AV14" s="117">
        <f t="shared" si="0"/>
        <v>119.99999999999935</v>
      </c>
      <c r="AW14" s="117">
        <f t="shared" si="0"/>
        <v>8.7143333804607597</v>
      </c>
      <c r="AX14" s="117">
        <f t="shared" si="0"/>
        <v>231.28566661953789</v>
      </c>
      <c r="AY14" s="117">
        <f t="shared" si="0"/>
        <v>163.08425143024246</v>
      </c>
      <c r="AZ14" s="110">
        <f t="shared" si="0"/>
        <v>119.99999999999935</v>
      </c>
      <c r="BA14" s="107">
        <f>SUM($E14:$AZ14)</f>
        <v>5577.793355277011</v>
      </c>
    </row>
    <row r="15" spans="1:53">
      <c r="A15" s="122" t="s">
        <v>123</v>
      </c>
      <c r="B15" s="123">
        <v>1</v>
      </c>
      <c r="C15" s="124" t="s">
        <v>293</v>
      </c>
      <c r="D15" s="124">
        <v>195.45405323690835</v>
      </c>
      <c r="E15" s="124">
        <v>70.686297398376837</v>
      </c>
      <c r="F15" s="124">
        <v>212.0212723968786</v>
      </c>
      <c r="G15" s="124">
        <v>88.353169273189565</v>
      </c>
      <c r="H15" s="124">
        <v>212.0212723968786</v>
      </c>
      <c r="I15" s="124">
        <v>88.353169273189565</v>
      </c>
      <c r="J15" s="124">
        <v>212.0212723968786</v>
      </c>
      <c r="K15" s="124">
        <v>88.353169273189565</v>
      </c>
      <c r="L15" s="124">
        <v>1.8809899126015502E-2</v>
      </c>
      <c r="M15" s="124">
        <v>243.53920377102011</v>
      </c>
      <c r="N15" s="124">
        <v>243.53920377102003</v>
      </c>
      <c r="O15" s="124">
        <v>243.53920377102011</v>
      </c>
      <c r="P15" s="124">
        <v>243.53920377102003</v>
      </c>
      <c r="Q15" s="124">
        <v>243.53920377102011</v>
      </c>
      <c r="R15" s="124">
        <v>17.685681773938725</v>
      </c>
      <c r="S15" s="124">
        <v>243.53920377102011</v>
      </c>
      <c r="T15" s="124">
        <v>243.53920377102003</v>
      </c>
      <c r="U15" s="124">
        <v>243.53920377102011</v>
      </c>
      <c r="V15" s="124">
        <v>1.8809899126015502E-2</v>
      </c>
      <c r="W15" s="124">
        <v>243.53920377102011</v>
      </c>
      <c r="X15" s="124">
        <v>243.53920377102003</v>
      </c>
      <c r="Y15" s="124">
        <v>243.53920377102011</v>
      </c>
      <c r="Z15" s="124">
        <v>17.685681773938725</v>
      </c>
      <c r="AA15" s="124">
        <v>243.53920377102011</v>
      </c>
      <c r="AB15" s="124">
        <v>17.685681773938725</v>
      </c>
      <c r="AC15" s="124">
        <v>243.53920377102011</v>
      </c>
      <c r="AD15" s="124">
        <v>243.53920377102003</v>
      </c>
      <c r="AE15" s="124">
        <v>243.53920377102011</v>
      </c>
      <c r="AF15" s="124">
        <v>243.53920377102003</v>
      </c>
      <c r="AG15" s="124">
        <v>243.53920377102011</v>
      </c>
      <c r="AH15" s="124">
        <v>243.53920377102003</v>
      </c>
      <c r="AI15" s="124">
        <v>243.53920377102011</v>
      </c>
      <c r="AJ15" s="124">
        <v>17.685681773938725</v>
      </c>
      <c r="AK15" s="124">
        <v>243.53920377102011</v>
      </c>
      <c r="AL15" s="124">
        <v>243.53920377102003</v>
      </c>
      <c r="AM15" s="124">
        <v>243.53920377102011</v>
      </c>
      <c r="AN15" s="124">
        <v>243.53920377102003</v>
      </c>
      <c r="AO15" s="124">
        <v>243.53920377102011</v>
      </c>
      <c r="AP15" s="124">
        <v>243.53920377102003</v>
      </c>
      <c r="AQ15" s="124">
        <v>243.53920377102011</v>
      </c>
      <c r="AR15" s="124">
        <v>1.8809899126015502E-2</v>
      </c>
      <c r="AS15" s="124">
        <v>243.53920377102011</v>
      </c>
      <c r="AT15" s="124">
        <v>243.53920377102003</v>
      </c>
      <c r="AU15" s="124">
        <v>243.53920377102011</v>
      </c>
      <c r="AV15" s="124">
        <v>17.685681773938725</v>
      </c>
      <c r="AW15" s="124">
        <v>243.53920377102011</v>
      </c>
      <c r="AX15" s="124">
        <v>243.53920377102003</v>
      </c>
      <c r="AY15" s="124">
        <v>243.53920377102011</v>
      </c>
      <c r="AZ15" s="100">
        <v>243.52039387189402</v>
      </c>
    </row>
    <row r="16" spans="1:53">
      <c r="A16" s="110"/>
      <c r="B16" s="119">
        <v>2</v>
      </c>
      <c r="C16" s="109" t="s">
        <v>293</v>
      </c>
      <c r="D16" s="106">
        <v>106.98572841763647</v>
      </c>
      <c r="E16" s="110">
        <v>0</v>
      </c>
      <c r="F16" s="110">
        <v>31.049028163894917</v>
      </c>
      <c r="G16" s="110">
        <v>31.517931374141426</v>
      </c>
      <c r="H16" s="110">
        <v>155.18603449783046</v>
      </c>
      <c r="I16" s="110">
        <v>31.517931374141426</v>
      </c>
      <c r="J16" s="110">
        <v>155.18603449783046</v>
      </c>
      <c r="K16" s="110"/>
      <c r="L16" s="110">
        <v>155.18603449783046</v>
      </c>
      <c r="M16" s="110"/>
      <c r="N16" s="110">
        <v>0</v>
      </c>
      <c r="O16" s="110"/>
      <c r="P16" s="110">
        <v>0</v>
      </c>
      <c r="Q16" s="110"/>
      <c r="R16" s="110">
        <v>0</v>
      </c>
      <c r="S16" s="110">
        <v>0</v>
      </c>
      <c r="T16" s="110"/>
      <c r="U16" s="110"/>
      <c r="V16" s="110">
        <v>0</v>
      </c>
      <c r="W16" s="110"/>
      <c r="X16" s="110">
        <v>0</v>
      </c>
      <c r="Y16" s="110">
        <v>0</v>
      </c>
      <c r="Z16" s="110"/>
      <c r="AA16" s="110">
        <v>225.85352199708132</v>
      </c>
      <c r="AB16" s="110"/>
      <c r="AC16" s="110">
        <v>225.85352199708132</v>
      </c>
      <c r="AD16" s="110">
        <v>0</v>
      </c>
      <c r="AE16" s="110"/>
      <c r="AF16" s="110"/>
      <c r="AG16" s="110">
        <v>0</v>
      </c>
      <c r="AH16" s="110">
        <v>0</v>
      </c>
      <c r="AI16" s="110"/>
      <c r="AJ16" s="110">
        <v>0</v>
      </c>
      <c r="AK16" s="110">
        <v>225.85352199708132</v>
      </c>
      <c r="AL16" s="110"/>
      <c r="AM16" s="110">
        <v>0</v>
      </c>
      <c r="AN16" s="110">
        <v>0</v>
      </c>
      <c r="AO16" s="110"/>
      <c r="AP16" s="110">
        <v>0</v>
      </c>
      <c r="AQ16" s="110"/>
      <c r="AR16" s="110">
        <v>0</v>
      </c>
      <c r="AS16" s="110"/>
      <c r="AT16" s="110"/>
      <c r="AU16" s="110"/>
      <c r="AV16" s="110">
        <v>0</v>
      </c>
      <c r="AW16" s="110">
        <v>225.85352199708132</v>
      </c>
      <c r="AX16" s="110"/>
      <c r="AY16" s="110"/>
      <c r="AZ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>
        <v>31.517931374141426</v>
      </c>
      <c r="M17" s="110">
        <v>0</v>
      </c>
      <c r="N17" s="110"/>
      <c r="O17" s="110"/>
      <c r="P17" s="110">
        <v>0</v>
      </c>
      <c r="Q17" s="110">
        <v>0</v>
      </c>
      <c r="R17" s="110"/>
      <c r="S17" s="110"/>
      <c r="T17" s="110">
        <v>225.85352199708132</v>
      </c>
      <c r="U17" s="110"/>
      <c r="V17" s="110"/>
      <c r="W17" s="110"/>
      <c r="X17" s="110"/>
      <c r="Y17" s="110"/>
      <c r="Z17" s="110"/>
      <c r="AA17" s="110"/>
      <c r="AB17" s="110">
        <v>0</v>
      </c>
      <c r="AC17" s="110">
        <v>0</v>
      </c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>
        <v>0</v>
      </c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79.3614763376425</v>
      </c>
      <c r="D95" s="110">
        <v>190</v>
      </c>
      <c r="E95" s="110">
        <v>190</v>
      </c>
      <c r="F95" s="110">
        <v>190</v>
      </c>
      <c r="G95" s="110">
        <v>190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190</v>
      </c>
      <c r="AK95" s="110">
        <v>190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190</v>
      </c>
      <c r="AW95" s="110">
        <v>190</v>
      </c>
      <c r="AX95" s="110">
        <v>190</v>
      </c>
      <c r="AY95" s="110">
        <v>190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0</v>
      </c>
      <c r="F96" s="110">
        <v>4</v>
      </c>
      <c r="G96" s="110">
        <v>53</v>
      </c>
      <c r="H96" s="110">
        <v>68</v>
      </c>
      <c r="I96" s="110">
        <v>85</v>
      </c>
      <c r="J96" s="110">
        <v>55</v>
      </c>
      <c r="K96" s="110">
        <v>80</v>
      </c>
      <c r="L96" s="110">
        <v>102</v>
      </c>
      <c r="M96" s="110">
        <v>80</v>
      </c>
      <c r="N96" s="110">
        <v>97</v>
      </c>
      <c r="O96" s="110">
        <v>61</v>
      </c>
      <c r="P96" s="110">
        <v>21</v>
      </c>
      <c r="Q96" s="110">
        <v>0</v>
      </c>
      <c r="R96" s="110">
        <v>0</v>
      </c>
      <c r="S96" s="110">
        <v>0</v>
      </c>
      <c r="T96" s="110">
        <v>31</v>
      </c>
      <c r="U96" s="110">
        <v>63</v>
      </c>
      <c r="V96" s="110">
        <v>39</v>
      </c>
      <c r="W96" s="110">
        <v>44</v>
      </c>
      <c r="X96" s="110">
        <v>61</v>
      </c>
      <c r="Y96" s="110">
        <v>71</v>
      </c>
      <c r="Z96" s="110">
        <v>28</v>
      </c>
      <c r="AA96" s="110">
        <v>1</v>
      </c>
      <c r="AB96" s="110">
        <v>0</v>
      </c>
      <c r="AC96" s="110">
        <v>0</v>
      </c>
      <c r="AD96" s="110">
        <v>0</v>
      </c>
      <c r="AE96" s="110">
        <v>9</v>
      </c>
      <c r="AF96" s="110">
        <v>0</v>
      </c>
      <c r="AG96" s="110">
        <v>0</v>
      </c>
      <c r="AH96" s="110">
        <v>0</v>
      </c>
      <c r="AI96" s="110">
        <v>30</v>
      </c>
      <c r="AJ96" s="110">
        <v>0</v>
      </c>
      <c r="AK96" s="110">
        <v>0</v>
      </c>
      <c r="AL96" s="110">
        <v>13</v>
      </c>
      <c r="AM96" s="110">
        <v>0</v>
      </c>
      <c r="AN96" s="110">
        <v>0</v>
      </c>
      <c r="AO96" s="110">
        <v>11</v>
      </c>
      <c r="AP96" s="110">
        <v>0</v>
      </c>
      <c r="AQ96" s="110">
        <v>35</v>
      </c>
      <c r="AR96" s="110">
        <v>21</v>
      </c>
      <c r="AS96" s="110">
        <v>6</v>
      </c>
      <c r="AT96" s="110">
        <v>0</v>
      </c>
      <c r="AU96" s="110">
        <v>0</v>
      </c>
      <c r="AV96" s="110">
        <v>26</v>
      </c>
      <c r="AW96" s="110">
        <v>10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61.550485079854155</v>
      </c>
      <c r="D100" s="106">
        <v>135.99999999999997</v>
      </c>
      <c r="E100" s="106">
        <v>49.332512500749161</v>
      </c>
      <c r="F100" s="106">
        <v>147.99753750224747</v>
      </c>
      <c r="G100" s="106">
        <v>61.665640625936447</v>
      </c>
      <c r="H100" s="106">
        <v>147.99753750224747</v>
      </c>
      <c r="I100" s="106">
        <v>61.665640625936447</v>
      </c>
      <c r="J100" s="106">
        <v>147.99753750224747</v>
      </c>
      <c r="K100" s="106">
        <v>61.665640625936447</v>
      </c>
      <c r="L100" s="106">
        <v>0</v>
      </c>
      <c r="M100" s="106">
        <v>169.99999999999898</v>
      </c>
      <c r="N100" s="106">
        <v>169.99999999999901</v>
      </c>
      <c r="O100" s="106">
        <v>169.99999999999898</v>
      </c>
      <c r="P100" s="106">
        <v>169.99999999999901</v>
      </c>
      <c r="Q100" s="106">
        <v>169.99999999999898</v>
      </c>
      <c r="R100" s="106">
        <v>12.333128125187292</v>
      </c>
      <c r="S100" s="106">
        <v>169.99999999999898</v>
      </c>
      <c r="T100" s="106">
        <v>169.99999999999901</v>
      </c>
      <c r="U100" s="106">
        <v>169.99999999999898</v>
      </c>
      <c r="V100" s="106">
        <v>0</v>
      </c>
      <c r="W100" s="106">
        <v>169.99999999999898</v>
      </c>
      <c r="X100" s="106">
        <v>169.99999999999901</v>
      </c>
      <c r="Y100" s="106">
        <v>169.99999999999898</v>
      </c>
      <c r="Z100" s="106">
        <v>12.333128125187292</v>
      </c>
      <c r="AA100" s="106">
        <v>169.99999999999898</v>
      </c>
      <c r="AB100" s="106">
        <v>12.333128125187292</v>
      </c>
      <c r="AC100" s="106">
        <v>169.99999999999898</v>
      </c>
      <c r="AD100" s="106">
        <v>169.99999999999901</v>
      </c>
      <c r="AE100" s="106">
        <v>169.99999999999898</v>
      </c>
      <c r="AF100" s="106">
        <v>169.99999999999901</v>
      </c>
      <c r="AG100" s="106">
        <v>169.99999999999898</v>
      </c>
      <c r="AH100" s="106">
        <v>169.99999999999901</v>
      </c>
      <c r="AI100" s="106">
        <v>169.99999999999898</v>
      </c>
      <c r="AJ100" s="106">
        <v>12.333128125187292</v>
      </c>
      <c r="AK100" s="106">
        <v>169.99999999999898</v>
      </c>
      <c r="AL100" s="106">
        <v>169.99999999999901</v>
      </c>
      <c r="AM100" s="106">
        <v>169.99999999999898</v>
      </c>
      <c r="AN100" s="106">
        <v>169.99999999999901</v>
      </c>
      <c r="AO100" s="106">
        <v>169.99999999999898</v>
      </c>
      <c r="AP100" s="106">
        <v>169.99999999999901</v>
      </c>
      <c r="AQ100" s="106">
        <v>169.99999999999898</v>
      </c>
      <c r="AR100" s="106">
        <v>0</v>
      </c>
      <c r="AS100" s="106">
        <v>169.99999999999898</v>
      </c>
      <c r="AT100" s="106">
        <v>169.99999999999901</v>
      </c>
      <c r="AU100" s="106">
        <v>169.99999999999898</v>
      </c>
      <c r="AV100" s="106">
        <v>12.333128125187292</v>
      </c>
      <c r="AW100" s="106">
        <v>169.99999999999898</v>
      </c>
      <c r="AX100" s="106">
        <v>169.99999999999901</v>
      </c>
      <c r="AY100" s="106">
        <v>169.99999999999898</v>
      </c>
    </row>
    <row r="101" spans="1:52">
      <c r="A101" s="109"/>
      <c r="B101" s="119">
        <v>2</v>
      </c>
      <c r="C101" s="106">
        <v>0</v>
      </c>
      <c r="D101" s="106">
        <v>136</v>
      </c>
      <c r="E101" s="106">
        <v>63.689902984029146</v>
      </c>
      <c r="F101" s="106">
        <v>21.675124222404222</v>
      </c>
      <c r="G101" s="106">
        <v>22.002462497751566</v>
      </c>
      <c r="H101" s="106">
        <v>108.33435937406256</v>
      </c>
      <c r="I101" s="106">
        <v>77.334359374061563</v>
      </c>
      <c r="J101" s="106">
        <v>108.33435937406256</v>
      </c>
      <c r="K101" s="106">
        <v>78.331896876310026</v>
      </c>
      <c r="L101" s="106">
        <v>108.33435937406256</v>
      </c>
      <c r="M101" s="106">
        <v>0</v>
      </c>
      <c r="N101" s="106">
        <v>0</v>
      </c>
      <c r="O101" s="106">
        <v>0</v>
      </c>
      <c r="P101" s="106">
        <v>18.999999999998977</v>
      </c>
      <c r="Q101" s="106">
        <v>0</v>
      </c>
      <c r="R101" s="106">
        <v>0</v>
      </c>
      <c r="S101" s="106">
        <v>0</v>
      </c>
      <c r="T101" s="106">
        <v>0</v>
      </c>
      <c r="U101" s="106">
        <v>159.66687187481071</v>
      </c>
      <c r="V101" s="106">
        <v>137.66687187480969</v>
      </c>
      <c r="W101" s="106">
        <v>0</v>
      </c>
      <c r="X101" s="106">
        <v>0</v>
      </c>
      <c r="Y101" s="106">
        <v>0</v>
      </c>
      <c r="Z101" s="106">
        <v>0</v>
      </c>
      <c r="AA101" s="106">
        <v>157.6668718748117</v>
      </c>
      <c r="AB101" s="106">
        <v>146.66687187481068</v>
      </c>
      <c r="AC101" s="106">
        <v>157.6668718748117</v>
      </c>
      <c r="AD101" s="106">
        <v>144.66687187481068</v>
      </c>
      <c r="AE101" s="106">
        <v>100.66687187480969</v>
      </c>
      <c r="AF101" s="106">
        <v>60.666871874808663</v>
      </c>
      <c r="AG101" s="106">
        <v>10.666871874807669</v>
      </c>
      <c r="AH101" s="106">
        <v>0</v>
      </c>
      <c r="AI101" s="106">
        <v>6.9999999999990052</v>
      </c>
      <c r="AJ101" s="106">
        <v>27.999999999997982</v>
      </c>
      <c r="AK101" s="106">
        <v>157.6668718748117</v>
      </c>
      <c r="AL101" s="106">
        <v>169.99999999999898</v>
      </c>
      <c r="AM101" s="106">
        <v>166.66687187480969</v>
      </c>
      <c r="AN101" s="106">
        <v>141.66687187480866</v>
      </c>
      <c r="AO101" s="106">
        <v>117.66687187480767</v>
      </c>
      <c r="AP101" s="106">
        <v>69.666871874806645</v>
      </c>
      <c r="AQ101" s="106">
        <v>10.666871874805651</v>
      </c>
      <c r="AR101" s="106">
        <v>0</v>
      </c>
      <c r="AS101" s="106">
        <v>0</v>
      </c>
      <c r="AT101" s="106">
        <v>4.9999999999989768</v>
      </c>
      <c r="AU101" s="106">
        <v>0</v>
      </c>
      <c r="AV101" s="106">
        <v>0</v>
      </c>
      <c r="AW101" s="106">
        <v>157.6668718748117</v>
      </c>
      <c r="AX101" s="106">
        <v>121.66687187481068</v>
      </c>
      <c r="AY101" s="106">
        <v>112.66687187480969</v>
      </c>
    </row>
    <row r="102" spans="1:52">
      <c r="A102" s="109"/>
      <c r="B102" s="120">
        <v>3</v>
      </c>
      <c r="C102" s="106">
        <v>157.68990298402917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22.002462497751537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157.6668718748117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6.6668718748117044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2.6899029840291746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96.001850593683926</v>
      </c>
      <c r="D109" s="106">
        <v>154.75524087006036</v>
      </c>
      <c r="E109" s="106">
        <v>149.02230621016687</v>
      </c>
      <c r="F109" s="106">
        <v>45.382642999532131</v>
      </c>
      <c r="G109" s="106">
        <v>119.76895553422827</v>
      </c>
      <c r="H109" s="106">
        <v>59.064544249739093</v>
      </c>
      <c r="I109" s="106">
        <v>180.93545575025954</v>
      </c>
      <c r="J109" s="106">
        <v>63.935336965333967</v>
      </c>
      <c r="K109" s="106">
        <v>180.93545575025954</v>
      </c>
      <c r="L109" s="106">
        <v>48.280088656730499</v>
      </c>
      <c r="M109" s="106">
        <v>92.004624904657391</v>
      </c>
      <c r="N109" s="106">
        <v>119.99999999999935</v>
      </c>
      <c r="O109" s="106">
        <v>119.9999999999993</v>
      </c>
      <c r="P109" s="106">
        <v>119.99999999999935</v>
      </c>
      <c r="Q109" s="106">
        <v>119.9999999999993</v>
      </c>
      <c r="R109" s="106">
        <v>119.99999999999935</v>
      </c>
      <c r="S109" s="106">
        <v>8.7143333804607597</v>
      </c>
      <c r="T109" s="106">
        <v>119.99999999999935</v>
      </c>
      <c r="U109" s="106">
        <v>231.28566661953786</v>
      </c>
      <c r="V109" s="106">
        <v>154.33922792968463</v>
      </c>
      <c r="W109" s="106">
        <v>15.230412432693976</v>
      </c>
      <c r="X109" s="106">
        <v>119.99999999999935</v>
      </c>
      <c r="Y109" s="106">
        <v>119.9999999999993</v>
      </c>
      <c r="Z109" s="106">
        <v>119.99999999999935</v>
      </c>
      <c r="AA109" s="106">
        <v>8.7143333804607597</v>
      </c>
      <c r="AB109" s="106">
        <v>231.28566661953789</v>
      </c>
      <c r="AC109" s="106">
        <v>47.820743371165065</v>
      </c>
      <c r="AD109" s="106">
        <v>231.28566661953789</v>
      </c>
      <c r="AE109" s="106">
        <v>143.12570724084648</v>
      </c>
      <c r="AF109" s="106">
        <v>119.99999999999936</v>
      </c>
      <c r="AG109" s="106">
        <v>119.9999999999993</v>
      </c>
      <c r="AH109" s="106">
        <v>119.99999999999935</v>
      </c>
      <c r="AI109" s="106">
        <v>119.9999999999993</v>
      </c>
      <c r="AJ109" s="106">
        <v>119.99999999999935</v>
      </c>
      <c r="AK109" s="106">
        <v>8.7143333804607597</v>
      </c>
      <c r="AL109" s="106">
        <v>231.28566661953789</v>
      </c>
      <c r="AM109" s="106">
        <v>163.56866695867569</v>
      </c>
      <c r="AN109" s="106">
        <v>119.99999999999936</v>
      </c>
      <c r="AO109" s="106">
        <v>119.9999999999993</v>
      </c>
      <c r="AP109" s="106">
        <v>119.99999999999935</v>
      </c>
      <c r="AQ109" s="106">
        <v>119.9999999999993</v>
      </c>
      <c r="AR109" s="106">
        <v>119.99999999999935</v>
      </c>
      <c r="AS109" s="106">
        <v>9.2682732807326425E-3</v>
      </c>
      <c r="AT109" s="106">
        <v>119.99999999999935</v>
      </c>
      <c r="AU109" s="106">
        <v>119.9999999999993</v>
      </c>
      <c r="AV109" s="106">
        <v>119.99999999999935</v>
      </c>
      <c r="AW109" s="106">
        <v>8.7143333804607597</v>
      </c>
      <c r="AX109" s="106">
        <v>231.28566661953789</v>
      </c>
      <c r="AY109" s="106">
        <v>163.08425143024246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11.755240870060362</v>
      </c>
      <c r="F110" s="106">
        <v>33.952057011225918</v>
      </c>
      <c r="G110" s="106">
        <v>7.1054273576010019E-15</v>
      </c>
      <c r="H110" s="106">
        <v>0</v>
      </c>
      <c r="I110" s="106">
        <v>0</v>
      </c>
      <c r="J110" s="106">
        <v>36.062667264441757</v>
      </c>
      <c r="K110" s="106">
        <v>7.1054273576010019E-15</v>
      </c>
      <c r="L110" s="106">
        <v>36.384850649270476</v>
      </c>
      <c r="M110" s="106">
        <v>0</v>
      </c>
      <c r="N110" s="106">
        <v>0</v>
      </c>
      <c r="O110" s="106">
        <v>0</v>
      </c>
      <c r="P110" s="106">
        <v>4.9999999999993037</v>
      </c>
      <c r="Q110" s="106">
        <v>0</v>
      </c>
      <c r="R110" s="106">
        <v>0</v>
      </c>
      <c r="S110" s="106">
        <v>0.7123226683175119</v>
      </c>
      <c r="T110" s="106">
        <v>0</v>
      </c>
      <c r="U110" s="106">
        <v>0</v>
      </c>
      <c r="V110" s="106">
        <v>109.28566661953786</v>
      </c>
      <c r="W110" s="106">
        <v>119.57888575317878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92.431945280780383</v>
      </c>
      <c r="AD110" s="106">
        <v>0</v>
      </c>
      <c r="AE110" s="106">
        <v>62.285666619537892</v>
      </c>
      <c r="AF110" s="106">
        <v>95.411373860384373</v>
      </c>
      <c r="AG110" s="106">
        <v>78.411373860383733</v>
      </c>
      <c r="AH110" s="106">
        <v>45.647004953651361</v>
      </c>
      <c r="AI110" s="106">
        <v>50.647004953650708</v>
      </c>
      <c r="AJ110" s="106">
        <v>0</v>
      </c>
      <c r="AK110" s="106">
        <v>0</v>
      </c>
      <c r="AL110" s="106">
        <v>0</v>
      </c>
      <c r="AM110" s="106">
        <v>106.28566661953789</v>
      </c>
      <c r="AN110" s="106">
        <v>117.85433357821358</v>
      </c>
      <c r="AO110" s="106">
        <v>107.85433357821294</v>
      </c>
      <c r="AP110" s="106">
        <v>78.854333578212248</v>
      </c>
      <c r="AQ110" s="106">
        <v>56.854333578211595</v>
      </c>
      <c r="AR110" s="106">
        <v>9.2811392498933998</v>
      </c>
      <c r="AS110" s="106">
        <v>1.2811392498927461</v>
      </c>
      <c r="AT110" s="106">
        <v>1.0061396160665481E-16</v>
      </c>
      <c r="AU110" s="106">
        <v>0</v>
      </c>
      <c r="AV110" s="106">
        <v>0</v>
      </c>
      <c r="AW110" s="106">
        <v>0</v>
      </c>
      <c r="AX110" s="106">
        <v>0</v>
      </c>
      <c r="AY110" s="106">
        <v>77.285666619537892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88.468353415815614</v>
      </c>
      <c r="D122" s="106">
        <v>195.45405323690835</v>
      </c>
      <c r="E122" s="106">
        <v>70.686297398376837</v>
      </c>
      <c r="F122" s="106">
        <v>212.0212723968786</v>
      </c>
      <c r="G122" s="106">
        <v>88.353169273189565</v>
      </c>
      <c r="H122" s="106">
        <v>212.0212723968786</v>
      </c>
      <c r="I122" s="106">
        <v>88.353169273189565</v>
      </c>
      <c r="J122" s="106">
        <v>212.0212723968786</v>
      </c>
      <c r="K122" s="106">
        <v>88.353169273189565</v>
      </c>
      <c r="L122" s="106">
        <v>1.8809899126015502E-2</v>
      </c>
      <c r="M122" s="106">
        <v>243.53920377102011</v>
      </c>
      <c r="N122" s="106">
        <v>243.53920377102003</v>
      </c>
      <c r="O122" s="106">
        <v>243.53920377102011</v>
      </c>
      <c r="P122" s="106">
        <v>243.53920377102003</v>
      </c>
      <c r="Q122" s="106">
        <v>243.53920377102011</v>
      </c>
      <c r="R122" s="106">
        <v>17.685681773938725</v>
      </c>
      <c r="S122" s="106">
        <v>243.53920377102011</v>
      </c>
      <c r="T122" s="106">
        <v>243.53920377102003</v>
      </c>
      <c r="U122" s="106">
        <v>243.53920377102011</v>
      </c>
      <c r="V122" s="106">
        <v>1.8809899126015502E-2</v>
      </c>
      <c r="W122" s="106">
        <v>243.53920377102011</v>
      </c>
      <c r="X122" s="106">
        <v>243.53920377102003</v>
      </c>
      <c r="Y122" s="106">
        <v>243.53920377102011</v>
      </c>
      <c r="Z122" s="106">
        <v>17.685681773938725</v>
      </c>
      <c r="AA122" s="106">
        <v>243.53920377102011</v>
      </c>
      <c r="AB122" s="106">
        <v>17.685681773938725</v>
      </c>
      <c r="AC122" s="106">
        <v>243.53920377102011</v>
      </c>
      <c r="AD122" s="106">
        <v>243.53920377102003</v>
      </c>
      <c r="AE122" s="106">
        <v>243.53920377102011</v>
      </c>
      <c r="AF122" s="106">
        <v>243.53920377102003</v>
      </c>
      <c r="AG122" s="106">
        <v>243.53920377102011</v>
      </c>
      <c r="AH122" s="106">
        <v>243.53920377102003</v>
      </c>
      <c r="AI122" s="106">
        <v>243.53920377102011</v>
      </c>
      <c r="AJ122" s="106">
        <v>17.685681773938725</v>
      </c>
      <c r="AK122" s="106">
        <v>243.53920377102011</v>
      </c>
      <c r="AL122" s="106">
        <v>243.53920377102003</v>
      </c>
      <c r="AM122" s="106">
        <v>243.53920377102011</v>
      </c>
      <c r="AN122" s="106">
        <v>243.53920377102003</v>
      </c>
      <c r="AO122" s="106">
        <v>243.53920377102011</v>
      </c>
      <c r="AP122" s="106">
        <v>243.53920377102003</v>
      </c>
      <c r="AQ122" s="106">
        <v>243.53920377102011</v>
      </c>
      <c r="AR122" s="106">
        <v>1.8809899126015502E-2</v>
      </c>
      <c r="AS122" s="106">
        <v>243.53920377102011</v>
      </c>
      <c r="AT122" s="106">
        <v>243.53920377102003</v>
      </c>
      <c r="AU122" s="106">
        <v>243.53920377102011</v>
      </c>
      <c r="AV122" s="106">
        <v>17.685681773938725</v>
      </c>
      <c r="AW122" s="106">
        <v>243.53920377102011</v>
      </c>
      <c r="AX122" s="106">
        <v>243.53920377102003</v>
      </c>
      <c r="AY122" s="106">
        <v>243.53920377102011</v>
      </c>
    </row>
    <row r="123" spans="1:52">
      <c r="A123" s="109"/>
      <c r="B123" s="119">
        <v>2</v>
      </c>
      <c r="C123" s="106">
        <v>0</v>
      </c>
      <c r="D123" s="106">
        <v>106.98572841763647</v>
      </c>
      <c r="E123" s="106">
        <v>21.417475444377956</v>
      </c>
      <c r="F123" s="106">
        <v>31.049028163894924</v>
      </c>
      <c r="G123" s="106">
        <v>31.51793137414144</v>
      </c>
      <c r="H123" s="106">
        <v>155.18603449783046</v>
      </c>
      <c r="I123" s="106">
        <v>41.403172871555341</v>
      </c>
      <c r="J123" s="106">
        <v>155.18603449783046</v>
      </c>
      <c r="K123" s="106">
        <v>9.6309503055976791</v>
      </c>
      <c r="L123" s="106">
        <v>155.18603449783046</v>
      </c>
      <c r="M123" s="106">
        <v>9.8983321539236613E-15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69.691235234226468</v>
      </c>
      <c r="V123" s="106">
        <v>30.891211075561955</v>
      </c>
      <c r="W123" s="106">
        <v>1.016547956922409E-15</v>
      </c>
      <c r="X123" s="106">
        <v>0</v>
      </c>
      <c r="Y123" s="106">
        <v>0</v>
      </c>
      <c r="Z123" s="106">
        <v>0</v>
      </c>
      <c r="AA123" s="106">
        <v>225.85352199708132</v>
      </c>
      <c r="AB123" s="106">
        <v>79.366199595660376</v>
      </c>
      <c r="AC123" s="106">
        <v>225.85352199708132</v>
      </c>
      <c r="AD123" s="106">
        <v>46.933469400647212</v>
      </c>
      <c r="AE123" s="106">
        <v>1.4210854715202004E-14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225.85352199708132</v>
      </c>
      <c r="AL123" s="106">
        <v>88.422320504007146</v>
      </c>
      <c r="AM123" s="106">
        <v>1.4210854715202004E-14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225.85352199708132</v>
      </c>
      <c r="AX123" s="106">
        <v>87.439202403265952</v>
      </c>
      <c r="AY123" s="106">
        <v>0</v>
      </c>
    </row>
    <row r="124" spans="1:52">
      <c r="A124" s="109"/>
      <c r="B124" s="119">
        <v>3</v>
      </c>
      <c r="C124" s="106">
        <v>226.60415118819867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31.517931374141426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225.85352199708132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0.4911734239220843</v>
      </c>
      <c r="D172" s="134">
        <v>0.49273381099178382</v>
      </c>
      <c r="E172" s="134">
        <v>0.49273381099178382</v>
      </c>
      <c r="F172" s="134">
        <v>0.49273381099178382</v>
      </c>
      <c r="G172" s="134">
        <v>0.49273381099178382</v>
      </c>
      <c r="H172" s="134">
        <v>0.49273381099178382</v>
      </c>
      <c r="I172" s="134">
        <v>0.49273381099178382</v>
      </c>
      <c r="J172" s="134">
        <v>0.49273381099178382</v>
      </c>
      <c r="K172" s="134">
        <v>0.49273381099178382</v>
      </c>
      <c r="L172" s="134">
        <v>0.49273381099178382</v>
      </c>
      <c r="M172" s="134">
        <v>0.49273381099178382</v>
      </c>
      <c r="N172" s="134">
        <v>0.49273381099178382</v>
      </c>
      <c r="O172" s="134">
        <v>0.49273381099178382</v>
      </c>
      <c r="P172" s="134">
        <v>0.49273381099178382</v>
      </c>
      <c r="Q172" s="134">
        <v>0.49273381099178382</v>
      </c>
      <c r="R172" s="134">
        <v>0.49273381099178382</v>
      </c>
      <c r="S172" s="134">
        <v>0.49273381099178382</v>
      </c>
      <c r="T172" s="134">
        <v>0.49273381099178382</v>
      </c>
      <c r="U172" s="134">
        <v>0.49273381099178382</v>
      </c>
      <c r="V172" s="134">
        <v>0.49273381099178382</v>
      </c>
      <c r="W172" s="134">
        <v>0.49273381099178382</v>
      </c>
      <c r="X172" s="134">
        <v>0.49273381099178382</v>
      </c>
      <c r="Y172" s="134">
        <v>0.49273381099178382</v>
      </c>
      <c r="Z172" s="134">
        <v>0.49273381099178382</v>
      </c>
      <c r="AA172" s="134">
        <v>0.49273381099178382</v>
      </c>
      <c r="AB172" s="134">
        <v>0.49273381099178382</v>
      </c>
      <c r="AC172" s="134">
        <v>0.49273381099178382</v>
      </c>
      <c r="AD172" s="134">
        <v>0.49273381099178382</v>
      </c>
      <c r="AE172" s="134">
        <v>0.49273381099178382</v>
      </c>
      <c r="AF172" s="134">
        <v>0.49273381099178382</v>
      </c>
      <c r="AG172" s="134">
        <v>0.49273381099178382</v>
      </c>
      <c r="AH172" s="134">
        <v>0.49273381099178382</v>
      </c>
      <c r="AI172" s="134">
        <v>0.49273381099178382</v>
      </c>
      <c r="AJ172" s="134">
        <v>0.49273381099178382</v>
      </c>
      <c r="AK172" s="134">
        <v>0.49273381099178382</v>
      </c>
      <c r="AL172" s="134">
        <v>0.49273381099178382</v>
      </c>
      <c r="AM172" s="134">
        <v>0.49273381099178382</v>
      </c>
      <c r="AN172" s="134">
        <v>0.49273381099178382</v>
      </c>
      <c r="AO172" s="134">
        <v>0.49273381099178382</v>
      </c>
      <c r="AP172" s="134">
        <v>0.49273381099178382</v>
      </c>
      <c r="AQ172" s="134">
        <v>0.49273381099178382</v>
      </c>
      <c r="AR172" s="134">
        <v>0.49273381099178382</v>
      </c>
      <c r="AS172" s="134">
        <v>0.49273381099178382</v>
      </c>
      <c r="AT172" s="134">
        <v>0.49273381099178382</v>
      </c>
      <c r="AU172" s="134">
        <v>0.49273381099178382</v>
      </c>
      <c r="AV172" s="134">
        <v>0.49273381099178382</v>
      </c>
      <c r="AW172" s="134">
        <v>0.49273381099178382</v>
      </c>
      <c r="AX172" s="134">
        <v>0.49273381099178382</v>
      </c>
      <c r="AY172" s="134">
        <v>0.49273381099178382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190</v>
      </c>
      <c r="E175" s="124">
        <f t="shared" si="1"/>
        <v>190</v>
      </c>
      <c r="F175" s="124">
        <f t="shared" si="1"/>
        <v>194</v>
      </c>
      <c r="G175" s="124">
        <f t="shared" si="1"/>
        <v>243</v>
      </c>
      <c r="H175" s="124">
        <f t="shared" si="1"/>
        <v>258</v>
      </c>
      <c r="I175" s="124">
        <f t="shared" si="1"/>
        <v>275</v>
      </c>
      <c r="J175" s="124">
        <f t="shared" si="1"/>
        <v>245</v>
      </c>
      <c r="K175" s="124">
        <f t="shared" si="1"/>
        <v>270</v>
      </c>
      <c r="L175" s="124">
        <f t="shared" si="1"/>
        <v>292</v>
      </c>
      <c r="M175" s="124">
        <f t="shared" si="1"/>
        <v>270</v>
      </c>
      <c r="N175" s="124">
        <f t="shared" si="1"/>
        <v>287</v>
      </c>
      <c r="O175" s="124">
        <f t="shared" si="1"/>
        <v>251</v>
      </c>
      <c r="P175" s="124">
        <f t="shared" si="1"/>
        <v>211</v>
      </c>
      <c r="Q175" s="124">
        <f t="shared" si="1"/>
        <v>190</v>
      </c>
      <c r="R175" s="124">
        <f t="shared" si="1"/>
        <v>190</v>
      </c>
      <c r="S175" s="124">
        <f t="shared" si="1"/>
        <v>190</v>
      </c>
      <c r="T175" s="124">
        <f t="shared" si="1"/>
        <v>221</v>
      </c>
      <c r="U175" s="124">
        <f t="shared" si="1"/>
        <v>253</v>
      </c>
      <c r="V175" s="124">
        <f t="shared" si="1"/>
        <v>229</v>
      </c>
      <c r="W175" s="124">
        <f t="shared" si="1"/>
        <v>234</v>
      </c>
      <c r="X175" s="124">
        <f t="shared" si="1"/>
        <v>251</v>
      </c>
      <c r="Y175" s="124">
        <f t="shared" si="1"/>
        <v>261</v>
      </c>
      <c r="Z175" s="124">
        <f t="shared" si="1"/>
        <v>218</v>
      </c>
      <c r="AA175" s="124">
        <f t="shared" si="1"/>
        <v>191</v>
      </c>
      <c r="AB175" s="124">
        <f t="shared" si="1"/>
        <v>190</v>
      </c>
      <c r="AC175" s="124">
        <f t="shared" si="1"/>
        <v>190</v>
      </c>
      <c r="AD175" s="124">
        <f t="shared" si="1"/>
        <v>190</v>
      </c>
      <c r="AE175" s="124">
        <f t="shared" si="1"/>
        <v>199</v>
      </c>
      <c r="AF175" s="124">
        <f t="shared" si="1"/>
        <v>190</v>
      </c>
      <c r="AG175" s="124">
        <f t="shared" si="1"/>
        <v>190</v>
      </c>
      <c r="AH175" s="124">
        <f t="shared" si="1"/>
        <v>190</v>
      </c>
      <c r="AI175" s="124">
        <f t="shared" si="1"/>
        <v>220</v>
      </c>
      <c r="AJ175" s="124">
        <f t="shared" si="1"/>
        <v>190</v>
      </c>
      <c r="AK175" s="124">
        <f t="shared" si="1"/>
        <v>190</v>
      </c>
      <c r="AL175" s="124">
        <f t="shared" si="1"/>
        <v>203</v>
      </c>
      <c r="AM175" s="124">
        <f t="shared" si="1"/>
        <v>190</v>
      </c>
      <c r="AN175" s="124">
        <f t="shared" si="1"/>
        <v>190</v>
      </c>
      <c r="AO175" s="124">
        <f t="shared" si="1"/>
        <v>201</v>
      </c>
      <c r="AP175" s="124">
        <f t="shared" si="1"/>
        <v>190</v>
      </c>
      <c r="AQ175" s="124">
        <f t="shared" si="1"/>
        <v>225</v>
      </c>
      <c r="AR175" s="124">
        <f t="shared" si="1"/>
        <v>211</v>
      </c>
      <c r="AS175" s="124">
        <f t="shared" si="1"/>
        <v>196</v>
      </c>
      <c r="AT175" s="124">
        <f t="shared" si="1"/>
        <v>190</v>
      </c>
      <c r="AU175" s="124">
        <f t="shared" si="1"/>
        <v>190</v>
      </c>
      <c r="AV175" s="124">
        <f t="shared" si="1"/>
        <v>216</v>
      </c>
      <c r="AW175" s="124">
        <f t="shared" si="1"/>
        <v>200</v>
      </c>
      <c r="AX175" s="124">
        <f t="shared" si="1"/>
        <v>190</v>
      </c>
      <c r="AY175" s="124">
        <f t="shared" si="1"/>
        <v>190</v>
      </c>
    </row>
    <row r="176" spans="1:52">
      <c r="A176" s="125"/>
      <c r="B176" s="136" t="s">
        <v>299</v>
      </c>
      <c r="C176" s="125" t="s">
        <v>293</v>
      </c>
      <c r="D176" s="125">
        <v>190</v>
      </c>
      <c r="E176" s="125">
        <v>186</v>
      </c>
      <c r="F176" s="125">
        <v>141</v>
      </c>
      <c r="G176" s="125">
        <v>175</v>
      </c>
      <c r="H176" s="125">
        <v>173</v>
      </c>
      <c r="I176" s="125">
        <v>220</v>
      </c>
      <c r="J176" s="125">
        <v>165</v>
      </c>
      <c r="K176" s="125">
        <v>168</v>
      </c>
      <c r="L176" s="125">
        <v>212</v>
      </c>
      <c r="M176" s="125">
        <v>173</v>
      </c>
      <c r="N176" s="125">
        <v>226</v>
      </c>
      <c r="O176" s="125">
        <v>230</v>
      </c>
      <c r="P176" s="125">
        <v>211</v>
      </c>
      <c r="Q176" s="125">
        <v>190</v>
      </c>
      <c r="R176" s="125">
        <v>190</v>
      </c>
      <c r="S176" s="125">
        <v>159</v>
      </c>
      <c r="T176" s="125">
        <v>158</v>
      </c>
      <c r="U176" s="125">
        <v>214</v>
      </c>
      <c r="V176" s="125">
        <v>185</v>
      </c>
      <c r="W176" s="125">
        <v>173</v>
      </c>
      <c r="X176" s="125">
        <v>180</v>
      </c>
      <c r="Y176" s="125">
        <v>233</v>
      </c>
      <c r="Z176" s="125">
        <v>217</v>
      </c>
      <c r="AA176" s="125">
        <v>191</v>
      </c>
      <c r="AB176" s="125">
        <v>190</v>
      </c>
      <c r="AC176" s="125">
        <v>190</v>
      </c>
      <c r="AD176" s="125">
        <v>181</v>
      </c>
      <c r="AE176" s="125">
        <v>199</v>
      </c>
      <c r="AF176" s="125">
        <v>190</v>
      </c>
      <c r="AG176" s="125">
        <v>190</v>
      </c>
      <c r="AH176" s="125">
        <v>160</v>
      </c>
      <c r="AI176" s="125">
        <v>220</v>
      </c>
      <c r="AJ176" s="125">
        <v>190</v>
      </c>
      <c r="AK176" s="125">
        <v>177</v>
      </c>
      <c r="AL176" s="125">
        <v>203</v>
      </c>
      <c r="AM176" s="125">
        <v>190</v>
      </c>
      <c r="AN176" s="125">
        <v>179</v>
      </c>
      <c r="AO176" s="125">
        <v>201</v>
      </c>
      <c r="AP176" s="125">
        <v>155</v>
      </c>
      <c r="AQ176" s="125">
        <v>204</v>
      </c>
      <c r="AR176" s="125">
        <v>205</v>
      </c>
      <c r="AS176" s="125">
        <v>196</v>
      </c>
      <c r="AT176" s="125">
        <v>190</v>
      </c>
      <c r="AU176" s="125">
        <v>164</v>
      </c>
      <c r="AV176" s="125">
        <v>206</v>
      </c>
      <c r="AW176" s="125">
        <v>200</v>
      </c>
      <c r="AX176" s="125">
        <v>190</v>
      </c>
      <c r="AY176" s="125">
        <v>190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274.68990298402917</v>
      </c>
      <c r="E177" s="124">
        <f t="shared" si="2"/>
        <v>113.02241548477831</v>
      </c>
      <c r="F177" s="124">
        <f t="shared" si="2"/>
        <v>169.67266172465168</v>
      </c>
      <c r="G177" s="124">
        <f t="shared" si="2"/>
        <v>83.668103123688013</v>
      </c>
      <c r="H177" s="124">
        <f t="shared" si="2"/>
        <v>256.33189687631</v>
      </c>
      <c r="I177" s="124">
        <f t="shared" si="2"/>
        <v>138.99999999999801</v>
      </c>
      <c r="J177" s="124">
        <f t="shared" si="2"/>
        <v>256.33189687631</v>
      </c>
      <c r="K177" s="124">
        <f t="shared" si="2"/>
        <v>139.99753750224647</v>
      </c>
      <c r="L177" s="124">
        <f t="shared" si="2"/>
        <v>130.3368218718141</v>
      </c>
      <c r="M177" s="124">
        <f t="shared" si="2"/>
        <v>169.99999999999898</v>
      </c>
      <c r="N177" s="124">
        <f t="shared" si="2"/>
        <v>169.99999999999901</v>
      </c>
      <c r="O177" s="124">
        <f t="shared" si="2"/>
        <v>169.99999999999898</v>
      </c>
      <c r="P177" s="124">
        <f t="shared" si="2"/>
        <v>188.99999999999798</v>
      </c>
      <c r="Q177" s="124">
        <f t="shared" si="2"/>
        <v>169.99999999999898</v>
      </c>
      <c r="R177" s="124">
        <f t="shared" si="2"/>
        <v>12.333128125187292</v>
      </c>
      <c r="S177" s="124">
        <f t="shared" si="2"/>
        <v>169.99999999999898</v>
      </c>
      <c r="T177" s="124">
        <f t="shared" si="2"/>
        <v>327.66687187481068</v>
      </c>
      <c r="U177" s="124">
        <f t="shared" si="2"/>
        <v>329.66687187480966</v>
      </c>
      <c r="V177" s="124">
        <f t="shared" si="2"/>
        <v>137.66687187480969</v>
      </c>
      <c r="W177" s="124">
        <f t="shared" si="2"/>
        <v>169.99999999999898</v>
      </c>
      <c r="X177" s="124">
        <f t="shared" si="2"/>
        <v>169.99999999999901</v>
      </c>
      <c r="Y177" s="124">
        <f t="shared" si="2"/>
        <v>169.99999999999898</v>
      </c>
      <c r="Z177" s="124">
        <f t="shared" si="2"/>
        <v>12.333128125187292</v>
      </c>
      <c r="AA177" s="124">
        <f t="shared" si="2"/>
        <v>327.66687187481068</v>
      </c>
      <c r="AB177" s="124">
        <f t="shared" si="2"/>
        <v>158.99999999999798</v>
      </c>
      <c r="AC177" s="124">
        <f t="shared" si="2"/>
        <v>327.66687187481068</v>
      </c>
      <c r="AD177" s="124">
        <f t="shared" si="2"/>
        <v>314.66687187480966</v>
      </c>
      <c r="AE177" s="124">
        <f t="shared" si="2"/>
        <v>270.66687187480863</v>
      </c>
      <c r="AF177" s="124">
        <f t="shared" si="2"/>
        <v>230.66687187480767</v>
      </c>
      <c r="AG177" s="124">
        <f t="shared" si="2"/>
        <v>180.66687187480665</v>
      </c>
      <c r="AH177" s="124">
        <f t="shared" si="2"/>
        <v>169.99999999999901</v>
      </c>
      <c r="AI177" s="124">
        <f t="shared" si="2"/>
        <v>176.99999999999798</v>
      </c>
      <c r="AJ177" s="124">
        <f t="shared" si="2"/>
        <v>40.333128125185276</v>
      </c>
      <c r="AK177" s="124">
        <f t="shared" si="2"/>
        <v>327.66687187481068</v>
      </c>
      <c r="AL177" s="124">
        <f t="shared" si="2"/>
        <v>346.66687187480966</v>
      </c>
      <c r="AM177" s="124">
        <f t="shared" si="2"/>
        <v>336.66687187480863</v>
      </c>
      <c r="AN177" s="124">
        <f t="shared" si="2"/>
        <v>311.66687187480767</v>
      </c>
      <c r="AO177" s="124">
        <f t="shared" si="2"/>
        <v>287.66687187480665</v>
      </c>
      <c r="AP177" s="124">
        <f t="shared" si="2"/>
        <v>239.66687187480565</v>
      </c>
      <c r="AQ177" s="124">
        <f t="shared" si="2"/>
        <v>180.66687187480463</v>
      </c>
      <c r="AR177" s="124">
        <f t="shared" si="2"/>
        <v>0</v>
      </c>
      <c r="AS177" s="124">
        <f t="shared" si="2"/>
        <v>169.99999999999898</v>
      </c>
      <c r="AT177" s="124">
        <f t="shared" si="2"/>
        <v>174.99999999999798</v>
      </c>
      <c r="AU177" s="124">
        <f t="shared" si="2"/>
        <v>169.99999999999898</v>
      </c>
      <c r="AV177" s="124">
        <f t="shared" si="2"/>
        <v>12.333128125187292</v>
      </c>
      <c r="AW177" s="124">
        <f t="shared" si="2"/>
        <v>327.66687187481068</v>
      </c>
      <c r="AX177" s="124">
        <f t="shared" si="2"/>
        <v>291.66687187480966</v>
      </c>
      <c r="AY177" s="124">
        <f t="shared" si="2"/>
        <v>282.66687187480863</v>
      </c>
    </row>
    <row r="178" spans="1:51">
      <c r="A178" s="125"/>
      <c r="B178" s="136" t="s">
        <v>299</v>
      </c>
      <c r="C178" s="125" t="s">
        <v>293</v>
      </c>
      <c r="D178" s="125">
        <v>211</v>
      </c>
      <c r="E178" s="125">
        <v>113.02241548477831</v>
      </c>
      <c r="F178" s="125">
        <v>169.67266172465168</v>
      </c>
      <c r="G178" s="125">
        <v>83.668103123688013</v>
      </c>
      <c r="H178" s="125">
        <v>201</v>
      </c>
      <c r="I178" s="125">
        <v>138.99999999999801</v>
      </c>
      <c r="J178" s="125">
        <v>178</v>
      </c>
      <c r="K178" s="125">
        <v>139.99753750224647</v>
      </c>
      <c r="L178" s="125">
        <v>130.3368218718141</v>
      </c>
      <c r="M178" s="125">
        <v>169.99999999999898</v>
      </c>
      <c r="N178" s="125">
        <v>169.99999999999901</v>
      </c>
      <c r="O178" s="125">
        <v>151</v>
      </c>
      <c r="P178" s="125">
        <v>188.99999999999798</v>
      </c>
      <c r="Q178" s="125">
        <v>169.99999999999898</v>
      </c>
      <c r="R178" s="125">
        <v>12.333128125187292</v>
      </c>
      <c r="S178" s="125">
        <v>169.99999999999898</v>
      </c>
      <c r="T178" s="125">
        <v>168</v>
      </c>
      <c r="U178" s="125">
        <v>192</v>
      </c>
      <c r="V178" s="125">
        <v>137.66687187480969</v>
      </c>
      <c r="W178" s="125">
        <v>169.99999999999898</v>
      </c>
      <c r="X178" s="125">
        <v>169.99999999999901</v>
      </c>
      <c r="Y178" s="125">
        <v>169.99999999999898</v>
      </c>
      <c r="Z178" s="125">
        <v>12.333128125187292</v>
      </c>
      <c r="AA178" s="125">
        <v>181</v>
      </c>
      <c r="AB178" s="125">
        <v>158.99999999999798</v>
      </c>
      <c r="AC178" s="125">
        <v>183</v>
      </c>
      <c r="AD178" s="125">
        <v>214</v>
      </c>
      <c r="AE178" s="125">
        <v>210</v>
      </c>
      <c r="AF178" s="125">
        <v>220</v>
      </c>
      <c r="AG178" s="125">
        <v>180.66687187480665</v>
      </c>
      <c r="AH178" s="125">
        <v>163</v>
      </c>
      <c r="AI178" s="125">
        <v>149</v>
      </c>
      <c r="AJ178" s="125">
        <v>40.333128125185276</v>
      </c>
      <c r="AK178" s="125">
        <v>151</v>
      </c>
      <c r="AL178" s="125">
        <v>180</v>
      </c>
      <c r="AM178" s="125">
        <v>195</v>
      </c>
      <c r="AN178" s="125">
        <v>194</v>
      </c>
      <c r="AO178" s="125">
        <v>218</v>
      </c>
      <c r="AP178" s="125">
        <v>229</v>
      </c>
      <c r="AQ178" s="125">
        <v>180.66687187480463</v>
      </c>
      <c r="AR178" s="125">
        <v>0</v>
      </c>
      <c r="AS178" s="125">
        <v>165</v>
      </c>
      <c r="AT178" s="125">
        <v>174.99999999999798</v>
      </c>
      <c r="AU178" s="125">
        <v>169.99999999999898</v>
      </c>
      <c r="AV178" s="125">
        <v>12.333128125187292</v>
      </c>
      <c r="AW178" s="125">
        <v>206</v>
      </c>
      <c r="AX178" s="125">
        <v>179</v>
      </c>
      <c r="AY178" s="125">
        <v>190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154.75524087006036</v>
      </c>
      <c r="E179" s="124">
        <f t="shared" si="3"/>
        <v>160.77754708022724</v>
      </c>
      <c r="F179" s="124">
        <f t="shared" si="3"/>
        <v>79.334700010758041</v>
      </c>
      <c r="G179" s="124">
        <f t="shared" si="3"/>
        <v>119.76895553422827</v>
      </c>
      <c r="H179" s="124">
        <f t="shared" si="3"/>
        <v>59.064544249739093</v>
      </c>
      <c r="I179" s="124">
        <f t="shared" si="3"/>
        <v>180.93545575025954</v>
      </c>
      <c r="J179" s="124">
        <f t="shared" si="3"/>
        <v>99.998004229775717</v>
      </c>
      <c r="K179" s="124">
        <f t="shared" si="3"/>
        <v>180.93545575025954</v>
      </c>
      <c r="L179" s="124">
        <f t="shared" si="3"/>
        <v>84.664939306000974</v>
      </c>
      <c r="M179" s="124">
        <f t="shared" si="3"/>
        <v>92.004624904657391</v>
      </c>
      <c r="N179" s="124">
        <f t="shared" si="3"/>
        <v>119.99999999999935</v>
      </c>
      <c r="O179" s="124">
        <f t="shared" si="3"/>
        <v>119.9999999999993</v>
      </c>
      <c r="P179" s="124">
        <f t="shared" si="3"/>
        <v>124.99999999999865</v>
      </c>
      <c r="Q179" s="124">
        <f t="shared" si="3"/>
        <v>119.9999999999993</v>
      </c>
      <c r="R179" s="124">
        <f t="shared" si="3"/>
        <v>119.99999999999935</v>
      </c>
      <c r="S179" s="124">
        <f t="shared" si="3"/>
        <v>9.4266560487782716</v>
      </c>
      <c r="T179" s="124">
        <f t="shared" si="3"/>
        <v>119.99999999999935</v>
      </c>
      <c r="U179" s="124">
        <f t="shared" si="3"/>
        <v>231.28566661953786</v>
      </c>
      <c r="V179" s="124">
        <f t="shared" si="3"/>
        <v>263.62489454922252</v>
      </c>
      <c r="W179" s="124">
        <f t="shared" si="3"/>
        <v>134.80929818587276</v>
      </c>
      <c r="X179" s="124">
        <f t="shared" si="3"/>
        <v>119.99999999999935</v>
      </c>
      <c r="Y179" s="124">
        <f t="shared" si="3"/>
        <v>119.9999999999993</v>
      </c>
      <c r="Z179" s="124">
        <f t="shared" si="3"/>
        <v>119.99999999999935</v>
      </c>
      <c r="AA179" s="124">
        <f t="shared" si="3"/>
        <v>8.7143333804607597</v>
      </c>
      <c r="AB179" s="124">
        <f t="shared" si="3"/>
        <v>231.28566661953789</v>
      </c>
      <c r="AC179" s="124">
        <f t="shared" si="3"/>
        <v>140.25268865194545</v>
      </c>
      <c r="AD179" s="124">
        <f t="shared" si="3"/>
        <v>231.28566661953789</v>
      </c>
      <c r="AE179" s="124">
        <f t="shared" si="3"/>
        <v>205.41137386038437</v>
      </c>
      <c r="AF179" s="124">
        <f t="shared" si="3"/>
        <v>215.41137386038372</v>
      </c>
      <c r="AG179" s="124">
        <f t="shared" si="3"/>
        <v>198.41137386038304</v>
      </c>
      <c r="AH179" s="124">
        <f t="shared" si="3"/>
        <v>165.64700495365071</v>
      </c>
      <c r="AI179" s="124">
        <f t="shared" si="3"/>
        <v>170.64700495365003</v>
      </c>
      <c r="AJ179" s="124">
        <f t="shared" si="3"/>
        <v>119.99999999999935</v>
      </c>
      <c r="AK179" s="124">
        <f t="shared" si="3"/>
        <v>8.7143333804607597</v>
      </c>
      <c r="AL179" s="124">
        <f t="shared" si="3"/>
        <v>231.28566661953789</v>
      </c>
      <c r="AM179" s="124">
        <f t="shared" si="3"/>
        <v>269.85433357821358</v>
      </c>
      <c r="AN179" s="124">
        <f t="shared" si="3"/>
        <v>237.85433357821296</v>
      </c>
      <c r="AO179" s="124">
        <f t="shared" si="3"/>
        <v>227.85433357821225</v>
      </c>
      <c r="AP179" s="124">
        <f t="shared" si="3"/>
        <v>198.85433357821159</v>
      </c>
      <c r="AQ179" s="124">
        <f t="shared" si="3"/>
        <v>176.85433357821091</v>
      </c>
      <c r="AR179" s="124">
        <f t="shared" si="3"/>
        <v>129.28113924989276</v>
      </c>
      <c r="AS179" s="124">
        <f t="shared" si="3"/>
        <v>1.2904075231734786</v>
      </c>
      <c r="AT179" s="124">
        <f t="shared" si="3"/>
        <v>119.99999999999935</v>
      </c>
      <c r="AU179" s="124">
        <f t="shared" si="3"/>
        <v>119.9999999999993</v>
      </c>
      <c r="AV179" s="124">
        <f t="shared" si="3"/>
        <v>119.99999999999935</v>
      </c>
      <c r="AW179" s="124">
        <f t="shared" si="3"/>
        <v>8.7143333804607597</v>
      </c>
      <c r="AX179" s="124">
        <f t="shared" si="3"/>
        <v>231.28566661953789</v>
      </c>
      <c r="AY179" s="124">
        <f t="shared" si="3"/>
        <v>240.36991804978035</v>
      </c>
    </row>
    <row r="180" spans="1:51">
      <c r="A180" s="125"/>
      <c r="B180" s="136" t="s">
        <v>299</v>
      </c>
      <c r="C180" s="125" t="s">
        <v>293</v>
      </c>
      <c r="D180" s="125">
        <v>143</v>
      </c>
      <c r="E180" s="125">
        <v>126.82549006900132</v>
      </c>
      <c r="F180" s="125">
        <v>79.334700010758041</v>
      </c>
      <c r="G180" s="125">
        <v>119.76895553422827</v>
      </c>
      <c r="H180" s="125">
        <v>59.064544249739093</v>
      </c>
      <c r="I180" s="125">
        <v>144.87278848581778</v>
      </c>
      <c r="J180" s="125">
        <v>99.998004229775717</v>
      </c>
      <c r="K180" s="125">
        <v>144.55060510098906</v>
      </c>
      <c r="L180" s="125">
        <v>84.664939306000974</v>
      </c>
      <c r="M180" s="125">
        <v>92.004624904657391</v>
      </c>
      <c r="N180" s="125">
        <v>119.99999999999935</v>
      </c>
      <c r="O180" s="125">
        <v>115</v>
      </c>
      <c r="P180" s="125">
        <v>124.99999999999865</v>
      </c>
      <c r="Q180" s="125">
        <v>119.9999999999993</v>
      </c>
      <c r="R180" s="125">
        <v>119.28767733168183</v>
      </c>
      <c r="S180" s="125">
        <v>9.4266560487782716</v>
      </c>
      <c r="T180" s="125">
        <v>119.99999999999935</v>
      </c>
      <c r="U180" s="125">
        <v>122</v>
      </c>
      <c r="V180" s="125">
        <v>144.04600879604371</v>
      </c>
      <c r="W180" s="125">
        <v>134.80929818587276</v>
      </c>
      <c r="X180" s="125">
        <v>119.99999999999935</v>
      </c>
      <c r="Y180" s="125">
        <v>119.9999999999993</v>
      </c>
      <c r="Z180" s="125">
        <v>119.99999999999935</v>
      </c>
      <c r="AA180" s="125">
        <v>8.7143333804607597</v>
      </c>
      <c r="AB180" s="125">
        <v>138.85372133875751</v>
      </c>
      <c r="AC180" s="125">
        <v>140.25268865194545</v>
      </c>
      <c r="AD180" s="125">
        <v>169</v>
      </c>
      <c r="AE180" s="125">
        <v>110</v>
      </c>
      <c r="AF180" s="125">
        <v>137</v>
      </c>
      <c r="AG180" s="125">
        <v>152.76436890673168</v>
      </c>
      <c r="AH180" s="125">
        <v>115</v>
      </c>
      <c r="AI180" s="125">
        <v>170.64700495365003</v>
      </c>
      <c r="AJ180" s="125">
        <v>119.99999999999935</v>
      </c>
      <c r="AK180" s="125">
        <v>8.7143333804607597</v>
      </c>
      <c r="AL180" s="125">
        <v>125</v>
      </c>
      <c r="AM180" s="125">
        <v>152</v>
      </c>
      <c r="AN180" s="125">
        <v>130</v>
      </c>
      <c r="AO180" s="125">
        <v>149</v>
      </c>
      <c r="AP180" s="125">
        <v>142</v>
      </c>
      <c r="AQ180" s="125">
        <v>167.5731943283175</v>
      </c>
      <c r="AR180" s="125">
        <v>128</v>
      </c>
      <c r="AS180" s="125">
        <v>1.2904075231734786</v>
      </c>
      <c r="AT180" s="125">
        <v>119.99999999999935</v>
      </c>
      <c r="AU180" s="125">
        <v>119.9999999999993</v>
      </c>
      <c r="AV180" s="125">
        <v>119.99999999999935</v>
      </c>
      <c r="AW180" s="125">
        <v>8.7143333804607597</v>
      </c>
      <c r="AX180" s="125">
        <v>154</v>
      </c>
      <c r="AY180" s="125">
        <v>169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153.41747544437797</v>
      </c>
      <c r="E181" s="124">
        <f t="shared" si="4"/>
        <v>46.721129843222663</v>
      </c>
      <c r="F181" s="124">
        <f t="shared" si="4"/>
        <v>123.30134502654525</v>
      </c>
      <c r="G181" s="124">
        <f t="shared" si="4"/>
        <v>60.806556397591912</v>
      </c>
      <c r="H181" s="124">
        <f t="shared" si="4"/>
        <v>186.27185114444953</v>
      </c>
      <c r="I181" s="124">
        <f t="shared" si="4"/>
        <v>65.821005179410932</v>
      </c>
      <c r="J181" s="124">
        <f t="shared" si="4"/>
        <v>186.27185114444953</v>
      </c>
      <c r="K181" s="124">
        <f t="shared" si="4"/>
        <v>49.704030922056745</v>
      </c>
      <c r="L181" s="124">
        <f t="shared" si="4"/>
        <v>94.71815086644051</v>
      </c>
      <c r="M181" s="124">
        <f t="shared" si="4"/>
        <v>123.53920377102077</v>
      </c>
      <c r="N181" s="124">
        <f t="shared" si="4"/>
        <v>123.53920377102072</v>
      </c>
      <c r="O181" s="124">
        <f t="shared" si="4"/>
        <v>123.53920377102077</v>
      </c>
      <c r="P181" s="124">
        <f t="shared" si="4"/>
        <v>123.53920377102072</v>
      </c>
      <c r="Q181" s="124">
        <f t="shared" si="4"/>
        <v>123.53920377102077</v>
      </c>
      <c r="R181" s="124">
        <f t="shared" si="4"/>
        <v>8.9713483934779656</v>
      </c>
      <c r="S181" s="124">
        <f t="shared" si="4"/>
        <v>123.53920377102077</v>
      </c>
      <c r="T181" s="124">
        <f t="shared" si="4"/>
        <v>238.10705914856348</v>
      </c>
      <c r="U181" s="124">
        <f t="shared" si="4"/>
        <v>158.89121107556196</v>
      </c>
      <c r="V181" s="124">
        <f t="shared" si="4"/>
        <v>15.679608541993995</v>
      </c>
      <c r="W181" s="124">
        <f t="shared" si="4"/>
        <v>123.53920377102077</v>
      </c>
      <c r="X181" s="124">
        <f t="shared" si="4"/>
        <v>123.53920377102072</v>
      </c>
      <c r="Y181" s="124">
        <f t="shared" si="4"/>
        <v>123.53920377102077</v>
      </c>
      <c r="Z181" s="124">
        <f t="shared" si="4"/>
        <v>8.9713483934779656</v>
      </c>
      <c r="AA181" s="124">
        <f t="shared" si="4"/>
        <v>238.10705914856351</v>
      </c>
      <c r="AB181" s="124">
        <f t="shared" si="4"/>
        <v>49.231137998434036</v>
      </c>
      <c r="AC181" s="124">
        <f t="shared" si="4"/>
        <v>238.10705914856351</v>
      </c>
      <c r="AD181" s="124">
        <f t="shared" si="4"/>
        <v>147.34696593082074</v>
      </c>
      <c r="AE181" s="124">
        <f t="shared" si="4"/>
        <v>123.53920377102078</v>
      </c>
      <c r="AF181" s="124">
        <f t="shared" si="4"/>
        <v>123.53920377102072</v>
      </c>
      <c r="AG181" s="124">
        <f t="shared" si="4"/>
        <v>123.53920377102077</v>
      </c>
      <c r="AH181" s="124">
        <f t="shared" si="4"/>
        <v>123.53920377102072</v>
      </c>
      <c r="AI181" s="124">
        <f t="shared" si="4"/>
        <v>123.53920377102077</v>
      </c>
      <c r="AJ181" s="124">
        <f t="shared" si="4"/>
        <v>8.9713483934779656</v>
      </c>
      <c r="AK181" s="124">
        <f t="shared" si="4"/>
        <v>238.10705914856351</v>
      </c>
      <c r="AL181" s="124">
        <f t="shared" si="4"/>
        <v>168.39285731635147</v>
      </c>
      <c r="AM181" s="124">
        <f t="shared" si="4"/>
        <v>123.53920377102078</v>
      </c>
      <c r="AN181" s="124">
        <f t="shared" si="4"/>
        <v>123.53920377102072</v>
      </c>
      <c r="AO181" s="124">
        <f t="shared" si="4"/>
        <v>123.53920377102077</v>
      </c>
      <c r="AP181" s="124">
        <f t="shared" si="4"/>
        <v>123.53920377102072</v>
      </c>
      <c r="AQ181" s="124">
        <f t="shared" si="4"/>
        <v>123.53920377102077</v>
      </c>
      <c r="AR181" s="124">
        <f t="shared" si="4"/>
        <v>9.5416258452828591E-3</v>
      </c>
      <c r="AS181" s="124">
        <f t="shared" si="4"/>
        <v>123.53920377102077</v>
      </c>
      <c r="AT181" s="124">
        <f t="shared" si="4"/>
        <v>123.53920377102072</v>
      </c>
      <c r="AU181" s="124">
        <f t="shared" si="4"/>
        <v>123.53920377102077</v>
      </c>
      <c r="AV181" s="124">
        <f t="shared" si="4"/>
        <v>8.9713483934779656</v>
      </c>
      <c r="AW181" s="124">
        <f t="shared" si="4"/>
        <v>238.10705914856351</v>
      </c>
      <c r="AX181" s="124">
        <f t="shared" si="4"/>
        <v>167.8941547440435</v>
      </c>
      <c r="AY181" s="124">
        <f t="shared" si="4"/>
        <v>123.53920377102077</v>
      </c>
    </row>
    <row r="182" spans="1:51">
      <c r="A182" s="125"/>
      <c r="B182" s="136" t="s">
        <v>299</v>
      </c>
      <c r="C182" s="125" t="s">
        <v>293</v>
      </c>
      <c r="D182" s="125">
        <v>132</v>
      </c>
      <c r="E182" s="125">
        <v>46.721129843222663</v>
      </c>
      <c r="F182" s="125">
        <v>123.30134502654525</v>
      </c>
      <c r="G182" s="125">
        <v>60.806556397591912</v>
      </c>
      <c r="H182" s="125">
        <v>176.38660964703561</v>
      </c>
      <c r="I182" s="125">
        <v>65.821005179410932</v>
      </c>
      <c r="J182" s="125">
        <v>176.64090083885185</v>
      </c>
      <c r="K182" s="125">
        <v>49.704030922056745</v>
      </c>
      <c r="L182" s="125">
        <v>94.71815086644051</v>
      </c>
      <c r="M182" s="125">
        <v>123.53920377102077</v>
      </c>
      <c r="N182" s="125">
        <v>123.53920377102072</v>
      </c>
      <c r="O182" s="125">
        <v>123.53920377102077</v>
      </c>
      <c r="P182" s="125">
        <v>123.53920377102072</v>
      </c>
      <c r="Q182" s="125">
        <v>123.53920377102077</v>
      </c>
      <c r="R182" s="125">
        <v>8.9713483934779656</v>
      </c>
      <c r="S182" s="125">
        <v>123.53920377102077</v>
      </c>
      <c r="T182" s="125">
        <v>168.41582391433701</v>
      </c>
      <c r="U182" s="125">
        <v>128</v>
      </c>
      <c r="V182" s="125">
        <v>15.679608541993995</v>
      </c>
      <c r="W182" s="125">
        <v>123.53920377102077</v>
      </c>
      <c r="X182" s="125">
        <v>123.53920377102072</v>
      </c>
      <c r="Y182" s="125">
        <v>123.53920377102077</v>
      </c>
      <c r="Z182" s="125">
        <v>8.9713483934779656</v>
      </c>
      <c r="AA182" s="125">
        <v>158.74085955290315</v>
      </c>
      <c r="AB182" s="125">
        <v>49.231137998434036</v>
      </c>
      <c r="AC182" s="125">
        <v>191.17358974791631</v>
      </c>
      <c r="AD182" s="125">
        <v>147.34696593082074</v>
      </c>
      <c r="AE182" s="125">
        <v>123.53920377102078</v>
      </c>
      <c r="AF182" s="125">
        <v>123.53920377102072</v>
      </c>
      <c r="AG182" s="125">
        <v>123.53920377102077</v>
      </c>
      <c r="AH182" s="125">
        <v>123.53920377102072</v>
      </c>
      <c r="AI182" s="125">
        <v>123.53920377102077</v>
      </c>
      <c r="AJ182" s="125">
        <v>8.9713483934779656</v>
      </c>
      <c r="AK182" s="125">
        <v>149.68473864455638</v>
      </c>
      <c r="AL182" s="125">
        <v>168.39285731635147</v>
      </c>
      <c r="AM182" s="125">
        <v>123.53920377102078</v>
      </c>
      <c r="AN182" s="125">
        <v>123.53920377102072</v>
      </c>
      <c r="AO182" s="125">
        <v>123.53920377102077</v>
      </c>
      <c r="AP182" s="125">
        <v>123.53920377102072</v>
      </c>
      <c r="AQ182" s="125">
        <v>123.53920377102077</v>
      </c>
      <c r="AR182" s="125">
        <v>9.5416258452828591E-3</v>
      </c>
      <c r="AS182" s="125">
        <v>123.53920377102077</v>
      </c>
      <c r="AT182" s="125">
        <v>123.53920377102072</v>
      </c>
      <c r="AU182" s="125">
        <v>123.53920377102077</v>
      </c>
      <c r="AV182" s="125">
        <v>8.9713483934779656</v>
      </c>
      <c r="AW182" s="125">
        <v>150.66785674529757</v>
      </c>
      <c r="AX182" s="125">
        <v>167.8941547440435</v>
      </c>
      <c r="AY182" s="125">
        <v>123.53920377102077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79.3614763376425</v>
      </c>
      <c r="D185" s="124">
        <v>190</v>
      </c>
      <c r="E185" s="124">
        <v>186</v>
      </c>
      <c r="F185" s="124">
        <v>137</v>
      </c>
      <c r="G185" s="124">
        <v>122</v>
      </c>
      <c r="H185" s="124">
        <v>105</v>
      </c>
      <c r="I185" s="124">
        <v>135</v>
      </c>
      <c r="J185" s="124">
        <v>110</v>
      </c>
      <c r="K185" s="124">
        <v>88</v>
      </c>
      <c r="L185" s="124">
        <v>110</v>
      </c>
      <c r="M185" s="124">
        <v>93</v>
      </c>
      <c r="N185" s="124">
        <v>129</v>
      </c>
      <c r="O185" s="124">
        <v>169</v>
      </c>
      <c r="P185" s="124">
        <v>190</v>
      </c>
      <c r="Q185" s="124">
        <v>190</v>
      </c>
      <c r="R185" s="124">
        <v>190</v>
      </c>
      <c r="S185" s="124">
        <v>159</v>
      </c>
      <c r="T185" s="124">
        <v>127</v>
      </c>
      <c r="U185" s="124">
        <v>151</v>
      </c>
      <c r="V185" s="124">
        <v>146</v>
      </c>
      <c r="W185" s="124">
        <v>129</v>
      </c>
      <c r="X185" s="124">
        <v>119</v>
      </c>
      <c r="Y185" s="124">
        <v>162</v>
      </c>
      <c r="Z185" s="124">
        <v>189</v>
      </c>
      <c r="AA185" s="124">
        <v>190</v>
      </c>
      <c r="AB185" s="124">
        <v>190</v>
      </c>
      <c r="AC185" s="124">
        <v>190</v>
      </c>
      <c r="AD185" s="124">
        <v>181</v>
      </c>
      <c r="AE185" s="124">
        <v>190</v>
      </c>
      <c r="AF185" s="124">
        <v>190</v>
      </c>
      <c r="AG185" s="124">
        <v>190</v>
      </c>
      <c r="AH185" s="124">
        <v>160</v>
      </c>
      <c r="AI185" s="124">
        <v>190</v>
      </c>
      <c r="AJ185" s="124">
        <v>190</v>
      </c>
      <c r="AK185" s="124">
        <v>177</v>
      </c>
      <c r="AL185" s="124">
        <v>190</v>
      </c>
      <c r="AM185" s="124">
        <v>190</v>
      </c>
      <c r="AN185" s="124">
        <v>179</v>
      </c>
      <c r="AO185" s="124">
        <v>190</v>
      </c>
      <c r="AP185" s="124">
        <v>155</v>
      </c>
      <c r="AQ185" s="124">
        <v>169</v>
      </c>
      <c r="AR185" s="124">
        <v>184</v>
      </c>
      <c r="AS185" s="124">
        <v>190</v>
      </c>
      <c r="AT185" s="124">
        <v>190</v>
      </c>
      <c r="AU185" s="124">
        <v>164</v>
      </c>
      <c r="AV185" s="124">
        <v>180</v>
      </c>
      <c r="AW185" s="124">
        <v>190</v>
      </c>
      <c r="AX185" s="124">
        <v>190</v>
      </c>
      <c r="AY185" s="124">
        <v>190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4</v>
      </c>
      <c r="G186" s="106">
        <v>53</v>
      </c>
      <c r="H186" s="106">
        <v>68</v>
      </c>
      <c r="I186" s="106">
        <v>85</v>
      </c>
      <c r="J186" s="106">
        <v>55</v>
      </c>
      <c r="K186" s="106">
        <v>80</v>
      </c>
      <c r="L186" s="106">
        <v>102</v>
      </c>
      <c r="M186" s="106">
        <v>80</v>
      </c>
      <c r="N186" s="106">
        <v>97</v>
      </c>
      <c r="O186" s="106">
        <v>61</v>
      </c>
      <c r="P186" s="106">
        <v>21</v>
      </c>
      <c r="Q186" s="106">
        <v>0</v>
      </c>
      <c r="R186" s="106">
        <v>0</v>
      </c>
      <c r="S186" s="106">
        <v>0</v>
      </c>
      <c r="T186" s="106">
        <v>31</v>
      </c>
      <c r="U186" s="106">
        <v>63</v>
      </c>
      <c r="V186" s="106">
        <v>39</v>
      </c>
      <c r="W186" s="106">
        <v>44</v>
      </c>
      <c r="X186" s="106">
        <v>61</v>
      </c>
      <c r="Y186" s="106">
        <v>71</v>
      </c>
      <c r="Z186" s="106">
        <v>28</v>
      </c>
      <c r="AA186" s="106">
        <v>1</v>
      </c>
      <c r="AB186" s="106">
        <v>0</v>
      </c>
      <c r="AC186" s="106">
        <v>0</v>
      </c>
      <c r="AD186" s="106">
        <v>0</v>
      </c>
      <c r="AE186" s="106">
        <v>9</v>
      </c>
      <c r="AF186" s="106">
        <v>0</v>
      </c>
      <c r="AG186" s="106">
        <v>0</v>
      </c>
      <c r="AH186" s="106">
        <v>0</v>
      </c>
      <c r="AI186" s="106">
        <v>30</v>
      </c>
      <c r="AJ186" s="106">
        <v>0</v>
      </c>
      <c r="AK186" s="106">
        <v>0</v>
      </c>
      <c r="AL186" s="106">
        <v>13</v>
      </c>
      <c r="AM186" s="106">
        <v>0</v>
      </c>
      <c r="AN186" s="106">
        <v>0</v>
      </c>
      <c r="AO186" s="106">
        <v>11</v>
      </c>
      <c r="AP186" s="106">
        <v>0</v>
      </c>
      <c r="AQ186" s="106">
        <v>35</v>
      </c>
      <c r="AR186" s="106">
        <v>21</v>
      </c>
      <c r="AS186" s="106">
        <v>6</v>
      </c>
      <c r="AT186" s="106">
        <v>0</v>
      </c>
      <c r="AU186" s="106">
        <v>0</v>
      </c>
      <c r="AV186" s="106">
        <v>26</v>
      </c>
      <c r="AW186" s="106">
        <v>10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72.310097015970825</v>
      </c>
      <c r="E189" s="124">
        <v>49.332512500749161</v>
      </c>
      <c r="F189" s="124">
        <v>147.99753750224744</v>
      </c>
      <c r="G189" s="124">
        <v>61.665640625936447</v>
      </c>
      <c r="H189" s="124">
        <v>92.665640625937442</v>
      </c>
      <c r="I189" s="124">
        <v>61.665640625936447</v>
      </c>
      <c r="J189" s="124">
        <v>69.665640625937442</v>
      </c>
      <c r="K189" s="124">
        <v>61.665640625936447</v>
      </c>
      <c r="L189" s="124">
        <v>0</v>
      </c>
      <c r="M189" s="124">
        <v>169.99999999999898</v>
      </c>
      <c r="N189" s="124">
        <v>169.99999999999901</v>
      </c>
      <c r="O189" s="124">
        <v>151</v>
      </c>
      <c r="P189" s="124">
        <v>169.99999999999901</v>
      </c>
      <c r="Q189" s="124">
        <v>169.99999999999898</v>
      </c>
      <c r="R189" s="124">
        <v>12.333128125187292</v>
      </c>
      <c r="S189" s="124">
        <v>169.99999999999898</v>
      </c>
      <c r="T189" s="124">
        <v>10.333128125188296</v>
      </c>
      <c r="U189" s="124">
        <v>32.33312812518929</v>
      </c>
      <c r="V189" s="124">
        <v>0</v>
      </c>
      <c r="W189" s="124">
        <v>169.99999999999898</v>
      </c>
      <c r="X189" s="124">
        <v>169.99999999999901</v>
      </c>
      <c r="Y189" s="124">
        <v>169.99999999999898</v>
      </c>
      <c r="Z189" s="124">
        <v>12.333128125187292</v>
      </c>
      <c r="AA189" s="124">
        <v>23.333128125188296</v>
      </c>
      <c r="AB189" s="124">
        <v>12.333128125187292</v>
      </c>
      <c r="AC189" s="124">
        <v>25.333128125188296</v>
      </c>
      <c r="AD189" s="124">
        <v>69.333128125189319</v>
      </c>
      <c r="AE189" s="124">
        <v>109.33312812519031</v>
      </c>
      <c r="AF189" s="124">
        <v>159.33312812519134</v>
      </c>
      <c r="AG189" s="124">
        <v>169.99999999999898</v>
      </c>
      <c r="AH189" s="124">
        <v>163</v>
      </c>
      <c r="AI189" s="124">
        <v>142.00000000000099</v>
      </c>
      <c r="AJ189" s="124">
        <v>12.333128125187292</v>
      </c>
      <c r="AK189" s="124">
        <v>0</v>
      </c>
      <c r="AL189" s="124">
        <v>3.3331281251893188</v>
      </c>
      <c r="AM189" s="124">
        <v>28.333128125190314</v>
      </c>
      <c r="AN189" s="124">
        <v>52.333128125191337</v>
      </c>
      <c r="AO189" s="124">
        <v>100.33312812519233</v>
      </c>
      <c r="AP189" s="124">
        <v>159.33312812519335</v>
      </c>
      <c r="AQ189" s="124">
        <v>169.99999999999898</v>
      </c>
      <c r="AR189" s="124">
        <v>0</v>
      </c>
      <c r="AS189" s="124">
        <v>165</v>
      </c>
      <c r="AT189" s="124">
        <v>169.99999999999901</v>
      </c>
      <c r="AU189" s="124">
        <v>169.99999999999898</v>
      </c>
      <c r="AV189" s="124">
        <v>12.333128125187292</v>
      </c>
      <c r="AW189" s="124">
        <v>48.333128125188296</v>
      </c>
      <c r="AX189" s="124">
        <v>57.333128125189319</v>
      </c>
      <c r="AY189" s="124">
        <v>77.333128125190314</v>
      </c>
    </row>
    <row r="190" spans="1:51">
      <c r="A190" s="109"/>
      <c r="B190" s="119">
        <v>2</v>
      </c>
      <c r="C190" s="106">
        <v>0</v>
      </c>
      <c r="D190" s="106">
        <v>136</v>
      </c>
      <c r="E190" s="106">
        <v>63.689902984029146</v>
      </c>
      <c r="F190" s="106">
        <v>21.675124222404222</v>
      </c>
      <c r="G190" s="106">
        <v>22.002462497751566</v>
      </c>
      <c r="H190" s="106">
        <v>108.33435937406256</v>
      </c>
      <c r="I190" s="106">
        <v>77.334359374061563</v>
      </c>
      <c r="J190" s="106">
        <v>108.33435937406256</v>
      </c>
      <c r="K190" s="106">
        <v>78.331896876310026</v>
      </c>
      <c r="L190" s="106">
        <v>108.33435937406256</v>
      </c>
      <c r="M190" s="106">
        <v>0</v>
      </c>
      <c r="N190" s="106">
        <v>0</v>
      </c>
      <c r="O190" s="106">
        <v>0</v>
      </c>
      <c r="P190" s="106">
        <v>18.999999999998977</v>
      </c>
      <c r="Q190" s="106">
        <v>0</v>
      </c>
      <c r="R190" s="106">
        <v>0</v>
      </c>
      <c r="S190" s="106">
        <v>0</v>
      </c>
      <c r="T190" s="106">
        <v>0</v>
      </c>
      <c r="U190" s="106">
        <v>159.66687187481071</v>
      </c>
      <c r="V190" s="106">
        <v>137.66687187480969</v>
      </c>
      <c r="W190" s="106">
        <v>0</v>
      </c>
      <c r="X190" s="106">
        <v>0</v>
      </c>
      <c r="Y190" s="106">
        <v>0</v>
      </c>
      <c r="Z190" s="106">
        <v>0</v>
      </c>
      <c r="AA190" s="106">
        <v>157.6668718748117</v>
      </c>
      <c r="AB190" s="106">
        <v>146.66687187481068</v>
      </c>
      <c r="AC190" s="106">
        <v>157.6668718748117</v>
      </c>
      <c r="AD190" s="106">
        <v>144.66687187481068</v>
      </c>
      <c r="AE190" s="106">
        <v>100.66687187480969</v>
      </c>
      <c r="AF190" s="106">
        <v>60.666871874808663</v>
      </c>
      <c r="AG190" s="106">
        <v>10.666871874807669</v>
      </c>
      <c r="AH190" s="106">
        <v>0</v>
      </c>
      <c r="AI190" s="106">
        <v>6.9999999999990052</v>
      </c>
      <c r="AJ190" s="106">
        <v>27.999999999997982</v>
      </c>
      <c r="AK190" s="106">
        <v>151</v>
      </c>
      <c r="AL190" s="106">
        <v>169.99999999999898</v>
      </c>
      <c r="AM190" s="106">
        <v>166.66687187480969</v>
      </c>
      <c r="AN190" s="106">
        <v>141.66687187480866</v>
      </c>
      <c r="AO190" s="106">
        <v>117.66687187480767</v>
      </c>
      <c r="AP190" s="106">
        <v>69.666871874806645</v>
      </c>
      <c r="AQ190" s="106">
        <v>10.666871874805651</v>
      </c>
      <c r="AR190" s="106">
        <v>0</v>
      </c>
      <c r="AS190" s="106">
        <v>0</v>
      </c>
      <c r="AT190" s="106">
        <v>4.9999999999989768</v>
      </c>
      <c r="AU190" s="106">
        <v>0</v>
      </c>
      <c r="AV190" s="106">
        <v>0</v>
      </c>
      <c r="AW190" s="106">
        <v>157.6668718748117</v>
      </c>
      <c r="AX190" s="106">
        <v>121.66687187481068</v>
      </c>
      <c r="AY190" s="106">
        <v>112.66687187480969</v>
      </c>
    </row>
    <row r="191" spans="1:51">
      <c r="A191" s="109"/>
      <c r="B191" s="120">
        <v>3</v>
      </c>
      <c r="C191" s="106">
        <v>155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22.002462497751537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157.6668718748117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6.6668718748117044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2.6899029840291746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96.001850593683926</v>
      </c>
      <c r="D197" s="106">
        <v>143</v>
      </c>
      <c r="E197" s="106">
        <v>115.07024919894096</v>
      </c>
      <c r="F197" s="106">
        <v>45.382642999532123</v>
      </c>
      <c r="G197" s="106">
        <v>119.76895553422827</v>
      </c>
      <c r="H197" s="106">
        <v>59.064544249739093</v>
      </c>
      <c r="I197" s="106">
        <v>144.87278848581778</v>
      </c>
      <c r="J197" s="106">
        <v>63.93533696533396</v>
      </c>
      <c r="K197" s="106">
        <v>144.55060510098906</v>
      </c>
      <c r="L197" s="106">
        <v>48.280088656730499</v>
      </c>
      <c r="M197" s="106">
        <v>92.004624904657391</v>
      </c>
      <c r="N197" s="106">
        <v>119.99999999999935</v>
      </c>
      <c r="O197" s="106">
        <v>115</v>
      </c>
      <c r="P197" s="106">
        <v>119.99999999999935</v>
      </c>
      <c r="Q197" s="106">
        <v>119.9999999999993</v>
      </c>
      <c r="R197" s="106">
        <v>119.28767733168183</v>
      </c>
      <c r="S197" s="106">
        <v>8.7143333804607597</v>
      </c>
      <c r="T197" s="106">
        <v>119.99999999999935</v>
      </c>
      <c r="U197" s="106">
        <v>122</v>
      </c>
      <c r="V197" s="106">
        <v>34.760342176505844</v>
      </c>
      <c r="W197" s="106">
        <v>15.230412432693976</v>
      </c>
      <c r="X197" s="106">
        <v>119.99999999999935</v>
      </c>
      <c r="Y197" s="106">
        <v>119.9999999999993</v>
      </c>
      <c r="Z197" s="106">
        <v>119.99999999999935</v>
      </c>
      <c r="AA197" s="106">
        <v>8.7143333804607597</v>
      </c>
      <c r="AB197" s="106">
        <v>138.85372133875751</v>
      </c>
      <c r="AC197" s="106">
        <v>47.820743371165065</v>
      </c>
      <c r="AD197" s="106">
        <v>169</v>
      </c>
      <c r="AE197" s="106">
        <v>47.714333380462108</v>
      </c>
      <c r="AF197" s="106">
        <v>41.588626139615627</v>
      </c>
      <c r="AG197" s="106">
        <v>74.352995046347942</v>
      </c>
      <c r="AH197" s="106">
        <v>69.352995046348639</v>
      </c>
      <c r="AI197" s="106">
        <v>119.9999999999993</v>
      </c>
      <c r="AJ197" s="106">
        <v>119.99999999999935</v>
      </c>
      <c r="AK197" s="106">
        <v>8.7143333804607597</v>
      </c>
      <c r="AL197" s="106">
        <v>125</v>
      </c>
      <c r="AM197" s="106">
        <v>45.714333380462108</v>
      </c>
      <c r="AN197" s="106">
        <v>12.145666421786416</v>
      </c>
      <c r="AO197" s="106">
        <v>41.145666421787055</v>
      </c>
      <c r="AP197" s="106">
        <v>63.145666421787752</v>
      </c>
      <c r="AQ197" s="106">
        <v>110.7188607501059</v>
      </c>
      <c r="AR197" s="106">
        <v>118.7188607501066</v>
      </c>
      <c r="AS197" s="106">
        <v>9.2682732807325419E-3</v>
      </c>
      <c r="AT197" s="106">
        <v>119.99999999999935</v>
      </c>
      <c r="AU197" s="106">
        <v>119.9999999999993</v>
      </c>
      <c r="AV197" s="106">
        <v>119.99999999999935</v>
      </c>
      <c r="AW197" s="106">
        <v>8.7143333804607597</v>
      </c>
      <c r="AX197" s="106">
        <v>154</v>
      </c>
      <c r="AY197" s="106">
        <v>91.714333380462108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11.755240870060362</v>
      </c>
      <c r="F198" s="106">
        <v>33.952057011225918</v>
      </c>
      <c r="G198" s="106">
        <v>7.1054273576010019E-15</v>
      </c>
      <c r="H198" s="106">
        <v>0</v>
      </c>
      <c r="I198" s="106">
        <v>0</v>
      </c>
      <c r="J198" s="106">
        <v>36.062667264441757</v>
      </c>
      <c r="K198" s="106">
        <v>7.1054273576010019E-15</v>
      </c>
      <c r="L198" s="106">
        <v>36.384850649270476</v>
      </c>
      <c r="M198" s="106">
        <v>0</v>
      </c>
      <c r="N198" s="106">
        <v>0</v>
      </c>
      <c r="O198" s="106">
        <v>0</v>
      </c>
      <c r="P198" s="106">
        <v>4.9999999999993037</v>
      </c>
      <c r="Q198" s="106">
        <v>0</v>
      </c>
      <c r="R198" s="106">
        <v>0</v>
      </c>
      <c r="S198" s="106">
        <v>0.7123226683175119</v>
      </c>
      <c r="T198" s="106">
        <v>0</v>
      </c>
      <c r="U198" s="106">
        <v>0</v>
      </c>
      <c r="V198" s="106">
        <v>109.28566661953786</v>
      </c>
      <c r="W198" s="106">
        <v>119.57888575317878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92.431945280780383</v>
      </c>
      <c r="AD198" s="106">
        <v>0</v>
      </c>
      <c r="AE198" s="106">
        <v>62.285666619537892</v>
      </c>
      <c r="AF198" s="106">
        <v>95.411373860384373</v>
      </c>
      <c r="AG198" s="106">
        <v>78.411373860383733</v>
      </c>
      <c r="AH198" s="106">
        <v>45.647004953651361</v>
      </c>
      <c r="AI198" s="106">
        <v>50.647004953650708</v>
      </c>
      <c r="AJ198" s="106">
        <v>0</v>
      </c>
      <c r="AK198" s="106">
        <v>0</v>
      </c>
      <c r="AL198" s="106">
        <v>0</v>
      </c>
      <c r="AM198" s="106">
        <v>106.28566661953789</v>
      </c>
      <c r="AN198" s="106">
        <v>117.85433357821358</v>
      </c>
      <c r="AO198" s="106">
        <v>107.85433357821294</v>
      </c>
      <c r="AP198" s="106">
        <v>78.854333578212248</v>
      </c>
      <c r="AQ198" s="106">
        <v>56.854333578211595</v>
      </c>
      <c r="AR198" s="106">
        <v>9.2811392498933998</v>
      </c>
      <c r="AS198" s="106">
        <v>1.2811392498927461</v>
      </c>
      <c r="AT198" s="106">
        <v>1.0061396160665481E-16</v>
      </c>
      <c r="AU198" s="106">
        <v>0</v>
      </c>
      <c r="AV198" s="106">
        <v>0</v>
      </c>
      <c r="AW198" s="106">
        <v>0</v>
      </c>
      <c r="AX198" s="106">
        <v>0</v>
      </c>
      <c r="AY198" s="106">
        <v>77.285666619537892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45.015049359820438</v>
      </c>
      <c r="D209" s="124">
        <v>77.729757267317538</v>
      </c>
      <c r="E209" s="124">
        <v>35.856768696376001</v>
      </c>
      <c r="F209" s="124">
        <v>107.55122283743749</v>
      </c>
      <c r="G209" s="124">
        <v>44.818575464008696</v>
      </c>
      <c r="H209" s="124">
        <v>97.665981340023592</v>
      </c>
      <c r="I209" s="124">
        <v>44.818575464008688</v>
      </c>
      <c r="J209" s="124">
        <v>97.920272531839828</v>
      </c>
      <c r="K209" s="124">
        <v>44.818575464008696</v>
      </c>
      <c r="L209" s="124">
        <v>9.5416258452729608E-3</v>
      </c>
      <c r="M209" s="124">
        <v>123.53920377102077</v>
      </c>
      <c r="N209" s="124">
        <v>123.53920377102072</v>
      </c>
      <c r="O209" s="124">
        <v>123.53920377102077</v>
      </c>
      <c r="P209" s="124">
        <v>123.53920377102072</v>
      </c>
      <c r="Q209" s="124">
        <v>123.53920377102077</v>
      </c>
      <c r="R209" s="124">
        <v>8.9713483934779656</v>
      </c>
      <c r="S209" s="124">
        <v>123.53920377102077</v>
      </c>
      <c r="T209" s="124">
        <v>53.847968536794255</v>
      </c>
      <c r="U209" s="124">
        <v>92.647992695458811</v>
      </c>
      <c r="V209" s="124">
        <v>9.5416258452818425E-3</v>
      </c>
      <c r="W209" s="124">
        <v>123.53920377102077</v>
      </c>
      <c r="X209" s="124">
        <v>123.53920377102072</v>
      </c>
      <c r="Y209" s="124">
        <v>123.53920377102077</v>
      </c>
      <c r="Z209" s="124">
        <v>8.9713483934779656</v>
      </c>
      <c r="AA209" s="124">
        <v>44.17300417536039</v>
      </c>
      <c r="AB209" s="124">
        <v>8.9713483934779656</v>
      </c>
      <c r="AC209" s="124">
        <v>76.605734370373554</v>
      </c>
      <c r="AD209" s="124">
        <v>123.53920377102071</v>
      </c>
      <c r="AE209" s="124">
        <v>123.53920377102077</v>
      </c>
      <c r="AF209" s="124">
        <v>123.53920377102072</v>
      </c>
      <c r="AG209" s="124">
        <v>123.53920377102077</v>
      </c>
      <c r="AH209" s="124">
        <v>123.53920377102072</v>
      </c>
      <c r="AI209" s="124">
        <v>123.53920377102077</v>
      </c>
      <c r="AJ209" s="124">
        <v>8.9713483934779656</v>
      </c>
      <c r="AK209" s="124">
        <v>35.11688326701362</v>
      </c>
      <c r="AL209" s="124">
        <v>123.53920377102071</v>
      </c>
      <c r="AM209" s="124">
        <v>123.53920377102077</v>
      </c>
      <c r="AN209" s="124">
        <v>123.53920377102072</v>
      </c>
      <c r="AO209" s="124">
        <v>123.53920377102077</v>
      </c>
      <c r="AP209" s="124">
        <v>123.53920377102072</v>
      </c>
      <c r="AQ209" s="124">
        <v>123.53920377102077</v>
      </c>
      <c r="AR209" s="124">
        <v>9.5416258452828591E-3</v>
      </c>
      <c r="AS209" s="124">
        <v>123.53920377102077</v>
      </c>
      <c r="AT209" s="124">
        <v>123.53920377102072</v>
      </c>
      <c r="AU209" s="124">
        <v>123.53920377102077</v>
      </c>
      <c r="AV209" s="124">
        <v>8.9713483934779656</v>
      </c>
      <c r="AW209" s="124">
        <v>36.100001367754814</v>
      </c>
      <c r="AX209" s="124">
        <v>123.53920377102072</v>
      </c>
      <c r="AY209" s="124">
        <v>123.53920377102077</v>
      </c>
    </row>
    <row r="210" spans="1:51">
      <c r="A210" s="109"/>
      <c r="B210" s="119">
        <v>2</v>
      </c>
      <c r="C210" s="106">
        <v>0</v>
      </c>
      <c r="D210" s="110">
        <v>54.270242732682462</v>
      </c>
      <c r="E210" s="110">
        <v>10.864361146846658</v>
      </c>
      <c r="F210" s="110">
        <v>15.750122189107751</v>
      </c>
      <c r="G210" s="110">
        <v>15.987980933583218</v>
      </c>
      <c r="H210" s="110">
        <v>78.720628307012021</v>
      </c>
      <c r="I210" s="110">
        <v>21.00242971540224</v>
      </c>
      <c r="J210" s="110">
        <v>78.720628307012021</v>
      </c>
      <c r="K210" s="110">
        <v>4.8854554580480496</v>
      </c>
      <c r="L210" s="110">
        <v>78.720628307012021</v>
      </c>
      <c r="M210" s="110">
        <v>5.0210892292583436E-15</v>
      </c>
      <c r="N210" s="110">
        <v>0</v>
      </c>
      <c r="O210" s="110">
        <v>0</v>
      </c>
      <c r="P210" s="110">
        <v>0</v>
      </c>
      <c r="Q210" s="110">
        <v>0</v>
      </c>
      <c r="R210" s="110">
        <v>0</v>
      </c>
      <c r="S210" s="110">
        <v>0</v>
      </c>
      <c r="T210" s="110">
        <v>0</v>
      </c>
      <c r="U210" s="110">
        <v>35.352007304541182</v>
      </c>
      <c r="V210" s="110">
        <v>15.670066916148713</v>
      </c>
      <c r="W210" s="110">
        <v>5.1566040805211873E-16</v>
      </c>
      <c r="X210" s="110">
        <v>0</v>
      </c>
      <c r="Y210" s="110">
        <v>0</v>
      </c>
      <c r="Z210" s="110">
        <v>0</v>
      </c>
      <c r="AA210" s="110">
        <v>114.56785537754276</v>
      </c>
      <c r="AB210" s="110">
        <v>40.259789604956069</v>
      </c>
      <c r="AC210" s="110">
        <v>114.56785537754276</v>
      </c>
      <c r="AD210" s="110">
        <v>23.807762159800038</v>
      </c>
      <c r="AE210" s="110">
        <v>7.2086861139299598E-15</v>
      </c>
      <c r="AF210" s="110">
        <v>0</v>
      </c>
      <c r="AG210" s="110">
        <v>0</v>
      </c>
      <c r="AH210" s="110">
        <v>0</v>
      </c>
      <c r="AI210" s="110">
        <v>0</v>
      </c>
      <c r="AJ210" s="110">
        <v>0</v>
      </c>
      <c r="AK210" s="110">
        <v>114.56785537754276</v>
      </c>
      <c r="AL210" s="110">
        <v>44.853653545330758</v>
      </c>
      <c r="AM210" s="110">
        <v>7.2086861139299598E-15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0</v>
      </c>
      <c r="AU210" s="110">
        <v>0</v>
      </c>
      <c r="AV210" s="110">
        <v>0</v>
      </c>
      <c r="AW210" s="110">
        <v>114.56785537754276</v>
      </c>
      <c r="AX210" s="110">
        <v>44.354950973022774</v>
      </c>
      <c r="AY210" s="110">
        <v>0</v>
      </c>
    </row>
    <row r="211" spans="1:51">
      <c r="A211" s="109"/>
      <c r="B211" s="119">
        <v>3</v>
      </c>
      <c r="C211" s="106">
        <v>115.30221437413348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15.987980933583211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114.56785537754276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96864.499036608468</v>
      </c>
      <c r="E259" s="124">
        <f t="shared" ref="E259:AX259" si="5">F$14*$B$259</f>
        <v>29498.717949695885</v>
      </c>
      <c r="F259" s="124">
        <f t="shared" si="5"/>
        <v>77849.821097248379</v>
      </c>
      <c r="G259" s="124">
        <f t="shared" si="5"/>
        <v>38391.953762330413</v>
      </c>
      <c r="H259" s="124">
        <f t="shared" si="5"/>
        <v>117608.04623766869</v>
      </c>
      <c r="I259" s="124">
        <f t="shared" si="5"/>
        <v>41557.969027467079</v>
      </c>
      <c r="J259" s="124">
        <f t="shared" si="5"/>
        <v>117608.04623766869</v>
      </c>
      <c r="K259" s="124">
        <f t="shared" si="5"/>
        <v>31382.057626874823</v>
      </c>
      <c r="L259" s="124">
        <f t="shared" si="5"/>
        <v>59803.006188027306</v>
      </c>
      <c r="M259" s="124">
        <f t="shared" si="5"/>
        <v>77999.999999999578</v>
      </c>
      <c r="N259" s="124">
        <f t="shared" si="5"/>
        <v>77999.999999999549</v>
      </c>
      <c r="O259" s="124">
        <f t="shared" si="5"/>
        <v>77999.999999999578</v>
      </c>
      <c r="P259" s="124">
        <f t="shared" si="5"/>
        <v>77999.999999999549</v>
      </c>
      <c r="Q259" s="124">
        <f t="shared" si="5"/>
        <v>77999.999999999578</v>
      </c>
      <c r="R259" s="124">
        <f t="shared" si="5"/>
        <v>5664.3166972994941</v>
      </c>
      <c r="S259" s="124">
        <f t="shared" si="5"/>
        <v>77999.999999999578</v>
      </c>
      <c r="T259" s="124">
        <f t="shared" si="5"/>
        <v>150335.68330269962</v>
      </c>
      <c r="U259" s="124">
        <f t="shared" si="5"/>
        <v>100320.49815429501</v>
      </c>
      <c r="V259" s="124">
        <f t="shared" si="5"/>
        <v>9899.7680812510844</v>
      </c>
      <c r="W259" s="124">
        <f t="shared" si="5"/>
        <v>77999.999999999578</v>
      </c>
      <c r="X259" s="124">
        <f t="shared" si="5"/>
        <v>77999.999999999549</v>
      </c>
      <c r="Y259" s="124">
        <f t="shared" si="5"/>
        <v>77999.999999999578</v>
      </c>
      <c r="Z259" s="124">
        <f t="shared" si="5"/>
        <v>5664.3166972994941</v>
      </c>
      <c r="AA259" s="124">
        <f t="shared" si="5"/>
        <v>150335.68330269962</v>
      </c>
      <c r="AB259" s="124">
        <f t="shared" si="5"/>
        <v>31083.483191257292</v>
      </c>
      <c r="AC259" s="124">
        <f t="shared" si="5"/>
        <v>150335.68330269962</v>
      </c>
      <c r="AD259" s="124">
        <f t="shared" si="5"/>
        <v>93031.709706550217</v>
      </c>
      <c r="AE259" s="124">
        <f t="shared" si="5"/>
        <v>77999.999999999578</v>
      </c>
      <c r="AF259" s="124">
        <f t="shared" si="5"/>
        <v>77999.999999999549</v>
      </c>
      <c r="AG259" s="124">
        <f t="shared" si="5"/>
        <v>77999.999999999578</v>
      </c>
      <c r="AH259" s="124">
        <f t="shared" si="5"/>
        <v>77999.999999999549</v>
      </c>
      <c r="AI259" s="124">
        <f t="shared" si="5"/>
        <v>77999.999999999578</v>
      </c>
      <c r="AJ259" s="124">
        <f t="shared" si="5"/>
        <v>5664.3166972994941</v>
      </c>
      <c r="AK259" s="124">
        <f t="shared" si="5"/>
        <v>150335.68330269962</v>
      </c>
      <c r="AL259" s="124">
        <f t="shared" si="5"/>
        <v>106319.6335231392</v>
      </c>
      <c r="AM259" s="124">
        <f t="shared" si="5"/>
        <v>77999.999999999578</v>
      </c>
      <c r="AN259" s="124">
        <f t="shared" si="5"/>
        <v>77999.999999999549</v>
      </c>
      <c r="AO259" s="124">
        <f t="shared" si="5"/>
        <v>77999.999999999578</v>
      </c>
      <c r="AP259" s="124">
        <f t="shared" si="5"/>
        <v>77999.999999999549</v>
      </c>
      <c r="AQ259" s="124">
        <f t="shared" si="5"/>
        <v>77999.999999999578</v>
      </c>
      <c r="AR259" s="124">
        <f t="shared" si="5"/>
        <v>6.0243776324762175</v>
      </c>
      <c r="AS259" s="124">
        <f t="shared" si="5"/>
        <v>77999.999999999578</v>
      </c>
      <c r="AT259" s="124">
        <f t="shared" si="5"/>
        <v>77999.999999999549</v>
      </c>
      <c r="AU259" s="124">
        <f t="shared" si="5"/>
        <v>77999.999999999578</v>
      </c>
      <c r="AV259" s="124">
        <f t="shared" si="5"/>
        <v>5664.3166972994941</v>
      </c>
      <c r="AW259" s="124">
        <f t="shared" si="5"/>
        <v>150335.68330269962</v>
      </c>
      <c r="AX259" s="124">
        <f t="shared" si="5"/>
        <v>106004.7634296576</v>
      </c>
      <c r="AY259" s="124">
        <f>AZ$14*$B$259</f>
        <v>77999.999999999578</v>
      </c>
      <c r="AZ259" s="139">
        <f>SUM($D259:$AY259)</f>
        <v>3625565.6809300575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5811.7571579080504</v>
      </c>
      <c r="E260" s="125">
        <f t="shared" ref="E260:AY260" si="6">(E$175-E$176+E$177-E$178+E$179-E$180+E$181-E$182)*$B$260</f>
        <v>2277.1234206735548</v>
      </c>
      <c r="F260" s="125">
        <f t="shared" si="6"/>
        <v>3180</v>
      </c>
      <c r="G260" s="125">
        <f t="shared" si="6"/>
        <v>4080</v>
      </c>
      <c r="H260" s="125">
        <f t="shared" si="6"/>
        <v>9013.0283024234359</v>
      </c>
      <c r="I260" s="125">
        <f t="shared" si="6"/>
        <v>5463.7600358665049</v>
      </c>
      <c r="J260" s="125">
        <f t="shared" si="6"/>
        <v>10077.770830914458</v>
      </c>
      <c r="K260" s="125">
        <f t="shared" si="6"/>
        <v>8303.0910389562268</v>
      </c>
      <c r="L260" s="125">
        <f t="shared" si="6"/>
        <v>4800</v>
      </c>
      <c r="M260" s="125">
        <f t="shared" si="6"/>
        <v>5820</v>
      </c>
      <c r="N260" s="125">
        <f t="shared" si="6"/>
        <v>3659.9999999999991</v>
      </c>
      <c r="O260" s="125">
        <f t="shared" si="6"/>
        <v>2699.9999999998977</v>
      </c>
      <c r="P260" s="125">
        <f t="shared" si="6"/>
        <v>0</v>
      </c>
      <c r="Q260" s="125">
        <f t="shared" si="6"/>
        <v>0</v>
      </c>
      <c r="R260" s="125">
        <f t="shared" si="6"/>
        <v>42.739360099050714</v>
      </c>
      <c r="S260" s="125">
        <f t="shared" si="6"/>
        <v>1860</v>
      </c>
      <c r="T260" s="125">
        <f t="shared" si="6"/>
        <v>17541.486426542226</v>
      </c>
      <c r="U260" s="125">
        <f t="shared" si="6"/>
        <v>19010.624974194572</v>
      </c>
      <c r="V260" s="125">
        <f t="shared" si="6"/>
        <v>9814.7331451907285</v>
      </c>
      <c r="W260" s="125">
        <f t="shared" si="6"/>
        <v>3660</v>
      </c>
      <c r="X260" s="125">
        <f t="shared" si="6"/>
        <v>4259.9999999999991</v>
      </c>
      <c r="Y260" s="125">
        <f t="shared" si="6"/>
        <v>1680</v>
      </c>
      <c r="Z260" s="125">
        <f t="shared" si="6"/>
        <v>60</v>
      </c>
      <c r="AA260" s="125">
        <f t="shared" si="6"/>
        <v>13561.984288228263</v>
      </c>
      <c r="AB260" s="125">
        <f t="shared" si="6"/>
        <v>5545.916716846823</v>
      </c>
      <c r="AC260" s="125">
        <f t="shared" si="6"/>
        <v>11496.020476527472</v>
      </c>
      <c r="AD260" s="125">
        <f t="shared" si="6"/>
        <v>10317.152309660851</v>
      </c>
      <c r="AE260" s="125">
        <f t="shared" si="6"/>
        <v>9364.6947441115826</v>
      </c>
      <c r="AF260" s="125">
        <f t="shared" si="6"/>
        <v>5344.6947441114826</v>
      </c>
      <c r="AG260" s="125">
        <f t="shared" si="6"/>
        <v>2738.8202972190816</v>
      </c>
      <c r="AH260" s="125">
        <f t="shared" si="6"/>
        <v>5258.8202972189838</v>
      </c>
      <c r="AI260" s="125">
        <f t="shared" si="6"/>
        <v>1679.999999999879</v>
      </c>
      <c r="AJ260" s="125">
        <f t="shared" si="6"/>
        <v>0</v>
      </c>
      <c r="AK260" s="125">
        <f t="shared" si="6"/>
        <v>16685.351542729069</v>
      </c>
      <c r="AL260" s="125">
        <f t="shared" si="6"/>
        <v>16377.152309660853</v>
      </c>
      <c r="AM260" s="125">
        <f t="shared" si="6"/>
        <v>15571.272327181334</v>
      </c>
      <c r="AN260" s="125">
        <f t="shared" si="6"/>
        <v>14191.272327181237</v>
      </c>
      <c r="AO260" s="125">
        <f t="shared" si="6"/>
        <v>8911.2723271811319</v>
      </c>
      <c r="AP260" s="125">
        <f t="shared" si="6"/>
        <v>6151.2723271810355</v>
      </c>
      <c r="AQ260" s="125">
        <f t="shared" si="6"/>
        <v>1816.868354993605</v>
      </c>
      <c r="AR260" s="125">
        <f t="shared" si="6"/>
        <v>436.86835499356562</v>
      </c>
      <c r="AS260" s="125">
        <f t="shared" si="6"/>
        <v>299.99999999993861</v>
      </c>
      <c r="AT260" s="125">
        <f t="shared" si="6"/>
        <v>0</v>
      </c>
      <c r="AU260" s="125">
        <f t="shared" si="6"/>
        <v>1560</v>
      </c>
      <c r="AV260" s="125">
        <f t="shared" si="6"/>
        <v>600.00000000000011</v>
      </c>
      <c r="AW260" s="125">
        <f t="shared" si="6"/>
        <v>12546.364456684598</v>
      </c>
      <c r="AX260" s="125">
        <f t="shared" si="6"/>
        <v>11397.152309660851</v>
      </c>
      <c r="AY260" s="125">
        <f t="shared" si="6"/>
        <v>9842.2073954753414</v>
      </c>
      <c r="AZ260" s="141">
        <f>SUM($D260:$AY260)</f>
        <v>304811.27259961574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1051.6079682196969</v>
      </c>
      <c r="E9" s="117">
        <v>1051.6079682196969</v>
      </c>
      <c r="F9" s="117">
        <v>1051.6079682196969</v>
      </c>
      <c r="G9" s="117">
        <v>1051.6079682196969</v>
      </c>
      <c r="H9" s="117">
        <v>1051.6079682196969</v>
      </c>
      <c r="I9" s="117">
        <v>1051.6079682196969</v>
      </c>
      <c r="J9" s="117">
        <v>1051.6079682196969</v>
      </c>
      <c r="K9" s="117">
        <v>1051.6079682196969</v>
      </c>
      <c r="L9" s="117">
        <v>1051.6079682196969</v>
      </c>
      <c r="M9" s="117">
        <v>1051.6079682196969</v>
      </c>
      <c r="N9" s="117">
        <v>1051.6079682196969</v>
      </c>
      <c r="O9" s="117">
        <v>1051.6079682196969</v>
      </c>
      <c r="P9" s="117">
        <v>841.29226269161995</v>
      </c>
      <c r="Q9" s="117">
        <v>841.29226269161995</v>
      </c>
      <c r="R9" s="117">
        <v>841.29226269161995</v>
      </c>
      <c r="S9" s="117">
        <v>841.29226269161995</v>
      </c>
      <c r="T9" s="117">
        <v>1051.6079682196969</v>
      </c>
      <c r="U9" s="117">
        <v>1051.6079682196969</v>
      </c>
      <c r="V9" s="117">
        <v>1051.6079682196969</v>
      </c>
      <c r="W9" s="117">
        <v>1051.6079682196969</v>
      </c>
      <c r="X9" s="117">
        <v>1051.6079682196969</v>
      </c>
      <c r="Y9" s="117">
        <v>1051.6079682196969</v>
      </c>
      <c r="Z9" s="117">
        <v>1051.6079682196969</v>
      </c>
      <c r="AA9" s="117">
        <v>1051.6079682196969</v>
      </c>
      <c r="AB9" s="117">
        <v>1051.6079682196969</v>
      </c>
      <c r="AC9" s="117">
        <v>1051.6079682196969</v>
      </c>
      <c r="AD9" s="117">
        <v>1051.6079682196969</v>
      </c>
      <c r="AE9" s="117">
        <v>1051.6079682196969</v>
      </c>
      <c r="AF9" s="117">
        <v>1051.6079682196969</v>
      </c>
      <c r="AG9" s="117">
        <v>1051.6079682196969</v>
      </c>
      <c r="AH9" s="117">
        <v>1051.6079682196969</v>
      </c>
      <c r="AI9" s="117">
        <v>1051.6079682196969</v>
      </c>
      <c r="AJ9" s="117">
        <v>1051.6079682196969</v>
      </c>
      <c r="AK9" s="117">
        <v>1051.6079682196969</v>
      </c>
      <c r="AL9" s="117">
        <v>1051.6079682196969</v>
      </c>
      <c r="AM9" s="117">
        <v>1051.6079682196969</v>
      </c>
      <c r="AN9" s="117">
        <v>1051.6079682196969</v>
      </c>
      <c r="AO9" s="117">
        <v>1051.6079682196969</v>
      </c>
      <c r="AP9" s="117">
        <v>1051.6079682196969</v>
      </c>
      <c r="AQ9" s="117">
        <v>1051.6079682196969</v>
      </c>
      <c r="AR9" s="117">
        <v>1051.6079682196969</v>
      </c>
      <c r="AS9" s="117">
        <v>1051.6079682196969</v>
      </c>
      <c r="AT9" s="117">
        <v>1051.6079682196969</v>
      </c>
      <c r="AU9" s="117">
        <v>1051.6079682196969</v>
      </c>
      <c r="AV9" s="117">
        <v>1051.6079682196969</v>
      </c>
      <c r="AW9" s="117">
        <v>1051.6079682196969</v>
      </c>
      <c r="AX9" s="117">
        <v>1051.6079682196969</v>
      </c>
      <c r="AY9" s="117">
        <v>1051.6079682196969</v>
      </c>
    </row>
    <row r="10" spans="1:53">
      <c r="A10" s="118" t="s">
        <v>133</v>
      </c>
      <c r="B10" s="119">
        <v>1</v>
      </c>
      <c r="C10" s="106" t="s">
        <v>293</v>
      </c>
      <c r="D10" s="100">
        <v>0</v>
      </c>
      <c r="E10" s="100">
        <v>190.72161391135506</v>
      </c>
      <c r="F10" s="100">
        <v>0</v>
      </c>
      <c r="G10" s="100">
        <v>190.72161391135495</v>
      </c>
      <c r="H10" s="100">
        <v>607.34936250024873</v>
      </c>
      <c r="I10" s="100">
        <v>607.34936250024873</v>
      </c>
      <c r="J10" s="100">
        <v>607.34936250024873</v>
      </c>
      <c r="K10" s="100">
        <v>190.72161391135495</v>
      </c>
      <c r="L10" s="100">
        <v>607.34936250024873</v>
      </c>
      <c r="M10" s="100">
        <v>607.34936250024873</v>
      </c>
      <c r="N10" s="100">
        <v>0</v>
      </c>
      <c r="O10" s="100">
        <v>190.72161391135495</v>
      </c>
      <c r="P10" s="100">
        <v>607.34936250024873</v>
      </c>
      <c r="Q10" s="100">
        <v>190.72161391135495</v>
      </c>
      <c r="R10" s="100">
        <v>0</v>
      </c>
      <c r="S10" s="100">
        <v>485.88289064333151</v>
      </c>
      <c r="T10" s="100">
        <v>0</v>
      </c>
      <c r="U10" s="100">
        <v>190.72161391135498</v>
      </c>
      <c r="V10" s="100">
        <v>607.34936250024873</v>
      </c>
      <c r="W10" s="100">
        <v>190.72161391135495</v>
      </c>
      <c r="X10" s="100">
        <v>0</v>
      </c>
      <c r="Y10" s="100">
        <v>607.34936250024873</v>
      </c>
      <c r="Z10" s="100">
        <v>607.34936250024873</v>
      </c>
      <c r="AA10" s="100">
        <v>607.34936250024873</v>
      </c>
      <c r="AB10" s="100">
        <v>0</v>
      </c>
      <c r="AC10" s="100">
        <v>607.34936250024873</v>
      </c>
      <c r="AD10" s="100">
        <v>0</v>
      </c>
      <c r="AE10" s="100">
        <v>1214.6987250004975</v>
      </c>
      <c r="AF10" s="100">
        <v>0</v>
      </c>
      <c r="AG10" s="100">
        <v>190.72161391135495</v>
      </c>
      <c r="AH10" s="100">
        <v>607.34936250024873</v>
      </c>
      <c r="AI10" s="100">
        <v>190.72161391135495</v>
      </c>
      <c r="AJ10" s="100">
        <v>607.34936250024873</v>
      </c>
      <c r="AK10" s="100">
        <v>607.34936250024873</v>
      </c>
      <c r="AL10" s="100">
        <v>607.34936250024873</v>
      </c>
      <c r="AM10" s="100">
        <v>607.34936250024873</v>
      </c>
      <c r="AN10" s="100">
        <v>0</v>
      </c>
      <c r="AO10" s="100">
        <v>190.72161391135498</v>
      </c>
      <c r="AP10" s="100">
        <v>607.34936250024873</v>
      </c>
      <c r="AQ10" s="100">
        <v>607.34936250024873</v>
      </c>
      <c r="AR10" s="100">
        <v>0</v>
      </c>
      <c r="AS10" s="100">
        <v>190.72161391135495</v>
      </c>
      <c r="AT10" s="100">
        <v>607.34936250024873</v>
      </c>
      <c r="AU10" s="100">
        <v>190.72161391135495</v>
      </c>
      <c r="AV10" s="100">
        <v>0</v>
      </c>
      <c r="AW10" s="100">
        <v>607.34936250024873</v>
      </c>
      <c r="AX10" s="100">
        <v>0</v>
      </c>
      <c r="AY10" s="100">
        <v>607.34936250024873</v>
      </c>
      <c r="AZ10" s="100">
        <v>607.34936250024873</v>
      </c>
    </row>
    <row r="11" spans="1:53">
      <c r="B11" s="119">
        <v>2</v>
      </c>
      <c r="C11" s="106" t="s">
        <v>293</v>
      </c>
      <c r="D11" s="100">
        <v>605.43927765486126</v>
      </c>
      <c r="E11" s="100">
        <v>0</v>
      </c>
      <c r="F11" s="100">
        <v>1002.2310168693225</v>
      </c>
      <c r="G11" s="100">
        <v>607.34936250024873</v>
      </c>
      <c r="H11" s="100">
        <v>0</v>
      </c>
      <c r="J11" s="100">
        <v>0</v>
      </c>
      <c r="K11" s="100">
        <v>0</v>
      </c>
      <c r="L11" s="100">
        <v>416.62774858889378</v>
      </c>
      <c r="M11" s="100">
        <v>0</v>
      </c>
      <c r="O11" s="100">
        <v>607.34936250024873</v>
      </c>
      <c r="P11" s="100">
        <v>416.62774858889378</v>
      </c>
      <c r="R11" s="100">
        <v>416.62774858889378</v>
      </c>
      <c r="S11" s="100">
        <v>485.88289064333151</v>
      </c>
      <c r="T11" s="100">
        <v>0</v>
      </c>
      <c r="U11" s="100">
        <v>485.88289064333151</v>
      </c>
      <c r="V11" s="100">
        <v>0</v>
      </c>
      <c r="W11" s="100">
        <v>0</v>
      </c>
      <c r="Y11" s="100">
        <v>607.34936250024873</v>
      </c>
      <c r="AC11" s="100">
        <v>607.34936250024873</v>
      </c>
      <c r="AD11" s="100">
        <v>0</v>
      </c>
      <c r="AE11" s="100">
        <v>0</v>
      </c>
      <c r="AG11" s="100">
        <v>607.34936250024873</v>
      </c>
      <c r="AI11" s="100">
        <v>0</v>
      </c>
      <c r="AJ11" s="100">
        <v>416.62774858889378</v>
      </c>
      <c r="AO11" s="100">
        <v>0</v>
      </c>
      <c r="AR11" s="100">
        <v>0</v>
      </c>
      <c r="AS11" s="100">
        <v>607.34936250024873</v>
      </c>
      <c r="AT11" s="100">
        <v>416.62774858889378</v>
      </c>
      <c r="AV11" s="100">
        <v>0</v>
      </c>
      <c r="AW11" s="100">
        <v>0</v>
      </c>
      <c r="AX11" s="100">
        <v>0</v>
      </c>
      <c r="BA11" s="100">
        <v>0</v>
      </c>
    </row>
    <row r="12" spans="1:53">
      <c r="B12" s="120">
        <v>3</v>
      </c>
      <c r="C12" s="106" t="s">
        <v>293</v>
      </c>
      <c r="E12" s="100">
        <v>0</v>
      </c>
      <c r="G12" s="100">
        <v>0</v>
      </c>
      <c r="I12" s="100">
        <v>416.62774858889378</v>
      </c>
      <c r="J12" s="100">
        <v>0</v>
      </c>
      <c r="M12" s="100">
        <v>0</v>
      </c>
      <c r="O12" s="100">
        <v>0</v>
      </c>
      <c r="P12" s="100">
        <v>0</v>
      </c>
      <c r="T12" s="100">
        <v>0</v>
      </c>
      <c r="W12" s="100">
        <v>295.1612767319765</v>
      </c>
      <c r="Y12" s="100">
        <v>416.62774858889378</v>
      </c>
      <c r="AA12" s="100">
        <v>0</v>
      </c>
      <c r="AB12" s="100">
        <v>0</v>
      </c>
      <c r="AC12" s="100">
        <v>0</v>
      </c>
      <c r="AG12" s="100">
        <v>0</v>
      </c>
      <c r="AH12" s="100">
        <v>0</v>
      </c>
      <c r="AI12" s="100">
        <v>416.62774858889378</v>
      </c>
      <c r="AM12" s="100">
        <v>0</v>
      </c>
      <c r="AN12" s="100">
        <v>0</v>
      </c>
      <c r="AO12" s="100">
        <v>0</v>
      </c>
      <c r="AP12" s="100">
        <v>0</v>
      </c>
      <c r="AQ12" s="100">
        <v>1023.9771110891425</v>
      </c>
      <c r="AR12" s="100">
        <v>0</v>
      </c>
      <c r="AU12" s="100">
        <v>0</v>
      </c>
      <c r="AV12" s="100">
        <v>0</v>
      </c>
      <c r="AW12" s="100">
        <v>416.62774858889378</v>
      </c>
      <c r="AX12" s="100">
        <v>607.34936250024873</v>
      </c>
      <c r="AZ12" s="100">
        <v>607.34936250024873</v>
      </c>
      <c r="BA12" s="100">
        <v>0</v>
      </c>
    </row>
    <row r="13" spans="1:53">
      <c r="B13" s="120">
        <v>4</v>
      </c>
      <c r="C13" s="106" t="s">
        <v>293</v>
      </c>
      <c r="S13" s="100">
        <v>0</v>
      </c>
      <c r="AM13" s="100">
        <v>0</v>
      </c>
      <c r="AR13" s="100">
        <v>0</v>
      </c>
      <c r="BA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252.39942523906271</v>
      </c>
      <c r="E14" s="117">
        <f t="shared" ref="E14:AZ14" si="0">D$172*SUM(D$122:D$169)</f>
        <v>369.72338632708806</v>
      </c>
      <c r="F14" s="117">
        <f t="shared" si="0"/>
        <v>116.1438499204738</v>
      </c>
      <c r="G14" s="117">
        <f t="shared" si="0"/>
        <v>610.18881333173044</v>
      </c>
      <c r="H14" s="117">
        <f t="shared" si="0"/>
        <v>572.40099594655612</v>
      </c>
      <c r="I14" s="117">
        <f t="shared" si="0"/>
        <v>485.67547060359556</v>
      </c>
      <c r="J14" s="117">
        <f t="shared" si="0"/>
        <v>652.91681879863222</v>
      </c>
      <c r="K14" s="117">
        <f t="shared" si="0"/>
        <v>476.39567063304196</v>
      </c>
      <c r="L14" s="117">
        <f t="shared" si="0"/>
        <v>116.14384992047383</v>
      </c>
      <c r="M14" s="117">
        <f t="shared" si="0"/>
        <v>623.42778294071877</v>
      </c>
      <c r="N14" s="117">
        <f t="shared" si="0"/>
        <v>465.48638455337982</v>
      </c>
      <c r="O14" s="117">
        <f t="shared" si="0"/>
        <v>17.478435474632079</v>
      </c>
      <c r="P14" s="117">
        <f t="shared" si="0"/>
        <v>485.89667407823293</v>
      </c>
      <c r="Q14" s="117">
        <f t="shared" si="0"/>
        <v>635.12603715753551</v>
      </c>
      <c r="R14" s="117">
        <f t="shared" si="0"/>
        <v>227.70820914418778</v>
      </c>
      <c r="S14" s="117">
        <f t="shared" si="0"/>
        <v>253.67495878295958</v>
      </c>
      <c r="T14" s="117">
        <f t="shared" si="0"/>
        <v>591.64165153189379</v>
      </c>
      <c r="U14" s="117">
        <f t="shared" si="0"/>
        <v>40.84030115565993</v>
      </c>
      <c r="V14" s="117">
        <f t="shared" si="0"/>
        <v>411.94817955000218</v>
      </c>
      <c r="W14" s="117">
        <f t="shared" si="0"/>
        <v>369.78581643059624</v>
      </c>
      <c r="X14" s="117">
        <f t="shared" si="0"/>
        <v>295.83732190236549</v>
      </c>
      <c r="Y14" s="117">
        <f t="shared" si="0"/>
        <v>3.2992272837126545E-2</v>
      </c>
      <c r="Z14" s="117">
        <f t="shared" si="0"/>
        <v>993.18060709847782</v>
      </c>
      <c r="AA14" s="117">
        <f t="shared" si="0"/>
        <v>636.058266580892</v>
      </c>
      <c r="AB14" s="117">
        <f t="shared" si="0"/>
        <v>479.17799241952514</v>
      </c>
      <c r="AC14" s="117">
        <f t="shared" si="0"/>
        <v>35.338556614432456</v>
      </c>
      <c r="AD14" s="117">
        <f t="shared" si="0"/>
        <v>739.53864058835541</v>
      </c>
      <c r="AE14" s="117">
        <f t="shared" si="0"/>
        <v>132.97790305524433</v>
      </c>
      <c r="AF14" s="117">
        <f t="shared" si="0"/>
        <v>739.53864058835541</v>
      </c>
      <c r="AG14" s="117">
        <f t="shared" si="0"/>
        <v>142.83001185144252</v>
      </c>
      <c r="AH14" s="117">
        <f t="shared" si="0"/>
        <v>485.89667407823293</v>
      </c>
      <c r="AI14" s="117">
        <f t="shared" si="0"/>
        <v>369.78581643059624</v>
      </c>
      <c r="AJ14" s="117">
        <f t="shared" si="0"/>
        <v>369.7858164305963</v>
      </c>
      <c r="AK14" s="117">
        <f t="shared" si="0"/>
        <v>623.42778294071877</v>
      </c>
      <c r="AL14" s="117">
        <f t="shared" si="0"/>
        <v>423.87459033291606</v>
      </c>
      <c r="AM14" s="117">
        <f t="shared" si="0"/>
        <v>369.7858164305963</v>
      </c>
      <c r="AN14" s="117">
        <f t="shared" si="0"/>
        <v>369.78581643059624</v>
      </c>
      <c r="AO14" s="117">
        <f t="shared" si="0"/>
        <v>3.2992272837126545E-2</v>
      </c>
      <c r="AP14" s="117">
        <f t="shared" si="0"/>
        <v>116.1438499204738</v>
      </c>
      <c r="AQ14" s="117">
        <f t="shared" si="0"/>
        <v>369.78581643059624</v>
      </c>
      <c r="AR14" s="117">
        <f t="shared" si="0"/>
        <v>993.18060709847782</v>
      </c>
      <c r="AS14" s="117">
        <f t="shared" si="0"/>
        <v>234.71875613631272</v>
      </c>
      <c r="AT14" s="117">
        <f t="shared" si="0"/>
        <v>485.89667407823293</v>
      </c>
      <c r="AU14" s="117">
        <f t="shared" si="0"/>
        <v>623.42778294071877</v>
      </c>
      <c r="AV14" s="117">
        <f t="shared" si="0"/>
        <v>190.7967310695613</v>
      </c>
      <c r="AW14" s="117">
        <f t="shared" si="0"/>
        <v>3.2992272837126545E-2</v>
      </c>
      <c r="AX14" s="117">
        <f t="shared" si="0"/>
        <v>623.42778294071877</v>
      </c>
      <c r="AY14" s="117">
        <f t="shared" si="0"/>
        <v>449.35441027821673</v>
      </c>
      <c r="AZ14" s="110">
        <f t="shared" si="0"/>
        <v>369.78581643059624</v>
      </c>
      <c r="BA14" s="107">
        <f>SUM($E14:$AZ14)</f>
        <v>19186.040744197147</v>
      </c>
    </row>
    <row r="15" spans="1:53">
      <c r="A15" s="122" t="s">
        <v>123</v>
      </c>
      <c r="B15" s="123">
        <v>1</v>
      </c>
      <c r="C15" s="124" t="s">
        <v>293</v>
      </c>
      <c r="D15" s="124">
        <v>7.3672552489155801E-2</v>
      </c>
      <c r="E15" s="124">
        <v>259.35205864113414</v>
      </c>
      <c r="F15" s="124">
        <v>7.3672552489155801E-2</v>
      </c>
      <c r="G15" s="124">
        <v>259.35205864113419</v>
      </c>
      <c r="H15" s="124">
        <v>825.74077588469549</v>
      </c>
      <c r="I15" s="124">
        <v>825.74077588469549</v>
      </c>
      <c r="J15" s="124">
        <v>825.74077588469549</v>
      </c>
      <c r="K15" s="124">
        <v>259.35205864113419</v>
      </c>
      <c r="L15" s="124">
        <v>825.74077588469549</v>
      </c>
      <c r="M15" s="124">
        <v>825.74077588469549</v>
      </c>
      <c r="N15" s="124">
        <v>7.3672552489155801E-2</v>
      </c>
      <c r="O15" s="124">
        <v>259.35205864113419</v>
      </c>
      <c r="P15" s="124">
        <v>825.74077588469549</v>
      </c>
      <c r="Q15" s="124">
        <v>259.35205864113419</v>
      </c>
      <c r="R15" s="124">
        <v>7.3672552489155801E-2</v>
      </c>
      <c r="S15" s="124">
        <v>660.6119782562256</v>
      </c>
      <c r="T15" s="124">
        <v>7.3672552489155801E-2</v>
      </c>
      <c r="U15" s="124">
        <v>259.35205864113419</v>
      </c>
      <c r="V15" s="124">
        <v>825.74077588469549</v>
      </c>
      <c r="W15" s="124">
        <v>259.35205864113419</v>
      </c>
      <c r="X15" s="124">
        <v>7.3672552489155801E-2</v>
      </c>
      <c r="Y15" s="124">
        <v>825.74077588469549</v>
      </c>
      <c r="Z15" s="124">
        <v>825.74077588469549</v>
      </c>
      <c r="AA15" s="124">
        <v>825.74077588469549</v>
      </c>
      <c r="AB15" s="124">
        <v>7.3672552489155801E-2</v>
      </c>
      <c r="AC15" s="124">
        <v>825.74077588469549</v>
      </c>
      <c r="AD15" s="124">
        <v>7.3672552489155801E-2</v>
      </c>
      <c r="AE15" s="124">
        <v>1651.4078792169018</v>
      </c>
      <c r="AF15" s="124">
        <v>7.3672552489155801E-2</v>
      </c>
      <c r="AG15" s="124">
        <v>259.35205864113419</v>
      </c>
      <c r="AH15" s="124">
        <v>825.74077588469549</v>
      </c>
      <c r="AI15" s="124">
        <v>259.35205864113419</v>
      </c>
      <c r="AJ15" s="124">
        <v>825.74077588469549</v>
      </c>
      <c r="AK15" s="124">
        <v>825.74077588469549</v>
      </c>
      <c r="AL15" s="124">
        <v>825.74077588469549</v>
      </c>
      <c r="AM15" s="124">
        <v>825.74077588469549</v>
      </c>
      <c r="AN15" s="124">
        <v>7.3672552489155801E-2</v>
      </c>
      <c r="AO15" s="124">
        <v>259.35205864113414</v>
      </c>
      <c r="AP15" s="124">
        <v>825.74077588469549</v>
      </c>
      <c r="AQ15" s="124">
        <v>825.74077588469549</v>
      </c>
      <c r="AR15" s="124">
        <v>7.3672552489155801E-2</v>
      </c>
      <c r="AS15" s="124">
        <v>259.35205864113419</v>
      </c>
      <c r="AT15" s="124">
        <v>825.74077588469549</v>
      </c>
      <c r="AU15" s="124">
        <v>259.35205864113419</v>
      </c>
      <c r="AV15" s="124">
        <v>7.3672552489155801E-2</v>
      </c>
      <c r="AW15" s="124">
        <v>825.74077588469549</v>
      </c>
      <c r="AX15" s="124">
        <v>7.3672552489155801E-2</v>
      </c>
      <c r="AY15" s="124">
        <v>825.74077588469549</v>
      </c>
      <c r="AZ15" s="100">
        <v>825.66710333220635</v>
      </c>
    </row>
    <row r="16" spans="1:53">
      <c r="A16" s="110"/>
      <c r="B16" s="119">
        <v>2</v>
      </c>
      <c r="C16" s="109" t="s">
        <v>293</v>
      </c>
      <c r="D16" s="106">
        <v>825.52769538355369</v>
      </c>
      <c r="E16" s="110">
        <v>0</v>
      </c>
      <c r="F16" s="110">
        <v>1362.4928775122344</v>
      </c>
      <c r="G16" s="110">
        <v>825.66710333220635</v>
      </c>
      <c r="H16" s="110">
        <v>0</v>
      </c>
      <c r="I16" s="110"/>
      <c r="J16" s="110">
        <v>0</v>
      </c>
      <c r="K16" s="110">
        <v>0</v>
      </c>
      <c r="L16" s="110">
        <v>566.38871724356136</v>
      </c>
      <c r="M16" s="110">
        <v>0</v>
      </c>
      <c r="N16" s="110"/>
      <c r="O16" s="110">
        <v>825.66710333220635</v>
      </c>
      <c r="P16" s="110">
        <v>566.38871724356136</v>
      </c>
      <c r="Q16" s="110"/>
      <c r="R16" s="110">
        <v>566.38871724356136</v>
      </c>
      <c r="S16" s="110">
        <v>660.53830570373646</v>
      </c>
      <c r="T16" s="110">
        <v>0</v>
      </c>
      <c r="U16" s="110">
        <v>660.53830570373646</v>
      </c>
      <c r="V16" s="110">
        <v>0</v>
      </c>
      <c r="W16" s="110">
        <v>0</v>
      </c>
      <c r="X16" s="110"/>
      <c r="Y16" s="110">
        <v>825.66710333220635</v>
      </c>
      <c r="Z16" s="110"/>
      <c r="AA16" s="110"/>
      <c r="AB16" s="110"/>
      <c r="AC16" s="110">
        <v>825.66710333220635</v>
      </c>
      <c r="AD16" s="110">
        <v>0</v>
      </c>
      <c r="AE16" s="110">
        <v>0</v>
      </c>
      <c r="AF16" s="110"/>
      <c r="AG16" s="110">
        <v>825.66710333220635</v>
      </c>
      <c r="AH16" s="110"/>
      <c r="AI16" s="110">
        <v>0</v>
      </c>
      <c r="AJ16" s="110">
        <v>566.38871724356136</v>
      </c>
      <c r="AK16" s="110"/>
      <c r="AL16" s="110"/>
      <c r="AM16" s="110"/>
      <c r="AN16" s="110"/>
      <c r="AO16" s="110">
        <v>0</v>
      </c>
      <c r="AP16" s="110"/>
      <c r="AQ16" s="110"/>
      <c r="AR16" s="110">
        <v>0</v>
      </c>
      <c r="AS16" s="110">
        <v>825.66710333220635</v>
      </c>
      <c r="AT16" s="110">
        <v>566.38871724356136</v>
      </c>
      <c r="AU16" s="110"/>
      <c r="AV16" s="110">
        <v>0</v>
      </c>
      <c r="AW16" s="110">
        <v>0</v>
      </c>
      <c r="AX16" s="110">
        <v>0</v>
      </c>
      <c r="AY16" s="110"/>
      <c r="BA16" s="100">
        <v>0</v>
      </c>
    </row>
    <row r="17" spans="1:53">
      <c r="A17" s="110"/>
      <c r="B17" s="119">
        <v>3</v>
      </c>
      <c r="C17" s="109" t="s">
        <v>293</v>
      </c>
      <c r="D17" s="106"/>
      <c r="E17" s="110">
        <v>0</v>
      </c>
      <c r="F17" s="110"/>
      <c r="G17" s="110">
        <v>0</v>
      </c>
      <c r="H17" s="110"/>
      <c r="I17" s="110">
        <v>566.38871724356136</v>
      </c>
      <c r="J17" s="110">
        <v>0</v>
      </c>
      <c r="K17" s="110"/>
      <c r="L17" s="110"/>
      <c r="M17" s="110">
        <v>0</v>
      </c>
      <c r="N17" s="110"/>
      <c r="O17" s="110">
        <v>0</v>
      </c>
      <c r="P17" s="110">
        <v>0</v>
      </c>
      <c r="Q17" s="110"/>
      <c r="R17" s="110"/>
      <c r="S17" s="110"/>
      <c r="T17" s="110">
        <v>0</v>
      </c>
      <c r="U17" s="110"/>
      <c r="V17" s="110"/>
      <c r="W17" s="110">
        <v>401.25991961509141</v>
      </c>
      <c r="X17" s="110"/>
      <c r="Y17" s="110">
        <v>566.38871724356136</v>
      </c>
      <c r="Z17" s="110"/>
      <c r="AA17" s="110">
        <v>0</v>
      </c>
      <c r="AB17" s="110">
        <v>0</v>
      </c>
      <c r="AC17" s="110">
        <v>0</v>
      </c>
      <c r="AD17" s="110"/>
      <c r="AE17" s="110"/>
      <c r="AF17" s="110"/>
      <c r="AG17" s="110">
        <v>0</v>
      </c>
      <c r="AH17" s="110">
        <v>0</v>
      </c>
      <c r="AI17" s="110">
        <v>566.38871724356136</v>
      </c>
      <c r="AJ17" s="110"/>
      <c r="AK17" s="110"/>
      <c r="AL17" s="110"/>
      <c r="AM17" s="110">
        <v>0</v>
      </c>
      <c r="AN17" s="110">
        <v>0</v>
      </c>
      <c r="AO17" s="110">
        <v>0</v>
      </c>
      <c r="AP17" s="110">
        <v>0</v>
      </c>
      <c r="AQ17" s="110">
        <v>1392.0558205757677</v>
      </c>
      <c r="AR17" s="110">
        <v>0</v>
      </c>
      <c r="AS17" s="110"/>
      <c r="AT17" s="110"/>
      <c r="AU17" s="110">
        <v>0</v>
      </c>
      <c r="AV17" s="110">
        <v>0</v>
      </c>
      <c r="AW17" s="110">
        <v>566.38871724356136</v>
      </c>
      <c r="AX17" s="110">
        <v>825.66710333220635</v>
      </c>
      <c r="AY17" s="110"/>
      <c r="AZ17" s="100">
        <v>825.66710333220635</v>
      </c>
      <c r="BA17" s="100">
        <v>0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>
        <v>0</v>
      </c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>
        <v>0</v>
      </c>
      <c r="AN18" s="125"/>
      <c r="AO18" s="125"/>
      <c r="AP18" s="125"/>
      <c r="AQ18" s="125"/>
      <c r="AR18" s="125">
        <v>0</v>
      </c>
      <c r="AS18" s="125"/>
      <c r="AT18" s="125"/>
      <c r="AU18" s="125"/>
      <c r="AV18" s="125"/>
      <c r="AW18" s="125"/>
      <c r="AX18" s="125"/>
      <c r="AY18" s="125"/>
      <c r="BA18" s="100">
        <v>0</v>
      </c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>
        <v>30.798083543010762</v>
      </c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>
        <v>270.51685470014763</v>
      </c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>
        <v>28.803871640872785</v>
      </c>
      <c r="Z22" s="110">
        <v>0</v>
      </c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>
        <v>0</v>
      </c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>
        <v>0</v>
      </c>
      <c r="Z23" s="110">
        <v>0</v>
      </c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>
        <v>0</v>
      </c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>
        <v>0</v>
      </c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>
        <v>0</v>
      </c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>
        <v>0</v>
      </c>
      <c r="Z30" s="110">
        <v>0</v>
      </c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>
        <v>0</v>
      </c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>
        <v>0</v>
      </c>
      <c r="Z31" s="110">
        <v>0</v>
      </c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>
        <v>0</v>
      </c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>
        <v>0</v>
      </c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>
        <v>0</v>
      </c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>
        <v>0</v>
      </c>
      <c r="Z42" s="106">
        <v>0</v>
      </c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>
        <v>0</v>
      </c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>
        <v>0</v>
      </c>
      <c r="Z43" s="106">
        <v>0</v>
      </c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>
        <v>0</v>
      </c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>
        <v>0</v>
      </c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>
        <v>0</v>
      </c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>
        <v>0</v>
      </c>
      <c r="Z90" s="110">
        <v>0</v>
      </c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>
        <v>0</v>
      </c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>
        <v>0</v>
      </c>
      <c r="Z91" s="110">
        <v>0</v>
      </c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>
        <v>0</v>
      </c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330.11880988403118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1050.8810297577081</v>
      </c>
      <c r="D95" s="110">
        <v>1051.6079682196969</v>
      </c>
      <c r="E95" s="110">
        <v>1051.6079682196969</v>
      </c>
      <c r="F95" s="110">
        <v>1051.6079682196969</v>
      </c>
      <c r="G95" s="110">
        <v>1051.6079682196969</v>
      </c>
      <c r="H95" s="110">
        <v>1051.6079682196969</v>
      </c>
      <c r="I95" s="110">
        <v>1051.6079682196969</v>
      </c>
      <c r="J95" s="110">
        <v>1051.6079682196969</v>
      </c>
      <c r="K95" s="110">
        <v>1051.6079682196969</v>
      </c>
      <c r="L95" s="110">
        <v>1051.6079682196969</v>
      </c>
      <c r="M95" s="110">
        <v>1051.6079682196969</v>
      </c>
      <c r="N95" s="110">
        <v>1051.6079682196969</v>
      </c>
      <c r="O95" s="110">
        <v>1051.6079682196969</v>
      </c>
      <c r="P95" s="110">
        <v>841.29226269161995</v>
      </c>
      <c r="Q95" s="110">
        <v>841.29226269161995</v>
      </c>
      <c r="R95" s="110">
        <v>841.29226269161995</v>
      </c>
      <c r="S95" s="110">
        <v>841.29226269161995</v>
      </c>
      <c r="T95" s="110">
        <v>1051.6079682196969</v>
      </c>
      <c r="U95" s="110">
        <v>1051.6079682196969</v>
      </c>
      <c r="V95" s="110">
        <v>1051.6079682196969</v>
      </c>
      <c r="W95" s="110">
        <v>1051.6079682196969</v>
      </c>
      <c r="X95" s="110">
        <v>1051.6079682196969</v>
      </c>
      <c r="Y95" s="110">
        <v>1051.6079682196969</v>
      </c>
      <c r="Z95" s="110">
        <v>1020.8098846766861</v>
      </c>
      <c r="AA95" s="110">
        <v>1051.6079682196969</v>
      </c>
      <c r="AB95" s="110">
        <v>1051.6079682196969</v>
      </c>
      <c r="AC95" s="110">
        <v>1051.6079682196969</v>
      </c>
      <c r="AD95" s="110">
        <v>1051.6079682196969</v>
      </c>
      <c r="AE95" s="110">
        <v>1051.6079682196969</v>
      </c>
      <c r="AF95" s="110">
        <v>1051.6079682196969</v>
      </c>
      <c r="AG95" s="110">
        <v>1051.6079682196969</v>
      </c>
      <c r="AH95" s="110">
        <v>1051.6079682196969</v>
      </c>
      <c r="AI95" s="110">
        <v>1051.6079682196969</v>
      </c>
      <c r="AJ95" s="110">
        <v>1051.6079682196969</v>
      </c>
      <c r="AK95" s="110">
        <v>1051.6079682196969</v>
      </c>
      <c r="AL95" s="110">
        <v>1051.6079682196969</v>
      </c>
      <c r="AM95" s="110">
        <v>1051.6079682196969</v>
      </c>
      <c r="AN95" s="110">
        <v>1051.6079682196969</v>
      </c>
      <c r="AO95" s="110">
        <v>1051.6079682196969</v>
      </c>
      <c r="AP95" s="110">
        <v>1051.6079682196969</v>
      </c>
      <c r="AQ95" s="110">
        <v>781.09111351954925</v>
      </c>
      <c r="AR95" s="110">
        <v>1051.6079682196969</v>
      </c>
      <c r="AS95" s="110">
        <v>1051.6079682196969</v>
      </c>
      <c r="AT95" s="110">
        <v>1051.6079682196969</v>
      </c>
      <c r="AU95" s="110">
        <v>1051.6079682196969</v>
      </c>
      <c r="AV95" s="110">
        <v>1051.6079682196969</v>
      </c>
      <c r="AW95" s="110">
        <v>1051.6079682196969</v>
      </c>
      <c r="AX95" s="110">
        <v>1051.6079682196969</v>
      </c>
      <c r="AY95" s="110">
        <v>1051.6079682196969</v>
      </c>
    </row>
    <row r="96" spans="1:52">
      <c r="A96" s="109"/>
      <c r="B96" s="120">
        <v>2</v>
      </c>
      <c r="C96" s="110">
        <v>0</v>
      </c>
      <c r="D96" s="110">
        <v>135.88102975770812</v>
      </c>
      <c r="E96" s="110">
        <v>222.48899797740501</v>
      </c>
      <c r="F96" s="110">
        <v>209.09696619710189</v>
      </c>
      <c r="G96" s="110">
        <v>125.70493441679878</v>
      </c>
      <c r="H96" s="110">
        <v>308.31290263649566</v>
      </c>
      <c r="I96" s="110">
        <v>212.92087085619255</v>
      </c>
      <c r="J96" s="110">
        <v>175.52883907588944</v>
      </c>
      <c r="K96" s="110">
        <v>34.136807295586323</v>
      </c>
      <c r="L96" s="110">
        <v>117.74477551528321</v>
      </c>
      <c r="M96" s="110">
        <v>160.35274373498009</v>
      </c>
      <c r="N96" s="110">
        <v>0</v>
      </c>
      <c r="O96" s="110">
        <v>127.60796821969689</v>
      </c>
      <c r="P96" s="110">
        <v>127.21593643939377</v>
      </c>
      <c r="Q96" s="110">
        <v>142.50819913101373</v>
      </c>
      <c r="R96" s="110">
        <v>136.80046182263368</v>
      </c>
      <c r="S96" s="110">
        <v>5.0927245142536322</v>
      </c>
      <c r="T96" s="110">
        <v>0</v>
      </c>
      <c r="U96" s="110">
        <v>14.607968219696886</v>
      </c>
      <c r="V96" s="110">
        <v>133.21593643939377</v>
      </c>
      <c r="W96" s="110">
        <v>174.82390465909066</v>
      </c>
      <c r="X96" s="110">
        <v>267.43187287878754</v>
      </c>
      <c r="Y96" s="110">
        <v>99.235969457611645</v>
      </c>
      <c r="Z96" s="110"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194.60796821969689</v>
      </c>
      <c r="AG96" s="110">
        <v>25.215936439393772</v>
      </c>
      <c r="AH96" s="110">
        <v>140.82390465909066</v>
      </c>
      <c r="AI96" s="110">
        <v>33.431872878787544</v>
      </c>
      <c r="AJ96" s="110">
        <v>0</v>
      </c>
      <c r="AK96" s="110">
        <v>0</v>
      </c>
      <c r="AL96" s="110">
        <v>129.60796821969689</v>
      </c>
      <c r="AM96" s="110">
        <v>130.21593643939377</v>
      </c>
      <c r="AN96" s="110">
        <v>30.823904659090658</v>
      </c>
      <c r="AO96" s="110">
        <v>0</v>
      </c>
      <c r="AP96" s="110">
        <v>24.607968219696886</v>
      </c>
      <c r="AQ96" s="110">
        <v>0</v>
      </c>
      <c r="AR96" s="110">
        <v>0</v>
      </c>
      <c r="AS96" s="110">
        <v>1.6079682196968861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0</v>
      </c>
      <c r="D100" s="106">
        <v>0</v>
      </c>
      <c r="E100" s="106">
        <v>190.72161391135506</v>
      </c>
      <c r="F100" s="106">
        <v>0</v>
      </c>
      <c r="G100" s="106">
        <v>190.72161391135495</v>
      </c>
      <c r="H100" s="106">
        <v>607.34936250024873</v>
      </c>
      <c r="I100" s="106">
        <v>607.34936250024873</v>
      </c>
      <c r="J100" s="106">
        <v>607.34936250024873</v>
      </c>
      <c r="K100" s="106">
        <v>190.72161391135495</v>
      </c>
      <c r="L100" s="106">
        <v>607.34936250024873</v>
      </c>
      <c r="M100" s="106">
        <v>607.34936250024873</v>
      </c>
      <c r="N100" s="106">
        <v>0</v>
      </c>
      <c r="O100" s="106">
        <v>190.72161391135495</v>
      </c>
      <c r="P100" s="106">
        <v>607.34936250024873</v>
      </c>
      <c r="Q100" s="106">
        <v>190.72161391135495</v>
      </c>
      <c r="R100" s="106">
        <v>0</v>
      </c>
      <c r="S100" s="106">
        <v>485.88289064333151</v>
      </c>
      <c r="T100" s="106">
        <v>0</v>
      </c>
      <c r="U100" s="106">
        <v>190.72161391135498</v>
      </c>
      <c r="V100" s="106">
        <v>607.34936250024873</v>
      </c>
      <c r="W100" s="106">
        <v>190.72161391135495</v>
      </c>
      <c r="X100" s="106">
        <v>0</v>
      </c>
      <c r="Y100" s="106">
        <v>607.34936250024873</v>
      </c>
      <c r="Z100" s="106">
        <v>607.34936250024873</v>
      </c>
      <c r="AA100" s="106">
        <v>607.34936250024873</v>
      </c>
      <c r="AB100" s="106">
        <v>0</v>
      </c>
      <c r="AC100" s="106">
        <v>607.34936250024873</v>
      </c>
      <c r="AD100" s="106">
        <v>0</v>
      </c>
      <c r="AE100" s="106">
        <v>1214.6987250004975</v>
      </c>
      <c r="AF100" s="106">
        <v>0</v>
      </c>
      <c r="AG100" s="106">
        <v>190.72161391135495</v>
      </c>
      <c r="AH100" s="106">
        <v>607.34936250024873</v>
      </c>
      <c r="AI100" s="106">
        <v>190.72161391135495</v>
      </c>
      <c r="AJ100" s="106">
        <v>607.34936250024873</v>
      </c>
      <c r="AK100" s="106">
        <v>607.34936250024873</v>
      </c>
      <c r="AL100" s="106">
        <v>607.34936250024873</v>
      </c>
      <c r="AM100" s="106">
        <v>607.34936250024873</v>
      </c>
      <c r="AN100" s="106">
        <v>0</v>
      </c>
      <c r="AO100" s="106">
        <v>190.72161391135498</v>
      </c>
      <c r="AP100" s="106">
        <v>607.34936250024873</v>
      </c>
      <c r="AQ100" s="106">
        <v>607.34936250024873</v>
      </c>
      <c r="AR100" s="106">
        <v>0</v>
      </c>
      <c r="AS100" s="106">
        <v>190.72161391135495</v>
      </c>
      <c r="AT100" s="106">
        <v>607.34936250024873</v>
      </c>
      <c r="AU100" s="106">
        <v>190.72161391135495</v>
      </c>
      <c r="AV100" s="106">
        <v>0</v>
      </c>
      <c r="AW100" s="106">
        <v>607.34936250024873</v>
      </c>
      <c r="AX100" s="106">
        <v>0</v>
      </c>
      <c r="AY100" s="106">
        <v>607.34936250024873</v>
      </c>
    </row>
    <row r="101" spans="1:52">
      <c r="A101" s="109"/>
      <c r="B101" s="119">
        <v>2</v>
      </c>
      <c r="C101" s="106">
        <v>579.5593947124429</v>
      </c>
      <c r="D101" s="106">
        <v>605.43927765486126</v>
      </c>
      <c r="E101" s="106">
        <v>0</v>
      </c>
      <c r="F101" s="106">
        <v>1002.2310168693225</v>
      </c>
      <c r="G101" s="106">
        <v>607.34936250024873</v>
      </c>
      <c r="H101" s="106">
        <v>190.72161391135495</v>
      </c>
      <c r="I101" s="106">
        <v>495.65135578117491</v>
      </c>
      <c r="J101" s="106">
        <v>607.34936250024873</v>
      </c>
      <c r="K101" s="106">
        <v>607.34936250024873</v>
      </c>
      <c r="L101" s="106">
        <v>517.32719187081489</v>
      </c>
      <c r="M101" s="106">
        <v>339.67655437106362</v>
      </c>
      <c r="N101" s="106">
        <v>282.02591687131235</v>
      </c>
      <c r="O101" s="106">
        <v>607.34936250024873</v>
      </c>
      <c r="P101" s="106">
        <v>539.69872500049746</v>
      </c>
      <c r="Q101" s="106">
        <v>361.04808750074619</v>
      </c>
      <c r="R101" s="106">
        <v>416.62774858889384</v>
      </c>
      <c r="S101" s="106">
        <v>485.88289064333151</v>
      </c>
      <c r="T101" s="106">
        <v>256.76578128666301</v>
      </c>
      <c r="U101" s="106">
        <v>485.88289064333151</v>
      </c>
      <c r="V101" s="106">
        <v>110.60450455468649</v>
      </c>
      <c r="W101" s="106">
        <v>60.953867054935245</v>
      </c>
      <c r="X101" s="106">
        <v>5.6843418860808015E-14</v>
      </c>
      <c r="Y101" s="106">
        <v>607.34936250024873</v>
      </c>
      <c r="Z101" s="106">
        <v>607.34936250024873</v>
      </c>
      <c r="AA101" s="106">
        <v>607.34936250024873</v>
      </c>
      <c r="AB101" s="106">
        <v>607.34936250024873</v>
      </c>
      <c r="AC101" s="106">
        <v>607.34936250024873</v>
      </c>
      <c r="AD101" s="106">
        <v>580.72392359038622</v>
      </c>
      <c r="AE101" s="106">
        <v>0</v>
      </c>
      <c r="AF101" s="106">
        <v>496.69872500049746</v>
      </c>
      <c r="AG101" s="106">
        <v>607.34936250024873</v>
      </c>
      <c r="AH101" s="106">
        <v>94.070976411603681</v>
      </c>
      <c r="AI101" s="106">
        <v>13.420338911852355</v>
      </c>
      <c r="AJ101" s="106">
        <v>437.39745000099487</v>
      </c>
      <c r="AK101" s="106">
        <v>273.7468125012436</v>
      </c>
      <c r="AL101" s="106">
        <v>162.09617500149233</v>
      </c>
      <c r="AM101" s="106">
        <v>124.44553750174106</v>
      </c>
      <c r="AN101" s="106">
        <v>0</v>
      </c>
      <c r="AO101" s="106">
        <v>0</v>
      </c>
      <c r="AP101" s="106">
        <v>0</v>
      </c>
      <c r="AQ101" s="106">
        <v>0</v>
      </c>
      <c r="AR101" s="106">
        <v>607.34936250024873</v>
      </c>
      <c r="AS101" s="106">
        <v>607.34936250024873</v>
      </c>
      <c r="AT101" s="106">
        <v>607.34936250024873</v>
      </c>
      <c r="AU101" s="106">
        <v>607.34936250024873</v>
      </c>
      <c r="AV101" s="106">
        <v>150.09617500149233</v>
      </c>
      <c r="AW101" s="106">
        <v>0</v>
      </c>
      <c r="AX101" s="106">
        <v>321.97711108914251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343.2310168693225</v>
      </c>
      <c r="H102" s="106">
        <v>360.58037936957123</v>
      </c>
      <c r="I102" s="106">
        <v>416.62774858889378</v>
      </c>
      <c r="J102" s="106">
        <v>213.27910437006869</v>
      </c>
      <c r="K102" s="106">
        <v>38.628466870317425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295.1612767319765</v>
      </c>
      <c r="X102" s="106">
        <v>0</v>
      </c>
      <c r="Y102" s="106">
        <v>416.62774858889378</v>
      </c>
      <c r="Z102" s="106">
        <v>350.97711108914251</v>
      </c>
      <c r="AA102" s="106">
        <v>172.32647358939124</v>
      </c>
      <c r="AB102" s="106">
        <v>41.675836089640029</v>
      </c>
      <c r="AC102" s="106">
        <v>59.02519858988876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416.62774858889378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1023.9771110891425</v>
      </c>
      <c r="AR102" s="106">
        <v>0</v>
      </c>
      <c r="AS102" s="106">
        <v>315.32647358939118</v>
      </c>
      <c r="AT102" s="106">
        <v>210.67583608963992</v>
      </c>
      <c r="AU102" s="106">
        <v>151.02519858988865</v>
      </c>
      <c r="AV102" s="106">
        <v>0</v>
      </c>
      <c r="AW102" s="106">
        <v>416.62774858889378</v>
      </c>
      <c r="AX102" s="106">
        <v>607.34936250024873</v>
      </c>
      <c r="AY102" s="106">
        <v>161.32647358939124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401.97711108914245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115.8013463691549</v>
      </c>
      <c r="D109" s="106">
        <v>252.39942523906271</v>
      </c>
      <c r="E109" s="106">
        <v>369.72338632708806</v>
      </c>
      <c r="F109" s="106">
        <v>116.1438499204738</v>
      </c>
      <c r="G109" s="106">
        <v>610.18881333173044</v>
      </c>
      <c r="H109" s="106">
        <v>572.40099594655612</v>
      </c>
      <c r="I109" s="106">
        <v>485.67547060359556</v>
      </c>
      <c r="J109" s="106">
        <v>652.91681879863222</v>
      </c>
      <c r="K109" s="106">
        <v>476.39567063304196</v>
      </c>
      <c r="L109" s="106">
        <v>116.14384992047383</v>
      </c>
      <c r="M109" s="106">
        <v>623.42778294071877</v>
      </c>
      <c r="N109" s="106">
        <v>465.48638455337982</v>
      </c>
      <c r="O109" s="106">
        <v>17.478435474632079</v>
      </c>
      <c r="P109" s="106">
        <v>485.89667407823293</v>
      </c>
      <c r="Q109" s="106">
        <v>635.12603715753551</v>
      </c>
      <c r="R109" s="106">
        <v>227.70820914418778</v>
      </c>
      <c r="S109" s="106">
        <v>253.67495878295958</v>
      </c>
      <c r="T109" s="106">
        <v>591.64165153189379</v>
      </c>
      <c r="U109" s="106">
        <v>40.84030115565993</v>
      </c>
      <c r="V109" s="106">
        <v>411.94817955000218</v>
      </c>
      <c r="W109" s="106">
        <v>369.78581643059624</v>
      </c>
      <c r="X109" s="106">
        <v>295.83732190236549</v>
      </c>
      <c r="Y109" s="106">
        <v>3.2992272837126545E-2</v>
      </c>
      <c r="Z109" s="106">
        <v>993.18060709847782</v>
      </c>
      <c r="AA109" s="106">
        <v>636.058266580892</v>
      </c>
      <c r="AB109" s="106">
        <v>479.17799241952514</v>
      </c>
      <c r="AC109" s="106">
        <v>35.338556614432456</v>
      </c>
      <c r="AD109" s="106">
        <v>739.53864058835541</v>
      </c>
      <c r="AE109" s="106">
        <v>132.97790305524433</v>
      </c>
      <c r="AF109" s="106">
        <v>739.53864058835541</v>
      </c>
      <c r="AG109" s="106">
        <v>142.83001185144252</v>
      </c>
      <c r="AH109" s="106">
        <v>485.89667407823293</v>
      </c>
      <c r="AI109" s="106">
        <v>369.78581643059624</v>
      </c>
      <c r="AJ109" s="106">
        <v>369.7858164305963</v>
      </c>
      <c r="AK109" s="106">
        <v>623.42778294071877</v>
      </c>
      <c r="AL109" s="106">
        <v>423.87459033291606</v>
      </c>
      <c r="AM109" s="106">
        <v>369.7858164305963</v>
      </c>
      <c r="AN109" s="106">
        <v>369.78581643059624</v>
      </c>
      <c r="AO109" s="106">
        <v>3.2992272837126545E-2</v>
      </c>
      <c r="AP109" s="106">
        <v>116.1438499204738</v>
      </c>
      <c r="AQ109" s="106">
        <v>369.78581643059624</v>
      </c>
      <c r="AR109" s="106">
        <v>993.18060709847782</v>
      </c>
      <c r="AS109" s="106">
        <v>234.71875613631272</v>
      </c>
      <c r="AT109" s="106">
        <v>485.89667407823293</v>
      </c>
      <c r="AU109" s="106">
        <v>623.42778294071877</v>
      </c>
      <c r="AV109" s="106">
        <v>190.7967310695613</v>
      </c>
      <c r="AW109" s="106">
        <v>3.2992272837126545E-2</v>
      </c>
      <c r="AX109" s="106">
        <v>623.42778294071877</v>
      </c>
      <c r="AY109" s="106">
        <v>449.35441027821673</v>
      </c>
    </row>
    <row r="110" spans="1:52">
      <c r="A110" s="109"/>
      <c r="B110" s="119">
        <v>2</v>
      </c>
      <c r="C110" s="106">
        <v>233.7952211803551</v>
      </c>
      <c r="D110" s="106">
        <v>1.4210854715202004E-14</v>
      </c>
      <c r="E110" s="106">
        <v>0</v>
      </c>
      <c r="F110" s="106">
        <v>0</v>
      </c>
      <c r="G110" s="106">
        <v>0</v>
      </c>
      <c r="H110" s="106">
        <v>146.18881333173044</v>
      </c>
      <c r="I110" s="106">
        <v>233.58980927828657</v>
      </c>
      <c r="J110" s="106">
        <v>195.26527988188212</v>
      </c>
      <c r="K110" s="106">
        <v>411.18209868051434</v>
      </c>
      <c r="L110" s="106">
        <v>464.5777693135563</v>
      </c>
      <c r="M110" s="106">
        <v>116.14384992047383</v>
      </c>
      <c r="N110" s="106">
        <v>453.1494021747489</v>
      </c>
      <c r="O110" s="106">
        <v>465.48638455337982</v>
      </c>
      <c r="P110" s="106">
        <v>17.478435474632079</v>
      </c>
      <c r="Q110" s="106">
        <v>82.263331547732719</v>
      </c>
      <c r="R110" s="106">
        <v>304.77212293212546</v>
      </c>
      <c r="S110" s="106">
        <v>109.30509421590483</v>
      </c>
      <c r="T110" s="106">
        <v>2.8421709430404007E-14</v>
      </c>
      <c r="U110" s="106">
        <v>101.88096672768165</v>
      </c>
      <c r="V110" s="106">
        <v>1.4210854715202004E-14</v>
      </c>
      <c r="W110" s="106">
        <v>0</v>
      </c>
      <c r="X110" s="106">
        <v>0</v>
      </c>
      <c r="Y110" s="106">
        <v>0</v>
      </c>
      <c r="Z110" s="106">
        <v>0</v>
      </c>
      <c r="AA110" s="106">
        <v>532.18060709847782</v>
      </c>
      <c r="AB110" s="106">
        <v>636.058266580892</v>
      </c>
      <c r="AC110" s="106">
        <v>479.17799241952514</v>
      </c>
      <c r="AD110" s="106">
        <v>35.338556614432456</v>
      </c>
      <c r="AE110" s="106">
        <v>489.86723326392303</v>
      </c>
      <c r="AF110" s="106">
        <v>50.845136319167352</v>
      </c>
      <c r="AG110" s="106">
        <v>263.52971397023174</v>
      </c>
      <c r="AH110" s="106">
        <v>0</v>
      </c>
      <c r="AI110" s="106">
        <v>61.896674078232934</v>
      </c>
      <c r="AJ110" s="106">
        <v>0</v>
      </c>
      <c r="AK110" s="106">
        <v>0</v>
      </c>
      <c r="AL110" s="106">
        <v>173.42778294071877</v>
      </c>
      <c r="AM110" s="106">
        <v>38.302373273634828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459.18060709847782</v>
      </c>
      <c r="AT110" s="106">
        <v>100.89936323479054</v>
      </c>
      <c r="AU110" s="106">
        <v>110.79603731302348</v>
      </c>
      <c r="AV110" s="106">
        <v>243.22382025374225</v>
      </c>
      <c r="AW110" s="106">
        <v>0</v>
      </c>
      <c r="AX110" s="106">
        <v>0</v>
      </c>
      <c r="AY110" s="106">
        <v>170.42778294071877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118.5777693135563</v>
      </c>
      <c r="N111" s="106">
        <v>0</v>
      </c>
      <c r="O111" s="106">
        <v>41.401837441487885</v>
      </c>
      <c r="P111" s="106">
        <v>6.8882219948677061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30.180607098477822</v>
      </c>
      <c r="AC111" s="106">
        <v>220.23887367936982</v>
      </c>
      <c r="AD111" s="106">
        <v>211.41686609889496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7.4140398167291857E-2</v>
      </c>
      <c r="D122" s="106">
        <v>7.3672552489155801E-2</v>
      </c>
      <c r="E122" s="106">
        <v>259.35205864113414</v>
      </c>
      <c r="F122" s="106">
        <v>7.3672552489155801E-2</v>
      </c>
      <c r="G122" s="106">
        <v>259.35205864113419</v>
      </c>
      <c r="H122" s="106">
        <v>825.74077588469549</v>
      </c>
      <c r="I122" s="106">
        <v>825.74077588469549</v>
      </c>
      <c r="J122" s="106">
        <v>825.74077588469549</v>
      </c>
      <c r="K122" s="106">
        <v>259.35205864113419</v>
      </c>
      <c r="L122" s="106">
        <v>825.74077588469549</v>
      </c>
      <c r="M122" s="106">
        <v>825.74077588469549</v>
      </c>
      <c r="N122" s="106">
        <v>7.3672552489155801E-2</v>
      </c>
      <c r="O122" s="106">
        <v>259.35205864113419</v>
      </c>
      <c r="P122" s="106">
        <v>825.74077588469549</v>
      </c>
      <c r="Q122" s="106">
        <v>259.35205864113419</v>
      </c>
      <c r="R122" s="106">
        <v>7.3672552489155801E-2</v>
      </c>
      <c r="S122" s="106">
        <v>660.6119782562256</v>
      </c>
      <c r="T122" s="106">
        <v>7.3672552489155801E-2</v>
      </c>
      <c r="U122" s="106">
        <v>259.35205864113419</v>
      </c>
      <c r="V122" s="106">
        <v>825.74077588469549</v>
      </c>
      <c r="W122" s="106">
        <v>259.35205864113419</v>
      </c>
      <c r="X122" s="106">
        <v>7.3672552489155801E-2</v>
      </c>
      <c r="Y122" s="106">
        <v>825.74077588469549</v>
      </c>
      <c r="Z122" s="106">
        <v>825.74077588469549</v>
      </c>
      <c r="AA122" s="106">
        <v>825.74077588469549</v>
      </c>
      <c r="AB122" s="106">
        <v>7.3672552489155801E-2</v>
      </c>
      <c r="AC122" s="106">
        <v>825.74077588469549</v>
      </c>
      <c r="AD122" s="106">
        <v>7.3672552489155801E-2</v>
      </c>
      <c r="AE122" s="106">
        <v>1651.4078792169018</v>
      </c>
      <c r="AF122" s="106">
        <v>7.3672552489155801E-2</v>
      </c>
      <c r="AG122" s="106">
        <v>259.35205864113419</v>
      </c>
      <c r="AH122" s="106">
        <v>825.74077588469549</v>
      </c>
      <c r="AI122" s="106">
        <v>259.35205864113419</v>
      </c>
      <c r="AJ122" s="106">
        <v>825.74077588469549</v>
      </c>
      <c r="AK122" s="106">
        <v>825.74077588469549</v>
      </c>
      <c r="AL122" s="106">
        <v>825.74077588469549</v>
      </c>
      <c r="AM122" s="106">
        <v>825.74077588469549</v>
      </c>
      <c r="AN122" s="106">
        <v>7.3672552489155801E-2</v>
      </c>
      <c r="AO122" s="106">
        <v>259.35205864113414</v>
      </c>
      <c r="AP122" s="106">
        <v>825.74077588469549</v>
      </c>
      <c r="AQ122" s="106">
        <v>825.74077588469549</v>
      </c>
      <c r="AR122" s="106">
        <v>7.3672552489155801E-2</v>
      </c>
      <c r="AS122" s="106">
        <v>259.35205864113419</v>
      </c>
      <c r="AT122" s="106">
        <v>825.74077588469549</v>
      </c>
      <c r="AU122" s="106">
        <v>259.35205864113419</v>
      </c>
      <c r="AV122" s="106">
        <v>7.3672552489155801E-2</v>
      </c>
      <c r="AW122" s="106">
        <v>825.74077588469549</v>
      </c>
      <c r="AX122" s="106">
        <v>7.3672552489155801E-2</v>
      </c>
      <c r="AY122" s="106">
        <v>825.74077588469549</v>
      </c>
    </row>
    <row r="123" spans="1:52">
      <c r="A123" s="109"/>
      <c r="B123" s="119">
        <v>2</v>
      </c>
      <c r="C123" s="106">
        <v>565.92179956486211</v>
      </c>
      <c r="D123" s="106">
        <v>825.52769538355369</v>
      </c>
      <c r="E123" s="106">
        <v>2.0990154059319366E-14</v>
      </c>
      <c r="F123" s="106">
        <v>1362.4928775122344</v>
      </c>
      <c r="G123" s="106">
        <v>825.70778361185842</v>
      </c>
      <c r="H123" s="106">
        <v>143.20820872066037</v>
      </c>
      <c r="I123" s="106">
        <v>65.849738598547276</v>
      </c>
      <c r="J123" s="106">
        <v>238.06241292817185</v>
      </c>
      <c r="K123" s="106">
        <v>0</v>
      </c>
      <c r="L123" s="106">
        <v>566.38871724356136</v>
      </c>
      <c r="M123" s="106">
        <v>213.70171018753814</v>
      </c>
      <c r="N123" s="106">
        <v>38.956101518853814</v>
      </c>
      <c r="O123" s="106">
        <v>825.66710333220635</v>
      </c>
      <c r="P123" s="106">
        <v>592.51120513866897</v>
      </c>
      <c r="Q123" s="106">
        <v>249.12594386582896</v>
      </c>
      <c r="R123" s="106">
        <v>566.38871724356136</v>
      </c>
      <c r="S123" s="106">
        <v>660.53830570373657</v>
      </c>
      <c r="T123" s="106">
        <v>91.123719194873047</v>
      </c>
      <c r="U123" s="106">
        <v>660.53830570373646</v>
      </c>
      <c r="V123" s="106">
        <v>0</v>
      </c>
      <c r="W123" s="106">
        <v>0</v>
      </c>
      <c r="X123" s="106">
        <v>0</v>
      </c>
      <c r="Y123" s="106">
        <v>825.66710333220635</v>
      </c>
      <c r="Z123" s="106">
        <v>455.95495945409925</v>
      </c>
      <c r="AA123" s="106">
        <v>244.27540555430389</v>
      </c>
      <c r="AB123" s="106">
        <v>78.838189019474271</v>
      </c>
      <c r="AC123" s="106">
        <v>825.66710333220635</v>
      </c>
      <c r="AD123" s="106">
        <v>296.86923862854644</v>
      </c>
      <c r="AE123" s="106">
        <v>0</v>
      </c>
      <c r="AF123" s="106">
        <v>318.86923862854644</v>
      </c>
      <c r="AG123" s="106">
        <v>825.66710333220635</v>
      </c>
      <c r="AH123" s="106">
        <v>5.6843418860808015E-14</v>
      </c>
      <c r="AI123" s="106">
        <v>5.6843418860808015E-14</v>
      </c>
      <c r="AJ123" s="106">
        <v>566.38871724356136</v>
      </c>
      <c r="AK123" s="106">
        <v>120.78155554983579</v>
      </c>
      <c r="AL123" s="106">
        <v>1.1368683772161603E-13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455.95495945409925</v>
      </c>
      <c r="AS123" s="106">
        <v>825.66710333220635</v>
      </c>
      <c r="AT123" s="106">
        <v>566.38871724356147</v>
      </c>
      <c r="AU123" s="106">
        <v>166.7017101875382</v>
      </c>
      <c r="AV123" s="106">
        <v>0</v>
      </c>
      <c r="AW123" s="106">
        <v>0</v>
      </c>
      <c r="AX123" s="106">
        <v>177.67861691936997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193.12558701101079</v>
      </c>
      <c r="H124" s="106">
        <v>115.57622459678697</v>
      </c>
      <c r="I124" s="106">
        <v>566.38871724356136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401.25991961509141</v>
      </c>
      <c r="X124" s="106">
        <v>0</v>
      </c>
      <c r="Y124" s="106">
        <v>566.38871724356136</v>
      </c>
      <c r="Z124" s="106">
        <v>138.63793679640111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566.38871724356136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1392.0558205757677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566.38871724356136</v>
      </c>
      <c r="AX124" s="106">
        <v>825.66710333220635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68.104093465499204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0.44593857909219159</v>
      </c>
      <c r="D172" s="134">
        <v>0.44782312709991723</v>
      </c>
      <c r="E172" s="134">
        <v>0.44782312709991723</v>
      </c>
      <c r="F172" s="134">
        <v>0.44782312709991723</v>
      </c>
      <c r="G172" s="134">
        <v>0.44782312709991723</v>
      </c>
      <c r="H172" s="134">
        <v>0.44782312709991723</v>
      </c>
      <c r="I172" s="134">
        <v>0.44782312709991723</v>
      </c>
      <c r="J172" s="134">
        <v>0.44782312709991723</v>
      </c>
      <c r="K172" s="134">
        <v>0.44782312709991723</v>
      </c>
      <c r="L172" s="134">
        <v>0.44782312709991723</v>
      </c>
      <c r="M172" s="134">
        <v>0.44782312709991723</v>
      </c>
      <c r="N172" s="134">
        <v>0.44782312709991723</v>
      </c>
      <c r="O172" s="134">
        <v>0.44782312709991723</v>
      </c>
      <c r="P172" s="134">
        <v>0.44782312709991723</v>
      </c>
      <c r="Q172" s="134">
        <v>0.44782312709991723</v>
      </c>
      <c r="R172" s="134">
        <v>0.44782312709991723</v>
      </c>
      <c r="S172" s="134">
        <v>0.44782312709991723</v>
      </c>
      <c r="T172" s="134">
        <v>0.44782312709991723</v>
      </c>
      <c r="U172" s="134">
        <v>0.44782312709991723</v>
      </c>
      <c r="V172" s="134">
        <v>0.44782312709991723</v>
      </c>
      <c r="W172" s="134">
        <v>0.44782312709991723</v>
      </c>
      <c r="X172" s="134">
        <v>0.44782312709991723</v>
      </c>
      <c r="Y172" s="134">
        <v>0.44782312709991723</v>
      </c>
      <c r="Z172" s="134">
        <v>0.44782312709991723</v>
      </c>
      <c r="AA172" s="134">
        <v>0.44782312709991723</v>
      </c>
      <c r="AB172" s="134">
        <v>0.44782312709991723</v>
      </c>
      <c r="AC172" s="134">
        <v>0.44782312709991723</v>
      </c>
      <c r="AD172" s="134">
        <v>0.44782312709991723</v>
      </c>
      <c r="AE172" s="134">
        <v>0.44782312709991723</v>
      </c>
      <c r="AF172" s="134">
        <v>0.44782312709991723</v>
      </c>
      <c r="AG172" s="134">
        <v>0.44782312709991723</v>
      </c>
      <c r="AH172" s="134">
        <v>0.44782312709991723</v>
      </c>
      <c r="AI172" s="134">
        <v>0.44782312709991723</v>
      </c>
      <c r="AJ172" s="134">
        <v>0.44782312709991723</v>
      </c>
      <c r="AK172" s="134">
        <v>0.44782312709991723</v>
      </c>
      <c r="AL172" s="134">
        <v>0.44782312709991723</v>
      </c>
      <c r="AM172" s="134">
        <v>0.44782312709991723</v>
      </c>
      <c r="AN172" s="134">
        <v>0.44782312709991723</v>
      </c>
      <c r="AO172" s="134">
        <v>0.44782312709991723</v>
      </c>
      <c r="AP172" s="134">
        <v>0.44782312709991723</v>
      </c>
      <c r="AQ172" s="134">
        <v>0.44782312709991723</v>
      </c>
      <c r="AR172" s="134">
        <v>0.44782312709991723</v>
      </c>
      <c r="AS172" s="134">
        <v>0.44782312709991723</v>
      </c>
      <c r="AT172" s="134">
        <v>0.44782312709991723</v>
      </c>
      <c r="AU172" s="134">
        <v>0.44782312709991723</v>
      </c>
      <c r="AV172" s="134">
        <v>0.44782312709991723</v>
      </c>
      <c r="AW172" s="134">
        <v>0.44782312709991723</v>
      </c>
      <c r="AX172" s="134">
        <v>0.44782312709991723</v>
      </c>
      <c r="AY172" s="134">
        <v>0.44782312709991723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1187.488997977405</v>
      </c>
      <c r="E175" s="124">
        <f t="shared" si="1"/>
        <v>1274.0969661971019</v>
      </c>
      <c r="F175" s="124">
        <f t="shared" si="1"/>
        <v>1260.7049344167988</v>
      </c>
      <c r="G175" s="124">
        <f t="shared" si="1"/>
        <v>1177.3129026364957</v>
      </c>
      <c r="H175" s="124">
        <f t="shared" si="1"/>
        <v>1359.9208708561926</v>
      </c>
      <c r="I175" s="124">
        <f t="shared" si="1"/>
        <v>1264.5288390758894</v>
      </c>
      <c r="J175" s="124">
        <f t="shared" si="1"/>
        <v>1227.1368072955863</v>
      </c>
      <c r="K175" s="124">
        <f t="shared" si="1"/>
        <v>1085.7447755152832</v>
      </c>
      <c r="L175" s="124">
        <f t="shared" si="1"/>
        <v>1169.3527437349801</v>
      </c>
      <c r="M175" s="124">
        <f t="shared" si="1"/>
        <v>1211.960711954677</v>
      </c>
      <c r="N175" s="124">
        <f t="shared" si="1"/>
        <v>1051.6079682196969</v>
      </c>
      <c r="O175" s="124">
        <f t="shared" si="1"/>
        <v>1179.2159364393938</v>
      </c>
      <c r="P175" s="124">
        <f t="shared" si="1"/>
        <v>968.50819913101373</v>
      </c>
      <c r="Q175" s="124">
        <f t="shared" si="1"/>
        <v>983.80046182263368</v>
      </c>
      <c r="R175" s="124">
        <f t="shared" si="1"/>
        <v>978.09272451425363</v>
      </c>
      <c r="S175" s="124">
        <f t="shared" si="1"/>
        <v>846.38498720587359</v>
      </c>
      <c r="T175" s="124">
        <f t="shared" si="1"/>
        <v>1051.6079682196969</v>
      </c>
      <c r="U175" s="124">
        <f t="shared" si="1"/>
        <v>1066.2159364393938</v>
      </c>
      <c r="V175" s="124">
        <f t="shared" si="1"/>
        <v>1184.8239046590907</v>
      </c>
      <c r="W175" s="124">
        <f t="shared" si="1"/>
        <v>1226.4318728787875</v>
      </c>
      <c r="X175" s="124">
        <f t="shared" si="1"/>
        <v>1319.0398410984844</v>
      </c>
      <c r="Y175" s="124">
        <f t="shared" si="1"/>
        <v>1150.8439376773085</v>
      </c>
      <c r="Z175" s="124">
        <f t="shared" si="1"/>
        <v>1020.8098846766861</v>
      </c>
      <c r="AA175" s="124">
        <f t="shared" si="1"/>
        <v>1051.6079682196969</v>
      </c>
      <c r="AB175" s="124">
        <f t="shared" si="1"/>
        <v>1051.6079682196969</v>
      </c>
      <c r="AC175" s="124">
        <f t="shared" si="1"/>
        <v>1051.6079682196969</v>
      </c>
      <c r="AD175" s="124">
        <f t="shared" si="1"/>
        <v>1051.6079682196969</v>
      </c>
      <c r="AE175" s="124">
        <f t="shared" si="1"/>
        <v>1051.6079682196969</v>
      </c>
      <c r="AF175" s="124">
        <f t="shared" si="1"/>
        <v>1246.2159364393938</v>
      </c>
      <c r="AG175" s="124">
        <f t="shared" si="1"/>
        <v>1076.8239046590907</v>
      </c>
      <c r="AH175" s="124">
        <f t="shared" si="1"/>
        <v>1192.4318728787875</v>
      </c>
      <c r="AI175" s="124">
        <f t="shared" si="1"/>
        <v>1085.0398410984844</v>
      </c>
      <c r="AJ175" s="124">
        <f t="shared" si="1"/>
        <v>1051.6079682196969</v>
      </c>
      <c r="AK175" s="124">
        <f t="shared" si="1"/>
        <v>1051.6079682196969</v>
      </c>
      <c r="AL175" s="124">
        <f t="shared" si="1"/>
        <v>1181.2159364393938</v>
      </c>
      <c r="AM175" s="124">
        <f t="shared" si="1"/>
        <v>1181.8239046590907</v>
      </c>
      <c r="AN175" s="124">
        <f t="shared" si="1"/>
        <v>1082.4318728787875</v>
      </c>
      <c r="AO175" s="124">
        <f t="shared" si="1"/>
        <v>1051.6079682196969</v>
      </c>
      <c r="AP175" s="124">
        <f t="shared" si="1"/>
        <v>1076.2159364393938</v>
      </c>
      <c r="AQ175" s="124">
        <f t="shared" si="1"/>
        <v>781.09111351954925</v>
      </c>
      <c r="AR175" s="124">
        <f t="shared" si="1"/>
        <v>1051.6079682196969</v>
      </c>
      <c r="AS175" s="124">
        <f t="shared" si="1"/>
        <v>1053.2159364393938</v>
      </c>
      <c r="AT175" s="124">
        <f t="shared" si="1"/>
        <v>1051.6079682196969</v>
      </c>
      <c r="AU175" s="124">
        <f t="shared" si="1"/>
        <v>1051.6079682196969</v>
      </c>
      <c r="AV175" s="124">
        <f t="shared" si="1"/>
        <v>1051.6079682196969</v>
      </c>
      <c r="AW175" s="124">
        <f t="shared" si="1"/>
        <v>1051.6079682196969</v>
      </c>
      <c r="AX175" s="124">
        <f t="shared" si="1"/>
        <v>1051.6079682196969</v>
      </c>
      <c r="AY175" s="124">
        <f t="shared" si="1"/>
        <v>1051.6079682196969</v>
      </c>
    </row>
    <row r="176" spans="1:52">
      <c r="A176" s="125"/>
      <c r="B176" s="136" t="s">
        <v>299</v>
      </c>
      <c r="C176" s="125" t="s">
        <v>293</v>
      </c>
      <c r="D176" s="125">
        <v>965</v>
      </c>
      <c r="E176" s="125">
        <v>1065</v>
      </c>
      <c r="F176" s="125">
        <v>1135</v>
      </c>
      <c r="G176" s="125">
        <v>869</v>
      </c>
      <c r="H176" s="125">
        <v>1147</v>
      </c>
      <c r="I176" s="125">
        <v>1089</v>
      </c>
      <c r="J176" s="125">
        <v>1193</v>
      </c>
      <c r="K176" s="125">
        <v>968</v>
      </c>
      <c r="L176" s="125">
        <v>1009</v>
      </c>
      <c r="M176" s="125">
        <v>1211.960711954677</v>
      </c>
      <c r="N176" s="125">
        <v>924</v>
      </c>
      <c r="O176" s="125">
        <v>1052</v>
      </c>
      <c r="P176" s="125">
        <v>826</v>
      </c>
      <c r="Q176" s="125">
        <v>847</v>
      </c>
      <c r="R176" s="125">
        <v>973</v>
      </c>
      <c r="S176" s="125">
        <v>846.38498720587359</v>
      </c>
      <c r="T176" s="125">
        <v>1037</v>
      </c>
      <c r="U176" s="125">
        <v>933</v>
      </c>
      <c r="V176" s="125">
        <v>1010</v>
      </c>
      <c r="W176" s="125">
        <v>959</v>
      </c>
      <c r="X176" s="125">
        <v>1191</v>
      </c>
      <c r="Y176" s="125">
        <v>1150.8439376773085</v>
      </c>
      <c r="Z176" s="125">
        <v>1020.8098846766861</v>
      </c>
      <c r="AA176" s="125">
        <v>1051.6079682196969</v>
      </c>
      <c r="AB176" s="125">
        <v>1051.6079682196969</v>
      </c>
      <c r="AC176" s="125">
        <v>1051.6079682196969</v>
      </c>
      <c r="AD176" s="125">
        <v>1051.6079682196969</v>
      </c>
      <c r="AE176" s="125">
        <v>857</v>
      </c>
      <c r="AF176" s="125">
        <v>1221</v>
      </c>
      <c r="AG176" s="125">
        <v>936</v>
      </c>
      <c r="AH176" s="125">
        <v>1159</v>
      </c>
      <c r="AI176" s="125">
        <v>1085.0398410984844</v>
      </c>
      <c r="AJ176" s="125">
        <v>1051.6079682196969</v>
      </c>
      <c r="AK176" s="125">
        <v>922</v>
      </c>
      <c r="AL176" s="125">
        <v>1051</v>
      </c>
      <c r="AM176" s="125">
        <v>1151</v>
      </c>
      <c r="AN176" s="125">
        <v>1082.4318728787875</v>
      </c>
      <c r="AO176" s="125">
        <v>1027</v>
      </c>
      <c r="AP176" s="125">
        <v>1076.2159364393938</v>
      </c>
      <c r="AQ176" s="125">
        <v>781.09111351954925</v>
      </c>
      <c r="AR176" s="125">
        <v>1050</v>
      </c>
      <c r="AS176" s="125">
        <v>1053.2159364393938</v>
      </c>
      <c r="AT176" s="125">
        <v>1051.6079682196969</v>
      </c>
      <c r="AU176" s="125">
        <v>1051.6079682196969</v>
      </c>
      <c r="AV176" s="125">
        <v>1051.6079682196969</v>
      </c>
      <c r="AW176" s="125">
        <v>1051.6079682196969</v>
      </c>
      <c r="AX176" s="125">
        <v>1051.6079682196969</v>
      </c>
      <c r="AY176" s="125">
        <v>1051.6079682196969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605.43927765486126</v>
      </c>
      <c r="E177" s="124">
        <f t="shared" si="2"/>
        <v>190.72161391135506</v>
      </c>
      <c r="F177" s="124">
        <f t="shared" si="2"/>
        <v>1002.2310168693225</v>
      </c>
      <c r="G177" s="124">
        <f t="shared" si="2"/>
        <v>1141.3019932809261</v>
      </c>
      <c r="H177" s="124">
        <f t="shared" si="2"/>
        <v>1158.651355781175</v>
      </c>
      <c r="I177" s="124">
        <f t="shared" si="2"/>
        <v>1519.6284668703174</v>
      </c>
      <c r="J177" s="124">
        <f t="shared" si="2"/>
        <v>1427.9778293705663</v>
      </c>
      <c r="K177" s="124">
        <f t="shared" si="2"/>
        <v>836.69944328192105</v>
      </c>
      <c r="L177" s="124">
        <f t="shared" si="2"/>
        <v>1124.6765543710635</v>
      </c>
      <c r="M177" s="124">
        <f t="shared" si="2"/>
        <v>947.02591687131235</v>
      </c>
      <c r="N177" s="124">
        <f t="shared" si="2"/>
        <v>282.02591687131235</v>
      </c>
      <c r="O177" s="124">
        <f t="shared" si="2"/>
        <v>798.07097641160362</v>
      </c>
      <c r="P177" s="124">
        <f t="shared" si="2"/>
        <v>1147.0480875007461</v>
      </c>
      <c r="Q177" s="124">
        <f t="shared" si="2"/>
        <v>551.76970141210109</v>
      </c>
      <c r="R177" s="124">
        <f t="shared" si="2"/>
        <v>416.62774858889384</v>
      </c>
      <c r="S177" s="124">
        <f t="shared" si="2"/>
        <v>971.76578128666301</v>
      </c>
      <c r="T177" s="124">
        <f t="shared" si="2"/>
        <v>256.76578128666301</v>
      </c>
      <c r="U177" s="124">
        <f t="shared" si="2"/>
        <v>676.60450455468651</v>
      </c>
      <c r="V177" s="124">
        <f t="shared" si="2"/>
        <v>717.95386705493524</v>
      </c>
      <c r="W177" s="124">
        <f t="shared" si="2"/>
        <v>546.83675769826664</v>
      </c>
      <c r="X177" s="124">
        <f t="shared" si="2"/>
        <v>5.6843418860808015E-14</v>
      </c>
      <c r="Y177" s="124">
        <f t="shared" si="2"/>
        <v>1631.3264735893913</v>
      </c>
      <c r="Z177" s="124">
        <f t="shared" si="2"/>
        <v>1565.6758360896399</v>
      </c>
      <c r="AA177" s="124">
        <f t="shared" si="2"/>
        <v>1387.0251985898888</v>
      </c>
      <c r="AB177" s="124">
        <f t="shared" si="2"/>
        <v>649.02519858988876</v>
      </c>
      <c r="AC177" s="124">
        <f t="shared" si="2"/>
        <v>1273.7239235903862</v>
      </c>
      <c r="AD177" s="124">
        <f t="shared" si="2"/>
        <v>580.72392359038622</v>
      </c>
      <c r="AE177" s="124">
        <f t="shared" si="2"/>
        <v>1214.6987250004975</v>
      </c>
      <c r="AF177" s="124">
        <f t="shared" si="2"/>
        <v>496.69872500049746</v>
      </c>
      <c r="AG177" s="124">
        <f t="shared" si="2"/>
        <v>798.07097641160362</v>
      </c>
      <c r="AH177" s="124">
        <f t="shared" si="2"/>
        <v>701.42033891185247</v>
      </c>
      <c r="AI177" s="124">
        <f t="shared" si="2"/>
        <v>620.76970141210109</v>
      </c>
      <c r="AJ177" s="124">
        <f t="shared" si="2"/>
        <v>1044.7468125012435</v>
      </c>
      <c r="AK177" s="124">
        <f t="shared" si="2"/>
        <v>881.09617500149238</v>
      </c>
      <c r="AL177" s="124">
        <f t="shared" si="2"/>
        <v>769.445537501741</v>
      </c>
      <c r="AM177" s="124">
        <f t="shared" si="2"/>
        <v>731.79490000198984</v>
      </c>
      <c r="AN177" s="124">
        <f t="shared" si="2"/>
        <v>0</v>
      </c>
      <c r="AO177" s="124">
        <f t="shared" si="2"/>
        <v>190.72161391135498</v>
      </c>
      <c r="AP177" s="124">
        <f t="shared" si="2"/>
        <v>607.34936250024873</v>
      </c>
      <c r="AQ177" s="124">
        <f t="shared" si="2"/>
        <v>1631.3264735893913</v>
      </c>
      <c r="AR177" s="124">
        <f t="shared" si="2"/>
        <v>1009.3264735893912</v>
      </c>
      <c r="AS177" s="124">
        <f t="shared" si="2"/>
        <v>1113.3974500009949</v>
      </c>
      <c r="AT177" s="124">
        <f t="shared" si="2"/>
        <v>1425.3745610901374</v>
      </c>
      <c r="AU177" s="124">
        <f t="shared" si="2"/>
        <v>949.09617500149227</v>
      </c>
      <c r="AV177" s="124">
        <f t="shared" si="2"/>
        <v>150.09617500149233</v>
      </c>
      <c r="AW177" s="124">
        <f t="shared" si="2"/>
        <v>1023.9771110891425</v>
      </c>
      <c r="AX177" s="124">
        <f t="shared" si="2"/>
        <v>929.3264735893913</v>
      </c>
      <c r="AY177" s="124">
        <f t="shared" si="2"/>
        <v>768.67583608963992</v>
      </c>
    </row>
    <row r="178" spans="1:51">
      <c r="A178" s="125"/>
      <c r="B178" s="136" t="s">
        <v>299</v>
      </c>
      <c r="C178" s="125" t="s">
        <v>293</v>
      </c>
      <c r="D178" s="125">
        <v>605.43927765486126</v>
      </c>
      <c r="E178" s="125">
        <v>190.72161391135506</v>
      </c>
      <c r="F178" s="125">
        <v>659</v>
      </c>
      <c r="G178" s="125">
        <v>590</v>
      </c>
      <c r="H178" s="125">
        <v>663</v>
      </c>
      <c r="I178" s="125">
        <v>699</v>
      </c>
      <c r="J178" s="125">
        <v>782</v>
      </c>
      <c r="K178" s="125">
        <v>736</v>
      </c>
      <c r="L178" s="125">
        <v>785</v>
      </c>
      <c r="M178" s="125">
        <v>665</v>
      </c>
      <c r="N178" s="125">
        <v>282.02591687131235</v>
      </c>
      <c r="O178" s="125">
        <v>675</v>
      </c>
      <c r="P178" s="125">
        <v>786</v>
      </c>
      <c r="Q178" s="125">
        <v>551.76970141210109</v>
      </c>
      <c r="R178" s="125">
        <v>416.62774858889384</v>
      </c>
      <c r="S178" s="125">
        <v>715</v>
      </c>
      <c r="T178" s="125">
        <v>256.76578128666301</v>
      </c>
      <c r="U178" s="125">
        <v>566</v>
      </c>
      <c r="V178" s="125">
        <v>657</v>
      </c>
      <c r="W178" s="125">
        <v>546.83675769826664</v>
      </c>
      <c r="X178" s="125">
        <v>5.6843418860808015E-14</v>
      </c>
      <c r="Y178" s="125">
        <v>673</v>
      </c>
      <c r="Z178" s="125">
        <v>786</v>
      </c>
      <c r="AA178" s="125">
        <v>738</v>
      </c>
      <c r="AB178" s="125">
        <v>590</v>
      </c>
      <c r="AC178" s="125">
        <v>693</v>
      </c>
      <c r="AD178" s="125">
        <v>580.72392359038622</v>
      </c>
      <c r="AE178" s="125">
        <v>718</v>
      </c>
      <c r="AF178" s="125">
        <v>496.69872500049746</v>
      </c>
      <c r="AG178" s="125">
        <v>704</v>
      </c>
      <c r="AH178" s="125">
        <v>688</v>
      </c>
      <c r="AI178" s="125">
        <v>600</v>
      </c>
      <c r="AJ178" s="125">
        <v>771</v>
      </c>
      <c r="AK178" s="125">
        <v>719</v>
      </c>
      <c r="AL178" s="125">
        <v>645</v>
      </c>
      <c r="AM178" s="125">
        <v>731.79490000198984</v>
      </c>
      <c r="AN178" s="125">
        <v>0</v>
      </c>
      <c r="AO178" s="125">
        <v>190.72161391135498</v>
      </c>
      <c r="AP178" s="125">
        <v>607.34936250024873</v>
      </c>
      <c r="AQ178" s="125">
        <v>622</v>
      </c>
      <c r="AR178" s="125">
        <v>694</v>
      </c>
      <c r="AS178" s="125">
        <v>712</v>
      </c>
      <c r="AT178" s="125">
        <v>667</v>
      </c>
      <c r="AU178" s="125">
        <v>799</v>
      </c>
      <c r="AV178" s="125">
        <v>150.09617500149233</v>
      </c>
      <c r="AW178" s="125">
        <v>702</v>
      </c>
      <c r="AX178" s="125">
        <v>768</v>
      </c>
      <c r="AY178" s="125">
        <v>768.67583608963992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252.39942523906274</v>
      </c>
      <c r="E179" s="124">
        <f t="shared" si="3"/>
        <v>369.72338632708806</v>
      </c>
      <c r="F179" s="124">
        <f t="shared" si="3"/>
        <v>116.1438499204738</v>
      </c>
      <c r="G179" s="124">
        <f t="shared" si="3"/>
        <v>610.18881333173044</v>
      </c>
      <c r="H179" s="124">
        <f t="shared" si="3"/>
        <v>718.58980927828657</v>
      </c>
      <c r="I179" s="124">
        <f t="shared" si="3"/>
        <v>719.26527988188218</v>
      </c>
      <c r="J179" s="124">
        <f t="shared" si="3"/>
        <v>848.1820986805144</v>
      </c>
      <c r="K179" s="124">
        <f t="shared" si="3"/>
        <v>887.57776931355625</v>
      </c>
      <c r="L179" s="124">
        <f t="shared" si="3"/>
        <v>580.72161923403019</v>
      </c>
      <c r="M179" s="124">
        <f t="shared" si="3"/>
        <v>858.14940217474896</v>
      </c>
      <c r="N179" s="124">
        <f t="shared" si="3"/>
        <v>918.63578672812878</v>
      </c>
      <c r="O179" s="124">
        <f t="shared" si="3"/>
        <v>524.36665746949984</v>
      </c>
      <c r="P179" s="124">
        <f t="shared" si="3"/>
        <v>510.26333154773272</v>
      </c>
      <c r="Q179" s="124">
        <f t="shared" si="3"/>
        <v>717.38936870526823</v>
      </c>
      <c r="R179" s="124">
        <f t="shared" si="3"/>
        <v>532.48033207631329</v>
      </c>
      <c r="S179" s="124">
        <f t="shared" si="3"/>
        <v>362.98005299886438</v>
      </c>
      <c r="T179" s="124">
        <f t="shared" si="3"/>
        <v>591.64165153189379</v>
      </c>
      <c r="U179" s="124">
        <f t="shared" si="3"/>
        <v>142.72126788334157</v>
      </c>
      <c r="V179" s="124">
        <f t="shared" si="3"/>
        <v>411.94817955000218</v>
      </c>
      <c r="W179" s="124">
        <f t="shared" si="3"/>
        <v>369.78581643059624</v>
      </c>
      <c r="X179" s="124">
        <f t="shared" si="3"/>
        <v>295.83732190236549</v>
      </c>
      <c r="Y179" s="124">
        <f t="shared" si="3"/>
        <v>3.2992272837126545E-2</v>
      </c>
      <c r="Z179" s="124">
        <f t="shared" si="3"/>
        <v>993.18060709847782</v>
      </c>
      <c r="AA179" s="124">
        <f t="shared" si="3"/>
        <v>1168.2388736793698</v>
      </c>
      <c r="AB179" s="124">
        <f t="shared" si="3"/>
        <v>1145.4168660988951</v>
      </c>
      <c r="AC179" s="124">
        <f t="shared" si="3"/>
        <v>734.75542271332745</v>
      </c>
      <c r="AD179" s="124">
        <f t="shared" si="3"/>
        <v>986.29406330168285</v>
      </c>
      <c r="AE179" s="124">
        <f t="shared" si="3"/>
        <v>622.8451363191673</v>
      </c>
      <c r="AF179" s="124">
        <f t="shared" si="3"/>
        <v>790.38377690752282</v>
      </c>
      <c r="AG179" s="124">
        <f t="shared" si="3"/>
        <v>406.35972582167426</v>
      </c>
      <c r="AH179" s="124">
        <f t="shared" si="3"/>
        <v>485.89667407823293</v>
      </c>
      <c r="AI179" s="124">
        <f t="shared" si="3"/>
        <v>431.68249050882918</v>
      </c>
      <c r="AJ179" s="124">
        <f t="shared" si="3"/>
        <v>369.7858164305963</v>
      </c>
      <c r="AK179" s="124">
        <f t="shared" si="3"/>
        <v>623.42778294071877</v>
      </c>
      <c r="AL179" s="124">
        <f t="shared" si="3"/>
        <v>597.30237327363488</v>
      </c>
      <c r="AM179" s="124">
        <f t="shared" si="3"/>
        <v>408.08818970423113</v>
      </c>
      <c r="AN179" s="124">
        <f t="shared" si="3"/>
        <v>369.78581643059624</v>
      </c>
      <c r="AO179" s="124">
        <f t="shared" si="3"/>
        <v>3.2992272837126545E-2</v>
      </c>
      <c r="AP179" s="124">
        <f t="shared" si="3"/>
        <v>116.1438499204738</v>
      </c>
      <c r="AQ179" s="124">
        <f t="shared" si="3"/>
        <v>369.78581643059624</v>
      </c>
      <c r="AR179" s="124">
        <f t="shared" si="3"/>
        <v>993.18060709847782</v>
      </c>
      <c r="AS179" s="124">
        <f t="shared" si="3"/>
        <v>693.8993632347906</v>
      </c>
      <c r="AT179" s="124">
        <f t="shared" si="3"/>
        <v>586.79603731302348</v>
      </c>
      <c r="AU179" s="124">
        <f t="shared" si="3"/>
        <v>734.22382025374225</v>
      </c>
      <c r="AV179" s="124">
        <f t="shared" si="3"/>
        <v>434.02055132330355</v>
      </c>
      <c r="AW179" s="124">
        <f t="shared" si="3"/>
        <v>3.2992272837126545E-2</v>
      </c>
      <c r="AX179" s="124">
        <f t="shared" si="3"/>
        <v>623.42778294071877</v>
      </c>
      <c r="AY179" s="124">
        <f t="shared" si="3"/>
        <v>619.7821932189355</v>
      </c>
    </row>
    <row r="180" spans="1:51">
      <c r="A180" s="125"/>
      <c r="B180" s="136" t="s">
        <v>299</v>
      </c>
      <c r="C180" s="125" t="s">
        <v>293</v>
      </c>
      <c r="D180" s="125">
        <v>252.39942523906274</v>
      </c>
      <c r="E180" s="125">
        <v>369.72338632708806</v>
      </c>
      <c r="F180" s="125">
        <v>116.1438499204738</v>
      </c>
      <c r="G180" s="125">
        <v>464</v>
      </c>
      <c r="H180" s="125">
        <v>485</v>
      </c>
      <c r="I180" s="125">
        <v>524</v>
      </c>
      <c r="J180" s="125">
        <v>437</v>
      </c>
      <c r="K180" s="125">
        <v>423</v>
      </c>
      <c r="L180" s="125">
        <v>346</v>
      </c>
      <c r="M180" s="125">
        <v>405</v>
      </c>
      <c r="N180" s="125">
        <v>411.74756473326102</v>
      </c>
      <c r="O180" s="125">
        <v>500</v>
      </c>
      <c r="P180" s="125">
        <v>428</v>
      </c>
      <c r="Q180" s="125">
        <v>412.61724577314277</v>
      </c>
      <c r="R180" s="125">
        <v>423.1752378604084</v>
      </c>
      <c r="S180" s="125">
        <v>362.98005299886438</v>
      </c>
      <c r="T180" s="125">
        <v>489.76068480421213</v>
      </c>
      <c r="U180" s="125">
        <v>142.72126788334157</v>
      </c>
      <c r="V180" s="125">
        <v>411.94817955000218</v>
      </c>
      <c r="W180" s="125">
        <v>369.78581643059624</v>
      </c>
      <c r="X180" s="125">
        <v>295.83732190236549</v>
      </c>
      <c r="Y180" s="125">
        <v>3.2992272837126545E-2</v>
      </c>
      <c r="Z180" s="125">
        <v>461</v>
      </c>
      <c r="AA180" s="125">
        <v>502</v>
      </c>
      <c r="AB180" s="125">
        <v>446</v>
      </c>
      <c r="AC180" s="125">
        <v>488</v>
      </c>
      <c r="AD180" s="125">
        <v>496.42683003775977</v>
      </c>
      <c r="AE180" s="125">
        <v>572</v>
      </c>
      <c r="AF180" s="125">
        <v>526.85406293729102</v>
      </c>
      <c r="AG180" s="125">
        <v>406.35972582167426</v>
      </c>
      <c r="AH180" s="125">
        <v>424</v>
      </c>
      <c r="AI180" s="125">
        <v>431.68249050882918</v>
      </c>
      <c r="AJ180" s="125">
        <v>369.7858164305963</v>
      </c>
      <c r="AK180" s="125">
        <v>450</v>
      </c>
      <c r="AL180" s="125">
        <v>559</v>
      </c>
      <c r="AM180" s="125">
        <v>408.08818970423113</v>
      </c>
      <c r="AN180" s="125">
        <v>369.78581643059624</v>
      </c>
      <c r="AO180" s="125">
        <v>3.2992272837126545E-2</v>
      </c>
      <c r="AP180" s="125">
        <v>116.1438499204738</v>
      </c>
      <c r="AQ180" s="125">
        <v>369.78581643059624</v>
      </c>
      <c r="AR180" s="125">
        <v>534</v>
      </c>
      <c r="AS180" s="125">
        <v>593</v>
      </c>
      <c r="AT180" s="125">
        <v>476</v>
      </c>
      <c r="AU180" s="125">
        <v>491</v>
      </c>
      <c r="AV180" s="125">
        <v>434.02055132330355</v>
      </c>
      <c r="AW180" s="125">
        <v>3.2992272837126545E-2</v>
      </c>
      <c r="AX180" s="125">
        <v>453</v>
      </c>
      <c r="AY180" s="125">
        <v>558.31066881583229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455.87798160895477</v>
      </c>
      <c r="E181" s="124">
        <f t="shared" si="4"/>
        <v>143.20820872066034</v>
      </c>
      <c r="F181" s="124">
        <f t="shared" si="4"/>
        <v>752.37773673299307</v>
      </c>
      <c r="G181" s="124">
        <f t="shared" si="4"/>
        <v>705.78443331744734</v>
      </c>
      <c r="H181" s="124">
        <f t="shared" si="4"/>
        <v>598.84973859854733</v>
      </c>
      <c r="I181" s="124">
        <f t="shared" si="4"/>
        <v>805.06241292817185</v>
      </c>
      <c r="J181" s="124">
        <f t="shared" si="4"/>
        <v>587.40751817982539</v>
      </c>
      <c r="K181" s="124">
        <f t="shared" si="4"/>
        <v>143.20820872066037</v>
      </c>
      <c r="L181" s="124">
        <f t="shared" si="4"/>
        <v>768.70171018753808</v>
      </c>
      <c r="M181" s="124">
        <f t="shared" si="4"/>
        <v>573.95610151885376</v>
      </c>
      <c r="N181" s="124">
        <f t="shared" si="4"/>
        <v>21.551338596710892</v>
      </c>
      <c r="O181" s="124">
        <f t="shared" si="4"/>
        <v>599.1224878951075</v>
      </c>
      <c r="P181" s="124">
        <f t="shared" si="4"/>
        <v>783.12594386582884</v>
      </c>
      <c r="Q181" s="124">
        <f t="shared" si="4"/>
        <v>280.76979336277537</v>
      </c>
      <c r="R181" s="124">
        <f t="shared" si="4"/>
        <v>312.7874310130909</v>
      </c>
      <c r="S181" s="124">
        <f t="shared" si="4"/>
        <v>729.50863242806827</v>
      </c>
      <c r="T181" s="124">
        <f t="shared" si="4"/>
        <v>50.357090591702274</v>
      </c>
      <c r="U181" s="124">
        <f t="shared" si="4"/>
        <v>507.94218479486852</v>
      </c>
      <c r="V181" s="124">
        <f t="shared" si="4"/>
        <v>455.95495945409925</v>
      </c>
      <c r="W181" s="124">
        <f t="shared" si="4"/>
        <v>364.77465635386011</v>
      </c>
      <c r="X181" s="124">
        <f t="shared" si="4"/>
        <v>4.0680279652029257E-2</v>
      </c>
      <c r="Y181" s="124">
        <f t="shared" si="4"/>
        <v>1224.6159893619854</v>
      </c>
      <c r="Z181" s="124">
        <f t="shared" si="4"/>
        <v>784.27540555430392</v>
      </c>
      <c r="AA181" s="124">
        <f t="shared" si="4"/>
        <v>590.83818901947427</v>
      </c>
      <c r="AB181" s="124">
        <f t="shared" si="4"/>
        <v>43.573304957530972</v>
      </c>
      <c r="AC181" s="124">
        <f t="shared" si="4"/>
        <v>911.86923862854644</v>
      </c>
      <c r="AD181" s="124">
        <f t="shared" si="4"/>
        <v>163.96500812579126</v>
      </c>
      <c r="AE181" s="124">
        <f t="shared" si="4"/>
        <v>911.86923862854644</v>
      </c>
      <c r="AF181" s="124">
        <f t="shared" si="4"/>
        <v>176.11289932959306</v>
      </c>
      <c r="AG181" s="124">
        <f t="shared" si="4"/>
        <v>599.1224878951075</v>
      </c>
      <c r="AH181" s="124">
        <f t="shared" si="4"/>
        <v>455.95495945409925</v>
      </c>
      <c r="AI181" s="124">
        <f t="shared" si="4"/>
        <v>455.95495945409931</v>
      </c>
      <c r="AJ181" s="124">
        <f t="shared" si="4"/>
        <v>768.70171018753808</v>
      </c>
      <c r="AK181" s="124">
        <f t="shared" si="4"/>
        <v>522.64774110161511</v>
      </c>
      <c r="AL181" s="124">
        <f t="shared" si="4"/>
        <v>455.95495945409931</v>
      </c>
      <c r="AM181" s="124">
        <f t="shared" si="4"/>
        <v>455.95495945409925</v>
      </c>
      <c r="AN181" s="124">
        <f t="shared" si="4"/>
        <v>4.0680279652029257E-2</v>
      </c>
      <c r="AO181" s="124">
        <f t="shared" si="4"/>
        <v>143.20820872066034</v>
      </c>
      <c r="AP181" s="124">
        <f t="shared" si="4"/>
        <v>455.95495945409925</v>
      </c>
      <c r="AQ181" s="124">
        <f t="shared" si="4"/>
        <v>1224.6159893619854</v>
      </c>
      <c r="AR181" s="124">
        <f t="shared" si="4"/>
        <v>289.41396933577488</v>
      </c>
      <c r="AS181" s="124">
        <f t="shared" si="4"/>
        <v>599.1224878951075</v>
      </c>
      <c r="AT181" s="124">
        <f t="shared" si="4"/>
        <v>768.70171018753808</v>
      </c>
      <c r="AU181" s="124">
        <f t="shared" si="4"/>
        <v>235.25703775911109</v>
      </c>
      <c r="AV181" s="124">
        <f t="shared" si="4"/>
        <v>4.0680279652029257E-2</v>
      </c>
      <c r="AW181" s="124">
        <f t="shared" si="4"/>
        <v>768.70171018753808</v>
      </c>
      <c r="AX181" s="124">
        <f t="shared" si="4"/>
        <v>554.06498252584868</v>
      </c>
      <c r="AY181" s="124">
        <f t="shared" si="4"/>
        <v>455.95495945409925</v>
      </c>
    </row>
    <row r="182" spans="1:51">
      <c r="A182" s="125"/>
      <c r="B182" s="136" t="s">
        <v>299</v>
      </c>
      <c r="C182" s="125" t="s">
        <v>293</v>
      </c>
      <c r="D182" s="125">
        <v>455.87798160895477</v>
      </c>
      <c r="E182" s="125">
        <v>143.20820872066034</v>
      </c>
      <c r="F182" s="125">
        <v>559.21146944233033</v>
      </c>
      <c r="G182" s="125">
        <v>447</v>
      </c>
      <c r="H182" s="125">
        <v>533</v>
      </c>
      <c r="I182" s="125">
        <v>567</v>
      </c>
      <c r="J182" s="125">
        <v>587.40751817982539</v>
      </c>
      <c r="K182" s="125">
        <v>143.20820872066037</v>
      </c>
      <c r="L182" s="125">
        <v>555</v>
      </c>
      <c r="M182" s="125">
        <v>535</v>
      </c>
      <c r="N182" s="125">
        <v>21.551338596710892</v>
      </c>
      <c r="O182" s="125">
        <v>573</v>
      </c>
      <c r="P182" s="125">
        <v>534</v>
      </c>
      <c r="Q182" s="125">
        <v>280.76979336277537</v>
      </c>
      <c r="R182" s="125">
        <v>312.7874310130909</v>
      </c>
      <c r="S182" s="125">
        <v>638.38491323319522</v>
      </c>
      <c r="T182" s="125">
        <v>50.357090591702274</v>
      </c>
      <c r="U182" s="125">
        <v>507.94218479486852</v>
      </c>
      <c r="V182" s="125">
        <v>455.95495945409925</v>
      </c>
      <c r="W182" s="125">
        <v>364.77465635386011</v>
      </c>
      <c r="X182" s="125">
        <v>4.0680279652029257E-2</v>
      </c>
      <c r="Y182" s="125">
        <v>630.02309311148497</v>
      </c>
      <c r="Z182" s="125">
        <v>540</v>
      </c>
      <c r="AA182" s="125">
        <v>512</v>
      </c>
      <c r="AB182" s="125">
        <v>43.573304957530972</v>
      </c>
      <c r="AC182" s="125">
        <v>615</v>
      </c>
      <c r="AD182" s="125">
        <v>163.96500812579126</v>
      </c>
      <c r="AE182" s="125">
        <v>593</v>
      </c>
      <c r="AF182" s="125">
        <v>176.11289932959306</v>
      </c>
      <c r="AG182" s="125">
        <v>599.1224878951075</v>
      </c>
      <c r="AH182" s="125">
        <v>455.95495945409925</v>
      </c>
      <c r="AI182" s="125">
        <v>455.95495945409931</v>
      </c>
      <c r="AJ182" s="125">
        <v>647.92015463770235</v>
      </c>
      <c r="AK182" s="125">
        <v>522.64774110161511</v>
      </c>
      <c r="AL182" s="125">
        <v>455.95495945409931</v>
      </c>
      <c r="AM182" s="125">
        <v>455.95495945409925</v>
      </c>
      <c r="AN182" s="125">
        <v>4.0680279652029257E-2</v>
      </c>
      <c r="AO182" s="125">
        <v>143.20820872066034</v>
      </c>
      <c r="AP182" s="125">
        <v>455.95495945409925</v>
      </c>
      <c r="AQ182" s="125">
        <v>700.55693644238693</v>
      </c>
      <c r="AR182" s="125">
        <v>289.41396933577488</v>
      </c>
      <c r="AS182" s="125">
        <v>599.1224878951075</v>
      </c>
      <c r="AT182" s="125">
        <v>602</v>
      </c>
      <c r="AU182" s="125">
        <v>235.25703775911109</v>
      </c>
      <c r="AV182" s="125">
        <v>4.0680279652029257E-2</v>
      </c>
      <c r="AW182" s="125">
        <v>591.02309326816817</v>
      </c>
      <c r="AX182" s="125">
        <v>554.06498252584868</v>
      </c>
      <c r="AY182" s="125">
        <v>455.95495945409925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915</v>
      </c>
      <c r="D185" s="124">
        <v>829.11897024229188</v>
      </c>
      <c r="E185" s="124">
        <v>842.51100202259499</v>
      </c>
      <c r="F185" s="124">
        <v>925.90303380289811</v>
      </c>
      <c r="G185" s="124">
        <v>743.29506558320122</v>
      </c>
      <c r="H185" s="124">
        <v>838.68709736350434</v>
      </c>
      <c r="I185" s="124">
        <v>876.07912914380745</v>
      </c>
      <c r="J185" s="124">
        <v>1017.4711609241106</v>
      </c>
      <c r="K185" s="124">
        <v>933.86319270441368</v>
      </c>
      <c r="L185" s="124">
        <v>891.25522448471679</v>
      </c>
      <c r="M185" s="124">
        <v>1051.6079682196969</v>
      </c>
      <c r="N185" s="124">
        <v>924</v>
      </c>
      <c r="O185" s="124">
        <v>924.39203178030311</v>
      </c>
      <c r="P185" s="124">
        <v>698.78406356060623</v>
      </c>
      <c r="Q185" s="124">
        <v>704.49180086898627</v>
      </c>
      <c r="R185" s="124">
        <v>836.19953817736632</v>
      </c>
      <c r="S185" s="124">
        <v>841.29226269161995</v>
      </c>
      <c r="T185" s="124">
        <v>1037</v>
      </c>
      <c r="U185" s="124">
        <v>918.39203178030311</v>
      </c>
      <c r="V185" s="124">
        <v>876.78406356060623</v>
      </c>
      <c r="W185" s="124">
        <v>784.17609534090934</v>
      </c>
      <c r="X185" s="124">
        <v>923.56812712121246</v>
      </c>
      <c r="Y185" s="124">
        <v>1051.6079682196969</v>
      </c>
      <c r="Z185" s="124">
        <v>1020.8098846766861</v>
      </c>
      <c r="AA185" s="124">
        <v>1051.6079682196969</v>
      </c>
      <c r="AB185" s="124">
        <v>1051.6079682196969</v>
      </c>
      <c r="AC185" s="124">
        <v>1051.6079682196969</v>
      </c>
      <c r="AD185" s="124">
        <v>1051.6079682196969</v>
      </c>
      <c r="AE185" s="124">
        <v>857</v>
      </c>
      <c r="AF185" s="124">
        <v>1026.3920317803031</v>
      </c>
      <c r="AG185" s="124">
        <v>910.78406356060623</v>
      </c>
      <c r="AH185" s="124">
        <v>1018.1760953409093</v>
      </c>
      <c r="AI185" s="124">
        <v>1051.6079682196969</v>
      </c>
      <c r="AJ185" s="124">
        <v>1051.6079682196969</v>
      </c>
      <c r="AK185" s="124">
        <v>922</v>
      </c>
      <c r="AL185" s="124">
        <v>921.39203178030311</v>
      </c>
      <c r="AM185" s="124">
        <v>1020.7840635606062</v>
      </c>
      <c r="AN185" s="124">
        <v>1051.6079682196969</v>
      </c>
      <c r="AO185" s="124">
        <v>1027</v>
      </c>
      <c r="AP185" s="124">
        <v>1051.6079682196969</v>
      </c>
      <c r="AQ185" s="124">
        <v>781.09111351954925</v>
      </c>
      <c r="AR185" s="124">
        <v>1050</v>
      </c>
      <c r="AS185" s="124">
        <v>1051.6079682196969</v>
      </c>
      <c r="AT185" s="124">
        <v>1051.6079682196969</v>
      </c>
      <c r="AU185" s="124">
        <v>1051.6079682196969</v>
      </c>
      <c r="AV185" s="124">
        <v>1051.6079682196969</v>
      </c>
      <c r="AW185" s="124">
        <v>1051.6079682196969</v>
      </c>
      <c r="AX185" s="124">
        <v>1051.6079682196969</v>
      </c>
      <c r="AY185" s="124">
        <v>1051.6079682196969</v>
      </c>
    </row>
    <row r="186" spans="1:51">
      <c r="A186" s="109"/>
      <c r="B186" s="120">
        <v>2</v>
      </c>
      <c r="C186" s="106">
        <v>0</v>
      </c>
      <c r="D186" s="106">
        <v>135.88102975770812</v>
      </c>
      <c r="E186" s="106">
        <v>222.48899797740501</v>
      </c>
      <c r="F186" s="106">
        <v>209.09696619710189</v>
      </c>
      <c r="G186" s="106">
        <v>125.70493441679878</v>
      </c>
      <c r="H186" s="106">
        <v>308.31290263649566</v>
      </c>
      <c r="I186" s="106">
        <v>212.92087085619255</v>
      </c>
      <c r="J186" s="106">
        <v>175.52883907588944</v>
      </c>
      <c r="K186" s="106">
        <v>34.136807295586323</v>
      </c>
      <c r="L186" s="106">
        <v>117.74477551528321</v>
      </c>
      <c r="M186" s="106">
        <v>160.35274373498009</v>
      </c>
      <c r="N186" s="106">
        <v>0</v>
      </c>
      <c r="O186" s="106">
        <v>127.60796821969689</v>
      </c>
      <c r="P186" s="106">
        <v>127.21593643939377</v>
      </c>
      <c r="Q186" s="106">
        <v>142.50819913101373</v>
      </c>
      <c r="R186" s="106">
        <v>136.80046182263368</v>
      </c>
      <c r="S186" s="106">
        <v>5.0927245142536322</v>
      </c>
      <c r="T186" s="106">
        <v>0</v>
      </c>
      <c r="U186" s="106">
        <v>14.607968219696886</v>
      </c>
      <c r="V186" s="106">
        <v>133.21593643939377</v>
      </c>
      <c r="W186" s="106">
        <v>174.82390465909066</v>
      </c>
      <c r="X186" s="106">
        <v>267.43187287878754</v>
      </c>
      <c r="Y186" s="106">
        <v>99.235969457611645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194.60796821969689</v>
      </c>
      <c r="AG186" s="106">
        <v>25.215936439393772</v>
      </c>
      <c r="AH186" s="106">
        <v>140.82390465909066</v>
      </c>
      <c r="AI186" s="106">
        <v>33.431872878787544</v>
      </c>
      <c r="AJ186" s="106">
        <v>0</v>
      </c>
      <c r="AK186" s="106">
        <v>0</v>
      </c>
      <c r="AL186" s="106">
        <v>129.60796821969689</v>
      </c>
      <c r="AM186" s="106">
        <v>130.21593643939377</v>
      </c>
      <c r="AN186" s="106">
        <v>30.823904659090658</v>
      </c>
      <c r="AO186" s="106">
        <v>0</v>
      </c>
      <c r="AP186" s="106">
        <v>24.607968219696886</v>
      </c>
      <c r="AQ186" s="106">
        <v>0</v>
      </c>
      <c r="AR186" s="106">
        <v>0</v>
      </c>
      <c r="AS186" s="106">
        <v>1.6079682196968861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190.72161391135506</v>
      </c>
      <c r="F189" s="124">
        <v>0</v>
      </c>
      <c r="G189" s="124">
        <v>0</v>
      </c>
      <c r="H189" s="124">
        <v>111.69800671907382</v>
      </c>
      <c r="I189" s="124">
        <v>0</v>
      </c>
      <c r="J189" s="124">
        <v>0</v>
      </c>
      <c r="K189" s="124">
        <v>90.022170629433845</v>
      </c>
      <c r="L189" s="124">
        <v>267.67280812918511</v>
      </c>
      <c r="M189" s="124">
        <v>325.32344562893638</v>
      </c>
      <c r="N189" s="124">
        <v>0</v>
      </c>
      <c r="O189" s="124">
        <v>67.650637499751269</v>
      </c>
      <c r="P189" s="124">
        <v>246.30127499950254</v>
      </c>
      <c r="Q189" s="124">
        <v>190.72161391135489</v>
      </c>
      <c r="R189" s="124">
        <v>0</v>
      </c>
      <c r="S189" s="124">
        <v>229.11710935666849</v>
      </c>
      <c r="T189" s="124">
        <v>0</v>
      </c>
      <c r="U189" s="124">
        <v>80.117109356668493</v>
      </c>
      <c r="V189" s="124">
        <v>546.39549544531349</v>
      </c>
      <c r="W189" s="124">
        <v>190.72161391135489</v>
      </c>
      <c r="X189" s="124">
        <v>0</v>
      </c>
      <c r="Y189" s="124">
        <v>0</v>
      </c>
      <c r="Z189" s="124">
        <v>0</v>
      </c>
      <c r="AA189" s="124">
        <v>0</v>
      </c>
      <c r="AB189" s="124">
        <v>0</v>
      </c>
      <c r="AC189" s="124">
        <v>26.62543890986251</v>
      </c>
      <c r="AD189" s="124">
        <v>0</v>
      </c>
      <c r="AE189" s="124">
        <v>718</v>
      </c>
      <c r="AF189" s="124">
        <v>0</v>
      </c>
      <c r="AG189" s="124">
        <v>96.650637499751269</v>
      </c>
      <c r="AH189" s="124">
        <v>593.92902358839638</v>
      </c>
      <c r="AI189" s="124">
        <v>169.95191249925387</v>
      </c>
      <c r="AJ189" s="124">
        <v>333.60254999900513</v>
      </c>
      <c r="AK189" s="124">
        <v>445.2531874987564</v>
      </c>
      <c r="AL189" s="124">
        <v>482.90382499850767</v>
      </c>
      <c r="AM189" s="124">
        <v>607.34936250024873</v>
      </c>
      <c r="AN189" s="124">
        <v>0</v>
      </c>
      <c r="AO189" s="124">
        <v>190.72161391135498</v>
      </c>
      <c r="AP189" s="124">
        <v>607.34936250024873</v>
      </c>
      <c r="AQ189" s="124">
        <v>0</v>
      </c>
      <c r="AR189" s="124">
        <v>0</v>
      </c>
      <c r="AS189" s="124">
        <v>0</v>
      </c>
      <c r="AT189" s="124">
        <v>0</v>
      </c>
      <c r="AU189" s="124">
        <v>40.625438909862623</v>
      </c>
      <c r="AV189" s="124">
        <v>0</v>
      </c>
      <c r="AW189" s="124">
        <v>285.37225141110622</v>
      </c>
      <c r="AX189" s="124">
        <v>0</v>
      </c>
      <c r="AY189" s="124">
        <v>607.34936250024862</v>
      </c>
    </row>
    <row r="190" spans="1:51">
      <c r="A190" s="109"/>
      <c r="B190" s="119">
        <v>2</v>
      </c>
      <c r="C190" s="106">
        <v>579.5593947124429</v>
      </c>
      <c r="D190" s="106">
        <v>605.43927765486126</v>
      </c>
      <c r="E190" s="106">
        <v>0</v>
      </c>
      <c r="F190" s="106">
        <v>659</v>
      </c>
      <c r="G190" s="106">
        <v>246.7689831306775</v>
      </c>
      <c r="H190" s="106">
        <v>190.72161391135495</v>
      </c>
      <c r="I190" s="106">
        <v>282.37225141110622</v>
      </c>
      <c r="J190" s="106">
        <v>568.72089562993131</v>
      </c>
      <c r="K190" s="106">
        <v>607.34936250024873</v>
      </c>
      <c r="L190" s="106">
        <v>517.32719187081489</v>
      </c>
      <c r="M190" s="106">
        <v>339.67655437106362</v>
      </c>
      <c r="N190" s="106">
        <v>282.02591687131235</v>
      </c>
      <c r="O190" s="106">
        <v>607.34936250024873</v>
      </c>
      <c r="P190" s="106">
        <v>539.69872500049746</v>
      </c>
      <c r="Q190" s="106">
        <v>361.04808750074619</v>
      </c>
      <c r="R190" s="106">
        <v>416.62774858889384</v>
      </c>
      <c r="S190" s="106">
        <v>485.88289064333151</v>
      </c>
      <c r="T190" s="106">
        <v>256.76578128666301</v>
      </c>
      <c r="U190" s="106">
        <v>485.88289064333151</v>
      </c>
      <c r="V190" s="106">
        <v>110.60450455468649</v>
      </c>
      <c r="W190" s="106">
        <v>60.953867054935245</v>
      </c>
      <c r="X190" s="106">
        <v>5.6843418860808015E-14</v>
      </c>
      <c r="Y190" s="106">
        <v>256.37225141110622</v>
      </c>
      <c r="Z190" s="106">
        <v>435.02288891085749</v>
      </c>
      <c r="AA190" s="106">
        <v>565.6735264106087</v>
      </c>
      <c r="AB190" s="106">
        <v>548.32416391035997</v>
      </c>
      <c r="AC190" s="106">
        <v>607.34936250024873</v>
      </c>
      <c r="AD190" s="106">
        <v>580.72392359038622</v>
      </c>
      <c r="AE190" s="106">
        <v>0</v>
      </c>
      <c r="AF190" s="106">
        <v>496.69872500049746</v>
      </c>
      <c r="AG190" s="106">
        <v>607.34936250024873</v>
      </c>
      <c r="AH190" s="106">
        <v>94.070976411603681</v>
      </c>
      <c r="AI190" s="106">
        <v>13.420338911852355</v>
      </c>
      <c r="AJ190" s="106">
        <v>437.39745000099487</v>
      </c>
      <c r="AK190" s="106">
        <v>273.7468125012436</v>
      </c>
      <c r="AL190" s="106">
        <v>162.09617500149233</v>
      </c>
      <c r="AM190" s="106">
        <v>124.44553750174106</v>
      </c>
      <c r="AN190" s="106">
        <v>0</v>
      </c>
      <c r="AO190" s="106">
        <v>0</v>
      </c>
      <c r="AP190" s="106">
        <v>0</v>
      </c>
      <c r="AQ190" s="106">
        <v>0</v>
      </c>
      <c r="AR190" s="106">
        <v>292.02288891085755</v>
      </c>
      <c r="AS190" s="106">
        <v>396.67352641060882</v>
      </c>
      <c r="AT190" s="106">
        <v>456.32416391036008</v>
      </c>
      <c r="AU190" s="106">
        <v>607.34936250024873</v>
      </c>
      <c r="AV190" s="106">
        <v>150.09617500149233</v>
      </c>
      <c r="AW190" s="106">
        <v>0</v>
      </c>
      <c r="AX190" s="106">
        <v>160.65063749975127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343.2310168693225</v>
      </c>
      <c r="H191" s="106">
        <v>360.58037936957123</v>
      </c>
      <c r="I191" s="106">
        <v>416.62774858889378</v>
      </c>
      <c r="J191" s="106">
        <v>213.27910437006869</v>
      </c>
      <c r="K191" s="106">
        <v>38.628466870317425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295.1612767319765</v>
      </c>
      <c r="X191" s="106">
        <v>0</v>
      </c>
      <c r="Y191" s="106">
        <v>416.62774858889378</v>
      </c>
      <c r="Z191" s="106">
        <v>350.97711108914251</v>
      </c>
      <c r="AA191" s="106">
        <v>172.32647358939124</v>
      </c>
      <c r="AB191" s="106">
        <v>41.675836089640029</v>
      </c>
      <c r="AC191" s="106">
        <v>59.02519858988876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416.62774858889378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622</v>
      </c>
      <c r="AR191" s="106">
        <v>0</v>
      </c>
      <c r="AS191" s="106">
        <v>315.32647358939118</v>
      </c>
      <c r="AT191" s="106">
        <v>210.67583608963992</v>
      </c>
      <c r="AU191" s="106">
        <v>151.02519858988865</v>
      </c>
      <c r="AV191" s="106">
        <v>0</v>
      </c>
      <c r="AW191" s="106">
        <v>416.62774858889378</v>
      </c>
      <c r="AX191" s="106">
        <v>607.34936250024873</v>
      </c>
      <c r="AY191" s="106">
        <v>161.32647358939124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401.97711108914245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115.80134636915488</v>
      </c>
      <c r="D197" s="106">
        <v>252.39942523906271</v>
      </c>
      <c r="E197" s="106">
        <v>369.72338632708806</v>
      </c>
      <c r="F197" s="106">
        <v>116.1438499204738</v>
      </c>
      <c r="G197" s="106">
        <v>464</v>
      </c>
      <c r="H197" s="106">
        <v>338.81118666826956</v>
      </c>
      <c r="I197" s="106">
        <v>290.41019072171343</v>
      </c>
      <c r="J197" s="106">
        <v>241.73472011811788</v>
      </c>
      <c r="K197" s="106">
        <v>11.817901319485657</v>
      </c>
      <c r="L197" s="106">
        <v>0</v>
      </c>
      <c r="M197" s="106">
        <v>170.27838076596987</v>
      </c>
      <c r="N197" s="106">
        <v>0</v>
      </c>
      <c r="O197" s="106">
        <v>0</v>
      </c>
      <c r="P197" s="106">
        <v>403.63334253050022</v>
      </c>
      <c r="Q197" s="106">
        <v>330.35391422541005</v>
      </c>
      <c r="R197" s="106">
        <v>118.40311492828295</v>
      </c>
      <c r="S197" s="106">
        <v>253.67495878295955</v>
      </c>
      <c r="T197" s="106">
        <v>489.76068480421213</v>
      </c>
      <c r="U197" s="106">
        <v>40.840301155659915</v>
      </c>
      <c r="V197" s="106">
        <v>411.94817955000218</v>
      </c>
      <c r="W197" s="106">
        <v>369.78581643059624</v>
      </c>
      <c r="X197" s="106">
        <v>295.83732190236549</v>
      </c>
      <c r="Y197" s="106">
        <v>3.2992272837126545E-2</v>
      </c>
      <c r="Z197" s="106">
        <v>461</v>
      </c>
      <c r="AA197" s="106">
        <v>0</v>
      </c>
      <c r="AB197" s="106">
        <v>0</v>
      </c>
      <c r="AC197" s="106">
        <v>0</v>
      </c>
      <c r="AD197" s="106">
        <v>249.67140732443235</v>
      </c>
      <c r="AE197" s="106">
        <v>82.132766736076974</v>
      </c>
      <c r="AF197" s="106">
        <v>476.00892661812367</v>
      </c>
      <c r="AG197" s="106">
        <v>142.83001185144252</v>
      </c>
      <c r="AH197" s="106">
        <v>424</v>
      </c>
      <c r="AI197" s="106">
        <v>369.78581643059624</v>
      </c>
      <c r="AJ197" s="106">
        <v>369.7858164305963</v>
      </c>
      <c r="AK197" s="106">
        <v>450</v>
      </c>
      <c r="AL197" s="106">
        <v>385.57221705928123</v>
      </c>
      <c r="AM197" s="106">
        <v>369.7858164305963</v>
      </c>
      <c r="AN197" s="106">
        <v>369.78581643059624</v>
      </c>
      <c r="AO197" s="106">
        <v>3.2992272837126545E-2</v>
      </c>
      <c r="AP197" s="106">
        <v>116.1438499204738</v>
      </c>
      <c r="AQ197" s="106">
        <v>369.78581643059624</v>
      </c>
      <c r="AR197" s="106">
        <v>534</v>
      </c>
      <c r="AS197" s="106">
        <v>133.81939290152218</v>
      </c>
      <c r="AT197" s="106">
        <v>375.10063676520946</v>
      </c>
      <c r="AU197" s="106">
        <v>380.20396268697652</v>
      </c>
      <c r="AV197" s="106">
        <v>190.7967310695613</v>
      </c>
      <c r="AW197" s="106">
        <v>3.2992272837126545E-2</v>
      </c>
      <c r="AX197" s="106">
        <v>453</v>
      </c>
      <c r="AY197" s="106">
        <v>387.88288587511352</v>
      </c>
    </row>
    <row r="198" spans="1:51">
      <c r="A198" s="109"/>
      <c r="B198" s="119">
        <v>2</v>
      </c>
      <c r="C198" s="106">
        <v>233.7952211803551</v>
      </c>
      <c r="D198" s="106">
        <v>1.4210854715202004E-14</v>
      </c>
      <c r="E198" s="106">
        <v>0</v>
      </c>
      <c r="F198" s="106">
        <v>0</v>
      </c>
      <c r="G198" s="106">
        <v>0</v>
      </c>
      <c r="H198" s="106">
        <v>146.18881333173044</v>
      </c>
      <c r="I198" s="106">
        <v>233.58980927828657</v>
      </c>
      <c r="J198" s="106">
        <v>195.26527988188212</v>
      </c>
      <c r="K198" s="106">
        <v>411.18209868051434</v>
      </c>
      <c r="L198" s="106">
        <v>346</v>
      </c>
      <c r="M198" s="106">
        <v>116.14384992047383</v>
      </c>
      <c r="N198" s="106">
        <v>411.74756473326102</v>
      </c>
      <c r="O198" s="106">
        <v>458.59816255851212</v>
      </c>
      <c r="P198" s="106">
        <v>17.478435474632079</v>
      </c>
      <c r="Q198" s="106">
        <v>82.263331547732719</v>
      </c>
      <c r="R198" s="106">
        <v>304.77212293212546</v>
      </c>
      <c r="S198" s="106">
        <v>109.30509421590483</v>
      </c>
      <c r="T198" s="106">
        <v>2.8421709430404007E-14</v>
      </c>
      <c r="U198" s="106">
        <v>101.88096672768165</v>
      </c>
      <c r="V198" s="106">
        <v>1.4210854715202004E-14</v>
      </c>
      <c r="W198" s="106">
        <v>0</v>
      </c>
      <c r="X198" s="106">
        <v>0</v>
      </c>
      <c r="Y198" s="106">
        <v>0</v>
      </c>
      <c r="Z198" s="106">
        <v>0</v>
      </c>
      <c r="AA198" s="106">
        <v>502</v>
      </c>
      <c r="AB198" s="106">
        <v>415.81939290152218</v>
      </c>
      <c r="AC198" s="106">
        <v>267.76112632063018</v>
      </c>
      <c r="AD198" s="106">
        <v>35.338556614432456</v>
      </c>
      <c r="AE198" s="106">
        <v>489.86723326392303</v>
      </c>
      <c r="AF198" s="106">
        <v>50.845136319167352</v>
      </c>
      <c r="AG198" s="106">
        <v>263.52971397023174</v>
      </c>
      <c r="AH198" s="106">
        <v>0</v>
      </c>
      <c r="AI198" s="106">
        <v>61.896674078232934</v>
      </c>
      <c r="AJ198" s="106">
        <v>0</v>
      </c>
      <c r="AK198" s="106">
        <v>0</v>
      </c>
      <c r="AL198" s="106">
        <v>173.42778294071877</v>
      </c>
      <c r="AM198" s="106">
        <v>38.302373273634828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459.18060709847782</v>
      </c>
      <c r="AT198" s="106">
        <v>100.89936323479054</v>
      </c>
      <c r="AU198" s="106">
        <v>110.79603731302348</v>
      </c>
      <c r="AV198" s="106">
        <v>243.22382025374225</v>
      </c>
      <c r="AW198" s="106">
        <v>0</v>
      </c>
      <c r="AX198" s="106">
        <v>0</v>
      </c>
      <c r="AY198" s="106">
        <v>170.42778294071877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118.5777693135563</v>
      </c>
      <c r="N199" s="106">
        <v>0</v>
      </c>
      <c r="O199" s="106">
        <v>41.401837441487885</v>
      </c>
      <c r="P199" s="106">
        <v>6.8882219948677061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30.180607098477822</v>
      </c>
      <c r="AC199" s="106">
        <v>220.23887367936982</v>
      </c>
      <c r="AD199" s="106">
        <v>211.41686609889496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4.1078334355233892E-2</v>
      </c>
      <c r="D209" s="124">
        <v>4.0680279652008267E-2</v>
      </c>
      <c r="E209" s="124">
        <v>143.20820872066034</v>
      </c>
      <c r="F209" s="124">
        <v>0</v>
      </c>
      <c r="G209" s="124">
        <v>0</v>
      </c>
      <c r="H209" s="124">
        <v>390.10522085555198</v>
      </c>
      <c r="I209" s="124">
        <v>217.8925465259274</v>
      </c>
      <c r="J209" s="124">
        <v>455.95495945409925</v>
      </c>
      <c r="K209" s="124">
        <v>143.20820872066037</v>
      </c>
      <c r="L209" s="124">
        <v>242.25324926656111</v>
      </c>
      <c r="M209" s="124">
        <v>416.99885793524544</v>
      </c>
      <c r="N209" s="124">
        <v>4.0680279652029257E-2</v>
      </c>
      <c r="O209" s="124">
        <v>117.08572082555281</v>
      </c>
      <c r="P209" s="124">
        <v>206.82901558827029</v>
      </c>
      <c r="Q209" s="124">
        <v>143.20820872066037</v>
      </c>
      <c r="R209" s="124">
        <v>4.0680279652008267E-2</v>
      </c>
      <c r="S209" s="124">
        <v>273.65093715898706</v>
      </c>
      <c r="T209" s="124">
        <v>4.0680279652029257E-2</v>
      </c>
      <c r="U209" s="124">
        <v>143.20820872066037</v>
      </c>
      <c r="V209" s="124">
        <v>455.95495945409925</v>
      </c>
      <c r="W209" s="124">
        <v>143.20820872066037</v>
      </c>
      <c r="X209" s="124">
        <v>4.0680279652029257E-2</v>
      </c>
      <c r="Y209" s="124">
        <v>0</v>
      </c>
      <c r="Z209" s="124">
        <v>211.67955389979537</v>
      </c>
      <c r="AA209" s="124">
        <v>377.11677043462498</v>
      </c>
      <c r="AB209" s="124">
        <v>4.0680279652029257E-2</v>
      </c>
      <c r="AC209" s="124">
        <v>159.08572082555281</v>
      </c>
      <c r="AD209" s="124">
        <v>4.0680279652029257E-2</v>
      </c>
      <c r="AE209" s="124">
        <v>593</v>
      </c>
      <c r="AF209" s="124">
        <v>4.0680279652008267E-2</v>
      </c>
      <c r="AG209" s="124">
        <v>143.20820872066031</v>
      </c>
      <c r="AH209" s="124">
        <v>455.9549594540992</v>
      </c>
      <c r="AI209" s="124">
        <v>143.20820872066037</v>
      </c>
      <c r="AJ209" s="124">
        <v>335.17340390426347</v>
      </c>
      <c r="AK209" s="124">
        <v>455.95495945409914</v>
      </c>
      <c r="AL209" s="124">
        <v>455.95495945409925</v>
      </c>
      <c r="AM209" s="124">
        <v>455.95495945409925</v>
      </c>
      <c r="AN209" s="124">
        <v>4.0680279652029257E-2</v>
      </c>
      <c r="AO209" s="124">
        <v>143.20820872066034</v>
      </c>
      <c r="AP209" s="124">
        <v>455.95495945409925</v>
      </c>
      <c r="AQ209" s="124">
        <v>0</v>
      </c>
      <c r="AR209" s="124">
        <v>4.0680279652008267E-2</v>
      </c>
      <c r="AS209" s="124">
        <v>143.20820872066031</v>
      </c>
      <c r="AT209" s="124">
        <v>289.25324926656106</v>
      </c>
      <c r="AU209" s="124">
        <v>143.20820872066037</v>
      </c>
      <c r="AV209" s="124">
        <v>4.0680279652029257E-2</v>
      </c>
      <c r="AW209" s="124">
        <v>278.27634253472928</v>
      </c>
      <c r="AX209" s="124">
        <v>4.0680279652029257E-2</v>
      </c>
      <c r="AY209" s="124">
        <v>455.95495945409925</v>
      </c>
    </row>
    <row r="210" spans="1:51">
      <c r="A210" s="109"/>
      <c r="B210" s="119">
        <v>2</v>
      </c>
      <c r="C210" s="106">
        <v>313.55543638961143</v>
      </c>
      <c r="D210" s="110">
        <v>455.83730132930276</v>
      </c>
      <c r="E210" s="110">
        <v>1.1590277630165946E-14</v>
      </c>
      <c r="F210" s="110">
        <v>559.21146944233033</v>
      </c>
      <c r="G210" s="110">
        <v>340.36051728726721</v>
      </c>
      <c r="H210" s="110">
        <v>79.076260864996598</v>
      </c>
      <c r="I210" s="110">
        <v>36.360702740633712</v>
      </c>
      <c r="J210" s="110">
        <v>131.45255872572616</v>
      </c>
      <c r="K210" s="110">
        <v>0</v>
      </c>
      <c r="L210" s="110">
        <v>312.74675073343889</v>
      </c>
      <c r="M210" s="110">
        <v>118.00114206475457</v>
      </c>
      <c r="N210" s="110">
        <v>21.510658317058862</v>
      </c>
      <c r="O210" s="110">
        <v>455.91427917444719</v>
      </c>
      <c r="P210" s="110">
        <v>327.17098441172971</v>
      </c>
      <c r="Q210" s="110">
        <v>137.56158464211498</v>
      </c>
      <c r="R210" s="110">
        <v>312.74675073343889</v>
      </c>
      <c r="S210" s="110">
        <v>364.73397607420816</v>
      </c>
      <c r="T210" s="110">
        <v>50.316410312050245</v>
      </c>
      <c r="U210" s="110">
        <v>364.7339760742081</v>
      </c>
      <c r="V210" s="110">
        <v>0</v>
      </c>
      <c r="W210" s="110">
        <v>0</v>
      </c>
      <c r="X210" s="110">
        <v>0</v>
      </c>
      <c r="Y210" s="110">
        <v>317.27634237804608</v>
      </c>
      <c r="Z210" s="110">
        <v>251.76778369464856</v>
      </c>
      <c r="AA210" s="110">
        <v>134.88322956537502</v>
      </c>
      <c r="AB210" s="110">
        <v>43.532624677878943</v>
      </c>
      <c r="AC210" s="110">
        <v>455.91427917444719</v>
      </c>
      <c r="AD210" s="110">
        <v>163.92432784613922</v>
      </c>
      <c r="AE210" s="110">
        <v>0</v>
      </c>
      <c r="AF210" s="110">
        <v>176.07221904994105</v>
      </c>
      <c r="AG210" s="110">
        <v>455.91427917444719</v>
      </c>
      <c r="AH210" s="110">
        <v>3.1387621271510555E-14</v>
      </c>
      <c r="AI210" s="110">
        <v>3.1387621271510555E-14</v>
      </c>
      <c r="AJ210" s="110">
        <v>312.74675073343889</v>
      </c>
      <c r="AK210" s="110">
        <v>66.692781647515957</v>
      </c>
      <c r="AL210" s="110">
        <v>6.277524254302111E-14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251.76778369464856</v>
      </c>
      <c r="AS210" s="110">
        <v>455.91427917444719</v>
      </c>
      <c r="AT210" s="110">
        <v>312.74675073343894</v>
      </c>
      <c r="AU210" s="110">
        <v>92.048829038450705</v>
      </c>
      <c r="AV210" s="110">
        <v>0</v>
      </c>
      <c r="AW210" s="110">
        <v>0</v>
      </c>
      <c r="AX210" s="110">
        <v>98.110023071749453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106.63948271273279</v>
      </c>
      <c r="H211" s="110">
        <v>63.81851827945146</v>
      </c>
      <c r="I211" s="110">
        <v>312.74675073343889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221.56644763319974</v>
      </c>
      <c r="X211" s="110">
        <v>0</v>
      </c>
      <c r="Y211" s="110">
        <v>312.74675073343889</v>
      </c>
      <c r="Z211" s="110">
        <v>76.552662405556077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312.74675073343889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700.55693644238693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312.74675073343889</v>
      </c>
      <c r="AX211" s="110">
        <v>455.91427917444719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37.605505361474314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240320.20111260723</v>
      </c>
      <c r="E259" s="124">
        <f t="shared" ref="E259:AX259" si="5">F$14*$B$259</f>
        <v>75493.502448307961</v>
      </c>
      <c r="F259" s="124">
        <f t="shared" si="5"/>
        <v>396622.7286656248</v>
      </c>
      <c r="G259" s="124">
        <f t="shared" si="5"/>
        <v>372060.64736526145</v>
      </c>
      <c r="H259" s="124">
        <f t="shared" si="5"/>
        <v>315689.05589233711</v>
      </c>
      <c r="I259" s="124">
        <f t="shared" si="5"/>
        <v>424395.93221911095</v>
      </c>
      <c r="J259" s="124">
        <f t="shared" si="5"/>
        <v>309657.18591147725</v>
      </c>
      <c r="K259" s="124">
        <f t="shared" si="5"/>
        <v>75493.502448307991</v>
      </c>
      <c r="L259" s="124">
        <f t="shared" si="5"/>
        <v>405228.0589114672</v>
      </c>
      <c r="M259" s="124">
        <f t="shared" si="5"/>
        <v>302566.14995969686</v>
      </c>
      <c r="N259" s="124">
        <f t="shared" si="5"/>
        <v>11360.98305851085</v>
      </c>
      <c r="O259" s="124">
        <f t="shared" si="5"/>
        <v>315832.83815085143</v>
      </c>
      <c r="P259" s="124">
        <f t="shared" si="5"/>
        <v>412831.92415239807</v>
      </c>
      <c r="Q259" s="124">
        <f t="shared" si="5"/>
        <v>148010.33594372205</v>
      </c>
      <c r="R259" s="124">
        <f t="shared" si="5"/>
        <v>164888.72320892374</v>
      </c>
      <c r="S259" s="124">
        <f t="shared" si="5"/>
        <v>384567.07349573093</v>
      </c>
      <c r="T259" s="124">
        <f t="shared" si="5"/>
        <v>26546.195751178955</v>
      </c>
      <c r="U259" s="124">
        <f t="shared" si="5"/>
        <v>267766.31670750142</v>
      </c>
      <c r="V259" s="124">
        <f t="shared" si="5"/>
        <v>240360.78067988757</v>
      </c>
      <c r="W259" s="124">
        <f t="shared" si="5"/>
        <v>192294.25923653756</v>
      </c>
      <c r="X259" s="124">
        <f t="shared" si="5"/>
        <v>21.444977344132255</v>
      </c>
      <c r="Y259" s="124">
        <f t="shared" si="5"/>
        <v>645567.39461401058</v>
      </c>
      <c r="Z259" s="124">
        <f t="shared" si="5"/>
        <v>413437.87327757978</v>
      </c>
      <c r="AA259" s="124">
        <f t="shared" si="5"/>
        <v>311465.69507269136</v>
      </c>
      <c r="AB259" s="124">
        <f t="shared" si="5"/>
        <v>22970.061799381096</v>
      </c>
      <c r="AC259" s="124">
        <f t="shared" si="5"/>
        <v>480700.11638243101</v>
      </c>
      <c r="AD259" s="124">
        <f t="shared" si="5"/>
        <v>86435.636985908815</v>
      </c>
      <c r="AE259" s="124">
        <f t="shared" si="5"/>
        <v>480700.11638243101</v>
      </c>
      <c r="AF259" s="124">
        <f t="shared" si="5"/>
        <v>92839.507703437645</v>
      </c>
      <c r="AG259" s="124">
        <f t="shared" si="5"/>
        <v>315832.83815085143</v>
      </c>
      <c r="AH259" s="124">
        <f t="shared" si="5"/>
        <v>240360.78067988757</v>
      </c>
      <c r="AI259" s="124">
        <f t="shared" si="5"/>
        <v>240360.7806798876</v>
      </c>
      <c r="AJ259" s="124">
        <f t="shared" si="5"/>
        <v>405228.0589114672</v>
      </c>
      <c r="AK259" s="124">
        <f t="shared" si="5"/>
        <v>275518.48371639545</v>
      </c>
      <c r="AL259" s="124">
        <f t="shared" si="5"/>
        <v>240360.7806798876</v>
      </c>
      <c r="AM259" s="124">
        <f t="shared" si="5"/>
        <v>240360.78067988757</v>
      </c>
      <c r="AN259" s="124">
        <f t="shared" si="5"/>
        <v>21.444977344132255</v>
      </c>
      <c r="AO259" s="124">
        <f t="shared" si="5"/>
        <v>75493.502448307961</v>
      </c>
      <c r="AP259" s="124">
        <f t="shared" si="5"/>
        <v>240360.78067988757</v>
      </c>
      <c r="AQ259" s="124">
        <f t="shared" si="5"/>
        <v>645567.39461401058</v>
      </c>
      <c r="AR259" s="124">
        <f t="shared" si="5"/>
        <v>152567.19148860328</v>
      </c>
      <c r="AS259" s="124">
        <f t="shared" si="5"/>
        <v>315832.83815085143</v>
      </c>
      <c r="AT259" s="124">
        <f t="shared" si="5"/>
        <v>405228.0589114672</v>
      </c>
      <c r="AU259" s="124">
        <f t="shared" si="5"/>
        <v>124017.87519521485</v>
      </c>
      <c r="AV259" s="124">
        <f t="shared" si="5"/>
        <v>21.444977344132255</v>
      </c>
      <c r="AW259" s="124">
        <f t="shared" si="5"/>
        <v>405228.0589114672</v>
      </c>
      <c r="AX259" s="124">
        <f t="shared" si="5"/>
        <v>292080.3666808409</v>
      </c>
      <c r="AY259" s="124">
        <f>AZ$14*$B$259</f>
        <v>240360.78067988757</v>
      </c>
      <c r="AZ259" s="139">
        <f>SUM($D259:$AY259)</f>
        <v>12470926.483728144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13349.339878644299</v>
      </c>
      <c r="E260" s="125">
        <f t="shared" ref="E260:AY260" si="6">(E$175-E$176+E$177-E$178+E$179-E$180+E$181-E$182)*$B$260</f>
        <v>12545.817971826113</v>
      </c>
      <c r="F260" s="125">
        <f t="shared" si="6"/>
        <v>39726.133114607044</v>
      </c>
      <c r="G260" s="125">
        <f t="shared" si="6"/>
        <v>75875.288553995968</v>
      </c>
      <c r="H260" s="125">
        <f t="shared" si="6"/>
        <v>60480.706470852092</v>
      </c>
      <c r="I260" s="125">
        <f t="shared" si="6"/>
        <v>85769.09992537566</v>
      </c>
      <c r="J260" s="125">
        <f t="shared" si="6"/>
        <v>65477.804120800021</v>
      </c>
      <c r="K260" s="125">
        <f t="shared" si="6"/>
        <v>40981.31928664563</v>
      </c>
      <c r="L260" s="125">
        <f t="shared" si="6"/>
        <v>56907.157651656715</v>
      </c>
      <c r="M260" s="125">
        <f t="shared" si="6"/>
        <v>46447.885233894907</v>
      </c>
      <c r="N260" s="125">
        <f t="shared" si="6"/>
        <v>38069.771412873881</v>
      </c>
      <c r="O260" s="125">
        <f t="shared" si="6"/>
        <v>18046.563492936286</v>
      </c>
      <c r="P260" s="125">
        <f t="shared" si="6"/>
        <v>50096.733722719284</v>
      </c>
      <c r="Q260" s="125">
        <f t="shared" si="6"/>
        <v>26494.355085285548</v>
      </c>
      <c r="R260" s="125">
        <f t="shared" si="6"/>
        <v>6863.8691238095107</v>
      </c>
      <c r="S260" s="125">
        <f t="shared" si="6"/>
        <v>20873.370028892165</v>
      </c>
      <c r="T260" s="125">
        <f t="shared" si="6"/>
        <v>6989.3360968427123</v>
      </c>
      <c r="U260" s="125">
        <f t="shared" si="6"/>
        <v>14629.226459644813</v>
      </c>
      <c r="V260" s="125">
        <f t="shared" si="6"/>
        <v>14146.666302841553</v>
      </c>
      <c r="W260" s="125">
        <f t="shared" si="6"/>
        <v>16045.912372727253</v>
      </c>
      <c r="X260" s="125">
        <f t="shared" si="6"/>
        <v>7682.3904659090658</v>
      </c>
      <c r="Y260" s="125">
        <f t="shared" si="6"/>
        <v>93175.162190393516</v>
      </c>
      <c r="Z260" s="125">
        <f t="shared" si="6"/>
        <v>93367.910924545286</v>
      </c>
      <c r="AA260" s="125">
        <f t="shared" si="6"/>
        <v>83646.135677323968</v>
      </c>
      <c r="AB260" s="125">
        <f t="shared" si="6"/>
        <v>45506.523881327026</v>
      </c>
      <c r="AC260" s="125">
        <f t="shared" si="6"/>
        <v>67460.915095935605</v>
      </c>
      <c r="AD260" s="125">
        <f t="shared" si="6"/>
        <v>29392.033995835383</v>
      </c>
      <c r="AE260" s="125">
        <f t="shared" si="6"/>
        <v>63661.264090074488</v>
      </c>
      <c r="AF260" s="125">
        <f t="shared" si="6"/>
        <v>17324.739024577535</v>
      </c>
      <c r="AG260" s="125">
        <f t="shared" si="6"/>
        <v>14093.692864241657</v>
      </c>
      <c r="AH260" s="125">
        <f t="shared" si="6"/>
        <v>6524.9331521323802</v>
      </c>
      <c r="AI260" s="125">
        <f t="shared" si="6"/>
        <v>1246.1820847260651</v>
      </c>
      <c r="AJ260" s="125">
        <f t="shared" si="6"/>
        <v>23671.702083064756</v>
      </c>
      <c r="AK260" s="125">
        <f t="shared" si="6"/>
        <v>27907.915569714482</v>
      </c>
      <c r="AL260" s="125">
        <f t="shared" si="6"/>
        <v>17577.830832886175</v>
      </c>
      <c r="AM260" s="125">
        <f t="shared" si="6"/>
        <v>1849.4342795454395</v>
      </c>
      <c r="AN260" s="125">
        <f t="shared" si="6"/>
        <v>0</v>
      </c>
      <c r="AO260" s="125">
        <f t="shared" si="6"/>
        <v>1476.4780931818132</v>
      </c>
      <c r="AP260" s="125">
        <f t="shared" si="6"/>
        <v>0</v>
      </c>
      <c r="AQ260" s="125">
        <f t="shared" si="6"/>
        <v>92003.1315905394</v>
      </c>
      <c r="AR260" s="125">
        <f t="shared" si="6"/>
        <v>46566.902934453945</v>
      </c>
      <c r="AS260" s="125">
        <f t="shared" si="6"/>
        <v>30137.808794147131</v>
      </c>
      <c r="AT260" s="125">
        <f t="shared" si="6"/>
        <v>62152.338515441945</v>
      </c>
      <c r="AU260" s="125">
        <f t="shared" si="6"/>
        <v>23599.199715314069</v>
      </c>
      <c r="AV260" s="125">
        <f t="shared" si="6"/>
        <v>0</v>
      </c>
      <c r="AW260" s="125">
        <f t="shared" si="6"/>
        <v>29979.343680510741</v>
      </c>
      <c r="AX260" s="125">
        <f t="shared" si="6"/>
        <v>19905.255391806604</v>
      </c>
      <c r="AY260" s="125">
        <f t="shared" si="6"/>
        <v>3688.291464186193</v>
      </c>
      <c r="AZ260" s="141">
        <f>SUM($D260:$AY260)</f>
        <v>1613413.8726986859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18</v>
      </c>
      <c r="E6" s="100">
        <v>10411.199999999999</v>
      </c>
      <c r="F6" s="100">
        <v>17</v>
      </c>
      <c r="G6" s="100">
        <v>9832.7999999999993</v>
      </c>
      <c r="H6" s="100">
        <v>23</v>
      </c>
      <c r="I6" s="100">
        <v>13303.199999999999</v>
      </c>
      <c r="J6" s="100">
        <v>15</v>
      </c>
      <c r="K6" s="100">
        <v>8676</v>
      </c>
      <c r="L6" s="100">
        <v>23</v>
      </c>
      <c r="M6" s="100">
        <v>13303.199999999999</v>
      </c>
      <c r="N6" s="100">
        <v>13</v>
      </c>
      <c r="O6" s="100">
        <v>7519.2</v>
      </c>
      <c r="P6" s="100">
        <v>21</v>
      </c>
      <c r="Q6" s="100">
        <v>12146.4</v>
      </c>
      <c r="R6" s="100">
        <v>15</v>
      </c>
      <c r="S6" s="100">
        <v>8676</v>
      </c>
      <c r="T6" s="100">
        <v>17</v>
      </c>
      <c r="U6" s="100">
        <v>9832.7999999999993</v>
      </c>
      <c r="V6" s="100">
        <v>25.099778058232957</v>
      </c>
      <c r="W6" s="100">
        <v>14517.711628881942</v>
      </c>
      <c r="X6" s="100">
        <v>20</v>
      </c>
      <c r="Y6" s="100">
        <v>11568</v>
      </c>
      <c r="Z6" s="100">
        <v>18</v>
      </c>
      <c r="AA6" s="100">
        <v>10411.199999999999</v>
      </c>
      <c r="AB6" s="100">
        <v>12</v>
      </c>
      <c r="AC6" s="100">
        <v>6940.7999999999993</v>
      </c>
      <c r="AD6" s="100">
        <v>15</v>
      </c>
      <c r="AE6" s="100">
        <v>8676</v>
      </c>
      <c r="AF6" s="100">
        <v>19</v>
      </c>
      <c r="AG6" s="100">
        <v>10989.6</v>
      </c>
      <c r="AH6" s="100">
        <v>20.252482246202359</v>
      </c>
      <c r="AI6" s="100">
        <v>11714.035731203443</v>
      </c>
      <c r="AJ6" s="100">
        <v>23</v>
      </c>
      <c r="AK6" s="100">
        <v>13303.199999999999</v>
      </c>
      <c r="AL6" s="100">
        <v>23</v>
      </c>
      <c r="AM6" s="100">
        <v>13303.199999999999</v>
      </c>
      <c r="AN6" s="100">
        <v>18</v>
      </c>
      <c r="AO6" s="100">
        <v>10411.199999999999</v>
      </c>
      <c r="AP6" s="100">
        <v>19</v>
      </c>
      <c r="AQ6" s="100">
        <v>10989.6</v>
      </c>
      <c r="AR6" s="100">
        <v>27</v>
      </c>
      <c r="AS6" s="100">
        <v>15616.8</v>
      </c>
      <c r="AT6" s="100">
        <v>23.607055131842227</v>
      </c>
      <c r="AU6" s="100">
        <v>13654.320688257543</v>
      </c>
      <c r="AV6" s="100">
        <v>20.053327949682327</v>
      </c>
      <c r="AW6" s="100">
        <v>11598.844886096258</v>
      </c>
      <c r="AX6" s="100">
        <v>21.316377734183046</v>
      </c>
      <c r="AY6" s="100">
        <v>12329.392881451473</v>
      </c>
      <c r="AZ6" s="100">
        <v>22.934907222885151</v>
      </c>
      <c r="BA6" s="100">
        <v>13265.550337716772</v>
      </c>
      <c r="BB6" s="100">
        <v>26.71962169705219</v>
      </c>
      <c r="BC6" s="100">
        <v>15454.629189574986</v>
      </c>
      <c r="BD6" s="100">
        <v>24.387939893777755</v>
      </c>
      <c r="BE6" s="100">
        <v>14105.984434561053</v>
      </c>
      <c r="BF6" s="100">
        <v>15</v>
      </c>
      <c r="BG6" s="100">
        <v>8676</v>
      </c>
      <c r="BH6" s="100">
        <v>14</v>
      </c>
      <c r="BI6" s="100">
        <v>8097.5999999999995</v>
      </c>
      <c r="BJ6" s="100">
        <v>20</v>
      </c>
      <c r="BK6" s="100">
        <v>11568</v>
      </c>
      <c r="BL6" s="100">
        <v>17</v>
      </c>
      <c r="BM6" s="100">
        <v>9832.7999999999993</v>
      </c>
      <c r="BN6" s="100">
        <v>18.972386896809471</v>
      </c>
      <c r="BO6" s="100">
        <v>10973.628581114597</v>
      </c>
      <c r="BP6" s="100">
        <v>23.837669724247707</v>
      </c>
      <c r="BQ6" s="100">
        <v>13787.708168504872</v>
      </c>
      <c r="BR6" s="100">
        <v>20</v>
      </c>
      <c r="BS6" s="100">
        <v>11568</v>
      </c>
      <c r="BT6" s="100">
        <v>18</v>
      </c>
      <c r="BU6" s="100">
        <v>10411.199999999999</v>
      </c>
      <c r="BV6" s="100">
        <v>26</v>
      </c>
      <c r="BW6" s="100">
        <v>15038.4</v>
      </c>
      <c r="BX6" s="100">
        <v>22.279901328551375</v>
      </c>
      <c r="BY6" s="100">
        <v>12886.694928434115</v>
      </c>
      <c r="BZ6" s="100">
        <v>18</v>
      </c>
      <c r="CA6" s="100">
        <v>10411.199999999999</v>
      </c>
      <c r="CB6" s="100">
        <v>23.876606642451627</v>
      </c>
      <c r="CC6" s="100">
        <v>13810.229281994021</v>
      </c>
      <c r="CD6" s="100">
        <v>15.792912152038063</v>
      </c>
      <c r="CE6" s="100">
        <v>9134.6203887388147</v>
      </c>
      <c r="CF6" s="100">
        <v>17</v>
      </c>
      <c r="CG6" s="100">
        <v>9832.7999999999993</v>
      </c>
      <c r="CH6" s="100">
        <v>20.709302120999315</v>
      </c>
      <c r="CI6" s="100">
        <v>11978.260346786003</v>
      </c>
      <c r="CJ6" s="100">
        <v>18.220930142420492</v>
      </c>
      <c r="CK6" s="100">
        <v>10538.985994376013</v>
      </c>
      <c r="CL6" s="100">
        <v>21.410968812617163</v>
      </c>
      <c r="CM6" s="100">
        <v>12384.104361217767</v>
      </c>
      <c r="CN6" s="100">
        <v>24.165317811704604</v>
      </c>
      <c r="CO6" s="100">
        <v>13977.219822289942</v>
      </c>
      <c r="CP6" s="100">
        <v>24.455999260923182</v>
      </c>
      <c r="CQ6" s="100">
        <v>14145.349972517968</v>
      </c>
      <c r="CR6" s="100">
        <v>18.645531351413066</v>
      </c>
      <c r="CS6" s="100">
        <v>10784.575333657316</v>
      </c>
      <c r="CT6" s="100">
        <v>23.412422298026645</v>
      </c>
      <c r="CU6" s="100">
        <v>13541.74505717861</v>
      </c>
    </row>
    <row r="7" spans="1:99">
      <c r="C7" s="99" t="s">
        <v>173</v>
      </c>
      <c r="D7" s="100">
        <v>19</v>
      </c>
      <c r="E7" s="100">
        <v>14979.6</v>
      </c>
      <c r="F7" s="100">
        <v>19</v>
      </c>
      <c r="G7" s="100">
        <v>14979.6</v>
      </c>
      <c r="H7" s="100">
        <v>21</v>
      </c>
      <c r="I7" s="100">
        <v>16556.399999999998</v>
      </c>
      <c r="J7" s="100">
        <v>14</v>
      </c>
      <c r="K7" s="100">
        <v>11037.6</v>
      </c>
      <c r="L7" s="100">
        <v>20</v>
      </c>
      <c r="M7" s="100">
        <v>15768</v>
      </c>
      <c r="N7" s="100">
        <v>13</v>
      </c>
      <c r="O7" s="100">
        <v>10249.199999999999</v>
      </c>
      <c r="P7" s="100">
        <v>24</v>
      </c>
      <c r="Q7" s="100">
        <v>18921.599999999999</v>
      </c>
      <c r="R7" s="100">
        <v>15</v>
      </c>
      <c r="S7" s="100">
        <v>11826</v>
      </c>
      <c r="T7" s="100">
        <v>16</v>
      </c>
      <c r="U7" s="100">
        <v>12614.4</v>
      </c>
      <c r="V7" s="100">
        <v>24.203357413296064</v>
      </c>
      <c r="W7" s="100">
        <v>19081.926984642618</v>
      </c>
      <c r="X7" s="100">
        <v>17</v>
      </c>
      <c r="Y7" s="100">
        <v>13402.8</v>
      </c>
      <c r="Z7" s="100">
        <v>18</v>
      </c>
      <c r="AA7" s="100">
        <v>14191.199999999999</v>
      </c>
      <c r="AB7" s="100">
        <v>12</v>
      </c>
      <c r="AC7" s="100">
        <v>9460.7999999999993</v>
      </c>
      <c r="AD7" s="100">
        <v>15</v>
      </c>
      <c r="AE7" s="100">
        <v>11826</v>
      </c>
      <c r="AF7" s="100">
        <v>19</v>
      </c>
      <c r="AG7" s="100">
        <v>14979.6</v>
      </c>
      <c r="AH7" s="100">
        <v>18.564775392352161</v>
      </c>
      <c r="AI7" s="100">
        <v>14636.468919330442</v>
      </c>
      <c r="AJ7" s="100">
        <v>22</v>
      </c>
      <c r="AK7" s="100">
        <v>17344.8</v>
      </c>
      <c r="AL7" s="100">
        <v>23</v>
      </c>
      <c r="AM7" s="100">
        <v>18133.2</v>
      </c>
      <c r="AN7" s="100">
        <v>16</v>
      </c>
      <c r="AO7" s="100">
        <v>12614.4</v>
      </c>
      <c r="AP7" s="100">
        <v>16</v>
      </c>
      <c r="AQ7" s="100">
        <v>12614.4</v>
      </c>
      <c r="AR7" s="100">
        <v>23</v>
      </c>
      <c r="AS7" s="100">
        <v>18133.2</v>
      </c>
      <c r="AT7" s="100">
        <v>22.763946019990716</v>
      </c>
      <c r="AU7" s="100">
        <v>17947.095042160679</v>
      </c>
      <c r="AV7" s="100">
        <v>18.143487192569722</v>
      </c>
      <c r="AW7" s="100">
        <v>14304.325302621968</v>
      </c>
      <c r="AX7" s="100">
        <v>18.651830517410165</v>
      </c>
      <c r="AY7" s="100">
        <v>14705.103179926173</v>
      </c>
      <c r="AZ7" s="100">
        <v>24.63378923939516</v>
      </c>
      <c r="BA7" s="100">
        <v>19421.279436339144</v>
      </c>
      <c r="BB7" s="100">
        <v>21.948260679721443</v>
      </c>
      <c r="BC7" s="100">
        <v>17304.008719892387</v>
      </c>
      <c r="BD7" s="100">
        <v>24.387939893777755</v>
      </c>
      <c r="BE7" s="100">
        <v>19227.451812254381</v>
      </c>
      <c r="BF7" s="100">
        <v>14</v>
      </c>
      <c r="BG7" s="100">
        <v>11037.6</v>
      </c>
      <c r="BH7" s="100">
        <v>15</v>
      </c>
      <c r="BI7" s="100">
        <v>11826</v>
      </c>
      <c r="BJ7" s="100">
        <v>20</v>
      </c>
      <c r="BK7" s="100">
        <v>15768</v>
      </c>
      <c r="BL7" s="100">
        <v>15</v>
      </c>
      <c r="BM7" s="100">
        <v>11826</v>
      </c>
      <c r="BN7" s="100">
        <v>18.972386896809471</v>
      </c>
      <c r="BO7" s="100">
        <v>14957.829829444587</v>
      </c>
      <c r="BP7" s="100">
        <v>22.0040028223825</v>
      </c>
      <c r="BQ7" s="100">
        <v>17347.955825166362</v>
      </c>
      <c r="BR7" s="100">
        <v>21</v>
      </c>
      <c r="BS7" s="100">
        <v>16556.399999999998</v>
      </c>
      <c r="BT7" s="100">
        <v>19</v>
      </c>
      <c r="BU7" s="100">
        <v>14979.6</v>
      </c>
      <c r="BV7" s="100">
        <v>25</v>
      </c>
      <c r="BW7" s="100">
        <v>19710</v>
      </c>
      <c r="BX7" s="100">
        <v>25.064888994620297</v>
      </c>
      <c r="BY7" s="100">
        <v>19761.158483358642</v>
      </c>
      <c r="BZ7" s="100">
        <v>17</v>
      </c>
      <c r="CA7" s="100">
        <v>13402.8</v>
      </c>
      <c r="CB7" s="100">
        <v>24.760925406986875</v>
      </c>
      <c r="CC7" s="100">
        <v>19521.51359086845</v>
      </c>
      <c r="CD7" s="100">
        <v>14.476836139368224</v>
      </c>
      <c r="CE7" s="100">
        <v>11413.537612277907</v>
      </c>
      <c r="CF7" s="100">
        <v>15</v>
      </c>
      <c r="CG7" s="100">
        <v>11826</v>
      </c>
      <c r="CH7" s="100">
        <v>19.723144877142207</v>
      </c>
      <c r="CI7" s="100">
        <v>15549.727421138916</v>
      </c>
      <c r="CJ7" s="100">
        <v>19.088593482535753</v>
      </c>
      <c r="CK7" s="100">
        <v>15049.447101631187</v>
      </c>
      <c r="CL7" s="100">
        <v>18.940472411161338</v>
      </c>
      <c r="CM7" s="100">
        <v>14932.668448959597</v>
      </c>
      <c r="CN7" s="100">
        <v>25.831891453891128</v>
      </c>
      <c r="CO7" s="100">
        <v>20365.863222247764</v>
      </c>
      <c r="CP7" s="100">
        <v>22.878192856992655</v>
      </c>
      <c r="CQ7" s="100">
        <v>18037.16724845301</v>
      </c>
      <c r="CR7" s="100">
        <v>18.645531351413066</v>
      </c>
      <c r="CS7" s="100">
        <v>14700.136917454061</v>
      </c>
      <c r="CT7" s="100">
        <v>23.412422298026645</v>
      </c>
      <c r="CU7" s="100">
        <v>18458.353739764207</v>
      </c>
    </row>
    <row r="8" spans="1:99">
      <c r="C8" s="99" t="s">
        <v>174</v>
      </c>
      <c r="D8" s="100">
        <v>19</v>
      </c>
      <c r="E8" s="100">
        <v>5882.4</v>
      </c>
      <c r="F8" s="100">
        <v>21</v>
      </c>
      <c r="G8" s="100">
        <v>6501.5999999999995</v>
      </c>
      <c r="H8" s="100">
        <v>23</v>
      </c>
      <c r="I8" s="100">
        <v>7120.7999999999993</v>
      </c>
      <c r="J8" s="100">
        <v>14</v>
      </c>
      <c r="K8" s="100">
        <v>4334.3999999999996</v>
      </c>
      <c r="L8" s="100">
        <v>21</v>
      </c>
      <c r="M8" s="100">
        <v>6501.5999999999995</v>
      </c>
      <c r="N8" s="100">
        <v>16</v>
      </c>
      <c r="O8" s="100">
        <v>4953.5999999999995</v>
      </c>
      <c r="P8" s="100">
        <v>23</v>
      </c>
      <c r="Q8" s="100">
        <v>7120.7999999999993</v>
      </c>
      <c r="R8" s="100">
        <v>13</v>
      </c>
      <c r="S8" s="100">
        <v>4024.7999999999997</v>
      </c>
      <c r="T8" s="100">
        <v>17</v>
      </c>
      <c r="U8" s="100">
        <v>5263.2</v>
      </c>
      <c r="V8" s="100">
        <v>25.099778058232957</v>
      </c>
      <c r="W8" s="100">
        <v>7770.8912868289226</v>
      </c>
      <c r="X8" s="100">
        <v>18</v>
      </c>
      <c r="Y8" s="100">
        <v>5572.7999999999993</v>
      </c>
      <c r="Z8" s="100">
        <v>19</v>
      </c>
      <c r="AA8" s="100">
        <v>5882.4</v>
      </c>
      <c r="AB8" s="100">
        <v>16</v>
      </c>
      <c r="AC8" s="100">
        <v>4953.5999999999995</v>
      </c>
      <c r="AD8" s="100">
        <v>16</v>
      </c>
      <c r="AE8" s="100">
        <v>4953.5999999999995</v>
      </c>
      <c r="AF8" s="100">
        <v>21</v>
      </c>
      <c r="AG8" s="100">
        <v>6501.5999999999995</v>
      </c>
      <c r="AH8" s="100">
        <v>19.408628819277261</v>
      </c>
      <c r="AI8" s="100">
        <v>6008.9114824482394</v>
      </c>
      <c r="AJ8" s="100">
        <v>23</v>
      </c>
      <c r="AK8" s="100">
        <v>7120.7999999999993</v>
      </c>
      <c r="AL8" s="100">
        <v>25</v>
      </c>
      <c r="AM8" s="100">
        <v>7739.9999999999991</v>
      </c>
      <c r="AN8" s="100">
        <v>16</v>
      </c>
      <c r="AO8" s="100">
        <v>4953.5999999999995</v>
      </c>
      <c r="AP8" s="100">
        <v>18</v>
      </c>
      <c r="AQ8" s="100">
        <v>5572.7999999999993</v>
      </c>
      <c r="AR8" s="100">
        <v>29</v>
      </c>
      <c r="AS8" s="100">
        <v>8978.4</v>
      </c>
      <c r="AT8" s="100">
        <v>24.450164243693735</v>
      </c>
      <c r="AU8" s="100">
        <v>7569.7708498475795</v>
      </c>
      <c r="AV8" s="100">
        <v>20.053327949682327</v>
      </c>
      <c r="AW8" s="100">
        <v>6208.5103332216477</v>
      </c>
      <c r="AX8" s="100">
        <v>19.540012923001125</v>
      </c>
      <c r="AY8" s="100">
        <v>6049.5880009611474</v>
      </c>
      <c r="AZ8" s="100">
        <v>25.483230247650166</v>
      </c>
      <c r="BA8" s="100">
        <v>7889.6080846724908</v>
      </c>
      <c r="BB8" s="100">
        <v>22.90253288318759</v>
      </c>
      <c r="BC8" s="100">
        <v>7090.6241806348771</v>
      </c>
      <c r="BD8" s="100">
        <v>25.363457489528869</v>
      </c>
      <c r="BE8" s="100">
        <v>7852.5264387581374</v>
      </c>
      <c r="BF8" s="100">
        <v>16</v>
      </c>
      <c r="BG8" s="100">
        <v>4953.5999999999995</v>
      </c>
      <c r="BH8" s="100">
        <v>14</v>
      </c>
      <c r="BI8" s="100">
        <v>4334.3999999999996</v>
      </c>
      <c r="BJ8" s="100">
        <v>19</v>
      </c>
      <c r="BK8" s="100">
        <v>5882.4</v>
      </c>
      <c r="BL8" s="100">
        <v>15</v>
      </c>
      <c r="BM8" s="100">
        <v>4643.9999999999991</v>
      </c>
      <c r="BN8" s="100">
        <v>20.779280886981798</v>
      </c>
      <c r="BO8" s="100">
        <v>6433.2653626095644</v>
      </c>
      <c r="BP8" s="100">
        <v>23.837669724247707</v>
      </c>
      <c r="BQ8" s="100">
        <v>7380.1425466270894</v>
      </c>
      <c r="BR8" s="100">
        <v>21</v>
      </c>
      <c r="BS8" s="100">
        <v>6501.5999999999995</v>
      </c>
      <c r="BT8" s="100">
        <v>19</v>
      </c>
      <c r="BU8" s="100">
        <v>5882.4</v>
      </c>
      <c r="BV8" s="100">
        <v>24</v>
      </c>
      <c r="BW8" s="100">
        <v>7430.4</v>
      </c>
      <c r="BX8" s="100">
        <v>26.921547438666241</v>
      </c>
      <c r="BY8" s="100">
        <v>8334.9110870110671</v>
      </c>
      <c r="BZ8" s="100">
        <v>16</v>
      </c>
      <c r="CA8" s="100">
        <v>4953.5999999999995</v>
      </c>
      <c r="CB8" s="100">
        <v>25.645244171522119</v>
      </c>
      <c r="CC8" s="100">
        <v>7939.7675955032473</v>
      </c>
      <c r="CD8" s="100">
        <v>13.818798133033305</v>
      </c>
      <c r="CE8" s="100">
        <v>4278.2999019871104</v>
      </c>
      <c r="CF8" s="100">
        <v>19</v>
      </c>
      <c r="CG8" s="100">
        <v>5882.4</v>
      </c>
      <c r="CH8" s="100">
        <v>19.723144877142207</v>
      </c>
      <c r="CI8" s="100">
        <v>6106.2856539632267</v>
      </c>
      <c r="CJ8" s="100">
        <v>21.691583502881535</v>
      </c>
      <c r="CK8" s="100">
        <v>6715.7142524921228</v>
      </c>
      <c r="CL8" s="100">
        <v>20.587470012131892</v>
      </c>
      <c r="CM8" s="100">
        <v>6373.8807157560332</v>
      </c>
      <c r="CN8" s="100">
        <v>29.165038738264176</v>
      </c>
      <c r="CO8" s="100">
        <v>9029.4959933665887</v>
      </c>
      <c r="CP8" s="100">
        <v>26.822708866818974</v>
      </c>
      <c r="CQ8" s="100">
        <v>8304.3106651671533</v>
      </c>
      <c r="CR8" s="100">
        <v>17.713254783842412</v>
      </c>
      <c r="CS8" s="100">
        <v>5484.0236810776105</v>
      </c>
      <c r="CT8" s="100">
        <v>23.412422298026645</v>
      </c>
      <c r="CU8" s="100">
        <v>7248.4859434690479</v>
      </c>
    </row>
    <row r="9" spans="1:99">
      <c r="C9" s="99" t="s">
        <v>175</v>
      </c>
      <c r="D9" s="100">
        <v>17</v>
      </c>
      <c r="E9" s="100">
        <v>11934</v>
      </c>
      <c r="F9" s="100">
        <v>17</v>
      </c>
      <c r="G9" s="100">
        <v>11934</v>
      </c>
      <c r="H9" s="100">
        <v>22</v>
      </c>
      <c r="I9" s="100">
        <v>15444</v>
      </c>
      <c r="J9" s="100">
        <v>13</v>
      </c>
      <c r="K9" s="100">
        <v>9126</v>
      </c>
      <c r="L9" s="100">
        <v>23</v>
      </c>
      <c r="M9" s="100">
        <v>16146</v>
      </c>
      <c r="N9" s="100">
        <v>16</v>
      </c>
      <c r="O9" s="100">
        <v>11232</v>
      </c>
      <c r="P9" s="100">
        <v>24</v>
      </c>
      <c r="Q9" s="100">
        <v>16848</v>
      </c>
      <c r="R9" s="100">
        <v>15</v>
      </c>
      <c r="S9" s="100">
        <v>10530</v>
      </c>
      <c r="T9" s="100">
        <v>16</v>
      </c>
      <c r="U9" s="100">
        <v>11232</v>
      </c>
      <c r="V9" s="100">
        <v>23.306936768359176</v>
      </c>
      <c r="W9" s="100">
        <v>16361.469611388142</v>
      </c>
      <c r="X9" s="100">
        <v>18</v>
      </c>
      <c r="Y9" s="100">
        <v>12636</v>
      </c>
      <c r="Z9" s="100">
        <v>18</v>
      </c>
      <c r="AA9" s="100">
        <v>12636</v>
      </c>
      <c r="AB9" s="100">
        <v>13</v>
      </c>
      <c r="AC9" s="100">
        <v>9126</v>
      </c>
      <c r="AD9" s="100">
        <v>15</v>
      </c>
      <c r="AE9" s="100">
        <v>10530</v>
      </c>
      <c r="AF9" s="100">
        <v>20</v>
      </c>
      <c r="AG9" s="100">
        <v>14040</v>
      </c>
      <c r="AH9" s="100">
        <v>20.252482246202359</v>
      </c>
      <c r="AI9" s="100">
        <v>14217.242536834055</v>
      </c>
      <c r="AJ9" s="100">
        <v>23</v>
      </c>
      <c r="AK9" s="100">
        <v>16146</v>
      </c>
      <c r="AL9" s="100">
        <v>24</v>
      </c>
      <c r="AM9" s="100">
        <v>16848</v>
      </c>
      <c r="AN9" s="100">
        <v>17</v>
      </c>
      <c r="AO9" s="100">
        <v>11934</v>
      </c>
      <c r="AP9" s="100">
        <v>18</v>
      </c>
      <c r="AQ9" s="100">
        <v>12636</v>
      </c>
      <c r="AR9" s="100">
        <v>23</v>
      </c>
      <c r="AS9" s="100">
        <v>16146</v>
      </c>
      <c r="AT9" s="100">
        <v>25.293273355545246</v>
      </c>
      <c r="AU9" s="100">
        <v>17755.877895592763</v>
      </c>
      <c r="AV9" s="100">
        <v>16.233646435457125</v>
      </c>
      <c r="AW9" s="100">
        <v>11396.019797690902</v>
      </c>
      <c r="AX9" s="100">
        <v>21.316377734183046</v>
      </c>
      <c r="AY9" s="100">
        <v>14964.097169396498</v>
      </c>
      <c r="AZ9" s="100">
        <v>26.332671255905172</v>
      </c>
      <c r="BA9" s="100">
        <v>18485.53522164543</v>
      </c>
      <c r="BB9" s="100">
        <v>25.76534949358604</v>
      </c>
      <c r="BC9" s="100">
        <v>18087.275344497401</v>
      </c>
      <c r="BD9" s="100">
        <v>25.363457489528869</v>
      </c>
      <c r="BE9" s="100">
        <v>17805.147157649266</v>
      </c>
      <c r="BF9" s="100">
        <v>16</v>
      </c>
      <c r="BG9" s="100">
        <v>11232</v>
      </c>
      <c r="BH9" s="100">
        <v>14</v>
      </c>
      <c r="BI9" s="100">
        <v>9828</v>
      </c>
      <c r="BJ9" s="100">
        <v>18</v>
      </c>
      <c r="BK9" s="100">
        <v>12636</v>
      </c>
      <c r="BL9" s="100">
        <v>15</v>
      </c>
      <c r="BM9" s="100">
        <v>10530</v>
      </c>
      <c r="BN9" s="100">
        <v>18.972386896809471</v>
      </c>
      <c r="BO9" s="100">
        <v>13318.615601560248</v>
      </c>
      <c r="BP9" s="100">
        <v>20.170335920517292</v>
      </c>
      <c r="BQ9" s="100">
        <v>14159.57581620314</v>
      </c>
      <c r="BR9" s="100">
        <v>19</v>
      </c>
      <c r="BS9" s="100">
        <v>13338</v>
      </c>
      <c r="BT9" s="100">
        <v>19</v>
      </c>
      <c r="BU9" s="100">
        <v>13338</v>
      </c>
      <c r="BV9" s="100">
        <v>23</v>
      </c>
      <c r="BW9" s="100">
        <v>16146</v>
      </c>
      <c r="BX9" s="100">
        <v>24.13655977259732</v>
      </c>
      <c r="BY9" s="100">
        <v>16943.864960363317</v>
      </c>
      <c r="BZ9" s="100">
        <v>15</v>
      </c>
      <c r="CA9" s="100">
        <v>10530</v>
      </c>
      <c r="CB9" s="100">
        <v>25.645244171522119</v>
      </c>
      <c r="CC9" s="100">
        <v>18002.961408408526</v>
      </c>
      <c r="CD9" s="100">
        <v>13.160760126698385</v>
      </c>
      <c r="CE9" s="100">
        <v>9238.8536089422669</v>
      </c>
      <c r="CF9" s="100">
        <v>19</v>
      </c>
      <c r="CG9" s="100">
        <v>13338</v>
      </c>
      <c r="CH9" s="100">
        <v>18.736987633285093</v>
      </c>
      <c r="CI9" s="100">
        <v>13153.365318566135</v>
      </c>
      <c r="CJ9" s="100">
        <v>19.088593482535753</v>
      </c>
      <c r="CK9" s="100">
        <v>13400.192624740099</v>
      </c>
      <c r="CL9" s="100">
        <v>18.116973610676062</v>
      </c>
      <c r="CM9" s="100">
        <v>12718.115474694596</v>
      </c>
      <c r="CN9" s="100">
        <v>24.998604632797868</v>
      </c>
      <c r="CO9" s="100">
        <v>17549.020452224104</v>
      </c>
      <c r="CP9" s="100">
        <v>26.033805664853709</v>
      </c>
      <c r="CQ9" s="100">
        <v>18275.731576727303</v>
      </c>
      <c r="CR9" s="100">
        <v>20.510084486554373</v>
      </c>
      <c r="CS9" s="100">
        <v>14398.07930956117</v>
      </c>
      <c r="CT9" s="100">
        <v>24.387939893777755</v>
      </c>
      <c r="CU9" s="100">
        <v>17120.333805431983</v>
      </c>
    </row>
    <row r="10" spans="1:99">
      <c r="C10" s="99" t="s">
        <v>176</v>
      </c>
      <c r="D10" s="100">
        <v>17</v>
      </c>
      <c r="E10" s="100">
        <v>9261.5999999999985</v>
      </c>
      <c r="F10" s="100">
        <v>19</v>
      </c>
      <c r="G10" s="100">
        <v>10351.199999999999</v>
      </c>
      <c r="H10" s="100">
        <v>22</v>
      </c>
      <c r="I10" s="100">
        <v>11985.599999999999</v>
      </c>
      <c r="J10" s="100">
        <v>16</v>
      </c>
      <c r="K10" s="100">
        <v>8716.7999999999993</v>
      </c>
      <c r="L10" s="100">
        <v>22</v>
      </c>
      <c r="M10" s="100">
        <v>11985.599999999999</v>
      </c>
      <c r="N10" s="100">
        <v>13</v>
      </c>
      <c r="O10" s="100">
        <v>7082.4</v>
      </c>
      <c r="P10" s="100">
        <v>20</v>
      </c>
      <c r="Q10" s="100">
        <v>10896</v>
      </c>
      <c r="R10" s="100">
        <v>13</v>
      </c>
      <c r="S10" s="100">
        <v>7082.4</v>
      </c>
      <c r="T10" s="100">
        <v>19</v>
      </c>
      <c r="U10" s="100">
        <v>10351.199999999999</v>
      </c>
      <c r="V10" s="100">
        <v>21.514095478485391</v>
      </c>
      <c r="W10" s="100">
        <v>11720.879216678841</v>
      </c>
      <c r="X10" s="100">
        <v>20</v>
      </c>
      <c r="Y10" s="100">
        <v>10896</v>
      </c>
      <c r="Z10" s="100">
        <v>19</v>
      </c>
      <c r="AA10" s="100">
        <v>10351.199999999999</v>
      </c>
      <c r="AB10" s="100">
        <v>13</v>
      </c>
      <c r="AC10" s="100">
        <v>7082.4</v>
      </c>
      <c r="AD10" s="100">
        <v>14</v>
      </c>
      <c r="AE10" s="100">
        <v>7627.1999999999989</v>
      </c>
      <c r="AF10" s="100">
        <v>19</v>
      </c>
      <c r="AG10" s="100">
        <v>10351.199999999999</v>
      </c>
      <c r="AH10" s="100">
        <v>21.940189100052557</v>
      </c>
      <c r="AI10" s="100">
        <v>11953.015021708632</v>
      </c>
      <c r="AJ10" s="100">
        <v>21</v>
      </c>
      <c r="AK10" s="100">
        <v>11440.8</v>
      </c>
      <c r="AL10" s="100">
        <v>25</v>
      </c>
      <c r="AM10" s="100">
        <v>13619.999999999998</v>
      </c>
      <c r="AN10" s="100">
        <v>17</v>
      </c>
      <c r="AO10" s="100">
        <v>9261.5999999999985</v>
      </c>
      <c r="AP10" s="100">
        <v>18</v>
      </c>
      <c r="AQ10" s="100">
        <v>9806.4</v>
      </c>
      <c r="AR10" s="100">
        <v>23</v>
      </c>
      <c r="AS10" s="100">
        <v>12530.4</v>
      </c>
      <c r="AT10" s="100">
        <v>26.13638246739675</v>
      </c>
      <c r="AU10" s="100">
        <v>14239.101168237748</v>
      </c>
      <c r="AV10" s="100">
        <v>18.143487192569722</v>
      </c>
      <c r="AW10" s="100">
        <v>9884.5718225119836</v>
      </c>
      <c r="AX10" s="100">
        <v>19.540012923001125</v>
      </c>
      <c r="AY10" s="100">
        <v>10645.399040451011</v>
      </c>
      <c r="AZ10" s="100">
        <v>23.784348231140154</v>
      </c>
      <c r="BA10" s="100">
        <v>12957.712916325154</v>
      </c>
      <c r="BB10" s="100">
        <v>23.85680508665374</v>
      </c>
      <c r="BC10" s="100">
        <v>12997.187411208957</v>
      </c>
      <c r="BD10" s="100">
        <v>24.387939893777755</v>
      </c>
      <c r="BE10" s="100">
        <v>13286.54965413012</v>
      </c>
      <c r="BF10" s="100">
        <v>16</v>
      </c>
      <c r="BG10" s="100">
        <v>8716.7999999999993</v>
      </c>
      <c r="BH10" s="100">
        <v>15</v>
      </c>
      <c r="BI10" s="100">
        <v>8171.9999999999991</v>
      </c>
      <c r="BJ10" s="100">
        <v>22</v>
      </c>
      <c r="BK10" s="100">
        <v>11985.599999999999</v>
      </c>
      <c r="BL10" s="100">
        <v>18</v>
      </c>
      <c r="BM10" s="100">
        <v>9806.4</v>
      </c>
      <c r="BN10" s="100">
        <v>18.068939901723304</v>
      </c>
      <c r="BO10" s="100">
        <v>9843.9584584588556</v>
      </c>
      <c r="BP10" s="100">
        <v>22.920836273315103</v>
      </c>
      <c r="BQ10" s="100">
        <v>12487.271601702067</v>
      </c>
      <c r="BR10" s="100">
        <v>22</v>
      </c>
      <c r="BS10" s="100">
        <v>11985.599999999999</v>
      </c>
      <c r="BT10" s="100">
        <v>20</v>
      </c>
      <c r="BU10" s="100">
        <v>10896</v>
      </c>
      <c r="BV10" s="100">
        <v>23</v>
      </c>
      <c r="BW10" s="100">
        <v>12530.4</v>
      </c>
      <c r="BX10" s="100">
        <v>24.13655977259732</v>
      </c>
      <c r="BY10" s="100">
        <v>13149.597764111018</v>
      </c>
      <c r="BZ10" s="100">
        <v>16</v>
      </c>
      <c r="CA10" s="100">
        <v>8716.7999999999993</v>
      </c>
      <c r="CB10" s="100">
        <v>22.992287877916386</v>
      </c>
      <c r="CC10" s="100">
        <v>12526.198435888846</v>
      </c>
      <c r="CD10" s="100">
        <v>15.792912152038063</v>
      </c>
      <c r="CE10" s="100">
        <v>8603.9785404303366</v>
      </c>
      <c r="CF10" s="100">
        <v>17</v>
      </c>
      <c r="CG10" s="100">
        <v>9261.5999999999985</v>
      </c>
      <c r="CH10" s="100">
        <v>21.695459364856426</v>
      </c>
      <c r="CI10" s="100">
        <v>11819.68626197378</v>
      </c>
      <c r="CJ10" s="100">
        <v>19.956256822651014</v>
      </c>
      <c r="CK10" s="100">
        <v>10872.168716980272</v>
      </c>
      <c r="CL10" s="100">
        <v>18.116973610676062</v>
      </c>
      <c r="CM10" s="100">
        <v>9870.1272230963186</v>
      </c>
      <c r="CN10" s="100">
        <v>24.998604632797868</v>
      </c>
      <c r="CO10" s="100">
        <v>13619.239803948278</v>
      </c>
      <c r="CP10" s="100">
        <v>22.878192856992655</v>
      </c>
      <c r="CQ10" s="100">
        <v>12464.039468489598</v>
      </c>
      <c r="CR10" s="100">
        <v>17.713254783842412</v>
      </c>
      <c r="CS10" s="100">
        <v>9650.1812062373447</v>
      </c>
      <c r="CT10" s="100">
        <v>21.461387106524423</v>
      </c>
      <c r="CU10" s="100">
        <v>11692.163695634505</v>
      </c>
    </row>
    <row r="11" spans="1:99">
      <c r="C11" s="99" t="s">
        <v>177</v>
      </c>
      <c r="D11" s="100">
        <v>20</v>
      </c>
      <c r="E11" s="100">
        <v>10656</v>
      </c>
      <c r="F11" s="100">
        <v>19</v>
      </c>
      <c r="G11" s="100">
        <v>10123.199999999999</v>
      </c>
      <c r="H11" s="100">
        <v>26</v>
      </c>
      <c r="I11" s="100">
        <v>13852.8</v>
      </c>
      <c r="J11" s="100">
        <v>16</v>
      </c>
      <c r="K11" s="100">
        <v>8524.7999999999993</v>
      </c>
      <c r="L11" s="100">
        <v>24</v>
      </c>
      <c r="M11" s="100">
        <v>12787.199999999999</v>
      </c>
      <c r="N11" s="100">
        <v>15</v>
      </c>
      <c r="O11" s="100">
        <v>7991.9999999999991</v>
      </c>
      <c r="P11" s="100">
        <v>23</v>
      </c>
      <c r="Q11" s="100">
        <v>12254.4</v>
      </c>
      <c r="R11" s="100">
        <v>14</v>
      </c>
      <c r="S11" s="100">
        <v>7459.1999999999989</v>
      </c>
      <c r="T11" s="100">
        <v>19</v>
      </c>
      <c r="U11" s="100">
        <v>10123.199999999999</v>
      </c>
      <c r="V11" s="100">
        <v>24.203357413296064</v>
      </c>
      <c r="W11" s="100">
        <v>12895.548829804142</v>
      </c>
      <c r="X11" s="100">
        <v>18</v>
      </c>
      <c r="Y11" s="100">
        <v>9590.4</v>
      </c>
      <c r="Z11" s="100">
        <v>20</v>
      </c>
      <c r="AA11" s="100">
        <v>10656</v>
      </c>
      <c r="AB11" s="100">
        <v>13</v>
      </c>
      <c r="AC11" s="100">
        <v>6926.4</v>
      </c>
      <c r="AD11" s="100">
        <v>15</v>
      </c>
      <c r="AE11" s="100">
        <v>7991.9999999999991</v>
      </c>
      <c r="AF11" s="100">
        <v>22</v>
      </c>
      <c r="AG11" s="100">
        <v>11721.599999999999</v>
      </c>
      <c r="AH11" s="100">
        <v>21.096335673127456</v>
      </c>
      <c r="AI11" s="100">
        <v>11240.127646642308</v>
      </c>
      <c r="AJ11" s="100">
        <v>20</v>
      </c>
      <c r="AK11" s="100">
        <v>10656</v>
      </c>
      <c r="AL11" s="100">
        <v>25</v>
      </c>
      <c r="AM11" s="100">
        <v>13319.999999999998</v>
      </c>
      <c r="AN11" s="100">
        <v>16</v>
      </c>
      <c r="AO11" s="100">
        <v>8524.7999999999993</v>
      </c>
      <c r="AP11" s="100">
        <v>19</v>
      </c>
      <c r="AQ11" s="100">
        <v>10123.199999999999</v>
      </c>
      <c r="AR11" s="100">
        <v>26</v>
      </c>
      <c r="AS11" s="100">
        <v>13852.8</v>
      </c>
      <c r="AT11" s="100">
        <v>21.920836908139211</v>
      </c>
      <c r="AU11" s="100">
        <v>11679.42190465657</v>
      </c>
      <c r="AV11" s="100">
        <v>18.143487192569722</v>
      </c>
      <c r="AW11" s="100">
        <v>9666.849976201147</v>
      </c>
      <c r="AX11" s="100">
        <v>21.316377734183046</v>
      </c>
      <c r="AY11" s="100">
        <v>11357.366056772726</v>
      </c>
      <c r="AZ11" s="100">
        <v>26.332671255905172</v>
      </c>
      <c r="BA11" s="100">
        <v>14030.047245146274</v>
      </c>
      <c r="BB11" s="100">
        <v>26.71962169705219</v>
      </c>
      <c r="BC11" s="100">
        <v>14236.214440189406</v>
      </c>
      <c r="BD11" s="100">
        <v>24.387939893777755</v>
      </c>
      <c r="BE11" s="100">
        <v>12993.894375404787</v>
      </c>
      <c r="BF11" s="100">
        <v>17</v>
      </c>
      <c r="BG11" s="100">
        <v>9057.5999999999985</v>
      </c>
      <c r="BH11" s="100">
        <v>16</v>
      </c>
      <c r="BI11" s="100">
        <v>8524.7999999999993</v>
      </c>
      <c r="BJ11" s="100">
        <v>20</v>
      </c>
      <c r="BK11" s="100">
        <v>10656</v>
      </c>
      <c r="BL11" s="100">
        <v>15</v>
      </c>
      <c r="BM11" s="100">
        <v>7991.9999999999991</v>
      </c>
      <c r="BN11" s="100">
        <v>18.972386896809471</v>
      </c>
      <c r="BO11" s="100">
        <v>10108.487738620086</v>
      </c>
      <c r="BP11" s="100">
        <v>22.0040028223825</v>
      </c>
      <c r="BQ11" s="100">
        <v>11723.732703765394</v>
      </c>
      <c r="BR11" s="100">
        <v>23</v>
      </c>
      <c r="BS11" s="100">
        <v>12254.4</v>
      </c>
      <c r="BT11" s="100">
        <v>19</v>
      </c>
      <c r="BU11" s="100">
        <v>10123.199999999999</v>
      </c>
      <c r="BV11" s="100">
        <v>24</v>
      </c>
      <c r="BW11" s="100">
        <v>12787.199999999999</v>
      </c>
      <c r="BX11" s="100">
        <v>23.208230550574346</v>
      </c>
      <c r="BY11" s="100">
        <v>12365.34523734601</v>
      </c>
      <c r="BZ11" s="100">
        <v>17</v>
      </c>
      <c r="CA11" s="100">
        <v>9057.5999999999985</v>
      </c>
      <c r="CB11" s="100">
        <v>23.876606642451627</v>
      </c>
      <c r="CC11" s="100">
        <v>12721.456019098227</v>
      </c>
      <c r="CD11" s="100">
        <v>13.160760126698385</v>
      </c>
      <c r="CE11" s="100">
        <v>7012.0529955048987</v>
      </c>
      <c r="CF11" s="100">
        <v>19</v>
      </c>
      <c r="CG11" s="100">
        <v>10123.199999999999</v>
      </c>
      <c r="CH11" s="100">
        <v>17.750830389427986</v>
      </c>
      <c r="CI11" s="100">
        <v>9457.6424314872293</v>
      </c>
      <c r="CJ11" s="100">
        <v>18.220930142420492</v>
      </c>
      <c r="CK11" s="100">
        <v>9708.1115798816372</v>
      </c>
      <c r="CL11" s="100">
        <v>20.587470012131892</v>
      </c>
      <c r="CM11" s="100">
        <v>10969.004022463871</v>
      </c>
      <c r="CN11" s="100">
        <v>25.831891453891128</v>
      </c>
      <c r="CO11" s="100">
        <v>13763.231766633191</v>
      </c>
      <c r="CP11" s="100">
        <v>26.822708866818974</v>
      </c>
      <c r="CQ11" s="100">
        <v>14291.139284241148</v>
      </c>
      <c r="CR11" s="100">
        <v>16.780978216271759</v>
      </c>
      <c r="CS11" s="100">
        <v>8940.9051936295928</v>
      </c>
      <c r="CT11" s="100">
        <v>20.485869510773316</v>
      </c>
      <c r="CU11" s="100">
        <v>10914.871275340021</v>
      </c>
    </row>
    <row r="12" spans="1:99">
      <c r="C12" s="99" t="s">
        <v>178</v>
      </c>
      <c r="D12" s="100">
        <v>17</v>
      </c>
      <c r="E12" s="100">
        <v>9567.5999999999985</v>
      </c>
      <c r="F12" s="100">
        <v>20</v>
      </c>
      <c r="G12" s="100">
        <v>11256</v>
      </c>
      <c r="H12" s="100">
        <v>26</v>
      </c>
      <c r="I12" s="100">
        <v>14632.8</v>
      </c>
      <c r="J12" s="100">
        <v>16</v>
      </c>
      <c r="K12" s="100">
        <v>9004.7999999999993</v>
      </c>
      <c r="L12" s="100">
        <v>24</v>
      </c>
      <c r="M12" s="100">
        <v>13507.199999999999</v>
      </c>
      <c r="N12" s="100">
        <v>14</v>
      </c>
      <c r="O12" s="100">
        <v>7879.1999999999989</v>
      </c>
      <c r="P12" s="100">
        <v>24</v>
      </c>
      <c r="Q12" s="100">
        <v>13507.199999999999</v>
      </c>
      <c r="R12" s="100">
        <v>15</v>
      </c>
      <c r="S12" s="100">
        <v>8442</v>
      </c>
      <c r="T12" s="100">
        <v>18</v>
      </c>
      <c r="U12" s="100">
        <v>10130.4</v>
      </c>
      <c r="V12" s="100">
        <v>23.306936768359176</v>
      </c>
      <c r="W12" s="100">
        <v>13117.144013232542</v>
      </c>
      <c r="X12" s="100">
        <v>19</v>
      </c>
      <c r="Y12" s="100">
        <v>10693.199999999999</v>
      </c>
      <c r="Z12" s="100">
        <v>20</v>
      </c>
      <c r="AA12" s="100">
        <v>11256</v>
      </c>
      <c r="AB12" s="100">
        <v>15</v>
      </c>
      <c r="AC12" s="100">
        <v>8442</v>
      </c>
      <c r="AD12" s="100">
        <v>15</v>
      </c>
      <c r="AE12" s="100">
        <v>8442</v>
      </c>
      <c r="AF12" s="100">
        <v>22</v>
      </c>
      <c r="AG12" s="100">
        <v>12381.599999999999</v>
      </c>
      <c r="AH12" s="100">
        <v>18.564775392352161</v>
      </c>
      <c r="AI12" s="100">
        <v>10448.255590815796</v>
      </c>
      <c r="AJ12" s="100">
        <v>22</v>
      </c>
      <c r="AK12" s="100">
        <v>12381.599999999999</v>
      </c>
      <c r="AL12" s="100">
        <v>27</v>
      </c>
      <c r="AM12" s="100">
        <v>15195.599999999999</v>
      </c>
      <c r="AN12" s="100">
        <v>16</v>
      </c>
      <c r="AO12" s="100">
        <v>9004.7999999999993</v>
      </c>
      <c r="AP12" s="100">
        <v>18</v>
      </c>
      <c r="AQ12" s="100">
        <v>10130.4</v>
      </c>
      <c r="AR12" s="100">
        <v>24</v>
      </c>
      <c r="AS12" s="100">
        <v>13507.199999999999</v>
      </c>
      <c r="AT12" s="100">
        <v>24.450164243693735</v>
      </c>
      <c r="AU12" s="100">
        <v>13760.552436350832</v>
      </c>
      <c r="AV12" s="100">
        <v>19.098407571126025</v>
      </c>
      <c r="AW12" s="100">
        <v>10748.583781029725</v>
      </c>
      <c r="AX12" s="100">
        <v>19.540012923001125</v>
      </c>
      <c r="AY12" s="100">
        <v>10997.119273065033</v>
      </c>
      <c r="AZ12" s="100">
        <v>22.085466214630145</v>
      </c>
      <c r="BA12" s="100">
        <v>12429.700385593844</v>
      </c>
      <c r="BB12" s="100">
        <v>23.85680508665374</v>
      </c>
      <c r="BC12" s="100">
        <v>13426.609902768723</v>
      </c>
      <c r="BD12" s="100">
        <v>26.338975085279976</v>
      </c>
      <c r="BE12" s="100">
        <v>14823.57517799557</v>
      </c>
      <c r="BF12" s="100">
        <v>17</v>
      </c>
      <c r="BG12" s="100">
        <v>9567.5999999999985</v>
      </c>
      <c r="BH12" s="100">
        <v>16</v>
      </c>
      <c r="BI12" s="100">
        <v>9004.7999999999993</v>
      </c>
      <c r="BJ12" s="100">
        <v>19</v>
      </c>
      <c r="BK12" s="100">
        <v>10693.199999999999</v>
      </c>
      <c r="BL12" s="100">
        <v>15</v>
      </c>
      <c r="BM12" s="100">
        <v>8442</v>
      </c>
      <c r="BN12" s="100">
        <v>19.875833891895635</v>
      </c>
      <c r="BO12" s="100">
        <v>11186.119314358863</v>
      </c>
      <c r="BP12" s="100">
        <v>23.837669724247707</v>
      </c>
      <c r="BQ12" s="100">
        <v>13415.840520806609</v>
      </c>
      <c r="BR12" s="100">
        <v>19</v>
      </c>
      <c r="BS12" s="100">
        <v>10693.199999999999</v>
      </c>
      <c r="BT12" s="100">
        <v>19</v>
      </c>
      <c r="BU12" s="100">
        <v>10693.199999999999</v>
      </c>
      <c r="BV12" s="100">
        <v>21</v>
      </c>
      <c r="BW12" s="100">
        <v>11818.8</v>
      </c>
      <c r="BX12" s="100">
        <v>25.064888994620297</v>
      </c>
      <c r="BY12" s="100">
        <v>14106.519526172302</v>
      </c>
      <c r="BZ12" s="100">
        <v>18</v>
      </c>
      <c r="CA12" s="100">
        <v>10130.4</v>
      </c>
      <c r="CB12" s="100">
        <v>26.529562936057363</v>
      </c>
      <c r="CC12" s="100">
        <v>14930.838020413083</v>
      </c>
      <c r="CD12" s="100">
        <v>14.476836139368224</v>
      </c>
      <c r="CE12" s="100">
        <v>8147.563379236436</v>
      </c>
      <c r="CF12" s="100">
        <v>18</v>
      </c>
      <c r="CG12" s="100">
        <v>10130.4</v>
      </c>
      <c r="CH12" s="100">
        <v>20.709302120999315</v>
      </c>
      <c r="CI12" s="100">
        <v>11655.195233698414</v>
      </c>
      <c r="CJ12" s="100">
        <v>19.956256822651014</v>
      </c>
      <c r="CK12" s="100">
        <v>11231.381339787989</v>
      </c>
      <c r="CL12" s="100">
        <v>19.763971211646616</v>
      </c>
      <c r="CM12" s="100">
        <v>11123.162997914715</v>
      </c>
      <c r="CN12" s="100">
        <v>26.665178274984392</v>
      </c>
      <c r="CO12" s="100">
        <v>15007.162333161214</v>
      </c>
      <c r="CP12" s="100">
        <v>26.822708866818974</v>
      </c>
      <c r="CQ12" s="100">
        <v>15095.820550245717</v>
      </c>
      <c r="CR12" s="100">
        <v>18.645531351413066</v>
      </c>
      <c r="CS12" s="100">
        <v>10493.705044575272</v>
      </c>
      <c r="CT12" s="100">
        <v>22.436904702275537</v>
      </c>
      <c r="CU12" s="100">
        <v>12627.489966440671</v>
      </c>
    </row>
    <row r="13" spans="1:99">
      <c r="C13" s="99" t="s">
        <v>179</v>
      </c>
      <c r="D13" s="100">
        <v>19</v>
      </c>
      <c r="E13" s="100">
        <v>1618.8</v>
      </c>
      <c r="F13" s="100">
        <v>18</v>
      </c>
      <c r="G13" s="100">
        <v>1533.6000000000001</v>
      </c>
      <c r="H13" s="100">
        <v>26</v>
      </c>
      <c r="I13" s="100">
        <v>2215.2000000000003</v>
      </c>
      <c r="J13" s="100">
        <v>16</v>
      </c>
      <c r="K13" s="100">
        <v>1363.2</v>
      </c>
      <c r="L13" s="100">
        <v>24</v>
      </c>
      <c r="M13" s="100">
        <v>2044.8000000000002</v>
      </c>
      <c r="N13" s="100">
        <v>17</v>
      </c>
      <c r="O13" s="100">
        <v>1448.4</v>
      </c>
      <c r="P13" s="100">
        <v>25</v>
      </c>
      <c r="Q13" s="100">
        <v>2130</v>
      </c>
      <c r="R13" s="100">
        <v>15</v>
      </c>
      <c r="S13" s="100">
        <v>1278</v>
      </c>
      <c r="T13" s="100">
        <v>19</v>
      </c>
      <c r="U13" s="100">
        <v>1618.8</v>
      </c>
      <c r="V13" s="100">
        <v>25.996198703169846</v>
      </c>
      <c r="W13" s="100">
        <v>2214.8761295100708</v>
      </c>
      <c r="X13" s="100">
        <v>21</v>
      </c>
      <c r="Y13" s="100">
        <v>1789.2</v>
      </c>
      <c r="Z13" s="100">
        <v>19</v>
      </c>
      <c r="AA13" s="100">
        <v>1618.8</v>
      </c>
      <c r="AB13" s="100">
        <v>15</v>
      </c>
      <c r="AC13" s="100">
        <v>1278</v>
      </c>
      <c r="AD13" s="100">
        <v>16</v>
      </c>
      <c r="AE13" s="100">
        <v>1363.2</v>
      </c>
      <c r="AF13" s="100">
        <v>23</v>
      </c>
      <c r="AG13" s="100">
        <v>1959.6000000000001</v>
      </c>
      <c r="AH13" s="100">
        <v>22.784042526977654</v>
      </c>
      <c r="AI13" s="100">
        <v>1941.2004232984962</v>
      </c>
      <c r="AJ13" s="100">
        <v>23</v>
      </c>
      <c r="AK13" s="100">
        <v>1959.6000000000001</v>
      </c>
      <c r="AL13" s="100">
        <v>28</v>
      </c>
      <c r="AM13" s="100">
        <v>2385.6</v>
      </c>
      <c r="AN13" s="100">
        <v>17</v>
      </c>
      <c r="AO13" s="100">
        <v>1448.4</v>
      </c>
      <c r="AP13" s="100">
        <v>20</v>
      </c>
      <c r="AQ13" s="100">
        <v>1704</v>
      </c>
      <c r="AR13" s="100">
        <v>30</v>
      </c>
      <c r="AS13" s="100">
        <v>2556</v>
      </c>
      <c r="AT13" s="100">
        <v>27.822600691099769</v>
      </c>
      <c r="AU13" s="100">
        <v>2370.4855788817003</v>
      </c>
      <c r="AV13" s="100">
        <v>20.053327949682327</v>
      </c>
      <c r="AW13" s="100">
        <v>1708.5435413129344</v>
      </c>
      <c r="AX13" s="100">
        <v>19.540012923001125</v>
      </c>
      <c r="AY13" s="100">
        <v>1664.8091010396959</v>
      </c>
      <c r="AZ13" s="100">
        <v>25.483230247650166</v>
      </c>
      <c r="BA13" s="100">
        <v>2171.1712170997944</v>
      </c>
      <c r="BB13" s="100">
        <v>25.76534949358604</v>
      </c>
      <c r="BC13" s="100">
        <v>2195.2077768535305</v>
      </c>
      <c r="BD13" s="100">
        <v>28.290010276782198</v>
      </c>
      <c r="BE13" s="100">
        <v>2410.3088755818435</v>
      </c>
      <c r="BF13" s="100">
        <v>18</v>
      </c>
      <c r="BG13" s="100">
        <v>1533.6000000000001</v>
      </c>
      <c r="BH13" s="100">
        <v>18</v>
      </c>
      <c r="BI13" s="100">
        <v>1533.6000000000001</v>
      </c>
      <c r="BJ13" s="100">
        <v>21</v>
      </c>
      <c r="BK13" s="100">
        <v>1789.2</v>
      </c>
      <c r="BL13" s="100">
        <v>17</v>
      </c>
      <c r="BM13" s="100">
        <v>1448.4</v>
      </c>
      <c r="BN13" s="100">
        <v>20.779280886981798</v>
      </c>
      <c r="BO13" s="100">
        <v>1770.3947315708492</v>
      </c>
      <c r="BP13" s="100">
        <v>25.671336626112915</v>
      </c>
      <c r="BQ13" s="100">
        <v>2187.1978805448202</v>
      </c>
      <c r="BR13" s="100">
        <v>22</v>
      </c>
      <c r="BS13" s="100">
        <v>1874.4</v>
      </c>
      <c r="BT13" s="100">
        <v>18</v>
      </c>
      <c r="BU13" s="100">
        <v>1533.6000000000001</v>
      </c>
      <c r="BV13" s="100">
        <v>25</v>
      </c>
      <c r="BW13" s="100">
        <v>2130</v>
      </c>
      <c r="BX13" s="100">
        <v>23.208230550574346</v>
      </c>
      <c r="BY13" s="100">
        <v>1977.3412429089344</v>
      </c>
      <c r="BZ13" s="100">
        <v>17</v>
      </c>
      <c r="CA13" s="100">
        <v>1448.4</v>
      </c>
      <c r="CB13" s="100">
        <v>27.413881700592611</v>
      </c>
      <c r="CC13" s="100">
        <v>2335.6627208904906</v>
      </c>
      <c r="CD13" s="100">
        <v>14.476836139368224</v>
      </c>
      <c r="CE13" s="100">
        <v>1233.4264390741728</v>
      </c>
      <c r="CF13" s="100">
        <v>18</v>
      </c>
      <c r="CG13" s="100">
        <v>1533.6000000000001</v>
      </c>
      <c r="CH13" s="100">
        <v>20.709302120999315</v>
      </c>
      <c r="CI13" s="100">
        <v>1764.4325407091417</v>
      </c>
      <c r="CJ13" s="100">
        <v>19.088593482535753</v>
      </c>
      <c r="CK13" s="100">
        <v>1626.3481647120461</v>
      </c>
      <c r="CL13" s="100">
        <v>19.763971211646616</v>
      </c>
      <c r="CM13" s="100">
        <v>1683.8903472322918</v>
      </c>
      <c r="CN13" s="100">
        <v>30.8316123804507</v>
      </c>
      <c r="CO13" s="100">
        <v>2626.8533748143996</v>
      </c>
      <c r="CP13" s="100">
        <v>24.455999260923182</v>
      </c>
      <c r="CQ13" s="100">
        <v>2083.6511370306553</v>
      </c>
      <c r="CR13" s="100">
        <v>21.442361054125026</v>
      </c>
      <c r="CS13" s="100">
        <v>1826.8891618114524</v>
      </c>
      <c r="CT13" s="100">
        <v>24.387939893777755</v>
      </c>
      <c r="CU13" s="100">
        <v>2077.8524789498647</v>
      </c>
    </row>
    <row r="14" spans="1:99">
      <c r="C14" s="99" t="s">
        <v>180</v>
      </c>
      <c r="D14" s="100">
        <v>19</v>
      </c>
      <c r="E14" s="100">
        <v>9279.6</v>
      </c>
      <c r="F14" s="100">
        <v>19</v>
      </c>
      <c r="G14" s="100">
        <v>9279.6</v>
      </c>
      <c r="H14" s="100">
        <v>24</v>
      </c>
      <c r="I14" s="100">
        <v>11721.599999999999</v>
      </c>
      <c r="J14" s="100">
        <v>15</v>
      </c>
      <c r="K14" s="100">
        <v>7326</v>
      </c>
      <c r="L14" s="100">
        <v>22</v>
      </c>
      <c r="M14" s="100">
        <v>10744.8</v>
      </c>
      <c r="N14" s="100">
        <v>14</v>
      </c>
      <c r="O14" s="100">
        <v>6837.5999999999995</v>
      </c>
      <c r="P14" s="100">
        <v>20</v>
      </c>
      <c r="Q14" s="100">
        <v>9768</v>
      </c>
      <c r="R14" s="100">
        <v>15</v>
      </c>
      <c r="S14" s="100">
        <v>7326</v>
      </c>
      <c r="T14" s="100">
        <v>17</v>
      </c>
      <c r="U14" s="100">
        <v>8302.7999999999993</v>
      </c>
      <c r="V14" s="100">
        <v>25.996198703169846</v>
      </c>
      <c r="W14" s="100">
        <v>12696.543446628151</v>
      </c>
      <c r="X14" s="100">
        <v>18</v>
      </c>
      <c r="Y14" s="100">
        <v>8791.1999999999989</v>
      </c>
      <c r="Z14" s="100">
        <v>18</v>
      </c>
      <c r="AA14" s="100">
        <v>8791.1999999999989</v>
      </c>
      <c r="AB14" s="100">
        <v>14</v>
      </c>
      <c r="AC14" s="100">
        <v>6837.5999999999995</v>
      </c>
      <c r="AD14" s="100">
        <v>16</v>
      </c>
      <c r="AE14" s="100">
        <v>7814.4</v>
      </c>
      <c r="AF14" s="100">
        <v>21</v>
      </c>
      <c r="AG14" s="100">
        <v>10256.4</v>
      </c>
      <c r="AH14" s="100">
        <v>18.564775392352161</v>
      </c>
      <c r="AI14" s="100">
        <v>9067.0363016247957</v>
      </c>
      <c r="AJ14" s="100">
        <v>24</v>
      </c>
      <c r="AK14" s="100">
        <v>11721.599999999999</v>
      </c>
      <c r="AL14" s="100">
        <v>24</v>
      </c>
      <c r="AM14" s="100">
        <v>11721.599999999999</v>
      </c>
      <c r="AN14" s="100">
        <v>16</v>
      </c>
      <c r="AO14" s="100">
        <v>7814.4</v>
      </c>
      <c r="AP14" s="100">
        <v>18</v>
      </c>
      <c r="AQ14" s="100">
        <v>8791.1999999999989</v>
      </c>
      <c r="AR14" s="100">
        <v>25</v>
      </c>
      <c r="AS14" s="100">
        <v>12210</v>
      </c>
      <c r="AT14" s="100">
        <v>25.293273355545246</v>
      </c>
      <c r="AU14" s="100">
        <v>12353.234706848298</v>
      </c>
      <c r="AV14" s="100">
        <v>19.098407571126025</v>
      </c>
      <c r="AW14" s="100">
        <v>9327.6622577379494</v>
      </c>
      <c r="AX14" s="100">
        <v>20.428195328592086</v>
      </c>
      <c r="AY14" s="100">
        <v>9977.1305984843748</v>
      </c>
      <c r="AZ14" s="100">
        <v>26.332671255905172</v>
      </c>
      <c r="BA14" s="100">
        <v>12860.876641384086</v>
      </c>
      <c r="BB14" s="100">
        <v>24.811077290119893</v>
      </c>
      <c r="BC14" s="100">
        <v>12117.730148494555</v>
      </c>
      <c r="BD14" s="100">
        <v>23.412422298026645</v>
      </c>
      <c r="BE14" s="100">
        <v>11434.627050356212</v>
      </c>
      <c r="BF14" s="100">
        <v>14</v>
      </c>
      <c r="BG14" s="100">
        <v>6837.5999999999995</v>
      </c>
      <c r="BH14" s="100">
        <v>14</v>
      </c>
      <c r="BI14" s="100">
        <v>6837.5999999999995</v>
      </c>
      <c r="BJ14" s="100">
        <v>21</v>
      </c>
      <c r="BK14" s="100">
        <v>10256.4</v>
      </c>
      <c r="BL14" s="100">
        <v>15</v>
      </c>
      <c r="BM14" s="100">
        <v>7326</v>
      </c>
      <c r="BN14" s="100">
        <v>18.068939901723304</v>
      </c>
      <c r="BO14" s="100">
        <v>8824.8702480016618</v>
      </c>
      <c r="BP14" s="100">
        <v>23.837669724247707</v>
      </c>
      <c r="BQ14" s="100">
        <v>11642.317893322579</v>
      </c>
      <c r="BR14" s="100">
        <v>21</v>
      </c>
      <c r="BS14" s="100">
        <v>10256.4</v>
      </c>
      <c r="BT14" s="100">
        <v>19</v>
      </c>
      <c r="BU14" s="100">
        <v>9279.6</v>
      </c>
      <c r="BV14" s="100">
        <v>22</v>
      </c>
      <c r="BW14" s="100">
        <v>10744.8</v>
      </c>
      <c r="BX14" s="100">
        <v>23.208230550574346</v>
      </c>
      <c r="BY14" s="100">
        <v>11334.89980090051</v>
      </c>
      <c r="BZ14" s="100">
        <v>16</v>
      </c>
      <c r="CA14" s="100">
        <v>7814.4</v>
      </c>
      <c r="CB14" s="100">
        <v>22.107969113381138</v>
      </c>
      <c r="CC14" s="100">
        <v>10797.532114975347</v>
      </c>
      <c r="CD14" s="100">
        <v>15.134874145703144</v>
      </c>
      <c r="CE14" s="100">
        <v>7391.8725327614147</v>
      </c>
      <c r="CF14" s="100">
        <v>19</v>
      </c>
      <c r="CG14" s="100">
        <v>9279.6</v>
      </c>
      <c r="CH14" s="100">
        <v>17.750830389427986</v>
      </c>
      <c r="CI14" s="100">
        <v>8669.5055621966276</v>
      </c>
      <c r="CJ14" s="100">
        <v>19.088593482535753</v>
      </c>
      <c r="CK14" s="100">
        <v>9322.8690568704606</v>
      </c>
      <c r="CL14" s="100">
        <v>21.410968812617163</v>
      </c>
      <c r="CM14" s="100">
        <v>10457.117168082223</v>
      </c>
      <c r="CN14" s="100">
        <v>24.998604632797868</v>
      </c>
      <c r="CO14" s="100">
        <v>12209.318502658478</v>
      </c>
      <c r="CP14" s="100">
        <v>26.033805664853709</v>
      </c>
      <c r="CQ14" s="100">
        <v>12714.910686714551</v>
      </c>
      <c r="CR14" s="100">
        <v>18.645531351413066</v>
      </c>
      <c r="CS14" s="100">
        <v>9106.4775120301401</v>
      </c>
      <c r="CT14" s="100">
        <v>21.461387106524423</v>
      </c>
      <c r="CU14" s="100">
        <v>10481.741462826529</v>
      </c>
    </row>
    <row r="15" spans="1:99">
      <c r="C15" s="99" t="s">
        <v>181</v>
      </c>
      <c r="D15" s="100">
        <v>19</v>
      </c>
      <c r="E15" s="100">
        <v>14500.8</v>
      </c>
      <c r="F15" s="100">
        <v>18</v>
      </c>
      <c r="G15" s="100">
        <v>13737.599999999999</v>
      </c>
      <c r="H15" s="100">
        <v>25</v>
      </c>
      <c r="I15" s="100">
        <v>19080</v>
      </c>
      <c r="J15" s="100">
        <v>15</v>
      </c>
      <c r="K15" s="100">
        <v>11447.999999999998</v>
      </c>
      <c r="L15" s="100">
        <v>21</v>
      </c>
      <c r="M15" s="100">
        <v>16027.199999999999</v>
      </c>
      <c r="N15" s="100">
        <v>14</v>
      </c>
      <c r="O15" s="100">
        <v>10684.8</v>
      </c>
      <c r="P15" s="100">
        <v>23</v>
      </c>
      <c r="Q15" s="100">
        <v>17553.599999999999</v>
      </c>
      <c r="R15" s="100">
        <v>15</v>
      </c>
      <c r="S15" s="100">
        <v>11447.999999999998</v>
      </c>
      <c r="T15" s="100">
        <v>17</v>
      </c>
      <c r="U15" s="100">
        <v>12974.4</v>
      </c>
      <c r="V15" s="100">
        <v>20.617674833548499</v>
      </c>
      <c r="W15" s="100">
        <v>15735.409432964212</v>
      </c>
      <c r="X15" s="100">
        <v>17</v>
      </c>
      <c r="Y15" s="100">
        <v>12974.4</v>
      </c>
      <c r="Z15" s="100">
        <v>16</v>
      </c>
      <c r="AA15" s="100">
        <v>12211.199999999999</v>
      </c>
      <c r="AB15" s="100">
        <v>13</v>
      </c>
      <c r="AC15" s="100">
        <v>9921.5999999999985</v>
      </c>
      <c r="AD15" s="100">
        <v>15</v>
      </c>
      <c r="AE15" s="100">
        <v>11447.999999999998</v>
      </c>
      <c r="AF15" s="100">
        <v>20</v>
      </c>
      <c r="AG15" s="100">
        <v>15263.999999999998</v>
      </c>
      <c r="AH15" s="100">
        <v>21.096335673127456</v>
      </c>
      <c r="AI15" s="100">
        <v>16100.723385730873</v>
      </c>
      <c r="AJ15" s="100">
        <v>22</v>
      </c>
      <c r="AK15" s="100">
        <v>16790.399999999998</v>
      </c>
      <c r="AL15" s="100">
        <v>24</v>
      </c>
      <c r="AM15" s="100">
        <v>18316.8</v>
      </c>
      <c r="AN15" s="100">
        <v>16</v>
      </c>
      <c r="AO15" s="100">
        <v>12211.199999999999</v>
      </c>
      <c r="AP15" s="100">
        <v>16</v>
      </c>
      <c r="AQ15" s="100">
        <v>12211.199999999999</v>
      </c>
      <c r="AR15" s="100">
        <v>24</v>
      </c>
      <c r="AS15" s="100">
        <v>18316.8</v>
      </c>
      <c r="AT15" s="100">
        <v>24.450164243693735</v>
      </c>
      <c r="AU15" s="100">
        <v>18660.365350787055</v>
      </c>
      <c r="AV15" s="100">
        <v>19.098407571126025</v>
      </c>
      <c r="AW15" s="100">
        <v>14575.90465828338</v>
      </c>
      <c r="AX15" s="100">
        <v>20.428195328592086</v>
      </c>
      <c r="AY15" s="100">
        <v>15590.798674781478</v>
      </c>
      <c r="AZ15" s="100">
        <v>22.085466214630145</v>
      </c>
      <c r="BA15" s="100">
        <v>16855.627815005726</v>
      </c>
      <c r="BB15" s="100">
        <v>22.90253288318759</v>
      </c>
      <c r="BC15" s="100">
        <v>17479.213096448766</v>
      </c>
      <c r="BD15" s="100">
        <v>27.314492681031091</v>
      </c>
      <c r="BE15" s="100">
        <v>20846.420814162928</v>
      </c>
      <c r="BF15" s="100">
        <v>14</v>
      </c>
      <c r="BG15" s="100">
        <v>10684.8</v>
      </c>
      <c r="BH15" s="100">
        <v>16</v>
      </c>
      <c r="BI15" s="100">
        <v>12211.199999999999</v>
      </c>
      <c r="BJ15" s="100">
        <v>20</v>
      </c>
      <c r="BK15" s="100">
        <v>15263.999999999998</v>
      </c>
      <c r="BL15" s="100">
        <v>16</v>
      </c>
      <c r="BM15" s="100">
        <v>12211.199999999999</v>
      </c>
      <c r="BN15" s="100">
        <v>18.972386896809471</v>
      </c>
      <c r="BO15" s="100">
        <v>14479.725679644987</v>
      </c>
      <c r="BP15" s="100">
        <v>22.920836273315103</v>
      </c>
      <c r="BQ15" s="100">
        <v>17493.182243794086</v>
      </c>
      <c r="BR15" s="100">
        <v>22</v>
      </c>
      <c r="BS15" s="100">
        <v>16790.399999999998</v>
      </c>
      <c r="BT15" s="100">
        <v>19</v>
      </c>
      <c r="BU15" s="100">
        <v>14500.8</v>
      </c>
      <c r="BV15" s="100">
        <v>22</v>
      </c>
      <c r="BW15" s="100">
        <v>16790.399999999998</v>
      </c>
      <c r="BX15" s="100">
        <v>22.279901328551375</v>
      </c>
      <c r="BY15" s="100">
        <v>17004.02069395041</v>
      </c>
      <c r="BZ15" s="100">
        <v>15</v>
      </c>
      <c r="CA15" s="100">
        <v>11447.999999999998</v>
      </c>
      <c r="CB15" s="100">
        <v>23.876606642451627</v>
      </c>
      <c r="CC15" s="100">
        <v>18222.62618951908</v>
      </c>
      <c r="CD15" s="100">
        <v>14.476836139368224</v>
      </c>
      <c r="CE15" s="100">
        <v>11048.721341565828</v>
      </c>
      <c r="CF15" s="100">
        <v>19</v>
      </c>
      <c r="CG15" s="100">
        <v>14500.8</v>
      </c>
      <c r="CH15" s="100">
        <v>20.709302120999315</v>
      </c>
      <c r="CI15" s="100">
        <v>15805.339378746676</v>
      </c>
      <c r="CJ15" s="100">
        <v>19.088593482535753</v>
      </c>
      <c r="CK15" s="100">
        <v>14568.414545871285</v>
      </c>
      <c r="CL15" s="100">
        <v>18.940472411161338</v>
      </c>
      <c r="CM15" s="100">
        <v>14455.368544198331</v>
      </c>
      <c r="CN15" s="100">
        <v>24.165317811704604</v>
      </c>
      <c r="CO15" s="100">
        <v>18442.970553892952</v>
      </c>
      <c r="CP15" s="100">
        <v>22.878192856992655</v>
      </c>
      <c r="CQ15" s="100">
        <v>17460.636788456792</v>
      </c>
      <c r="CR15" s="100">
        <v>18.645531351413066</v>
      </c>
      <c r="CS15" s="100">
        <v>14230.26952739845</v>
      </c>
      <c r="CT15" s="100">
        <v>20.485869510773316</v>
      </c>
      <c r="CU15" s="100">
        <v>15634.815610622194</v>
      </c>
    </row>
    <row r="16" spans="1:99">
      <c r="C16" s="99" t="s">
        <v>182</v>
      </c>
      <c r="D16" s="100">
        <v>18</v>
      </c>
      <c r="E16" s="100">
        <v>6134.4000000000005</v>
      </c>
      <c r="F16" s="100">
        <v>18</v>
      </c>
      <c r="G16" s="100">
        <v>6134.4000000000005</v>
      </c>
      <c r="H16" s="100">
        <v>26</v>
      </c>
      <c r="I16" s="100">
        <v>8860.8000000000011</v>
      </c>
      <c r="J16" s="100">
        <v>16</v>
      </c>
      <c r="K16" s="100">
        <v>5452.8</v>
      </c>
      <c r="L16" s="100">
        <v>25</v>
      </c>
      <c r="M16" s="100">
        <v>8520</v>
      </c>
      <c r="N16" s="100">
        <v>15</v>
      </c>
      <c r="O16" s="100">
        <v>5112</v>
      </c>
      <c r="P16" s="100">
        <v>21</v>
      </c>
      <c r="Q16" s="100">
        <v>7156.8</v>
      </c>
      <c r="R16" s="100">
        <v>15</v>
      </c>
      <c r="S16" s="100">
        <v>5112</v>
      </c>
      <c r="T16" s="100">
        <v>19</v>
      </c>
      <c r="U16" s="100">
        <v>6475.2</v>
      </c>
      <c r="V16" s="100">
        <v>22.410516123422283</v>
      </c>
      <c r="W16" s="100">
        <v>7637.5038948623142</v>
      </c>
      <c r="X16" s="100">
        <v>20</v>
      </c>
      <c r="Y16" s="100">
        <v>6816</v>
      </c>
      <c r="Z16" s="100">
        <v>20</v>
      </c>
      <c r="AA16" s="100">
        <v>6816</v>
      </c>
      <c r="AB16" s="100">
        <v>14</v>
      </c>
      <c r="AC16" s="100">
        <v>4771.2</v>
      </c>
      <c r="AD16" s="100">
        <v>16</v>
      </c>
      <c r="AE16" s="100">
        <v>5452.8</v>
      </c>
      <c r="AF16" s="100">
        <v>19</v>
      </c>
      <c r="AG16" s="100">
        <v>6475.2</v>
      </c>
      <c r="AH16" s="100">
        <v>19.408628819277261</v>
      </c>
      <c r="AI16" s="100">
        <v>6614.4607016096907</v>
      </c>
      <c r="AJ16" s="100">
        <v>21</v>
      </c>
      <c r="AK16" s="100">
        <v>7156.8</v>
      </c>
      <c r="AL16" s="100">
        <v>24</v>
      </c>
      <c r="AM16" s="100">
        <v>8179.2000000000007</v>
      </c>
      <c r="AN16" s="100">
        <v>17</v>
      </c>
      <c r="AO16" s="100">
        <v>5793.6</v>
      </c>
      <c r="AP16" s="100">
        <v>20</v>
      </c>
      <c r="AQ16" s="100">
        <v>6816</v>
      </c>
      <c r="AR16" s="100">
        <v>27</v>
      </c>
      <c r="AS16" s="100">
        <v>9201.6</v>
      </c>
      <c r="AT16" s="100">
        <v>22.763946019990716</v>
      </c>
      <c r="AU16" s="100">
        <v>7757.9528036128359</v>
      </c>
      <c r="AV16" s="100">
        <v>20.053327949682327</v>
      </c>
      <c r="AW16" s="100">
        <v>6834.1741652517376</v>
      </c>
      <c r="AX16" s="100">
        <v>22.204560139774003</v>
      </c>
      <c r="AY16" s="100">
        <v>7567.3140956349807</v>
      </c>
      <c r="AZ16" s="100">
        <v>25.483230247650166</v>
      </c>
      <c r="BA16" s="100">
        <v>8684.6848683991775</v>
      </c>
      <c r="BB16" s="100">
        <v>26.71962169705219</v>
      </c>
      <c r="BC16" s="100">
        <v>9106.0470743553869</v>
      </c>
      <c r="BD16" s="100">
        <v>25.363457489528869</v>
      </c>
      <c r="BE16" s="100">
        <v>8643.8663124314389</v>
      </c>
      <c r="BF16" s="100">
        <v>14</v>
      </c>
      <c r="BG16" s="100">
        <v>4771.2</v>
      </c>
      <c r="BH16" s="100">
        <v>16</v>
      </c>
      <c r="BI16" s="100">
        <v>5452.8</v>
      </c>
      <c r="BJ16" s="100">
        <v>20</v>
      </c>
      <c r="BK16" s="100">
        <v>6816</v>
      </c>
      <c r="BL16" s="100">
        <v>17</v>
      </c>
      <c r="BM16" s="100">
        <v>5793.6</v>
      </c>
      <c r="BN16" s="100">
        <v>18.972386896809471</v>
      </c>
      <c r="BO16" s="100">
        <v>6465.7894544326682</v>
      </c>
      <c r="BP16" s="100">
        <v>24.754503175180311</v>
      </c>
      <c r="BQ16" s="100">
        <v>8436.3346821014511</v>
      </c>
      <c r="BR16" s="100">
        <v>23</v>
      </c>
      <c r="BS16" s="100">
        <v>7838.4000000000005</v>
      </c>
      <c r="BT16" s="100">
        <v>21</v>
      </c>
      <c r="BU16" s="100">
        <v>7156.8</v>
      </c>
      <c r="BV16" s="100">
        <v>26</v>
      </c>
      <c r="BW16" s="100">
        <v>8860.8000000000011</v>
      </c>
      <c r="BX16" s="100">
        <v>25.993218216643267</v>
      </c>
      <c r="BY16" s="100">
        <v>8858.4887682320259</v>
      </c>
      <c r="BZ16" s="100">
        <v>19</v>
      </c>
      <c r="CA16" s="100">
        <v>6475.2</v>
      </c>
      <c r="CB16" s="100">
        <v>26.529562936057363</v>
      </c>
      <c r="CC16" s="100">
        <v>9041.2750486083496</v>
      </c>
      <c r="CD16" s="100">
        <v>13.818798133033305</v>
      </c>
      <c r="CE16" s="100">
        <v>4709.4464037377502</v>
      </c>
      <c r="CF16" s="100">
        <v>19</v>
      </c>
      <c r="CG16" s="100">
        <v>6475.2</v>
      </c>
      <c r="CH16" s="100">
        <v>20.709302120999315</v>
      </c>
      <c r="CI16" s="100">
        <v>7057.7301628365667</v>
      </c>
      <c r="CJ16" s="100">
        <v>20.823920162766274</v>
      </c>
      <c r="CK16" s="100">
        <v>7096.7919914707463</v>
      </c>
      <c r="CL16" s="100">
        <v>22.234467613102439</v>
      </c>
      <c r="CM16" s="100">
        <v>7577.5065625453117</v>
      </c>
      <c r="CN16" s="100">
        <v>29.165038738264176</v>
      </c>
      <c r="CO16" s="100">
        <v>9939.4452020004319</v>
      </c>
      <c r="CP16" s="100">
        <v>24.455999260923182</v>
      </c>
      <c r="CQ16" s="100">
        <v>8334.6045481226211</v>
      </c>
      <c r="CR16" s="100">
        <v>18.645531351413066</v>
      </c>
      <c r="CS16" s="100">
        <v>6354.3970845615731</v>
      </c>
      <c r="CT16" s="100">
        <v>23.412422298026645</v>
      </c>
      <c r="CU16" s="100">
        <v>7978.9535191674804</v>
      </c>
    </row>
    <row r="17" spans="2:99">
      <c r="C17" s="99" t="s">
        <v>183</v>
      </c>
      <c r="D17" s="100">
        <v>19</v>
      </c>
      <c r="E17" s="100">
        <v>8025.5999999999995</v>
      </c>
      <c r="F17" s="100">
        <v>18</v>
      </c>
      <c r="G17" s="100">
        <v>7603.2</v>
      </c>
      <c r="H17" s="100">
        <v>22</v>
      </c>
      <c r="I17" s="100">
        <v>9292.7999999999993</v>
      </c>
      <c r="J17" s="100">
        <v>16</v>
      </c>
      <c r="K17" s="100">
        <v>6758.4</v>
      </c>
      <c r="L17" s="100">
        <v>24</v>
      </c>
      <c r="M17" s="100">
        <v>10137.599999999999</v>
      </c>
      <c r="N17" s="100">
        <v>16</v>
      </c>
      <c r="O17" s="100">
        <v>6758.4</v>
      </c>
      <c r="P17" s="100">
        <v>21</v>
      </c>
      <c r="Q17" s="100">
        <v>8870.4</v>
      </c>
      <c r="R17" s="100">
        <v>13</v>
      </c>
      <c r="S17" s="100">
        <v>5491.2</v>
      </c>
      <c r="T17" s="100">
        <v>20</v>
      </c>
      <c r="U17" s="100">
        <v>8448</v>
      </c>
      <c r="V17" s="100">
        <v>25.996198703169846</v>
      </c>
      <c r="W17" s="100">
        <v>10980.794332218942</v>
      </c>
      <c r="X17" s="100">
        <v>20</v>
      </c>
      <c r="Y17" s="100">
        <v>8448</v>
      </c>
      <c r="Z17" s="100">
        <v>20</v>
      </c>
      <c r="AA17" s="100">
        <v>8448</v>
      </c>
      <c r="AB17" s="100">
        <v>15</v>
      </c>
      <c r="AC17" s="100">
        <v>6336</v>
      </c>
      <c r="AD17" s="100">
        <v>16</v>
      </c>
      <c r="AE17" s="100">
        <v>6758.4</v>
      </c>
      <c r="AF17" s="100">
        <v>20</v>
      </c>
      <c r="AG17" s="100">
        <v>8448</v>
      </c>
      <c r="AH17" s="100">
        <v>21.096335673127456</v>
      </c>
      <c r="AI17" s="100">
        <v>8911.0921883290375</v>
      </c>
      <c r="AJ17" s="100">
        <v>22</v>
      </c>
      <c r="AK17" s="100">
        <v>9292.7999999999993</v>
      </c>
      <c r="AL17" s="100">
        <v>25</v>
      </c>
      <c r="AM17" s="100">
        <v>10560</v>
      </c>
      <c r="AN17" s="100">
        <v>18</v>
      </c>
      <c r="AO17" s="100">
        <v>7603.2</v>
      </c>
      <c r="AP17" s="100">
        <v>18</v>
      </c>
      <c r="AQ17" s="100">
        <v>7603.2</v>
      </c>
      <c r="AR17" s="100">
        <v>26</v>
      </c>
      <c r="AS17" s="100">
        <v>10982.4</v>
      </c>
      <c r="AT17" s="100">
        <v>21.920836908139211</v>
      </c>
      <c r="AU17" s="100">
        <v>9259.3615099980016</v>
      </c>
      <c r="AV17" s="100">
        <v>20.053327949682327</v>
      </c>
      <c r="AW17" s="100">
        <v>8470.525725945814</v>
      </c>
      <c r="AX17" s="100">
        <v>22.204560139774003</v>
      </c>
      <c r="AY17" s="100">
        <v>9379.2062030405377</v>
      </c>
      <c r="AZ17" s="100">
        <v>25.483230247650166</v>
      </c>
      <c r="BA17" s="100">
        <v>10764.116456607429</v>
      </c>
      <c r="BB17" s="100">
        <v>26.71962169705219</v>
      </c>
      <c r="BC17" s="100">
        <v>11286.368204834844</v>
      </c>
      <c r="BD17" s="100">
        <v>27.314492681031091</v>
      </c>
      <c r="BE17" s="100">
        <v>11537.641708467532</v>
      </c>
      <c r="BF17" s="100">
        <v>15</v>
      </c>
      <c r="BG17" s="100">
        <v>6336</v>
      </c>
      <c r="BH17" s="100">
        <v>16</v>
      </c>
      <c r="BI17" s="100">
        <v>6758.4</v>
      </c>
      <c r="BJ17" s="100">
        <v>22</v>
      </c>
      <c r="BK17" s="100">
        <v>9292.7999999999993</v>
      </c>
      <c r="BL17" s="100">
        <v>18</v>
      </c>
      <c r="BM17" s="100">
        <v>7603.2</v>
      </c>
      <c r="BN17" s="100">
        <v>21.682727882067965</v>
      </c>
      <c r="BO17" s="100">
        <v>9158.7842573855087</v>
      </c>
      <c r="BP17" s="100">
        <v>21.087169371449896</v>
      </c>
      <c r="BQ17" s="100">
        <v>8907.2203425004354</v>
      </c>
      <c r="BR17" s="100">
        <v>21</v>
      </c>
      <c r="BS17" s="100">
        <v>8870.4</v>
      </c>
      <c r="BT17" s="100">
        <v>19</v>
      </c>
      <c r="BU17" s="100">
        <v>8025.5999999999995</v>
      </c>
      <c r="BV17" s="100">
        <v>23</v>
      </c>
      <c r="BW17" s="100">
        <v>9715.1999999999989</v>
      </c>
      <c r="BX17" s="100">
        <v>24.13655977259732</v>
      </c>
      <c r="BY17" s="100">
        <v>10195.282847945107</v>
      </c>
      <c r="BZ17" s="100">
        <v>16</v>
      </c>
      <c r="CA17" s="100">
        <v>6758.4</v>
      </c>
      <c r="CB17" s="100">
        <v>22.992287877916386</v>
      </c>
      <c r="CC17" s="100">
        <v>9711.9423996318801</v>
      </c>
      <c r="CD17" s="100">
        <v>15.792912152038063</v>
      </c>
      <c r="CE17" s="100">
        <v>6670.9260930208775</v>
      </c>
      <c r="CF17" s="100">
        <v>19</v>
      </c>
      <c r="CG17" s="100">
        <v>8025.5999999999995</v>
      </c>
      <c r="CH17" s="100">
        <v>21.695459364856426</v>
      </c>
      <c r="CI17" s="100">
        <v>9164.1620357153533</v>
      </c>
      <c r="CJ17" s="100">
        <v>19.088593482535753</v>
      </c>
      <c r="CK17" s="100">
        <v>8063.021887023102</v>
      </c>
      <c r="CL17" s="100">
        <v>19.763971211646616</v>
      </c>
      <c r="CM17" s="100">
        <v>8348.3014397995303</v>
      </c>
      <c r="CN17" s="100">
        <v>24.998604632797868</v>
      </c>
      <c r="CO17" s="100">
        <v>10559.410596893818</v>
      </c>
      <c r="CP17" s="100">
        <v>23.667096058957917</v>
      </c>
      <c r="CQ17" s="100">
        <v>9996.9813753038234</v>
      </c>
      <c r="CR17" s="100">
        <v>18.645531351413066</v>
      </c>
      <c r="CS17" s="100">
        <v>7875.8724428368787</v>
      </c>
      <c r="CT17" s="100">
        <v>24.387939893777755</v>
      </c>
      <c r="CU17" s="100">
        <v>10301.465811131724</v>
      </c>
    </row>
    <row r="18" spans="2:99">
      <c r="C18" s="99" t="s">
        <v>184</v>
      </c>
      <c r="D18" s="100">
        <v>18</v>
      </c>
      <c r="E18" s="100">
        <v>11750.4</v>
      </c>
      <c r="F18" s="100">
        <v>18</v>
      </c>
      <c r="G18" s="100">
        <v>11750.4</v>
      </c>
      <c r="H18" s="100">
        <v>25</v>
      </c>
      <c r="I18" s="100">
        <v>16319.999999999998</v>
      </c>
      <c r="J18" s="100">
        <v>16</v>
      </c>
      <c r="K18" s="100">
        <v>10444.799999999999</v>
      </c>
      <c r="L18" s="100">
        <v>20</v>
      </c>
      <c r="M18" s="100">
        <v>13056</v>
      </c>
      <c r="N18" s="100">
        <v>14</v>
      </c>
      <c r="O18" s="100">
        <v>9139.1999999999989</v>
      </c>
      <c r="P18" s="100">
        <v>24</v>
      </c>
      <c r="Q18" s="100">
        <v>15667.199999999999</v>
      </c>
      <c r="R18" s="100">
        <v>13</v>
      </c>
      <c r="S18" s="100">
        <v>8486.4</v>
      </c>
      <c r="T18" s="100">
        <v>18</v>
      </c>
      <c r="U18" s="100">
        <v>11750.4</v>
      </c>
      <c r="V18" s="100">
        <v>22.410516123422283</v>
      </c>
      <c r="W18" s="100">
        <v>14629.584925370065</v>
      </c>
      <c r="X18" s="100">
        <v>18</v>
      </c>
      <c r="Y18" s="100">
        <v>11750.4</v>
      </c>
      <c r="Z18" s="100">
        <v>17</v>
      </c>
      <c r="AA18" s="100">
        <v>11097.599999999999</v>
      </c>
      <c r="AB18" s="100">
        <v>13</v>
      </c>
      <c r="AC18" s="100">
        <v>8486.4</v>
      </c>
      <c r="AD18" s="100">
        <v>13</v>
      </c>
      <c r="AE18" s="100">
        <v>8486.4</v>
      </c>
      <c r="AF18" s="100">
        <v>22</v>
      </c>
      <c r="AG18" s="100">
        <v>14361.599999999999</v>
      </c>
      <c r="AH18" s="100">
        <v>18.564775392352161</v>
      </c>
      <c r="AI18" s="100">
        <v>12119.08537612749</v>
      </c>
      <c r="AJ18" s="100">
        <v>23</v>
      </c>
      <c r="AK18" s="100">
        <v>15014.4</v>
      </c>
      <c r="AL18" s="100">
        <v>24</v>
      </c>
      <c r="AM18" s="100">
        <v>15667.199999999999</v>
      </c>
      <c r="AN18" s="100">
        <v>16</v>
      </c>
      <c r="AO18" s="100">
        <v>10444.799999999999</v>
      </c>
      <c r="AP18" s="100">
        <v>18</v>
      </c>
      <c r="AQ18" s="100">
        <v>11750.4</v>
      </c>
      <c r="AR18" s="100">
        <v>27</v>
      </c>
      <c r="AS18" s="100">
        <v>17625.599999999999</v>
      </c>
      <c r="AT18" s="100">
        <v>26.13638246739675</v>
      </c>
      <c r="AU18" s="100">
        <v>17061.830474716597</v>
      </c>
      <c r="AV18" s="100">
        <v>18.143487192569722</v>
      </c>
      <c r="AW18" s="100">
        <v>11844.068439309514</v>
      </c>
      <c r="AX18" s="100">
        <v>19.540012923001125</v>
      </c>
      <c r="AY18" s="100">
        <v>12755.720436135134</v>
      </c>
      <c r="AZ18" s="100">
        <v>24.63378923939516</v>
      </c>
      <c r="BA18" s="100">
        <v>16080.93761547716</v>
      </c>
      <c r="BB18" s="100">
        <v>24.811077290119893</v>
      </c>
      <c r="BC18" s="100">
        <v>16196.671254990266</v>
      </c>
      <c r="BD18" s="100">
        <v>25.363457489528869</v>
      </c>
      <c r="BE18" s="100">
        <v>16557.265049164445</v>
      </c>
      <c r="BF18" s="100">
        <v>14</v>
      </c>
      <c r="BG18" s="100">
        <v>9139.1999999999989</v>
      </c>
      <c r="BH18" s="100">
        <v>16</v>
      </c>
      <c r="BI18" s="100">
        <v>10444.799999999999</v>
      </c>
      <c r="BJ18" s="100">
        <v>19</v>
      </c>
      <c r="BK18" s="100">
        <v>12403.199999999999</v>
      </c>
      <c r="BL18" s="100">
        <v>16</v>
      </c>
      <c r="BM18" s="100">
        <v>10444.799999999999</v>
      </c>
      <c r="BN18" s="100">
        <v>20.779280886981798</v>
      </c>
      <c r="BO18" s="100">
        <v>13564.714563021716</v>
      </c>
      <c r="BP18" s="100">
        <v>22.0040028223825</v>
      </c>
      <c r="BQ18" s="100">
        <v>14364.213042451294</v>
      </c>
      <c r="BR18" s="100">
        <v>22</v>
      </c>
      <c r="BS18" s="100">
        <v>14361.599999999999</v>
      </c>
      <c r="BT18" s="100">
        <v>19</v>
      </c>
      <c r="BU18" s="100">
        <v>12403.199999999999</v>
      </c>
      <c r="BV18" s="100">
        <v>22</v>
      </c>
      <c r="BW18" s="100">
        <v>14361.599999999999</v>
      </c>
      <c r="BX18" s="100">
        <v>22.279901328551375</v>
      </c>
      <c r="BY18" s="100">
        <v>14544.319587278336</v>
      </c>
      <c r="BZ18" s="100">
        <v>15</v>
      </c>
      <c r="CA18" s="100">
        <v>9792</v>
      </c>
      <c r="CB18" s="100">
        <v>25.645244171522119</v>
      </c>
      <c r="CC18" s="100">
        <v>16741.215395169638</v>
      </c>
      <c r="CD18" s="100">
        <v>15.792912152038063</v>
      </c>
      <c r="CE18" s="100">
        <v>10309.613052850447</v>
      </c>
      <c r="CF18" s="100">
        <v>18</v>
      </c>
      <c r="CG18" s="100">
        <v>11750.4</v>
      </c>
      <c r="CH18" s="100">
        <v>18.736987633285093</v>
      </c>
      <c r="CI18" s="100">
        <v>12231.505527008509</v>
      </c>
      <c r="CJ18" s="100">
        <v>19.956256822651014</v>
      </c>
      <c r="CK18" s="100">
        <v>13027.444453826582</v>
      </c>
      <c r="CL18" s="100">
        <v>18.116973610676062</v>
      </c>
      <c r="CM18" s="100">
        <v>11826.760373049332</v>
      </c>
      <c r="CN18" s="100">
        <v>27.498465096077652</v>
      </c>
      <c r="CO18" s="100">
        <v>17950.998014719491</v>
      </c>
      <c r="CP18" s="100">
        <v>23.667096058957917</v>
      </c>
      <c r="CQ18" s="100">
        <v>15449.880307287727</v>
      </c>
      <c r="CR18" s="100">
        <v>18.645531351413066</v>
      </c>
      <c r="CS18" s="100">
        <v>12171.802866202448</v>
      </c>
      <c r="CT18" s="100">
        <v>22.436904702275537</v>
      </c>
      <c r="CU18" s="100">
        <v>14646.811389645471</v>
      </c>
    </row>
    <row r="19" spans="2:99">
      <c r="C19" s="99" t="s">
        <v>185</v>
      </c>
      <c r="D19" s="100">
        <v>19</v>
      </c>
      <c r="E19" s="100">
        <v>6270</v>
      </c>
      <c r="F19" s="100">
        <v>17</v>
      </c>
      <c r="G19" s="100">
        <v>5610</v>
      </c>
      <c r="H19" s="100">
        <v>26</v>
      </c>
      <c r="I19" s="100">
        <v>8580</v>
      </c>
      <c r="J19" s="100">
        <v>15</v>
      </c>
      <c r="K19" s="100">
        <v>4950</v>
      </c>
      <c r="L19" s="100">
        <v>25</v>
      </c>
      <c r="M19" s="100">
        <v>8250</v>
      </c>
      <c r="N19" s="100">
        <v>17</v>
      </c>
      <c r="O19" s="100">
        <v>5610</v>
      </c>
      <c r="P19" s="100">
        <v>22</v>
      </c>
      <c r="Q19" s="100">
        <v>7260</v>
      </c>
      <c r="R19" s="100">
        <v>15</v>
      </c>
      <c r="S19" s="100">
        <v>4950</v>
      </c>
      <c r="T19" s="100">
        <v>17</v>
      </c>
      <c r="U19" s="100">
        <v>5610</v>
      </c>
      <c r="V19" s="100">
        <v>25.099778058232957</v>
      </c>
      <c r="W19" s="100">
        <v>8282.9267592168762</v>
      </c>
      <c r="X19" s="100">
        <v>19</v>
      </c>
      <c r="Y19" s="100">
        <v>6270</v>
      </c>
      <c r="Z19" s="100">
        <v>19</v>
      </c>
      <c r="AA19" s="100">
        <v>6270</v>
      </c>
      <c r="AB19" s="100">
        <v>14</v>
      </c>
      <c r="AC19" s="100">
        <v>4620</v>
      </c>
      <c r="AD19" s="100">
        <v>16</v>
      </c>
      <c r="AE19" s="100">
        <v>5280</v>
      </c>
      <c r="AF19" s="100">
        <v>22</v>
      </c>
      <c r="AG19" s="100">
        <v>7260</v>
      </c>
      <c r="AH19" s="100">
        <v>18.564775392352161</v>
      </c>
      <c r="AI19" s="100">
        <v>6126.3758794762134</v>
      </c>
      <c r="AJ19" s="100">
        <v>21</v>
      </c>
      <c r="AK19" s="100">
        <v>6930</v>
      </c>
      <c r="AL19" s="100">
        <v>26</v>
      </c>
      <c r="AM19" s="100">
        <v>8580</v>
      </c>
      <c r="AN19" s="100">
        <v>19</v>
      </c>
      <c r="AO19" s="100">
        <v>6270</v>
      </c>
      <c r="AP19" s="100">
        <v>19</v>
      </c>
      <c r="AQ19" s="100">
        <v>6270</v>
      </c>
      <c r="AR19" s="100">
        <v>25</v>
      </c>
      <c r="AS19" s="100">
        <v>8250</v>
      </c>
      <c r="AT19" s="100">
        <v>23.607055131842227</v>
      </c>
      <c r="AU19" s="100">
        <v>7790.3281935079349</v>
      </c>
      <c r="AV19" s="100">
        <v>18.143487192569722</v>
      </c>
      <c r="AW19" s="100">
        <v>5987.350773548008</v>
      </c>
      <c r="AX19" s="100">
        <v>22.204560139774003</v>
      </c>
      <c r="AY19" s="100">
        <v>7327.504846125421</v>
      </c>
      <c r="AZ19" s="100">
        <v>25.483230247650166</v>
      </c>
      <c r="BA19" s="100">
        <v>8409.4659817245556</v>
      </c>
      <c r="BB19" s="100">
        <v>25.76534949358604</v>
      </c>
      <c r="BC19" s="100">
        <v>8502.5653328833923</v>
      </c>
      <c r="BD19" s="100">
        <v>26.338975085279976</v>
      </c>
      <c r="BE19" s="100">
        <v>8691.8617781423927</v>
      </c>
      <c r="BF19" s="100">
        <v>16</v>
      </c>
      <c r="BG19" s="100">
        <v>5280</v>
      </c>
      <c r="BH19" s="100">
        <v>14</v>
      </c>
      <c r="BI19" s="100">
        <v>4620</v>
      </c>
      <c r="BJ19" s="100">
        <v>22</v>
      </c>
      <c r="BK19" s="100">
        <v>7260</v>
      </c>
      <c r="BL19" s="100">
        <v>17</v>
      </c>
      <c r="BM19" s="100">
        <v>5610</v>
      </c>
      <c r="BN19" s="100">
        <v>18.972386896809471</v>
      </c>
      <c r="BO19" s="100">
        <v>6260.8876759471259</v>
      </c>
      <c r="BP19" s="100">
        <v>21.087169371449896</v>
      </c>
      <c r="BQ19" s="100">
        <v>6958.7658925784654</v>
      </c>
      <c r="BR19" s="100">
        <v>22</v>
      </c>
      <c r="BS19" s="100">
        <v>7260</v>
      </c>
      <c r="BT19" s="100">
        <v>19</v>
      </c>
      <c r="BU19" s="100">
        <v>6270</v>
      </c>
      <c r="BV19" s="100">
        <v>23</v>
      </c>
      <c r="BW19" s="100">
        <v>7590</v>
      </c>
      <c r="BX19" s="100">
        <v>25.064888994620297</v>
      </c>
      <c r="BY19" s="100">
        <v>8271.4133682246975</v>
      </c>
      <c r="BZ19" s="100">
        <v>15</v>
      </c>
      <c r="CA19" s="100">
        <v>4950</v>
      </c>
      <c r="CB19" s="100">
        <v>22.992287877916386</v>
      </c>
      <c r="CC19" s="100">
        <v>7587.4549997124077</v>
      </c>
      <c r="CD19" s="100">
        <v>15.792912152038063</v>
      </c>
      <c r="CE19" s="100">
        <v>5211.661010172561</v>
      </c>
      <c r="CF19" s="100">
        <v>19</v>
      </c>
      <c r="CG19" s="100">
        <v>6270</v>
      </c>
      <c r="CH19" s="100">
        <v>18.736987633285093</v>
      </c>
      <c r="CI19" s="100">
        <v>6183.2059189840802</v>
      </c>
      <c r="CJ19" s="100">
        <v>19.956256822651014</v>
      </c>
      <c r="CK19" s="100">
        <v>6585.5647514748343</v>
      </c>
      <c r="CL19" s="100">
        <v>22.234467613102439</v>
      </c>
      <c r="CM19" s="100">
        <v>7337.3743123238046</v>
      </c>
      <c r="CN19" s="100">
        <v>28.331751917170916</v>
      </c>
      <c r="CO19" s="100">
        <v>9349.4781326664015</v>
      </c>
      <c r="CP19" s="100">
        <v>26.033805664853709</v>
      </c>
      <c r="CQ19" s="100">
        <v>8591.155869401724</v>
      </c>
      <c r="CR19" s="100">
        <v>17.713254783842412</v>
      </c>
      <c r="CS19" s="100">
        <v>5845.3740786679964</v>
      </c>
      <c r="CT19" s="100">
        <v>22.436904702275537</v>
      </c>
      <c r="CU19" s="100">
        <v>7404.178551750927</v>
      </c>
    </row>
    <row r="20" spans="2:99">
      <c r="B20" s="99" t="s">
        <v>127</v>
      </c>
      <c r="C20" s="99" t="s">
        <v>186</v>
      </c>
      <c r="D20" s="100">
        <v>20</v>
      </c>
      <c r="E20" s="100">
        <v>5736</v>
      </c>
      <c r="F20" s="100">
        <v>26</v>
      </c>
      <c r="G20" s="100">
        <v>7456.8</v>
      </c>
      <c r="H20" s="100">
        <v>25</v>
      </c>
      <c r="I20" s="100">
        <v>7170</v>
      </c>
      <c r="J20" s="100">
        <v>18</v>
      </c>
      <c r="K20" s="100">
        <v>5162.4000000000005</v>
      </c>
      <c r="L20" s="100">
        <v>23</v>
      </c>
      <c r="M20" s="100">
        <v>6596.4000000000005</v>
      </c>
      <c r="N20" s="100">
        <v>26</v>
      </c>
      <c r="O20" s="100">
        <v>7456.8</v>
      </c>
      <c r="P20" s="100">
        <v>25</v>
      </c>
      <c r="Q20" s="100">
        <v>7170</v>
      </c>
      <c r="R20" s="100">
        <v>24</v>
      </c>
      <c r="S20" s="100">
        <v>6883.2000000000007</v>
      </c>
      <c r="T20" s="100">
        <v>24</v>
      </c>
      <c r="U20" s="100">
        <v>6883.2000000000007</v>
      </c>
      <c r="V20" s="100">
        <v>25.099778058232957</v>
      </c>
      <c r="W20" s="100">
        <v>7198.6163471012123</v>
      </c>
      <c r="X20" s="100">
        <v>14</v>
      </c>
      <c r="Y20" s="100">
        <v>4015.2000000000003</v>
      </c>
      <c r="Z20" s="100">
        <v>24</v>
      </c>
      <c r="AA20" s="100">
        <v>6883.2000000000007</v>
      </c>
      <c r="AB20" s="100">
        <v>17</v>
      </c>
      <c r="AC20" s="100">
        <v>4875.6000000000004</v>
      </c>
      <c r="AD20" s="100">
        <v>17</v>
      </c>
      <c r="AE20" s="100">
        <v>4875.6000000000004</v>
      </c>
      <c r="AF20" s="100">
        <v>18</v>
      </c>
      <c r="AG20" s="100">
        <v>5162.4000000000005</v>
      </c>
      <c r="AH20" s="100">
        <v>18.564775392352161</v>
      </c>
      <c r="AI20" s="100">
        <v>5324.3775825266002</v>
      </c>
      <c r="AJ20" s="100">
        <v>18</v>
      </c>
      <c r="AK20" s="100">
        <v>5162.4000000000005</v>
      </c>
      <c r="AL20" s="100">
        <v>18</v>
      </c>
      <c r="AM20" s="100">
        <v>5162.4000000000005</v>
      </c>
      <c r="AN20" s="100">
        <v>18</v>
      </c>
      <c r="AO20" s="100">
        <v>5162.4000000000005</v>
      </c>
      <c r="AP20" s="100">
        <v>24</v>
      </c>
      <c r="AQ20" s="100">
        <v>6883.2000000000007</v>
      </c>
      <c r="AR20" s="100">
        <v>25</v>
      </c>
      <c r="AS20" s="100">
        <v>7170</v>
      </c>
      <c r="AT20" s="100">
        <v>26.13638246739675</v>
      </c>
      <c r="AU20" s="100">
        <v>7495.9144916493879</v>
      </c>
      <c r="AV20" s="100">
        <v>21.963168706794931</v>
      </c>
      <c r="AW20" s="100">
        <v>6299.0367851087867</v>
      </c>
      <c r="AX20" s="100">
        <v>22.204560139774003</v>
      </c>
      <c r="AY20" s="100">
        <v>6368.2678480871846</v>
      </c>
      <c r="AZ20" s="100">
        <v>17.838261173355118</v>
      </c>
      <c r="BA20" s="100">
        <v>5116.0133045182483</v>
      </c>
      <c r="BB20" s="100">
        <v>20.993988476255293</v>
      </c>
      <c r="BC20" s="100">
        <v>6021.0758949900182</v>
      </c>
      <c r="BD20" s="100">
        <v>14.632763936266654</v>
      </c>
      <c r="BE20" s="100">
        <v>4196.6766969212767</v>
      </c>
      <c r="BF20" s="100">
        <v>17</v>
      </c>
      <c r="BG20" s="100">
        <v>4875.6000000000004</v>
      </c>
      <c r="BH20" s="100">
        <v>28</v>
      </c>
      <c r="BI20" s="100">
        <v>8030.4000000000005</v>
      </c>
      <c r="BJ20" s="100">
        <v>17</v>
      </c>
      <c r="BK20" s="100">
        <v>4875.6000000000004</v>
      </c>
      <c r="BL20" s="100">
        <v>27</v>
      </c>
      <c r="BM20" s="100">
        <v>7743.6</v>
      </c>
      <c r="BN20" s="100">
        <v>19.875833891895635</v>
      </c>
      <c r="BO20" s="100">
        <v>5700.3891601956684</v>
      </c>
      <c r="BP20" s="100">
        <v>21.087169371449896</v>
      </c>
      <c r="BQ20" s="100">
        <v>6047.8001757318307</v>
      </c>
      <c r="BR20" s="100">
        <v>19</v>
      </c>
      <c r="BS20" s="100">
        <v>5449.2</v>
      </c>
      <c r="BT20" s="100">
        <v>18</v>
      </c>
      <c r="BU20" s="100">
        <v>5162.4000000000005</v>
      </c>
      <c r="BV20" s="100">
        <v>24</v>
      </c>
      <c r="BW20" s="100">
        <v>6883.2000000000007</v>
      </c>
      <c r="BX20" s="100">
        <v>25.064888994620297</v>
      </c>
      <c r="BY20" s="100">
        <v>7188.6101636571011</v>
      </c>
      <c r="BZ20" s="100">
        <v>19</v>
      </c>
      <c r="CA20" s="100">
        <v>5449.2</v>
      </c>
      <c r="CB20" s="100">
        <v>24.760925406986875</v>
      </c>
      <c r="CC20" s="100">
        <v>7101.433406723836</v>
      </c>
      <c r="CD20" s="100">
        <v>15.134874145703144</v>
      </c>
      <c r="CE20" s="100">
        <v>4340.6819049876622</v>
      </c>
      <c r="CF20" s="100">
        <v>21</v>
      </c>
      <c r="CG20" s="100">
        <v>6022.8</v>
      </c>
      <c r="CH20" s="100">
        <v>27.612402827999091</v>
      </c>
      <c r="CI20" s="100">
        <v>7919.2371310701392</v>
      </c>
      <c r="CJ20" s="100">
        <v>23.426910183112057</v>
      </c>
      <c r="CK20" s="100">
        <v>6718.8378405165377</v>
      </c>
      <c r="CL20" s="100">
        <v>27.998959216499369</v>
      </c>
      <c r="CM20" s="100">
        <v>8030.1015032920195</v>
      </c>
      <c r="CN20" s="100">
        <v>21.665457348424816</v>
      </c>
      <c r="CO20" s="100">
        <v>6213.6531675282376</v>
      </c>
      <c r="CP20" s="100">
        <v>25.244902462888447</v>
      </c>
      <c r="CQ20" s="100">
        <v>7240.2380263564073</v>
      </c>
      <c r="CR20" s="100">
        <v>30.765126729831557</v>
      </c>
      <c r="CS20" s="100">
        <v>8823.4383461156904</v>
      </c>
      <c r="CT20" s="100">
        <v>23.412422298026645</v>
      </c>
      <c r="CU20" s="100">
        <v>6714.6827150740419</v>
      </c>
    </row>
    <row r="21" spans="2:99">
      <c r="C21" s="99" t="s">
        <v>187</v>
      </c>
      <c r="D21" s="100">
        <v>23</v>
      </c>
      <c r="E21" s="100">
        <v>1435.2</v>
      </c>
      <c r="F21" s="100">
        <v>27</v>
      </c>
      <c r="G21" s="100">
        <v>1684.8</v>
      </c>
      <c r="H21" s="100">
        <v>28</v>
      </c>
      <c r="I21" s="100">
        <v>1747.2</v>
      </c>
      <c r="J21" s="100">
        <v>19</v>
      </c>
      <c r="K21" s="100">
        <v>1185.5999999999999</v>
      </c>
      <c r="L21" s="100">
        <v>24</v>
      </c>
      <c r="M21" s="100">
        <v>1497.6</v>
      </c>
      <c r="N21" s="100">
        <v>27</v>
      </c>
      <c r="O21" s="100">
        <v>1684.8</v>
      </c>
      <c r="P21" s="100">
        <v>25</v>
      </c>
      <c r="Q21" s="100">
        <v>1560</v>
      </c>
      <c r="R21" s="100">
        <v>27</v>
      </c>
      <c r="S21" s="100">
        <v>1684.8</v>
      </c>
      <c r="T21" s="100">
        <v>26</v>
      </c>
      <c r="U21" s="100">
        <v>1622.3999999999999</v>
      </c>
      <c r="V21" s="100">
        <v>25.996198703169846</v>
      </c>
      <c r="W21" s="100">
        <v>1622.1627990777984</v>
      </c>
      <c r="X21" s="100">
        <v>17</v>
      </c>
      <c r="Y21" s="100">
        <v>1060.8</v>
      </c>
      <c r="Z21" s="100">
        <v>26</v>
      </c>
      <c r="AA21" s="100">
        <v>1622.3999999999999</v>
      </c>
      <c r="AB21" s="100">
        <v>16</v>
      </c>
      <c r="AC21" s="100">
        <v>998.4</v>
      </c>
      <c r="AD21" s="100">
        <v>18</v>
      </c>
      <c r="AE21" s="100">
        <v>1123.2</v>
      </c>
      <c r="AF21" s="100">
        <v>16</v>
      </c>
      <c r="AG21" s="100">
        <v>998.4</v>
      </c>
      <c r="AH21" s="100">
        <v>18.564775392352161</v>
      </c>
      <c r="AI21" s="100">
        <v>1158.4419844827748</v>
      </c>
      <c r="AJ21" s="100">
        <v>18</v>
      </c>
      <c r="AK21" s="100">
        <v>1123.2</v>
      </c>
      <c r="AL21" s="100">
        <v>19</v>
      </c>
      <c r="AM21" s="100">
        <v>1185.5999999999999</v>
      </c>
      <c r="AN21" s="100">
        <v>18</v>
      </c>
      <c r="AO21" s="100">
        <v>1123.2</v>
      </c>
      <c r="AP21" s="100">
        <v>24</v>
      </c>
      <c r="AQ21" s="100">
        <v>1497.6</v>
      </c>
      <c r="AR21" s="100">
        <v>24</v>
      </c>
      <c r="AS21" s="100">
        <v>1497.6</v>
      </c>
      <c r="AT21" s="100">
        <v>24.450164243693735</v>
      </c>
      <c r="AU21" s="100">
        <v>1525.6902488064891</v>
      </c>
      <c r="AV21" s="100">
        <v>25.782850221020137</v>
      </c>
      <c r="AW21" s="100">
        <v>1608.8498537916564</v>
      </c>
      <c r="AX21" s="100">
        <v>27.533654573319765</v>
      </c>
      <c r="AY21" s="100">
        <v>1718.1000453751533</v>
      </c>
      <c r="AZ21" s="100">
        <v>19.537143189865127</v>
      </c>
      <c r="BA21" s="100">
        <v>1219.1177350475839</v>
      </c>
      <c r="BB21" s="100">
        <v>19.085444069322993</v>
      </c>
      <c r="BC21" s="100">
        <v>1190.9317099257546</v>
      </c>
      <c r="BD21" s="100">
        <v>15.608281532017765</v>
      </c>
      <c r="BE21" s="100">
        <v>973.95676759790854</v>
      </c>
      <c r="BF21" s="100">
        <v>19</v>
      </c>
      <c r="BG21" s="100">
        <v>1185.5999999999999</v>
      </c>
      <c r="BH21" s="100">
        <v>28</v>
      </c>
      <c r="BI21" s="100">
        <v>1747.2</v>
      </c>
      <c r="BJ21" s="100">
        <v>19</v>
      </c>
      <c r="BK21" s="100">
        <v>1185.5999999999999</v>
      </c>
      <c r="BL21" s="100">
        <v>26</v>
      </c>
      <c r="BM21" s="100">
        <v>1622.3999999999999</v>
      </c>
      <c r="BN21" s="100">
        <v>21.682727882067965</v>
      </c>
      <c r="BO21" s="100">
        <v>1353.0022198410411</v>
      </c>
      <c r="BP21" s="100">
        <v>19.253502469584685</v>
      </c>
      <c r="BQ21" s="100">
        <v>1201.4185541020843</v>
      </c>
      <c r="BR21" s="100">
        <v>20</v>
      </c>
      <c r="BS21" s="100">
        <v>1248</v>
      </c>
      <c r="BT21" s="100">
        <v>18</v>
      </c>
      <c r="BU21" s="100">
        <v>1123.2</v>
      </c>
      <c r="BV21" s="100">
        <v>25</v>
      </c>
      <c r="BW21" s="100">
        <v>1560</v>
      </c>
      <c r="BX21" s="100">
        <v>24.13655977259732</v>
      </c>
      <c r="BY21" s="100">
        <v>1506.1213298100727</v>
      </c>
      <c r="BZ21" s="100">
        <v>19</v>
      </c>
      <c r="CA21" s="100">
        <v>1185.5999999999999</v>
      </c>
      <c r="CB21" s="100">
        <v>27.413881700592611</v>
      </c>
      <c r="CC21" s="100">
        <v>1710.6262181169789</v>
      </c>
      <c r="CD21" s="100">
        <v>15.134874145703144</v>
      </c>
      <c r="CE21" s="100">
        <v>944.41614669187618</v>
      </c>
      <c r="CF21" s="100">
        <v>19</v>
      </c>
      <c r="CG21" s="100">
        <v>1185.5999999999999</v>
      </c>
      <c r="CH21" s="100">
        <v>27.612402827999091</v>
      </c>
      <c r="CI21" s="100">
        <v>1723.0139364671431</v>
      </c>
      <c r="CJ21" s="100">
        <v>23.426910183112057</v>
      </c>
      <c r="CK21" s="100">
        <v>1461.8391954261922</v>
      </c>
      <c r="CL21" s="100">
        <v>27.175460416014094</v>
      </c>
      <c r="CM21" s="100">
        <v>1695.7487299592794</v>
      </c>
      <c r="CN21" s="100">
        <v>21.665457348424816</v>
      </c>
      <c r="CO21" s="100">
        <v>1351.9245385417084</v>
      </c>
      <c r="CP21" s="100">
        <v>24.455999260923182</v>
      </c>
      <c r="CQ21" s="100">
        <v>1526.0543538816066</v>
      </c>
      <c r="CR21" s="100">
        <v>30.765126729831557</v>
      </c>
      <c r="CS21" s="100">
        <v>1919.7439079414892</v>
      </c>
      <c r="CT21" s="100">
        <v>23.412422298026645</v>
      </c>
      <c r="CU21" s="100">
        <v>1460.9351513968627</v>
      </c>
    </row>
    <row r="22" spans="2:99">
      <c r="C22" s="99" t="s">
        <v>188</v>
      </c>
      <c r="D22" s="100">
        <v>23</v>
      </c>
      <c r="E22" s="100">
        <v>4305.5999999999995</v>
      </c>
      <c r="F22" s="100">
        <v>22</v>
      </c>
      <c r="G22" s="100">
        <v>4118.3999999999996</v>
      </c>
      <c r="H22" s="100">
        <v>27</v>
      </c>
      <c r="I22" s="100">
        <v>5054.3999999999996</v>
      </c>
      <c r="J22" s="100">
        <v>18</v>
      </c>
      <c r="K22" s="100">
        <v>3369.6</v>
      </c>
      <c r="L22" s="100">
        <v>23</v>
      </c>
      <c r="M22" s="100">
        <v>4305.5999999999995</v>
      </c>
      <c r="N22" s="100">
        <v>26</v>
      </c>
      <c r="O22" s="100">
        <v>4867.2</v>
      </c>
      <c r="P22" s="100">
        <v>26</v>
      </c>
      <c r="Q22" s="100">
        <v>4867.2</v>
      </c>
      <c r="R22" s="100">
        <v>25</v>
      </c>
      <c r="S22" s="100">
        <v>4680</v>
      </c>
      <c r="T22" s="100">
        <v>23</v>
      </c>
      <c r="U22" s="100">
        <v>4305.5999999999995</v>
      </c>
      <c r="V22" s="100">
        <v>24.203357413296064</v>
      </c>
      <c r="W22" s="100">
        <v>4530.8685077690234</v>
      </c>
      <c r="X22" s="100">
        <v>15</v>
      </c>
      <c r="Y22" s="100">
        <v>2808</v>
      </c>
      <c r="Z22" s="100">
        <v>24</v>
      </c>
      <c r="AA22" s="100">
        <v>4492.7999999999993</v>
      </c>
      <c r="AB22" s="100">
        <v>18</v>
      </c>
      <c r="AC22" s="100">
        <v>3369.6</v>
      </c>
      <c r="AD22" s="100">
        <v>18</v>
      </c>
      <c r="AE22" s="100">
        <v>3369.6</v>
      </c>
      <c r="AF22" s="100">
        <v>18</v>
      </c>
      <c r="AG22" s="100">
        <v>3369.6</v>
      </c>
      <c r="AH22" s="100">
        <v>17.720921965427067</v>
      </c>
      <c r="AI22" s="100">
        <v>3317.3565919279467</v>
      </c>
      <c r="AJ22" s="100">
        <v>18</v>
      </c>
      <c r="AK22" s="100">
        <v>3369.6</v>
      </c>
      <c r="AL22" s="100">
        <v>18</v>
      </c>
      <c r="AM22" s="100">
        <v>3369.6</v>
      </c>
      <c r="AN22" s="100">
        <v>19</v>
      </c>
      <c r="AO22" s="100">
        <v>3556.7999999999997</v>
      </c>
      <c r="AP22" s="100">
        <v>23</v>
      </c>
      <c r="AQ22" s="100">
        <v>4305.5999999999995</v>
      </c>
      <c r="AR22" s="100">
        <v>23</v>
      </c>
      <c r="AS22" s="100">
        <v>4305.5999999999995</v>
      </c>
      <c r="AT22" s="100">
        <v>24.450164243693735</v>
      </c>
      <c r="AU22" s="100">
        <v>4577.0707464194666</v>
      </c>
      <c r="AV22" s="100">
        <v>22.91808908535123</v>
      </c>
      <c r="AW22" s="100">
        <v>4290.2662767777501</v>
      </c>
      <c r="AX22" s="100">
        <v>22.204560139774003</v>
      </c>
      <c r="AY22" s="100">
        <v>4156.6936581656928</v>
      </c>
      <c r="AZ22" s="100">
        <v>20.386584198120133</v>
      </c>
      <c r="BA22" s="100">
        <v>3816.3685618880886</v>
      </c>
      <c r="BB22" s="100">
        <v>19.085444069322993</v>
      </c>
      <c r="BC22" s="100">
        <v>3572.7951297772638</v>
      </c>
      <c r="BD22" s="100">
        <v>14.632763936266654</v>
      </c>
      <c r="BE22" s="100">
        <v>2739.2534088691177</v>
      </c>
      <c r="BF22" s="100">
        <v>16</v>
      </c>
      <c r="BG22" s="100">
        <v>2995.2</v>
      </c>
      <c r="BH22" s="100">
        <v>29</v>
      </c>
      <c r="BI22" s="100">
        <v>5428.7999999999993</v>
      </c>
      <c r="BJ22" s="100">
        <v>18</v>
      </c>
      <c r="BK22" s="100">
        <v>3369.6</v>
      </c>
      <c r="BL22" s="100">
        <v>30</v>
      </c>
      <c r="BM22" s="100">
        <v>5616</v>
      </c>
      <c r="BN22" s="100">
        <v>24.393068867326459</v>
      </c>
      <c r="BO22" s="100">
        <v>4566.3824919635126</v>
      </c>
      <c r="BP22" s="100">
        <v>18.336669018652081</v>
      </c>
      <c r="BQ22" s="100">
        <v>3432.6244402916695</v>
      </c>
      <c r="BR22" s="100">
        <v>17</v>
      </c>
      <c r="BS22" s="100">
        <v>3182.3999999999996</v>
      </c>
      <c r="BT22" s="100">
        <v>19</v>
      </c>
      <c r="BU22" s="100">
        <v>3556.7999999999997</v>
      </c>
      <c r="BV22" s="100">
        <v>27</v>
      </c>
      <c r="BW22" s="100">
        <v>5054.3999999999996</v>
      </c>
      <c r="BX22" s="100">
        <v>22.279901328551375</v>
      </c>
      <c r="BY22" s="100">
        <v>4170.7975287048175</v>
      </c>
      <c r="BZ22" s="100">
        <v>22</v>
      </c>
      <c r="CA22" s="100">
        <v>4118.3999999999996</v>
      </c>
      <c r="CB22" s="100">
        <v>26.529562936057363</v>
      </c>
      <c r="CC22" s="100">
        <v>4966.334181629938</v>
      </c>
      <c r="CD22" s="100">
        <v>14.476836139368224</v>
      </c>
      <c r="CE22" s="100">
        <v>2710.0637252897313</v>
      </c>
      <c r="CF22" s="100">
        <v>20</v>
      </c>
      <c r="CG22" s="100">
        <v>3744</v>
      </c>
      <c r="CH22" s="100">
        <v>24.653931096427758</v>
      </c>
      <c r="CI22" s="100">
        <v>4615.2159012512757</v>
      </c>
      <c r="CJ22" s="100">
        <v>26.029900203457846</v>
      </c>
      <c r="CK22" s="100">
        <v>4872.7973180873087</v>
      </c>
      <c r="CL22" s="100">
        <v>28.822458016984648</v>
      </c>
      <c r="CM22" s="100">
        <v>5395.5641407795256</v>
      </c>
      <c r="CN22" s="100">
        <v>23.332030990611344</v>
      </c>
      <c r="CO22" s="100">
        <v>4367.7562014424429</v>
      </c>
      <c r="CP22" s="100">
        <v>22.878192856992655</v>
      </c>
      <c r="CQ22" s="100">
        <v>4282.7977028290252</v>
      </c>
      <c r="CR22" s="100">
        <v>31.697403297402211</v>
      </c>
      <c r="CS22" s="100">
        <v>5933.7538972736938</v>
      </c>
      <c r="CT22" s="100">
        <v>22.436904702275537</v>
      </c>
      <c r="CU22" s="100">
        <v>4200.1885602659804</v>
      </c>
    </row>
    <row r="23" spans="2:99">
      <c r="C23" s="99" t="s">
        <v>189</v>
      </c>
      <c r="D23" s="100">
        <v>21</v>
      </c>
      <c r="E23" s="100">
        <v>6174</v>
      </c>
      <c r="F23" s="100">
        <v>27</v>
      </c>
      <c r="G23" s="100">
        <v>7938</v>
      </c>
      <c r="H23" s="100">
        <v>26</v>
      </c>
      <c r="I23" s="100">
        <v>7644</v>
      </c>
      <c r="J23" s="100">
        <v>18</v>
      </c>
      <c r="K23" s="100">
        <v>5292</v>
      </c>
      <c r="L23" s="100">
        <v>23</v>
      </c>
      <c r="M23" s="100">
        <v>6762</v>
      </c>
      <c r="N23" s="100">
        <v>27</v>
      </c>
      <c r="O23" s="100">
        <v>7938</v>
      </c>
      <c r="P23" s="100">
        <v>29</v>
      </c>
      <c r="Q23" s="100">
        <v>8526</v>
      </c>
      <c r="R23" s="100">
        <v>25</v>
      </c>
      <c r="S23" s="100">
        <v>7350</v>
      </c>
      <c r="T23" s="100">
        <v>23</v>
      </c>
      <c r="U23" s="100">
        <v>6762</v>
      </c>
      <c r="V23" s="100">
        <v>28.685460637980519</v>
      </c>
      <c r="W23" s="100">
        <v>8433.5254275662719</v>
      </c>
      <c r="X23" s="100">
        <v>14</v>
      </c>
      <c r="Y23" s="100">
        <v>4116</v>
      </c>
      <c r="Z23" s="100">
        <v>26</v>
      </c>
      <c r="AA23" s="100">
        <v>7644</v>
      </c>
      <c r="AB23" s="100">
        <v>15</v>
      </c>
      <c r="AC23" s="100">
        <v>4410</v>
      </c>
      <c r="AD23" s="100">
        <v>17</v>
      </c>
      <c r="AE23" s="100">
        <v>4998</v>
      </c>
      <c r="AF23" s="100">
        <v>15</v>
      </c>
      <c r="AG23" s="100">
        <v>4410</v>
      </c>
      <c r="AH23" s="100">
        <v>16.033215111576865</v>
      </c>
      <c r="AI23" s="100">
        <v>4713.7652428035981</v>
      </c>
      <c r="AJ23" s="100">
        <v>20</v>
      </c>
      <c r="AK23" s="100">
        <v>5880</v>
      </c>
      <c r="AL23" s="100">
        <v>17</v>
      </c>
      <c r="AM23" s="100">
        <v>4998</v>
      </c>
      <c r="AN23" s="100">
        <v>17</v>
      </c>
      <c r="AO23" s="100">
        <v>4998</v>
      </c>
      <c r="AP23" s="100">
        <v>21</v>
      </c>
      <c r="AQ23" s="100">
        <v>6174</v>
      </c>
      <c r="AR23" s="100">
        <v>22</v>
      </c>
      <c r="AS23" s="100">
        <v>6468</v>
      </c>
      <c r="AT23" s="100">
        <v>22.763946019990716</v>
      </c>
      <c r="AU23" s="100">
        <v>6692.6001298772708</v>
      </c>
      <c r="AV23" s="100">
        <v>22.91808908535123</v>
      </c>
      <c r="AW23" s="100">
        <v>6737.9181910932621</v>
      </c>
      <c r="AX23" s="100">
        <v>23.092742545364967</v>
      </c>
      <c r="AY23" s="100">
        <v>6789.2663083373</v>
      </c>
      <c r="AZ23" s="100">
        <v>20.386584198120133</v>
      </c>
      <c r="BA23" s="100">
        <v>5993.6557542473192</v>
      </c>
      <c r="BB23" s="100">
        <v>19.085444069322993</v>
      </c>
      <c r="BC23" s="100">
        <v>5611.1205563809599</v>
      </c>
      <c r="BD23" s="100">
        <v>14.632763936266654</v>
      </c>
      <c r="BE23" s="100">
        <v>4302.0325972623959</v>
      </c>
      <c r="BF23" s="100">
        <v>16</v>
      </c>
      <c r="BG23" s="100">
        <v>4704</v>
      </c>
      <c r="BH23" s="100">
        <v>31</v>
      </c>
      <c r="BI23" s="100">
        <v>9114</v>
      </c>
      <c r="BJ23" s="100">
        <v>16</v>
      </c>
      <c r="BK23" s="100">
        <v>4704</v>
      </c>
      <c r="BL23" s="100">
        <v>28</v>
      </c>
      <c r="BM23" s="100">
        <v>8232</v>
      </c>
      <c r="BN23" s="100">
        <v>21.682727882067965</v>
      </c>
      <c r="BO23" s="100">
        <v>6374.7219973279816</v>
      </c>
      <c r="BP23" s="100">
        <v>19.253502469584685</v>
      </c>
      <c r="BQ23" s="100">
        <v>5660.5297260578973</v>
      </c>
      <c r="BR23" s="100">
        <v>19</v>
      </c>
      <c r="BS23" s="100">
        <v>5586</v>
      </c>
      <c r="BT23" s="100">
        <v>18</v>
      </c>
      <c r="BU23" s="100">
        <v>5292</v>
      </c>
      <c r="BV23" s="100">
        <v>26</v>
      </c>
      <c r="BW23" s="100">
        <v>7644</v>
      </c>
      <c r="BX23" s="100">
        <v>25.993218216643267</v>
      </c>
      <c r="BY23" s="100">
        <v>7642.0061556931205</v>
      </c>
      <c r="BZ23" s="100">
        <v>21</v>
      </c>
      <c r="CA23" s="100">
        <v>6174</v>
      </c>
      <c r="CB23" s="100">
        <v>26.529562936057363</v>
      </c>
      <c r="CC23" s="100">
        <v>7799.6915032008646</v>
      </c>
      <c r="CD23" s="100">
        <v>13.818798133033305</v>
      </c>
      <c r="CE23" s="100">
        <v>4062.7266511117914</v>
      </c>
      <c r="CF23" s="100">
        <v>23</v>
      </c>
      <c r="CG23" s="100">
        <v>6762</v>
      </c>
      <c r="CH23" s="100">
        <v>29.584717315713306</v>
      </c>
      <c r="CI23" s="100">
        <v>8697.9068908197114</v>
      </c>
      <c r="CJ23" s="100">
        <v>26.897563543573106</v>
      </c>
      <c r="CK23" s="100">
        <v>7907.8836818104937</v>
      </c>
      <c r="CL23" s="100">
        <v>23.881465214072989</v>
      </c>
      <c r="CM23" s="100">
        <v>7021.1507729374589</v>
      </c>
      <c r="CN23" s="100">
        <v>23.332030990611344</v>
      </c>
      <c r="CO23" s="100">
        <v>6859.6171112397351</v>
      </c>
      <c r="CP23" s="100">
        <v>22.08928965502739</v>
      </c>
      <c r="CQ23" s="100">
        <v>6494.2511585780521</v>
      </c>
      <c r="CR23" s="100">
        <v>28.900573594690254</v>
      </c>
      <c r="CS23" s="100">
        <v>8496.768636838935</v>
      </c>
      <c r="CT23" s="100">
        <v>21.461387106524423</v>
      </c>
      <c r="CU23" s="100">
        <v>6309.6478093181804</v>
      </c>
    </row>
    <row r="24" spans="2:99">
      <c r="C24" s="99" t="s">
        <v>190</v>
      </c>
      <c r="D24" s="100">
        <v>20</v>
      </c>
      <c r="E24" s="100">
        <v>7344</v>
      </c>
      <c r="F24" s="100">
        <v>22</v>
      </c>
      <c r="G24" s="100">
        <v>8078.4</v>
      </c>
      <c r="H24" s="100">
        <v>24</v>
      </c>
      <c r="I24" s="100">
        <v>8812.7999999999993</v>
      </c>
      <c r="J24" s="100">
        <v>18</v>
      </c>
      <c r="K24" s="100">
        <v>6609.5999999999995</v>
      </c>
      <c r="L24" s="100">
        <v>26</v>
      </c>
      <c r="M24" s="100">
        <v>9547.1999999999989</v>
      </c>
      <c r="N24" s="100">
        <v>26</v>
      </c>
      <c r="O24" s="100">
        <v>9547.1999999999989</v>
      </c>
      <c r="P24" s="100">
        <v>26</v>
      </c>
      <c r="Q24" s="100">
        <v>9547.1999999999989</v>
      </c>
      <c r="R24" s="100">
        <v>26</v>
      </c>
      <c r="S24" s="100">
        <v>9547.1999999999989</v>
      </c>
      <c r="T24" s="100">
        <v>26</v>
      </c>
      <c r="U24" s="100">
        <v>9547.1999999999989</v>
      </c>
      <c r="V24" s="100">
        <v>25.099778058232957</v>
      </c>
      <c r="W24" s="100">
        <v>9216.6385029831417</v>
      </c>
      <c r="X24" s="100">
        <v>15</v>
      </c>
      <c r="Y24" s="100">
        <v>5508</v>
      </c>
      <c r="Z24" s="100">
        <v>23</v>
      </c>
      <c r="AA24" s="100">
        <v>8445.6</v>
      </c>
      <c r="AB24" s="100">
        <v>17</v>
      </c>
      <c r="AC24" s="100">
        <v>6242.4</v>
      </c>
      <c r="AD24" s="100">
        <v>15</v>
      </c>
      <c r="AE24" s="100">
        <v>5508</v>
      </c>
      <c r="AF24" s="100">
        <v>18</v>
      </c>
      <c r="AG24" s="100">
        <v>6609.5999999999995</v>
      </c>
      <c r="AH24" s="100">
        <v>17.720921965427067</v>
      </c>
      <c r="AI24" s="100">
        <v>6507.1225457048185</v>
      </c>
      <c r="AJ24" s="100">
        <v>19</v>
      </c>
      <c r="AK24" s="100">
        <v>6976.8</v>
      </c>
      <c r="AL24" s="100">
        <v>18</v>
      </c>
      <c r="AM24" s="100">
        <v>6609.5999999999995</v>
      </c>
      <c r="AN24" s="100">
        <v>18</v>
      </c>
      <c r="AO24" s="100">
        <v>6609.5999999999995</v>
      </c>
      <c r="AP24" s="100">
        <v>20</v>
      </c>
      <c r="AQ24" s="100">
        <v>7344</v>
      </c>
      <c r="AR24" s="100">
        <v>22</v>
      </c>
      <c r="AS24" s="100">
        <v>8078.4</v>
      </c>
      <c r="AT24" s="100">
        <v>24.450164243693735</v>
      </c>
      <c r="AU24" s="100">
        <v>8978.1003102843388</v>
      </c>
      <c r="AV24" s="100">
        <v>24.827929842463835</v>
      </c>
      <c r="AW24" s="100">
        <v>9116.8158381527192</v>
      </c>
      <c r="AX24" s="100">
        <v>25.757289762137844</v>
      </c>
      <c r="AY24" s="100">
        <v>9458.0768006570161</v>
      </c>
      <c r="AZ24" s="100">
        <v>21.236025206375139</v>
      </c>
      <c r="BA24" s="100">
        <v>7797.8684557809511</v>
      </c>
      <c r="BB24" s="100">
        <v>19.085444069322993</v>
      </c>
      <c r="BC24" s="100">
        <v>7008.1750622554027</v>
      </c>
      <c r="BD24" s="100">
        <v>16.583799127768877</v>
      </c>
      <c r="BE24" s="100">
        <v>6089.5710397167313</v>
      </c>
      <c r="BF24" s="100">
        <v>16</v>
      </c>
      <c r="BG24" s="100">
        <v>5875.2</v>
      </c>
      <c r="BH24" s="100">
        <v>30</v>
      </c>
      <c r="BI24" s="100">
        <v>11016</v>
      </c>
      <c r="BJ24" s="100">
        <v>17</v>
      </c>
      <c r="BK24" s="100">
        <v>6242.4</v>
      </c>
      <c r="BL24" s="100">
        <v>29</v>
      </c>
      <c r="BM24" s="100">
        <v>10648.8</v>
      </c>
      <c r="BN24" s="100">
        <v>23.489621872240299</v>
      </c>
      <c r="BO24" s="100">
        <v>8625.3891514866373</v>
      </c>
      <c r="BP24" s="100">
        <v>20.170335920517292</v>
      </c>
      <c r="BQ24" s="100">
        <v>7406.5473500139497</v>
      </c>
      <c r="BR24" s="100">
        <v>18</v>
      </c>
      <c r="BS24" s="100">
        <v>6609.5999999999995</v>
      </c>
      <c r="BT24" s="100">
        <v>21</v>
      </c>
      <c r="BU24" s="100">
        <v>7711.2</v>
      </c>
      <c r="BV24" s="100">
        <v>25</v>
      </c>
      <c r="BW24" s="100">
        <v>9180</v>
      </c>
      <c r="BX24" s="100">
        <v>25.993218216643267</v>
      </c>
      <c r="BY24" s="100">
        <v>9544.7097291514074</v>
      </c>
      <c r="BZ24" s="100">
        <v>19</v>
      </c>
      <c r="CA24" s="100">
        <v>6976.8</v>
      </c>
      <c r="CB24" s="100">
        <v>22.992287877916386</v>
      </c>
      <c r="CC24" s="100">
        <v>8442.768108770897</v>
      </c>
      <c r="CD24" s="100">
        <v>13.818798133033305</v>
      </c>
      <c r="CE24" s="100">
        <v>5074.2626744498293</v>
      </c>
      <c r="CF24" s="100">
        <v>22</v>
      </c>
      <c r="CG24" s="100">
        <v>8078.4</v>
      </c>
      <c r="CH24" s="100">
        <v>24.653931096427758</v>
      </c>
      <c r="CI24" s="100">
        <v>9052.923498608272</v>
      </c>
      <c r="CJ24" s="100">
        <v>23.426910183112057</v>
      </c>
      <c r="CK24" s="100">
        <v>8602.3614192387467</v>
      </c>
      <c r="CL24" s="100">
        <v>26.351961615528818</v>
      </c>
      <c r="CM24" s="100">
        <v>9676.4403052221824</v>
      </c>
      <c r="CN24" s="100">
        <v>24.165317811704604</v>
      </c>
      <c r="CO24" s="100">
        <v>8873.5047004579301</v>
      </c>
      <c r="CP24" s="100">
        <v>22.08928965502739</v>
      </c>
      <c r="CQ24" s="100">
        <v>8111.1871613260573</v>
      </c>
      <c r="CR24" s="100">
        <v>27.968297027119597</v>
      </c>
      <c r="CS24" s="100">
        <v>10269.958668358317</v>
      </c>
      <c r="CT24" s="100">
        <v>24.387939893777755</v>
      </c>
      <c r="CU24" s="100">
        <v>8955.2515289951916</v>
      </c>
    </row>
    <row r="25" spans="2:99">
      <c r="C25" s="99" t="s">
        <v>191</v>
      </c>
      <c r="D25" s="100">
        <v>20</v>
      </c>
      <c r="E25" s="100">
        <v>10608</v>
      </c>
      <c r="F25" s="100">
        <v>24</v>
      </c>
      <c r="G25" s="100">
        <v>12729.599999999999</v>
      </c>
      <c r="H25" s="100">
        <v>27</v>
      </c>
      <c r="I25" s="100">
        <v>14320.8</v>
      </c>
      <c r="J25" s="100">
        <v>16</v>
      </c>
      <c r="K25" s="100">
        <v>8486.4</v>
      </c>
      <c r="L25" s="100">
        <v>22</v>
      </c>
      <c r="M25" s="100">
        <v>11668.8</v>
      </c>
      <c r="N25" s="100">
        <v>28</v>
      </c>
      <c r="O25" s="100">
        <v>14851.199999999999</v>
      </c>
      <c r="P25" s="100">
        <v>27</v>
      </c>
      <c r="Q25" s="100">
        <v>14320.8</v>
      </c>
      <c r="R25" s="100">
        <v>22</v>
      </c>
      <c r="S25" s="100">
        <v>11668.8</v>
      </c>
      <c r="T25" s="100">
        <v>23</v>
      </c>
      <c r="U25" s="100">
        <v>12199.199999999999</v>
      </c>
      <c r="V25" s="100">
        <v>23.306936768359176</v>
      </c>
      <c r="W25" s="100">
        <v>12361.999261937706</v>
      </c>
      <c r="X25" s="100">
        <v>15</v>
      </c>
      <c r="Y25" s="100">
        <v>7956</v>
      </c>
      <c r="Z25" s="100">
        <v>22</v>
      </c>
      <c r="AA25" s="100">
        <v>11668.8</v>
      </c>
      <c r="AB25" s="100">
        <v>15</v>
      </c>
      <c r="AC25" s="100">
        <v>7956</v>
      </c>
      <c r="AD25" s="100">
        <v>15</v>
      </c>
      <c r="AE25" s="100">
        <v>7956</v>
      </c>
      <c r="AF25" s="100">
        <v>17</v>
      </c>
      <c r="AG25" s="100">
        <v>9016.7999999999993</v>
      </c>
      <c r="AH25" s="100">
        <v>16.033215111576865</v>
      </c>
      <c r="AI25" s="100">
        <v>8504.0172951803688</v>
      </c>
      <c r="AJ25" s="100">
        <v>20</v>
      </c>
      <c r="AK25" s="100">
        <v>10608</v>
      </c>
      <c r="AL25" s="100">
        <v>19</v>
      </c>
      <c r="AM25" s="100">
        <v>10077.6</v>
      </c>
      <c r="AN25" s="100">
        <v>17</v>
      </c>
      <c r="AO25" s="100">
        <v>9016.7999999999993</v>
      </c>
      <c r="AP25" s="100">
        <v>22</v>
      </c>
      <c r="AQ25" s="100">
        <v>11668.8</v>
      </c>
      <c r="AR25" s="100">
        <v>20</v>
      </c>
      <c r="AS25" s="100">
        <v>10608</v>
      </c>
      <c r="AT25" s="100">
        <v>24.450164243693735</v>
      </c>
      <c r="AU25" s="100">
        <v>12968.367114855157</v>
      </c>
      <c r="AV25" s="100">
        <v>22.91808908535123</v>
      </c>
      <c r="AW25" s="100">
        <v>12155.754450870292</v>
      </c>
      <c r="AX25" s="100">
        <v>24.869107356546888</v>
      </c>
      <c r="AY25" s="100">
        <v>13190.574541912469</v>
      </c>
      <c r="AZ25" s="100">
        <v>18.687702181610124</v>
      </c>
      <c r="BA25" s="100">
        <v>9911.9572371260092</v>
      </c>
      <c r="BB25" s="100">
        <v>20.039716272789139</v>
      </c>
      <c r="BC25" s="100">
        <v>10629.065511087359</v>
      </c>
      <c r="BD25" s="100">
        <v>15.608281532017765</v>
      </c>
      <c r="BE25" s="100">
        <v>8278.6325245822227</v>
      </c>
      <c r="BF25" s="100">
        <v>16</v>
      </c>
      <c r="BG25" s="100">
        <v>8486.4</v>
      </c>
      <c r="BH25" s="100">
        <v>27</v>
      </c>
      <c r="BI25" s="100">
        <v>14320.8</v>
      </c>
      <c r="BJ25" s="100">
        <v>17</v>
      </c>
      <c r="BK25" s="100">
        <v>9016.7999999999993</v>
      </c>
      <c r="BL25" s="100">
        <v>28</v>
      </c>
      <c r="BM25" s="100">
        <v>14851.199999999999</v>
      </c>
      <c r="BN25" s="100">
        <v>20.779280886981798</v>
      </c>
      <c r="BO25" s="100">
        <v>11021.330582455144</v>
      </c>
      <c r="BP25" s="100">
        <v>18.336669018652081</v>
      </c>
      <c r="BQ25" s="100">
        <v>9725.7692474930627</v>
      </c>
      <c r="BR25" s="100">
        <v>17</v>
      </c>
      <c r="BS25" s="100">
        <v>9016.7999999999993</v>
      </c>
      <c r="BT25" s="100">
        <v>18</v>
      </c>
      <c r="BU25" s="100">
        <v>9547.1999999999989</v>
      </c>
      <c r="BV25" s="100">
        <v>23</v>
      </c>
      <c r="BW25" s="100">
        <v>12199.199999999999</v>
      </c>
      <c r="BX25" s="100">
        <v>24.13655977259732</v>
      </c>
      <c r="BY25" s="100">
        <v>12802.031303385618</v>
      </c>
      <c r="BZ25" s="100">
        <v>18</v>
      </c>
      <c r="CA25" s="100">
        <v>9547.1999999999989</v>
      </c>
      <c r="CB25" s="100">
        <v>26.529562936057363</v>
      </c>
      <c r="CC25" s="100">
        <v>14071.280181284825</v>
      </c>
      <c r="CD25" s="100">
        <v>15.134874145703144</v>
      </c>
      <c r="CE25" s="100">
        <v>8027.5372468809474</v>
      </c>
      <c r="CF25" s="100">
        <v>21</v>
      </c>
      <c r="CG25" s="100">
        <v>11138.4</v>
      </c>
      <c r="CH25" s="100">
        <v>23.667773852570647</v>
      </c>
      <c r="CI25" s="100">
        <v>12553.38725140347</v>
      </c>
      <c r="CJ25" s="100">
        <v>24.294573523227321</v>
      </c>
      <c r="CK25" s="100">
        <v>12885.841796719771</v>
      </c>
      <c r="CL25" s="100">
        <v>23.881465214072989</v>
      </c>
      <c r="CM25" s="100">
        <v>12666.729149544313</v>
      </c>
      <c r="CN25" s="100">
        <v>22.49874416951808</v>
      </c>
      <c r="CO25" s="100">
        <v>11933.333907512389</v>
      </c>
      <c r="CP25" s="100">
        <v>24.455999260923182</v>
      </c>
      <c r="CQ25" s="100">
        <v>12971.462007993656</v>
      </c>
      <c r="CR25" s="100">
        <v>27.036020459548944</v>
      </c>
      <c r="CS25" s="100">
        <v>14339.90525174476</v>
      </c>
      <c r="CT25" s="100">
        <v>21.461387106524423</v>
      </c>
      <c r="CU25" s="100">
        <v>11383.119721300554</v>
      </c>
    </row>
    <row r="26" spans="2:99">
      <c r="C26" s="99" t="s">
        <v>192</v>
      </c>
      <c r="D26" s="100">
        <v>20</v>
      </c>
      <c r="E26" s="100">
        <v>9720</v>
      </c>
      <c r="F26" s="100">
        <v>24</v>
      </c>
      <c r="G26" s="100">
        <v>11664</v>
      </c>
      <c r="H26" s="100">
        <v>25</v>
      </c>
      <c r="I26" s="100">
        <v>12150</v>
      </c>
      <c r="J26" s="100">
        <v>16</v>
      </c>
      <c r="K26" s="100">
        <v>7776</v>
      </c>
      <c r="L26" s="100">
        <v>25</v>
      </c>
      <c r="M26" s="100">
        <v>12150</v>
      </c>
      <c r="N26" s="100">
        <v>28</v>
      </c>
      <c r="O26" s="100">
        <v>13608</v>
      </c>
      <c r="P26" s="100">
        <v>25</v>
      </c>
      <c r="Q26" s="100">
        <v>12150</v>
      </c>
      <c r="R26" s="100">
        <v>25</v>
      </c>
      <c r="S26" s="100">
        <v>12150</v>
      </c>
      <c r="T26" s="100">
        <v>23</v>
      </c>
      <c r="U26" s="100">
        <v>11178</v>
      </c>
      <c r="V26" s="100">
        <v>23.306936768359176</v>
      </c>
      <c r="W26" s="100">
        <v>11327.171269422559</v>
      </c>
      <c r="X26" s="100">
        <v>16</v>
      </c>
      <c r="Y26" s="100">
        <v>7776</v>
      </c>
      <c r="Z26" s="100">
        <v>22</v>
      </c>
      <c r="AA26" s="100">
        <v>10692</v>
      </c>
      <c r="AB26" s="100">
        <v>14</v>
      </c>
      <c r="AC26" s="100">
        <v>6804</v>
      </c>
      <c r="AD26" s="100">
        <v>15</v>
      </c>
      <c r="AE26" s="100">
        <v>7290</v>
      </c>
      <c r="AF26" s="100">
        <v>17</v>
      </c>
      <c r="AG26" s="100">
        <v>8262</v>
      </c>
      <c r="AH26" s="100">
        <v>16.877068538501966</v>
      </c>
      <c r="AI26" s="100">
        <v>8202.2553097119562</v>
      </c>
      <c r="AJ26" s="100">
        <v>17</v>
      </c>
      <c r="AK26" s="100">
        <v>8262</v>
      </c>
      <c r="AL26" s="100">
        <v>18</v>
      </c>
      <c r="AM26" s="100">
        <v>8748</v>
      </c>
      <c r="AN26" s="100">
        <v>16</v>
      </c>
      <c r="AO26" s="100">
        <v>7776</v>
      </c>
      <c r="AP26" s="100">
        <v>24</v>
      </c>
      <c r="AQ26" s="100">
        <v>11664</v>
      </c>
      <c r="AR26" s="100">
        <v>24</v>
      </c>
      <c r="AS26" s="100">
        <v>11664</v>
      </c>
      <c r="AT26" s="100">
        <v>22.763946019990716</v>
      </c>
      <c r="AU26" s="100">
        <v>11063.277765715487</v>
      </c>
      <c r="AV26" s="100">
        <v>21.963168706794931</v>
      </c>
      <c r="AW26" s="100">
        <v>10674.099991502337</v>
      </c>
      <c r="AX26" s="100">
        <v>25.757289762137844</v>
      </c>
      <c r="AY26" s="100">
        <v>12518.042824398992</v>
      </c>
      <c r="AZ26" s="100">
        <v>17.838261173355118</v>
      </c>
      <c r="BA26" s="100">
        <v>8669.394930250588</v>
      </c>
      <c r="BB26" s="100">
        <v>19.085444069322993</v>
      </c>
      <c r="BC26" s="100">
        <v>9275.5258176909738</v>
      </c>
      <c r="BD26" s="100">
        <v>13.657246340515545</v>
      </c>
      <c r="BE26" s="100">
        <v>6637.4217214905548</v>
      </c>
      <c r="BF26" s="100">
        <v>17</v>
      </c>
      <c r="BG26" s="100">
        <v>8262</v>
      </c>
      <c r="BH26" s="100">
        <v>30</v>
      </c>
      <c r="BI26" s="100">
        <v>14580</v>
      </c>
      <c r="BJ26" s="100">
        <v>15</v>
      </c>
      <c r="BK26" s="100">
        <v>7290</v>
      </c>
      <c r="BL26" s="100">
        <v>29</v>
      </c>
      <c r="BM26" s="100">
        <v>14094</v>
      </c>
      <c r="BN26" s="100">
        <v>19.875833891895635</v>
      </c>
      <c r="BO26" s="100">
        <v>9659.655271461279</v>
      </c>
      <c r="BP26" s="100">
        <v>18.336669018652081</v>
      </c>
      <c r="BQ26" s="100">
        <v>8911.6211430649109</v>
      </c>
      <c r="BR26" s="100">
        <v>19</v>
      </c>
      <c r="BS26" s="100">
        <v>9234</v>
      </c>
      <c r="BT26" s="100">
        <v>20</v>
      </c>
      <c r="BU26" s="100">
        <v>9720</v>
      </c>
      <c r="BV26" s="100">
        <v>26</v>
      </c>
      <c r="BW26" s="100">
        <v>12636</v>
      </c>
      <c r="BX26" s="100">
        <v>25.993218216643267</v>
      </c>
      <c r="BY26" s="100">
        <v>12632.704053288628</v>
      </c>
      <c r="BZ26" s="100">
        <v>19</v>
      </c>
      <c r="CA26" s="100">
        <v>9234</v>
      </c>
      <c r="CB26" s="100">
        <v>26.529562936057363</v>
      </c>
      <c r="CC26" s="100">
        <v>12893.367586923878</v>
      </c>
      <c r="CD26" s="100">
        <v>15.792912152038063</v>
      </c>
      <c r="CE26" s="100">
        <v>7675.355305890499</v>
      </c>
      <c r="CF26" s="100">
        <v>20</v>
      </c>
      <c r="CG26" s="100">
        <v>9720</v>
      </c>
      <c r="CH26" s="100">
        <v>24.653931096427758</v>
      </c>
      <c r="CI26" s="100">
        <v>11981.810512863891</v>
      </c>
      <c r="CJ26" s="100">
        <v>26.029900203457846</v>
      </c>
      <c r="CK26" s="100">
        <v>12650.531498880513</v>
      </c>
      <c r="CL26" s="100">
        <v>26.351961615528818</v>
      </c>
      <c r="CM26" s="100">
        <v>12807.053345147006</v>
      </c>
      <c r="CN26" s="100">
        <v>24.998604632797868</v>
      </c>
      <c r="CO26" s="100">
        <v>12149.321851539764</v>
      </c>
      <c r="CP26" s="100">
        <v>24.455999260923182</v>
      </c>
      <c r="CQ26" s="100">
        <v>11885.615640808666</v>
      </c>
      <c r="CR26" s="100">
        <v>28.900573594690254</v>
      </c>
      <c r="CS26" s="100">
        <v>14045.678767019463</v>
      </c>
      <c r="CT26" s="100">
        <v>24.387939893777755</v>
      </c>
      <c r="CU26" s="100">
        <v>11852.538788375989</v>
      </c>
    </row>
    <row r="27" spans="2:99">
      <c r="C27" s="99" t="s">
        <v>193</v>
      </c>
      <c r="D27" s="100">
        <v>22</v>
      </c>
      <c r="E27" s="100">
        <v>9398.4</v>
      </c>
      <c r="F27" s="100">
        <v>24</v>
      </c>
      <c r="G27" s="100">
        <v>10252.799999999999</v>
      </c>
      <c r="H27" s="100">
        <v>27</v>
      </c>
      <c r="I27" s="100">
        <v>11534.4</v>
      </c>
      <c r="J27" s="100">
        <v>17</v>
      </c>
      <c r="K27" s="100">
        <v>7262.4</v>
      </c>
      <c r="L27" s="100">
        <v>22</v>
      </c>
      <c r="M27" s="100">
        <v>9398.4</v>
      </c>
      <c r="N27" s="100">
        <v>28</v>
      </c>
      <c r="O27" s="100">
        <v>11961.6</v>
      </c>
      <c r="P27" s="100">
        <v>26</v>
      </c>
      <c r="Q27" s="100">
        <v>11107.199999999999</v>
      </c>
      <c r="R27" s="100">
        <v>25</v>
      </c>
      <c r="S27" s="100">
        <v>10680</v>
      </c>
      <c r="T27" s="100">
        <v>24</v>
      </c>
      <c r="U27" s="100">
        <v>10252.799999999999</v>
      </c>
      <c r="V27" s="100">
        <v>26.892619348106738</v>
      </c>
      <c r="W27" s="100">
        <v>11488.526985511198</v>
      </c>
      <c r="X27" s="100">
        <v>16</v>
      </c>
      <c r="Y27" s="100">
        <v>6835.2</v>
      </c>
      <c r="Z27" s="100">
        <v>24</v>
      </c>
      <c r="AA27" s="100">
        <v>10252.799999999999</v>
      </c>
      <c r="AB27" s="100">
        <v>17</v>
      </c>
      <c r="AC27" s="100">
        <v>7262.4</v>
      </c>
      <c r="AD27" s="100">
        <v>17</v>
      </c>
      <c r="AE27" s="100">
        <v>7262.4</v>
      </c>
      <c r="AF27" s="100">
        <v>15</v>
      </c>
      <c r="AG27" s="100">
        <v>6408</v>
      </c>
      <c r="AH27" s="100">
        <v>16.033215111576865</v>
      </c>
      <c r="AI27" s="100">
        <v>6849.3894956656368</v>
      </c>
      <c r="AJ27" s="100">
        <v>18</v>
      </c>
      <c r="AK27" s="100">
        <v>7689.5999999999995</v>
      </c>
      <c r="AL27" s="100">
        <v>19</v>
      </c>
      <c r="AM27" s="100">
        <v>8116.8</v>
      </c>
      <c r="AN27" s="100">
        <v>16</v>
      </c>
      <c r="AO27" s="100">
        <v>6835.2</v>
      </c>
      <c r="AP27" s="100">
        <v>21</v>
      </c>
      <c r="AQ27" s="100">
        <v>8971.1999999999989</v>
      </c>
      <c r="AR27" s="100">
        <v>24</v>
      </c>
      <c r="AS27" s="100">
        <v>10252.799999999999</v>
      </c>
      <c r="AT27" s="100">
        <v>23.607055131842227</v>
      </c>
      <c r="AU27" s="100">
        <v>10084.933952322999</v>
      </c>
      <c r="AV27" s="100">
        <v>21.008248328238629</v>
      </c>
      <c r="AW27" s="100">
        <v>8974.7236858235428</v>
      </c>
      <c r="AX27" s="100">
        <v>24.869107356546888</v>
      </c>
      <c r="AY27" s="100">
        <v>10624.08266271683</v>
      </c>
      <c r="AZ27" s="100">
        <v>16.988820165100112</v>
      </c>
      <c r="BA27" s="100">
        <v>7257.6239745307676</v>
      </c>
      <c r="BB27" s="100">
        <v>18.131171865856842</v>
      </c>
      <c r="BC27" s="100">
        <v>7745.6366210940432</v>
      </c>
      <c r="BD27" s="100">
        <v>14.632763936266654</v>
      </c>
      <c r="BE27" s="100">
        <v>6251.1167535731147</v>
      </c>
      <c r="BF27" s="100">
        <v>17</v>
      </c>
      <c r="BG27" s="100">
        <v>7262.4</v>
      </c>
      <c r="BH27" s="100">
        <v>29</v>
      </c>
      <c r="BI27" s="100">
        <v>12388.8</v>
      </c>
      <c r="BJ27" s="100">
        <v>16</v>
      </c>
      <c r="BK27" s="100">
        <v>6835.2</v>
      </c>
      <c r="BL27" s="100">
        <v>26</v>
      </c>
      <c r="BM27" s="100">
        <v>11107.199999999999</v>
      </c>
      <c r="BN27" s="100">
        <v>19.875833891895635</v>
      </c>
      <c r="BO27" s="100">
        <v>8490.956238617815</v>
      </c>
      <c r="BP27" s="100">
        <v>20.170335920517292</v>
      </c>
      <c r="BQ27" s="100">
        <v>8616.7675052449868</v>
      </c>
      <c r="BR27" s="100">
        <v>16</v>
      </c>
      <c r="BS27" s="100">
        <v>6835.2</v>
      </c>
      <c r="BT27" s="100">
        <v>19</v>
      </c>
      <c r="BU27" s="100">
        <v>8116.8</v>
      </c>
      <c r="BV27" s="100">
        <v>27</v>
      </c>
      <c r="BW27" s="100">
        <v>11534.4</v>
      </c>
      <c r="BX27" s="100">
        <v>25.993218216643267</v>
      </c>
      <c r="BY27" s="100">
        <v>11104.302822150004</v>
      </c>
      <c r="BZ27" s="100">
        <v>21</v>
      </c>
      <c r="CA27" s="100">
        <v>8971.1999999999989</v>
      </c>
      <c r="CB27" s="100">
        <v>24.760925406986875</v>
      </c>
      <c r="CC27" s="100">
        <v>10577.867333864793</v>
      </c>
      <c r="CD27" s="100">
        <v>15.134874145703144</v>
      </c>
      <c r="CE27" s="100">
        <v>6465.6182350443833</v>
      </c>
      <c r="CF27" s="100">
        <v>21</v>
      </c>
      <c r="CG27" s="100">
        <v>8971.1999999999989</v>
      </c>
      <c r="CH27" s="100">
        <v>25.640088340284869</v>
      </c>
      <c r="CI27" s="100">
        <v>10953.445738969696</v>
      </c>
      <c r="CJ27" s="100">
        <v>26.029900203457846</v>
      </c>
      <c r="CK27" s="100">
        <v>11119.973366917191</v>
      </c>
      <c r="CL27" s="100">
        <v>26.351961615528818</v>
      </c>
      <c r="CM27" s="100">
        <v>11257.558002153912</v>
      </c>
      <c r="CN27" s="100">
        <v>21.665457348424816</v>
      </c>
      <c r="CO27" s="100">
        <v>9255.4833792470818</v>
      </c>
      <c r="CP27" s="100">
        <v>25.244902462888447</v>
      </c>
      <c r="CQ27" s="100">
        <v>10784.622332145944</v>
      </c>
      <c r="CR27" s="100">
        <v>30.765126729831557</v>
      </c>
      <c r="CS27" s="100">
        <v>13142.862138984041</v>
      </c>
      <c r="CT27" s="100">
        <v>20.485869510773316</v>
      </c>
      <c r="CU27" s="100">
        <v>8751.5634550023606</v>
      </c>
    </row>
    <row r="28" spans="2:99">
      <c r="C28" s="99" t="s">
        <v>194</v>
      </c>
      <c r="D28" s="100">
        <v>22</v>
      </c>
      <c r="E28" s="100">
        <v>16236</v>
      </c>
      <c r="F28" s="100">
        <v>21</v>
      </c>
      <c r="G28" s="100">
        <v>15498</v>
      </c>
      <c r="H28" s="100">
        <v>27</v>
      </c>
      <c r="I28" s="100">
        <v>19926</v>
      </c>
      <c r="J28" s="100">
        <v>17</v>
      </c>
      <c r="K28" s="100">
        <v>12546</v>
      </c>
      <c r="L28" s="100">
        <v>23</v>
      </c>
      <c r="M28" s="100">
        <v>16974</v>
      </c>
      <c r="N28" s="100">
        <v>28</v>
      </c>
      <c r="O28" s="100">
        <v>20664</v>
      </c>
      <c r="P28" s="100">
        <v>23</v>
      </c>
      <c r="Q28" s="100">
        <v>16974</v>
      </c>
      <c r="R28" s="100">
        <v>23</v>
      </c>
      <c r="S28" s="100">
        <v>16974</v>
      </c>
      <c r="T28" s="100">
        <v>23</v>
      </c>
      <c r="U28" s="100">
        <v>16974</v>
      </c>
      <c r="V28" s="100">
        <v>25.996198703169846</v>
      </c>
      <c r="W28" s="100">
        <v>19185.194642939347</v>
      </c>
      <c r="X28" s="100">
        <v>14</v>
      </c>
      <c r="Y28" s="100">
        <v>10332</v>
      </c>
      <c r="Z28" s="100">
        <v>23</v>
      </c>
      <c r="AA28" s="100">
        <v>16974</v>
      </c>
      <c r="AB28" s="100">
        <v>16</v>
      </c>
      <c r="AC28" s="100">
        <v>11808</v>
      </c>
      <c r="AD28" s="100">
        <v>15</v>
      </c>
      <c r="AE28" s="100">
        <v>11070</v>
      </c>
      <c r="AF28" s="100">
        <v>15</v>
      </c>
      <c r="AG28" s="100">
        <v>11070</v>
      </c>
      <c r="AH28" s="100">
        <v>15.18936168465177</v>
      </c>
      <c r="AI28" s="100">
        <v>11209.748923273006</v>
      </c>
      <c r="AJ28" s="100">
        <v>20</v>
      </c>
      <c r="AK28" s="100">
        <v>14760</v>
      </c>
      <c r="AL28" s="100">
        <v>16</v>
      </c>
      <c r="AM28" s="100">
        <v>11808</v>
      </c>
      <c r="AN28" s="100">
        <v>17</v>
      </c>
      <c r="AO28" s="100">
        <v>12546</v>
      </c>
      <c r="AP28" s="100">
        <v>20</v>
      </c>
      <c r="AQ28" s="100">
        <v>14760</v>
      </c>
      <c r="AR28" s="100">
        <v>22</v>
      </c>
      <c r="AS28" s="100">
        <v>16236</v>
      </c>
      <c r="AT28" s="100">
        <v>24.450164243693735</v>
      </c>
      <c r="AU28" s="100">
        <v>18044.221211845976</v>
      </c>
      <c r="AV28" s="100">
        <v>20.053327949682327</v>
      </c>
      <c r="AW28" s="100">
        <v>14799.356026865556</v>
      </c>
      <c r="AX28" s="100">
        <v>23.980924950955924</v>
      </c>
      <c r="AY28" s="100">
        <v>17697.922613805473</v>
      </c>
      <c r="AZ28" s="100">
        <v>19.537143189865127</v>
      </c>
      <c r="BA28" s="100">
        <v>14418.411674120463</v>
      </c>
      <c r="BB28" s="100">
        <v>19.085444069322993</v>
      </c>
      <c r="BC28" s="100">
        <v>14085.057723160369</v>
      </c>
      <c r="BD28" s="100">
        <v>14.632763936266654</v>
      </c>
      <c r="BE28" s="100">
        <v>10798.979784964791</v>
      </c>
      <c r="BF28" s="100">
        <v>15</v>
      </c>
      <c r="BG28" s="100">
        <v>11070</v>
      </c>
      <c r="BH28" s="100">
        <v>27</v>
      </c>
      <c r="BI28" s="100">
        <v>19926</v>
      </c>
      <c r="BJ28" s="100">
        <v>14</v>
      </c>
      <c r="BK28" s="100">
        <v>10332</v>
      </c>
      <c r="BL28" s="100">
        <v>28</v>
      </c>
      <c r="BM28" s="100">
        <v>20664</v>
      </c>
      <c r="BN28" s="100">
        <v>21.682727882067965</v>
      </c>
      <c r="BO28" s="100">
        <v>16001.853176966159</v>
      </c>
      <c r="BP28" s="100">
        <v>18.336669018652081</v>
      </c>
      <c r="BQ28" s="100">
        <v>13532.461735765237</v>
      </c>
      <c r="BR28" s="100">
        <v>18</v>
      </c>
      <c r="BS28" s="100">
        <v>13284</v>
      </c>
      <c r="BT28" s="100">
        <v>17</v>
      </c>
      <c r="BU28" s="100">
        <v>12546</v>
      </c>
      <c r="BV28" s="100">
        <v>24</v>
      </c>
      <c r="BW28" s="100">
        <v>17712</v>
      </c>
      <c r="BX28" s="100">
        <v>23.208230550574346</v>
      </c>
      <c r="BY28" s="100">
        <v>17127.674146323869</v>
      </c>
      <c r="BZ28" s="100">
        <v>18</v>
      </c>
      <c r="CA28" s="100">
        <v>13284</v>
      </c>
      <c r="CB28" s="100">
        <v>23.876606642451627</v>
      </c>
      <c r="CC28" s="100">
        <v>17620.9357021293</v>
      </c>
      <c r="CD28" s="100">
        <v>15.134874145703144</v>
      </c>
      <c r="CE28" s="100">
        <v>11169.537119528921</v>
      </c>
      <c r="CF28" s="100">
        <v>19</v>
      </c>
      <c r="CG28" s="100">
        <v>14022</v>
      </c>
      <c r="CH28" s="100">
        <v>22.681616608713536</v>
      </c>
      <c r="CI28" s="100">
        <v>16739.03305723059</v>
      </c>
      <c r="CJ28" s="100">
        <v>22.559246842996796</v>
      </c>
      <c r="CK28" s="100">
        <v>16648.724170131634</v>
      </c>
      <c r="CL28" s="100">
        <v>26.351961615528818</v>
      </c>
      <c r="CM28" s="100">
        <v>19447.74767226027</v>
      </c>
      <c r="CN28" s="100">
        <v>21.665457348424816</v>
      </c>
      <c r="CO28" s="100">
        <v>15989.107523137514</v>
      </c>
      <c r="CP28" s="100">
        <v>22.878192856992655</v>
      </c>
      <c r="CQ28" s="100">
        <v>16884.106328460581</v>
      </c>
      <c r="CR28" s="100">
        <v>25.171467324407637</v>
      </c>
      <c r="CS28" s="100">
        <v>18576.542885412837</v>
      </c>
      <c r="CT28" s="100">
        <v>21.461387106524423</v>
      </c>
      <c r="CU28" s="100">
        <v>15838.503684615025</v>
      </c>
    </row>
    <row r="29" spans="2:99">
      <c r="C29" s="99" t="s">
        <v>195</v>
      </c>
      <c r="D29" s="100">
        <v>23</v>
      </c>
      <c r="E29" s="100">
        <v>7783.2</v>
      </c>
      <c r="F29" s="100">
        <v>22</v>
      </c>
      <c r="G29" s="100">
        <v>7444.7999999999993</v>
      </c>
      <c r="H29" s="100">
        <v>24</v>
      </c>
      <c r="I29" s="100">
        <v>8121.5999999999995</v>
      </c>
      <c r="J29" s="100">
        <v>18</v>
      </c>
      <c r="K29" s="100">
        <v>6091.2</v>
      </c>
      <c r="L29" s="100">
        <v>22</v>
      </c>
      <c r="M29" s="100">
        <v>7444.7999999999993</v>
      </c>
      <c r="N29" s="100">
        <v>28</v>
      </c>
      <c r="O29" s="100">
        <v>9475.1999999999989</v>
      </c>
      <c r="P29" s="100">
        <v>26</v>
      </c>
      <c r="Q29" s="100">
        <v>8798.4</v>
      </c>
      <c r="R29" s="100">
        <v>26</v>
      </c>
      <c r="S29" s="100">
        <v>8798.4</v>
      </c>
      <c r="T29" s="100">
        <v>25</v>
      </c>
      <c r="U29" s="100">
        <v>8460</v>
      </c>
      <c r="V29" s="100">
        <v>28.685460637980519</v>
      </c>
      <c r="W29" s="100">
        <v>9707.1598798926061</v>
      </c>
      <c r="X29" s="100">
        <v>16</v>
      </c>
      <c r="Y29" s="100">
        <v>5414.4</v>
      </c>
      <c r="Z29" s="100">
        <v>21</v>
      </c>
      <c r="AA29" s="100">
        <v>7106.4</v>
      </c>
      <c r="AB29" s="100">
        <v>16</v>
      </c>
      <c r="AC29" s="100">
        <v>5414.4</v>
      </c>
      <c r="AD29" s="100">
        <v>17</v>
      </c>
      <c r="AE29" s="100">
        <v>5752.7999999999993</v>
      </c>
      <c r="AF29" s="100">
        <v>17</v>
      </c>
      <c r="AG29" s="100">
        <v>5752.7999999999993</v>
      </c>
      <c r="AH29" s="100">
        <v>17.720921965427067</v>
      </c>
      <c r="AI29" s="100">
        <v>5996.7599931005188</v>
      </c>
      <c r="AJ29" s="100">
        <v>21</v>
      </c>
      <c r="AK29" s="100">
        <v>7106.4</v>
      </c>
      <c r="AL29" s="100">
        <v>20</v>
      </c>
      <c r="AM29" s="100">
        <v>6768</v>
      </c>
      <c r="AN29" s="100">
        <v>18</v>
      </c>
      <c r="AO29" s="100">
        <v>6091.2</v>
      </c>
      <c r="AP29" s="100">
        <v>22</v>
      </c>
      <c r="AQ29" s="100">
        <v>7444.7999999999993</v>
      </c>
      <c r="AR29" s="100">
        <v>21</v>
      </c>
      <c r="AS29" s="100">
        <v>7106.4</v>
      </c>
      <c r="AT29" s="100">
        <v>25.293273355545246</v>
      </c>
      <c r="AU29" s="100">
        <v>8559.2437035165112</v>
      </c>
      <c r="AV29" s="100">
        <v>25.782850221020137</v>
      </c>
      <c r="AW29" s="100">
        <v>8724.9165147932144</v>
      </c>
      <c r="AX29" s="100">
        <v>25.757289762137844</v>
      </c>
      <c r="AY29" s="100">
        <v>8716.2668555074451</v>
      </c>
      <c r="AZ29" s="100">
        <v>18.687702181610124</v>
      </c>
      <c r="BA29" s="100">
        <v>6323.9184182568652</v>
      </c>
      <c r="BB29" s="100">
        <v>20.993988476255293</v>
      </c>
      <c r="BC29" s="100">
        <v>7104.3657003647904</v>
      </c>
      <c r="BD29" s="100">
        <v>16.583799127768877</v>
      </c>
      <c r="BE29" s="100">
        <v>5611.9576248369876</v>
      </c>
      <c r="BF29" s="100">
        <v>18</v>
      </c>
      <c r="BG29" s="100">
        <v>6091.2</v>
      </c>
      <c r="BH29" s="100">
        <v>30</v>
      </c>
      <c r="BI29" s="100">
        <v>10152</v>
      </c>
      <c r="BJ29" s="100">
        <v>16</v>
      </c>
      <c r="BK29" s="100">
        <v>5414.4</v>
      </c>
      <c r="BL29" s="100">
        <v>29</v>
      </c>
      <c r="BM29" s="100">
        <v>9813.5999999999985</v>
      </c>
      <c r="BN29" s="100">
        <v>20.779280886981798</v>
      </c>
      <c r="BO29" s="100">
        <v>7031.7086521546398</v>
      </c>
      <c r="BP29" s="100">
        <v>17.419835567719478</v>
      </c>
      <c r="BQ29" s="100">
        <v>5894.8723561162706</v>
      </c>
      <c r="BR29" s="100">
        <v>19</v>
      </c>
      <c r="BS29" s="100">
        <v>6429.5999999999995</v>
      </c>
      <c r="BT29" s="100">
        <v>18</v>
      </c>
      <c r="BU29" s="100">
        <v>6091.2</v>
      </c>
      <c r="BV29" s="100">
        <v>26</v>
      </c>
      <c r="BW29" s="100">
        <v>8798.4</v>
      </c>
      <c r="BX29" s="100">
        <v>23.208230550574346</v>
      </c>
      <c r="BY29" s="100">
        <v>7853.6652183143578</v>
      </c>
      <c r="BZ29" s="100">
        <v>19</v>
      </c>
      <c r="CA29" s="100">
        <v>6429.5999999999995</v>
      </c>
      <c r="CB29" s="100">
        <v>25.645244171522119</v>
      </c>
      <c r="CC29" s="100">
        <v>8678.3506276430853</v>
      </c>
      <c r="CD29" s="100">
        <v>15.792912152038063</v>
      </c>
      <c r="CE29" s="100">
        <v>5344.3214722496805</v>
      </c>
      <c r="CF29" s="100">
        <v>22</v>
      </c>
      <c r="CG29" s="100">
        <v>7444.7999999999993</v>
      </c>
      <c r="CH29" s="100">
        <v>27.612402827999091</v>
      </c>
      <c r="CI29" s="100">
        <v>9344.0371169948921</v>
      </c>
      <c r="CJ29" s="100">
        <v>24.294573523227321</v>
      </c>
      <c r="CK29" s="100">
        <v>8221.283680260125</v>
      </c>
      <c r="CL29" s="100">
        <v>23.881465214072989</v>
      </c>
      <c r="CM29" s="100">
        <v>8081.4878284422994</v>
      </c>
      <c r="CN29" s="100">
        <v>21.665457348424816</v>
      </c>
      <c r="CO29" s="100">
        <v>7331.5907667069569</v>
      </c>
      <c r="CP29" s="100">
        <v>22.08928965502739</v>
      </c>
      <c r="CQ29" s="100">
        <v>7475.0156192612685</v>
      </c>
      <c r="CR29" s="100">
        <v>30.765126729831557</v>
      </c>
      <c r="CS29" s="100">
        <v>10410.918885374998</v>
      </c>
      <c r="CT29" s="100">
        <v>23.412422298026645</v>
      </c>
      <c r="CU29" s="100">
        <v>7922.7637056522162</v>
      </c>
    </row>
    <row r="30" spans="2:99">
      <c r="C30" s="99" t="s">
        <v>196</v>
      </c>
      <c r="D30" s="100">
        <v>23</v>
      </c>
      <c r="E30" s="100">
        <v>3201.6</v>
      </c>
      <c r="F30" s="100">
        <v>27</v>
      </c>
      <c r="G30" s="100">
        <v>3758.3999999999996</v>
      </c>
      <c r="H30" s="100">
        <v>25</v>
      </c>
      <c r="I30" s="100">
        <v>3479.9999999999995</v>
      </c>
      <c r="J30" s="100">
        <v>16</v>
      </c>
      <c r="K30" s="100">
        <v>2227.1999999999998</v>
      </c>
      <c r="L30" s="100">
        <v>26</v>
      </c>
      <c r="M30" s="100">
        <v>3619.2</v>
      </c>
      <c r="N30" s="100">
        <v>27</v>
      </c>
      <c r="O30" s="100">
        <v>3758.3999999999996</v>
      </c>
      <c r="P30" s="100">
        <v>25</v>
      </c>
      <c r="Q30" s="100">
        <v>3479.9999999999995</v>
      </c>
      <c r="R30" s="100">
        <v>27</v>
      </c>
      <c r="S30" s="100">
        <v>3758.3999999999996</v>
      </c>
      <c r="T30" s="100">
        <v>27</v>
      </c>
      <c r="U30" s="100">
        <v>3758.3999999999996</v>
      </c>
      <c r="V30" s="100">
        <v>27.789039993043627</v>
      </c>
      <c r="W30" s="100">
        <v>3868.2343670316727</v>
      </c>
      <c r="X30" s="100">
        <v>16</v>
      </c>
      <c r="Y30" s="100">
        <v>2227.1999999999998</v>
      </c>
      <c r="Z30" s="100">
        <v>26</v>
      </c>
      <c r="AA30" s="100">
        <v>3619.2</v>
      </c>
      <c r="AB30" s="100">
        <v>18</v>
      </c>
      <c r="AC30" s="100">
        <v>2505.6</v>
      </c>
      <c r="AD30" s="100">
        <v>17</v>
      </c>
      <c r="AE30" s="100">
        <v>2366.3999999999996</v>
      </c>
      <c r="AF30" s="100">
        <v>18</v>
      </c>
      <c r="AG30" s="100">
        <v>2505.6</v>
      </c>
      <c r="AH30" s="100">
        <v>17.720921965427067</v>
      </c>
      <c r="AI30" s="100">
        <v>2466.7523375874475</v>
      </c>
      <c r="AJ30" s="100">
        <v>20</v>
      </c>
      <c r="AK30" s="100">
        <v>2784</v>
      </c>
      <c r="AL30" s="100">
        <v>18</v>
      </c>
      <c r="AM30" s="100">
        <v>2505.6</v>
      </c>
      <c r="AN30" s="100">
        <v>18</v>
      </c>
      <c r="AO30" s="100">
        <v>2505.6</v>
      </c>
      <c r="AP30" s="100">
        <v>22</v>
      </c>
      <c r="AQ30" s="100">
        <v>3062.3999999999996</v>
      </c>
      <c r="AR30" s="100">
        <v>23</v>
      </c>
      <c r="AS30" s="100">
        <v>3201.6</v>
      </c>
      <c r="AT30" s="100">
        <v>24.450164243693735</v>
      </c>
      <c r="AU30" s="100">
        <v>3403.4628627221678</v>
      </c>
      <c r="AV30" s="100">
        <v>24.827929842463835</v>
      </c>
      <c r="AW30" s="100">
        <v>3456.0478340709656</v>
      </c>
      <c r="AX30" s="100">
        <v>22.204560139774003</v>
      </c>
      <c r="AY30" s="100">
        <v>3090.8747714565411</v>
      </c>
      <c r="AZ30" s="100">
        <v>21.236025206375139</v>
      </c>
      <c r="BA30" s="100">
        <v>2956.054708727419</v>
      </c>
      <c r="BB30" s="100">
        <v>19.085444069322993</v>
      </c>
      <c r="BC30" s="100">
        <v>2656.6938144497603</v>
      </c>
      <c r="BD30" s="100">
        <v>14.632763936266654</v>
      </c>
      <c r="BE30" s="100">
        <v>2036.880739928318</v>
      </c>
      <c r="BF30" s="100">
        <v>19</v>
      </c>
      <c r="BG30" s="100">
        <v>2644.7999999999997</v>
      </c>
      <c r="BH30" s="100">
        <v>29</v>
      </c>
      <c r="BI30" s="100">
        <v>4036.7999999999997</v>
      </c>
      <c r="BJ30" s="100">
        <v>16</v>
      </c>
      <c r="BK30" s="100">
        <v>2227.1999999999998</v>
      </c>
      <c r="BL30" s="100">
        <v>31</v>
      </c>
      <c r="BM30" s="100">
        <v>4315.2</v>
      </c>
      <c r="BN30" s="100">
        <v>20.779280886981798</v>
      </c>
      <c r="BO30" s="100">
        <v>2892.4758994678659</v>
      </c>
      <c r="BP30" s="100">
        <v>21.087169371449896</v>
      </c>
      <c r="BQ30" s="100">
        <v>2935.3339765058254</v>
      </c>
      <c r="BR30" s="100">
        <v>17</v>
      </c>
      <c r="BS30" s="100">
        <v>2366.3999999999996</v>
      </c>
      <c r="BT30" s="100">
        <v>20</v>
      </c>
      <c r="BU30" s="100">
        <v>2784</v>
      </c>
      <c r="BV30" s="100">
        <v>24</v>
      </c>
      <c r="BW30" s="100">
        <v>3340.7999999999997</v>
      </c>
      <c r="BX30" s="100">
        <v>23.208230550574346</v>
      </c>
      <c r="BY30" s="100">
        <v>3230.5856926399488</v>
      </c>
      <c r="BZ30" s="100">
        <v>20</v>
      </c>
      <c r="CA30" s="100">
        <v>2784</v>
      </c>
      <c r="CB30" s="100">
        <v>26.529562936057363</v>
      </c>
      <c r="CC30" s="100">
        <v>3692.9151606991845</v>
      </c>
      <c r="CD30" s="100">
        <v>16.450950158372983</v>
      </c>
      <c r="CE30" s="100">
        <v>2289.9722620455191</v>
      </c>
      <c r="CF30" s="100">
        <v>20</v>
      </c>
      <c r="CG30" s="100">
        <v>2784</v>
      </c>
      <c r="CH30" s="100">
        <v>25.640088340284869</v>
      </c>
      <c r="CI30" s="100">
        <v>3569.1002969676533</v>
      </c>
      <c r="CJ30" s="100">
        <v>25.162236863342585</v>
      </c>
      <c r="CK30" s="100">
        <v>3502.5833713772877</v>
      </c>
      <c r="CL30" s="100">
        <v>23.881465214072989</v>
      </c>
      <c r="CM30" s="100">
        <v>3324.2999577989599</v>
      </c>
      <c r="CN30" s="100">
        <v>23.332030990611344</v>
      </c>
      <c r="CO30" s="100">
        <v>3247.8187138930989</v>
      </c>
      <c r="CP30" s="100">
        <v>26.033805664853709</v>
      </c>
      <c r="CQ30" s="100">
        <v>3623.905748547636</v>
      </c>
      <c r="CR30" s="100">
        <v>31.697403297402211</v>
      </c>
      <c r="CS30" s="100">
        <v>4412.2785389983874</v>
      </c>
      <c r="CT30" s="100">
        <v>22.436904702275537</v>
      </c>
      <c r="CU30" s="100">
        <v>3123.2171345567544</v>
      </c>
    </row>
    <row r="31" spans="2:99">
      <c r="C31" s="99" t="s">
        <v>197</v>
      </c>
      <c r="D31" s="100">
        <v>21</v>
      </c>
      <c r="E31" s="100">
        <v>7156.8</v>
      </c>
      <c r="F31" s="100">
        <v>25</v>
      </c>
      <c r="G31" s="100">
        <v>8520</v>
      </c>
      <c r="H31" s="100">
        <v>28</v>
      </c>
      <c r="I31" s="100">
        <v>9542.4</v>
      </c>
      <c r="J31" s="100">
        <v>18</v>
      </c>
      <c r="K31" s="100">
        <v>6134.4000000000005</v>
      </c>
      <c r="L31" s="100">
        <v>24</v>
      </c>
      <c r="M31" s="100">
        <v>8179.2000000000007</v>
      </c>
      <c r="N31" s="100">
        <v>29</v>
      </c>
      <c r="O31" s="100">
        <v>9883.2000000000007</v>
      </c>
      <c r="P31" s="100">
        <v>26</v>
      </c>
      <c r="Q31" s="100">
        <v>8860.8000000000011</v>
      </c>
      <c r="R31" s="100">
        <v>27</v>
      </c>
      <c r="S31" s="100">
        <v>9201.6</v>
      </c>
      <c r="T31" s="100">
        <v>26</v>
      </c>
      <c r="U31" s="100">
        <v>8860.8000000000011</v>
      </c>
      <c r="V31" s="100">
        <v>26.892619348106738</v>
      </c>
      <c r="W31" s="100">
        <v>9165.0046738347773</v>
      </c>
      <c r="X31" s="100">
        <v>15</v>
      </c>
      <c r="Y31" s="100">
        <v>5112</v>
      </c>
      <c r="Z31" s="100">
        <v>25</v>
      </c>
      <c r="AA31" s="100">
        <v>8520</v>
      </c>
      <c r="AB31" s="100">
        <v>17</v>
      </c>
      <c r="AC31" s="100">
        <v>5793.6</v>
      </c>
      <c r="AD31" s="100">
        <v>17</v>
      </c>
      <c r="AE31" s="100">
        <v>5793.6</v>
      </c>
      <c r="AF31" s="100">
        <v>15</v>
      </c>
      <c r="AG31" s="100">
        <v>5112</v>
      </c>
      <c r="AH31" s="100">
        <v>18.564775392352161</v>
      </c>
      <c r="AI31" s="100">
        <v>6326.8754537136165</v>
      </c>
      <c r="AJ31" s="100">
        <v>19</v>
      </c>
      <c r="AK31" s="100">
        <v>6475.2</v>
      </c>
      <c r="AL31" s="100">
        <v>18</v>
      </c>
      <c r="AM31" s="100">
        <v>6134.4000000000005</v>
      </c>
      <c r="AN31" s="100">
        <v>18</v>
      </c>
      <c r="AO31" s="100">
        <v>6134.4000000000005</v>
      </c>
      <c r="AP31" s="100">
        <v>23</v>
      </c>
      <c r="AQ31" s="100">
        <v>7838.4000000000005</v>
      </c>
      <c r="AR31" s="100">
        <v>23</v>
      </c>
      <c r="AS31" s="100">
        <v>7838.4000000000005</v>
      </c>
      <c r="AT31" s="100">
        <v>24.450164243693735</v>
      </c>
      <c r="AU31" s="100">
        <v>8332.6159742508244</v>
      </c>
      <c r="AV31" s="100">
        <v>21.963168706794931</v>
      </c>
      <c r="AW31" s="100">
        <v>7485.047895275713</v>
      </c>
      <c r="AX31" s="100">
        <v>24.869107356546888</v>
      </c>
      <c r="AY31" s="100">
        <v>8475.3917871111789</v>
      </c>
      <c r="AZ31" s="100">
        <v>17.838261173355118</v>
      </c>
      <c r="BA31" s="100">
        <v>6079.2794078794241</v>
      </c>
      <c r="BB31" s="100">
        <v>21.948260679721443</v>
      </c>
      <c r="BC31" s="100">
        <v>7479.9672396490678</v>
      </c>
      <c r="BD31" s="100">
        <v>14.632763936266654</v>
      </c>
      <c r="BE31" s="100">
        <v>4986.8459494796762</v>
      </c>
      <c r="BF31" s="100">
        <v>17</v>
      </c>
      <c r="BG31" s="100">
        <v>5793.6</v>
      </c>
      <c r="BH31" s="100">
        <v>30</v>
      </c>
      <c r="BI31" s="100">
        <v>10224</v>
      </c>
      <c r="BJ31" s="100">
        <v>18</v>
      </c>
      <c r="BK31" s="100">
        <v>6134.4000000000005</v>
      </c>
      <c r="BL31" s="100">
        <v>27</v>
      </c>
      <c r="BM31" s="100">
        <v>9201.6</v>
      </c>
      <c r="BN31" s="100">
        <v>22.586174877154132</v>
      </c>
      <c r="BO31" s="100">
        <v>7697.3683981341283</v>
      </c>
      <c r="BP31" s="100">
        <v>19.253502469584685</v>
      </c>
      <c r="BQ31" s="100">
        <v>6561.5936416344612</v>
      </c>
      <c r="BR31" s="100">
        <v>17</v>
      </c>
      <c r="BS31" s="100">
        <v>5793.6</v>
      </c>
      <c r="BT31" s="100">
        <v>20</v>
      </c>
      <c r="BU31" s="100">
        <v>6816</v>
      </c>
      <c r="BV31" s="100">
        <v>27</v>
      </c>
      <c r="BW31" s="100">
        <v>9201.6</v>
      </c>
      <c r="BX31" s="100">
        <v>25.064888994620297</v>
      </c>
      <c r="BY31" s="100">
        <v>8542.1141693665977</v>
      </c>
      <c r="BZ31" s="100">
        <v>18</v>
      </c>
      <c r="CA31" s="100">
        <v>6134.4000000000005</v>
      </c>
      <c r="CB31" s="100">
        <v>24.760925406986875</v>
      </c>
      <c r="CC31" s="100">
        <v>8438.5233787011275</v>
      </c>
      <c r="CD31" s="100">
        <v>15.792912152038063</v>
      </c>
      <c r="CE31" s="100">
        <v>5382.224461414572</v>
      </c>
      <c r="CF31" s="100">
        <v>19</v>
      </c>
      <c r="CG31" s="100">
        <v>6475.2</v>
      </c>
      <c r="CH31" s="100">
        <v>23.667773852570647</v>
      </c>
      <c r="CI31" s="100">
        <v>8065.9773289560771</v>
      </c>
      <c r="CJ31" s="100">
        <v>25.162236863342585</v>
      </c>
      <c r="CK31" s="100">
        <v>8575.2903230271531</v>
      </c>
      <c r="CL31" s="100">
        <v>24.704964014558268</v>
      </c>
      <c r="CM31" s="100">
        <v>8419.451736161458</v>
      </c>
      <c r="CN31" s="100">
        <v>24.165317811704604</v>
      </c>
      <c r="CO31" s="100">
        <v>8235.5403102289292</v>
      </c>
      <c r="CP31" s="100">
        <v>23.667096058957917</v>
      </c>
      <c r="CQ31" s="100">
        <v>8065.7463368928584</v>
      </c>
      <c r="CR31" s="100">
        <v>27.968297027119597</v>
      </c>
      <c r="CS31" s="100">
        <v>9531.5956268423597</v>
      </c>
      <c r="CT31" s="100">
        <v>24.387939893777755</v>
      </c>
      <c r="CU31" s="100">
        <v>8311.4099157994588</v>
      </c>
    </row>
    <row r="32" spans="2:99">
      <c r="C32" s="99" t="s">
        <v>198</v>
      </c>
      <c r="D32" s="100">
        <v>21</v>
      </c>
      <c r="E32" s="100">
        <v>17640</v>
      </c>
      <c r="F32" s="100">
        <v>21</v>
      </c>
      <c r="G32" s="100">
        <v>17640</v>
      </c>
      <c r="H32" s="100">
        <v>23</v>
      </c>
      <c r="I32" s="100">
        <v>19320</v>
      </c>
      <c r="J32" s="100">
        <v>17</v>
      </c>
      <c r="K32" s="100">
        <v>14280</v>
      </c>
      <c r="L32" s="100">
        <v>22</v>
      </c>
      <c r="M32" s="100">
        <v>18480</v>
      </c>
      <c r="N32" s="100">
        <v>25</v>
      </c>
      <c r="O32" s="100">
        <v>21000</v>
      </c>
      <c r="P32" s="100">
        <v>23</v>
      </c>
      <c r="Q32" s="100">
        <v>19320</v>
      </c>
      <c r="R32" s="100">
        <v>25</v>
      </c>
      <c r="S32" s="100">
        <v>21000</v>
      </c>
      <c r="T32" s="100">
        <v>25</v>
      </c>
      <c r="U32" s="100">
        <v>21000</v>
      </c>
      <c r="V32" s="100">
        <v>25.099778058232957</v>
      </c>
      <c r="W32" s="100">
        <v>21083.813568915684</v>
      </c>
      <c r="X32" s="100">
        <v>14</v>
      </c>
      <c r="Y32" s="100">
        <v>11760</v>
      </c>
      <c r="Z32" s="100">
        <v>20</v>
      </c>
      <c r="AA32" s="100">
        <v>16800</v>
      </c>
      <c r="AB32" s="100">
        <v>15</v>
      </c>
      <c r="AC32" s="100">
        <v>12600</v>
      </c>
      <c r="AD32" s="100">
        <v>14</v>
      </c>
      <c r="AE32" s="100">
        <v>11760</v>
      </c>
      <c r="AF32" s="100">
        <v>14</v>
      </c>
      <c r="AG32" s="100">
        <v>11760</v>
      </c>
      <c r="AH32" s="100">
        <v>16.033215111576865</v>
      </c>
      <c r="AI32" s="100">
        <v>13467.900693724567</v>
      </c>
      <c r="AJ32" s="100">
        <v>17</v>
      </c>
      <c r="AK32" s="100">
        <v>14280</v>
      </c>
      <c r="AL32" s="100">
        <v>18</v>
      </c>
      <c r="AM32" s="100">
        <v>15120</v>
      </c>
      <c r="AN32" s="100">
        <v>15</v>
      </c>
      <c r="AO32" s="100">
        <v>12600</v>
      </c>
      <c r="AP32" s="100">
        <v>21</v>
      </c>
      <c r="AQ32" s="100">
        <v>17640</v>
      </c>
      <c r="AR32" s="100">
        <v>22</v>
      </c>
      <c r="AS32" s="100">
        <v>18480</v>
      </c>
      <c r="AT32" s="100">
        <v>23.607055131842227</v>
      </c>
      <c r="AU32" s="100">
        <v>19829.926310747469</v>
      </c>
      <c r="AV32" s="100">
        <v>21.963168706794931</v>
      </c>
      <c r="AW32" s="100">
        <v>18449.061713707742</v>
      </c>
      <c r="AX32" s="100">
        <v>22.204560139774003</v>
      </c>
      <c r="AY32" s="100">
        <v>18651.830517410162</v>
      </c>
      <c r="AZ32" s="100">
        <v>19.537143189865127</v>
      </c>
      <c r="BA32" s="100">
        <v>16411.200279486708</v>
      </c>
      <c r="BB32" s="100">
        <v>20.039716272789139</v>
      </c>
      <c r="BC32" s="100">
        <v>16833.361669142876</v>
      </c>
      <c r="BD32" s="100">
        <v>14.632763936266654</v>
      </c>
      <c r="BE32" s="100">
        <v>12291.521706463989</v>
      </c>
      <c r="BF32" s="100">
        <v>16</v>
      </c>
      <c r="BG32" s="100">
        <v>13440</v>
      </c>
      <c r="BH32" s="100">
        <v>26</v>
      </c>
      <c r="BI32" s="100">
        <v>21840</v>
      </c>
      <c r="BJ32" s="100">
        <v>17</v>
      </c>
      <c r="BK32" s="100">
        <v>14280</v>
      </c>
      <c r="BL32" s="100">
        <v>27</v>
      </c>
      <c r="BM32" s="100">
        <v>22680</v>
      </c>
      <c r="BN32" s="100">
        <v>18.972386896809471</v>
      </c>
      <c r="BO32" s="100">
        <v>15936.804993319956</v>
      </c>
      <c r="BP32" s="100">
        <v>17.419835567719478</v>
      </c>
      <c r="BQ32" s="100">
        <v>14632.661876884362</v>
      </c>
      <c r="BR32" s="100">
        <v>17</v>
      </c>
      <c r="BS32" s="100">
        <v>14280</v>
      </c>
      <c r="BT32" s="100">
        <v>18</v>
      </c>
      <c r="BU32" s="100">
        <v>15120</v>
      </c>
      <c r="BV32" s="100">
        <v>22</v>
      </c>
      <c r="BW32" s="100">
        <v>18480</v>
      </c>
      <c r="BX32" s="100">
        <v>24.13655977259732</v>
      </c>
      <c r="BY32" s="100">
        <v>20274.710208981749</v>
      </c>
      <c r="BZ32" s="100">
        <v>17</v>
      </c>
      <c r="CA32" s="100">
        <v>14280</v>
      </c>
      <c r="CB32" s="100">
        <v>24.760925406986875</v>
      </c>
      <c r="CC32" s="100">
        <v>20799.177341868974</v>
      </c>
      <c r="CD32" s="100">
        <v>14.476836139368224</v>
      </c>
      <c r="CE32" s="100">
        <v>12160.542357069307</v>
      </c>
      <c r="CF32" s="100">
        <v>19</v>
      </c>
      <c r="CG32" s="100">
        <v>15960</v>
      </c>
      <c r="CH32" s="100">
        <v>25.640088340284869</v>
      </c>
      <c r="CI32" s="100">
        <v>21537.674205839288</v>
      </c>
      <c r="CJ32" s="100">
        <v>23.426910183112057</v>
      </c>
      <c r="CK32" s="100">
        <v>19678.604553814126</v>
      </c>
      <c r="CL32" s="100">
        <v>23.057966413587714</v>
      </c>
      <c r="CM32" s="100">
        <v>19368.691787413678</v>
      </c>
      <c r="CN32" s="100">
        <v>19.998883706238292</v>
      </c>
      <c r="CO32" s="100">
        <v>16799.062313240167</v>
      </c>
      <c r="CP32" s="100">
        <v>20.511483251096866</v>
      </c>
      <c r="CQ32" s="100">
        <v>17229.645930921368</v>
      </c>
      <c r="CR32" s="100">
        <v>24.239190756836983</v>
      </c>
      <c r="CS32" s="100">
        <v>20360.920235743066</v>
      </c>
      <c r="CT32" s="100">
        <v>21.461387106524423</v>
      </c>
      <c r="CU32" s="100">
        <v>18027.565169480516</v>
      </c>
    </row>
    <row r="33" spans="2:99">
      <c r="C33" s="99" t="s">
        <v>199</v>
      </c>
      <c r="D33" s="100">
        <v>20</v>
      </c>
      <c r="E33" s="100">
        <v>9480</v>
      </c>
      <c r="F33" s="100">
        <v>23</v>
      </c>
      <c r="G33" s="100">
        <v>10902</v>
      </c>
      <c r="H33" s="100">
        <v>28</v>
      </c>
      <c r="I33" s="100">
        <v>13272</v>
      </c>
      <c r="J33" s="100">
        <v>17</v>
      </c>
      <c r="K33" s="100">
        <v>8058</v>
      </c>
      <c r="L33" s="100">
        <v>22</v>
      </c>
      <c r="M33" s="100">
        <v>10428</v>
      </c>
      <c r="N33" s="100">
        <v>29</v>
      </c>
      <c r="O33" s="100">
        <v>13746</v>
      </c>
      <c r="P33" s="100">
        <v>25</v>
      </c>
      <c r="Q33" s="100">
        <v>11850</v>
      </c>
      <c r="R33" s="100">
        <v>24</v>
      </c>
      <c r="S33" s="100">
        <v>11376</v>
      </c>
      <c r="T33" s="100">
        <v>22</v>
      </c>
      <c r="U33" s="100">
        <v>10428</v>
      </c>
      <c r="V33" s="100">
        <v>27.789039993043627</v>
      </c>
      <c r="W33" s="100">
        <v>13172.00495670268</v>
      </c>
      <c r="X33" s="100">
        <v>16</v>
      </c>
      <c r="Y33" s="100">
        <v>7584</v>
      </c>
      <c r="Z33" s="100">
        <v>24</v>
      </c>
      <c r="AA33" s="100">
        <v>11376</v>
      </c>
      <c r="AB33" s="100">
        <v>15</v>
      </c>
      <c r="AC33" s="100">
        <v>7110</v>
      </c>
      <c r="AD33" s="100">
        <v>15</v>
      </c>
      <c r="AE33" s="100">
        <v>7110</v>
      </c>
      <c r="AF33" s="100">
        <v>17</v>
      </c>
      <c r="AG33" s="100">
        <v>8058</v>
      </c>
      <c r="AH33" s="100">
        <v>17.720921965427067</v>
      </c>
      <c r="AI33" s="100">
        <v>8399.7170116124289</v>
      </c>
      <c r="AJ33" s="100">
        <v>18</v>
      </c>
      <c r="AK33" s="100">
        <v>8532</v>
      </c>
      <c r="AL33" s="100">
        <v>19</v>
      </c>
      <c r="AM33" s="100">
        <v>9006</v>
      </c>
      <c r="AN33" s="100">
        <v>18</v>
      </c>
      <c r="AO33" s="100">
        <v>8532</v>
      </c>
      <c r="AP33" s="100">
        <v>22</v>
      </c>
      <c r="AQ33" s="100">
        <v>10428</v>
      </c>
      <c r="AR33" s="100">
        <v>22</v>
      </c>
      <c r="AS33" s="100">
        <v>10428</v>
      </c>
      <c r="AT33" s="100">
        <v>22.763946019990716</v>
      </c>
      <c r="AU33" s="100">
        <v>10790.110413475599</v>
      </c>
      <c r="AV33" s="100">
        <v>22.91808908535123</v>
      </c>
      <c r="AW33" s="100">
        <v>10863.174226456484</v>
      </c>
      <c r="AX33" s="100">
        <v>22.204560139774003</v>
      </c>
      <c r="AY33" s="100">
        <v>10524.961506252877</v>
      </c>
      <c r="AZ33" s="100">
        <v>18.687702181610124</v>
      </c>
      <c r="BA33" s="100">
        <v>8857.9708340831985</v>
      </c>
      <c r="BB33" s="100">
        <v>19.085444069322993</v>
      </c>
      <c r="BC33" s="100">
        <v>9046.5004888590993</v>
      </c>
      <c r="BD33" s="100">
        <v>14.632763936266654</v>
      </c>
      <c r="BE33" s="100">
        <v>6935.930105790394</v>
      </c>
      <c r="BF33" s="100">
        <v>15</v>
      </c>
      <c r="BG33" s="100">
        <v>7110</v>
      </c>
      <c r="BH33" s="100">
        <v>28</v>
      </c>
      <c r="BI33" s="100">
        <v>13272</v>
      </c>
      <c r="BJ33" s="100">
        <v>17</v>
      </c>
      <c r="BK33" s="100">
        <v>8058</v>
      </c>
      <c r="BL33" s="100">
        <v>26</v>
      </c>
      <c r="BM33" s="100">
        <v>12324</v>
      </c>
      <c r="BN33" s="100">
        <v>23.489621872240299</v>
      </c>
      <c r="BO33" s="100">
        <v>11134.080767441901</v>
      </c>
      <c r="BP33" s="100">
        <v>18.336669018652081</v>
      </c>
      <c r="BQ33" s="100">
        <v>8691.5811148410867</v>
      </c>
      <c r="BR33" s="100">
        <v>18</v>
      </c>
      <c r="BS33" s="100">
        <v>8532</v>
      </c>
      <c r="BT33" s="100">
        <v>20</v>
      </c>
      <c r="BU33" s="100">
        <v>9480</v>
      </c>
      <c r="BV33" s="100">
        <v>26</v>
      </c>
      <c r="BW33" s="100">
        <v>12324</v>
      </c>
      <c r="BX33" s="100">
        <v>22.279901328551375</v>
      </c>
      <c r="BY33" s="100">
        <v>10560.673229733351</v>
      </c>
      <c r="BZ33" s="100">
        <v>19</v>
      </c>
      <c r="CA33" s="100">
        <v>9006</v>
      </c>
      <c r="CB33" s="100">
        <v>23.876606642451627</v>
      </c>
      <c r="CC33" s="100">
        <v>11317.51154852207</v>
      </c>
      <c r="CD33" s="100">
        <v>15.134874145703144</v>
      </c>
      <c r="CE33" s="100">
        <v>7173.9303450632897</v>
      </c>
      <c r="CF33" s="100">
        <v>20</v>
      </c>
      <c r="CG33" s="100">
        <v>9480</v>
      </c>
      <c r="CH33" s="100">
        <v>28.598560071856198</v>
      </c>
      <c r="CI33" s="100">
        <v>13555.717474059838</v>
      </c>
      <c r="CJ33" s="100">
        <v>22.559246842996796</v>
      </c>
      <c r="CK33" s="100">
        <v>10693.083003580481</v>
      </c>
      <c r="CL33" s="100">
        <v>23.057966413587714</v>
      </c>
      <c r="CM33" s="100">
        <v>10929.476080040577</v>
      </c>
      <c r="CN33" s="100">
        <v>20.832170527331552</v>
      </c>
      <c r="CO33" s="100">
        <v>9874.4488299551558</v>
      </c>
      <c r="CP33" s="100">
        <v>23.667096058957917</v>
      </c>
      <c r="CQ33" s="100">
        <v>11218.203531946052</v>
      </c>
      <c r="CR33" s="100">
        <v>29.832850162260904</v>
      </c>
      <c r="CS33" s="100">
        <v>14140.770976911668</v>
      </c>
      <c r="CT33" s="100">
        <v>23.412422298026645</v>
      </c>
      <c r="CU33" s="100">
        <v>11097.48816926463</v>
      </c>
    </row>
    <row r="34" spans="2:99">
      <c r="C34" s="99" t="s">
        <v>200</v>
      </c>
      <c r="D34" s="100">
        <v>20</v>
      </c>
      <c r="E34" s="100">
        <v>10968</v>
      </c>
      <c r="F34" s="100">
        <v>22</v>
      </c>
      <c r="G34" s="100">
        <v>12064.8</v>
      </c>
      <c r="H34" s="100">
        <v>24</v>
      </c>
      <c r="I34" s="100">
        <v>13161.599999999999</v>
      </c>
      <c r="J34" s="100">
        <v>18</v>
      </c>
      <c r="K34" s="100">
        <v>9871.1999999999989</v>
      </c>
      <c r="L34" s="100">
        <v>24</v>
      </c>
      <c r="M34" s="100">
        <v>13161.599999999999</v>
      </c>
      <c r="N34" s="100">
        <v>30</v>
      </c>
      <c r="O34" s="100">
        <v>16452</v>
      </c>
      <c r="P34" s="100">
        <v>24</v>
      </c>
      <c r="Q34" s="100">
        <v>13161.599999999999</v>
      </c>
      <c r="R34" s="100">
        <v>26</v>
      </c>
      <c r="S34" s="100">
        <v>14258.4</v>
      </c>
      <c r="T34" s="100">
        <v>23</v>
      </c>
      <c r="U34" s="100">
        <v>12613.199999999999</v>
      </c>
      <c r="V34" s="100">
        <v>24.203357413296064</v>
      </c>
      <c r="W34" s="100">
        <v>13273.121205451562</v>
      </c>
      <c r="X34" s="100">
        <v>14</v>
      </c>
      <c r="Y34" s="100">
        <v>7677.5999999999995</v>
      </c>
      <c r="Z34" s="100">
        <v>22</v>
      </c>
      <c r="AA34" s="100">
        <v>12064.8</v>
      </c>
      <c r="AB34" s="100">
        <v>15</v>
      </c>
      <c r="AC34" s="100">
        <v>8226</v>
      </c>
      <c r="AD34" s="100">
        <v>18</v>
      </c>
      <c r="AE34" s="100">
        <v>9871.1999999999989</v>
      </c>
      <c r="AF34" s="100">
        <v>17</v>
      </c>
      <c r="AG34" s="100">
        <v>9322.7999999999993</v>
      </c>
      <c r="AH34" s="100">
        <v>18.564775392352161</v>
      </c>
      <c r="AI34" s="100">
        <v>10180.922825165924</v>
      </c>
      <c r="AJ34" s="100">
        <v>20</v>
      </c>
      <c r="AK34" s="100">
        <v>10968</v>
      </c>
      <c r="AL34" s="100">
        <v>18</v>
      </c>
      <c r="AM34" s="100">
        <v>9871.1999999999989</v>
      </c>
      <c r="AN34" s="100">
        <v>18</v>
      </c>
      <c r="AO34" s="100">
        <v>9871.1999999999989</v>
      </c>
      <c r="AP34" s="100">
        <v>24</v>
      </c>
      <c r="AQ34" s="100">
        <v>13161.599999999999</v>
      </c>
      <c r="AR34" s="100">
        <v>21</v>
      </c>
      <c r="AS34" s="100">
        <v>11516.4</v>
      </c>
      <c r="AT34" s="100">
        <v>24.450164243693735</v>
      </c>
      <c r="AU34" s="100">
        <v>13408.470071241643</v>
      </c>
      <c r="AV34" s="100">
        <v>23.873009463907533</v>
      </c>
      <c r="AW34" s="100">
        <v>13091.95839000689</v>
      </c>
      <c r="AX34" s="100">
        <v>23.092742545364967</v>
      </c>
      <c r="AY34" s="100">
        <v>12664.060011878148</v>
      </c>
      <c r="AZ34" s="100">
        <v>18.687702181610124</v>
      </c>
      <c r="BA34" s="100">
        <v>10248.335876394991</v>
      </c>
      <c r="BB34" s="100">
        <v>20.039716272789139</v>
      </c>
      <c r="BC34" s="100">
        <v>10989.780403997564</v>
      </c>
      <c r="BD34" s="100">
        <v>15.608281532017765</v>
      </c>
      <c r="BE34" s="100">
        <v>8559.5815921585418</v>
      </c>
      <c r="BF34" s="100">
        <v>17</v>
      </c>
      <c r="BG34" s="100">
        <v>9322.7999999999993</v>
      </c>
      <c r="BH34" s="100">
        <v>28</v>
      </c>
      <c r="BI34" s="100">
        <v>15355.199999999999</v>
      </c>
      <c r="BJ34" s="100">
        <v>15</v>
      </c>
      <c r="BK34" s="100">
        <v>8226</v>
      </c>
      <c r="BL34" s="100">
        <v>28</v>
      </c>
      <c r="BM34" s="100">
        <v>15355.199999999999</v>
      </c>
      <c r="BN34" s="100">
        <v>21.682727882067965</v>
      </c>
      <c r="BO34" s="100">
        <v>11890.807970526072</v>
      </c>
      <c r="BP34" s="100">
        <v>16.503002116786874</v>
      </c>
      <c r="BQ34" s="100">
        <v>9050.246360845922</v>
      </c>
      <c r="BR34" s="100">
        <v>18</v>
      </c>
      <c r="BS34" s="100">
        <v>9871.1999999999989</v>
      </c>
      <c r="BT34" s="100">
        <v>19</v>
      </c>
      <c r="BU34" s="100">
        <v>10419.6</v>
      </c>
      <c r="BV34" s="100">
        <v>26</v>
      </c>
      <c r="BW34" s="100">
        <v>14258.4</v>
      </c>
      <c r="BX34" s="100">
        <v>24.13655977259732</v>
      </c>
      <c r="BY34" s="100">
        <v>13236.48937929237</v>
      </c>
      <c r="BZ34" s="100">
        <v>20</v>
      </c>
      <c r="CA34" s="100">
        <v>10968</v>
      </c>
      <c r="CB34" s="100">
        <v>25.645244171522119</v>
      </c>
      <c r="CC34" s="100">
        <v>14063.851903662729</v>
      </c>
      <c r="CD34" s="100">
        <v>15.134874145703144</v>
      </c>
      <c r="CE34" s="100">
        <v>8299.9649815036028</v>
      </c>
      <c r="CF34" s="100">
        <v>22</v>
      </c>
      <c r="CG34" s="100">
        <v>12064.8</v>
      </c>
      <c r="CH34" s="100">
        <v>23.667773852570647</v>
      </c>
      <c r="CI34" s="100">
        <v>12979.407180749742</v>
      </c>
      <c r="CJ34" s="100">
        <v>26.029900203457846</v>
      </c>
      <c r="CK34" s="100">
        <v>14274.797271576283</v>
      </c>
      <c r="CL34" s="100">
        <v>26.351961615528818</v>
      </c>
      <c r="CM34" s="100">
        <v>14451.415749956004</v>
      </c>
      <c r="CN34" s="100">
        <v>24.998604632797868</v>
      </c>
      <c r="CO34" s="100">
        <v>13709.23478062635</v>
      </c>
      <c r="CP34" s="100">
        <v>24.455999260923182</v>
      </c>
      <c r="CQ34" s="100">
        <v>13411.669994690272</v>
      </c>
      <c r="CR34" s="100">
        <v>29.832850162260904</v>
      </c>
      <c r="CS34" s="100">
        <v>16360.335028983878</v>
      </c>
      <c r="CT34" s="100">
        <v>23.412422298026645</v>
      </c>
      <c r="CU34" s="100">
        <v>12839.372388237811</v>
      </c>
    </row>
    <row r="35" spans="2:99">
      <c r="C35" s="99" t="s">
        <v>201</v>
      </c>
      <c r="D35" s="100">
        <v>19</v>
      </c>
      <c r="E35" s="100">
        <v>9553.1999999999989</v>
      </c>
      <c r="F35" s="100">
        <v>24</v>
      </c>
      <c r="G35" s="100">
        <v>12067.199999999997</v>
      </c>
      <c r="H35" s="100">
        <v>24</v>
      </c>
      <c r="I35" s="100">
        <v>12067.199999999997</v>
      </c>
      <c r="J35" s="100">
        <v>18</v>
      </c>
      <c r="K35" s="100">
        <v>9050.3999999999978</v>
      </c>
      <c r="L35" s="100">
        <v>23</v>
      </c>
      <c r="M35" s="100">
        <v>11564.399999999998</v>
      </c>
      <c r="N35" s="100">
        <v>28</v>
      </c>
      <c r="O35" s="100">
        <v>14078.399999999998</v>
      </c>
      <c r="P35" s="100">
        <v>24</v>
      </c>
      <c r="Q35" s="100">
        <v>12067.199999999997</v>
      </c>
      <c r="R35" s="100">
        <v>24</v>
      </c>
      <c r="S35" s="100">
        <v>12067.199999999997</v>
      </c>
      <c r="T35" s="100">
        <v>25</v>
      </c>
      <c r="U35" s="100">
        <v>12569.999999999998</v>
      </c>
      <c r="V35" s="100">
        <v>27.789039993043627</v>
      </c>
      <c r="W35" s="100">
        <v>13972.329308502332</v>
      </c>
      <c r="X35" s="100">
        <v>16</v>
      </c>
      <c r="Y35" s="100">
        <v>8044.7999999999984</v>
      </c>
      <c r="Z35" s="100">
        <v>23</v>
      </c>
      <c r="AA35" s="100">
        <v>11564.399999999998</v>
      </c>
      <c r="AB35" s="100">
        <v>17</v>
      </c>
      <c r="AC35" s="100">
        <v>8547.5999999999985</v>
      </c>
      <c r="AD35" s="100">
        <v>17</v>
      </c>
      <c r="AE35" s="100">
        <v>8547.5999999999985</v>
      </c>
      <c r="AF35" s="100">
        <v>18</v>
      </c>
      <c r="AG35" s="100">
        <v>9050.3999999999978</v>
      </c>
      <c r="AH35" s="100">
        <v>17.720921965427067</v>
      </c>
      <c r="AI35" s="100">
        <v>8910.0795642167268</v>
      </c>
      <c r="AJ35" s="100">
        <v>18</v>
      </c>
      <c r="AK35" s="100">
        <v>9050.3999999999978</v>
      </c>
      <c r="AL35" s="100">
        <v>18</v>
      </c>
      <c r="AM35" s="100">
        <v>9050.3999999999978</v>
      </c>
      <c r="AN35" s="100">
        <v>17</v>
      </c>
      <c r="AO35" s="100">
        <v>8547.5999999999985</v>
      </c>
      <c r="AP35" s="100">
        <v>20</v>
      </c>
      <c r="AQ35" s="100">
        <v>10055.999999999998</v>
      </c>
      <c r="AR35" s="100">
        <v>22</v>
      </c>
      <c r="AS35" s="100">
        <v>11061.599999999999</v>
      </c>
      <c r="AT35" s="100">
        <v>22.763946019990716</v>
      </c>
      <c r="AU35" s="100">
        <v>11445.71205885133</v>
      </c>
      <c r="AV35" s="100">
        <v>21.963168706794931</v>
      </c>
      <c r="AW35" s="100">
        <v>11043.08122577649</v>
      </c>
      <c r="AX35" s="100">
        <v>21.316377734183046</v>
      </c>
      <c r="AY35" s="100">
        <v>10717.874724747233</v>
      </c>
      <c r="AZ35" s="100">
        <v>18.687702181610124</v>
      </c>
      <c r="BA35" s="100">
        <v>9396.1766569135689</v>
      </c>
      <c r="BB35" s="100">
        <v>20.039716272789139</v>
      </c>
      <c r="BC35" s="100">
        <v>10075.969341958376</v>
      </c>
      <c r="BD35" s="100">
        <v>16.583799127768877</v>
      </c>
      <c r="BE35" s="100">
        <v>8338.3342014421905</v>
      </c>
      <c r="BF35" s="100">
        <v>18</v>
      </c>
      <c r="BG35" s="100">
        <v>9050.3999999999978</v>
      </c>
      <c r="BH35" s="100">
        <v>27</v>
      </c>
      <c r="BI35" s="100">
        <v>13575.599999999997</v>
      </c>
      <c r="BJ35" s="100">
        <v>17</v>
      </c>
      <c r="BK35" s="100">
        <v>8547.5999999999985</v>
      </c>
      <c r="BL35" s="100">
        <v>26</v>
      </c>
      <c r="BM35" s="100">
        <v>13072.799999999997</v>
      </c>
      <c r="BN35" s="100">
        <v>23.489621872240299</v>
      </c>
      <c r="BO35" s="100">
        <v>11810.58187736242</v>
      </c>
      <c r="BP35" s="100">
        <v>18.336669018652081</v>
      </c>
      <c r="BQ35" s="100">
        <v>9219.6771825782653</v>
      </c>
      <c r="BR35" s="100">
        <v>17</v>
      </c>
      <c r="BS35" s="100">
        <v>8547.5999999999985</v>
      </c>
      <c r="BT35" s="100">
        <v>20</v>
      </c>
      <c r="BU35" s="100">
        <v>10055.999999999998</v>
      </c>
      <c r="BV35" s="100">
        <v>25</v>
      </c>
      <c r="BW35" s="100">
        <v>12569.999999999998</v>
      </c>
      <c r="BX35" s="100">
        <v>22.279901328551375</v>
      </c>
      <c r="BY35" s="100">
        <v>11202.334387995628</v>
      </c>
      <c r="BZ35" s="100">
        <v>18</v>
      </c>
      <c r="CA35" s="100">
        <v>9050.3999999999978</v>
      </c>
      <c r="CB35" s="100">
        <v>23.876606642451627</v>
      </c>
      <c r="CC35" s="100">
        <v>12005.157819824675</v>
      </c>
      <c r="CD35" s="100">
        <v>15.792912152038063</v>
      </c>
      <c r="CE35" s="100">
        <v>7940.6762300447363</v>
      </c>
      <c r="CF35" s="100">
        <v>20</v>
      </c>
      <c r="CG35" s="100">
        <v>10055.999999999998</v>
      </c>
      <c r="CH35" s="100">
        <v>28.598560071856198</v>
      </c>
      <c r="CI35" s="100">
        <v>14379.356004129293</v>
      </c>
      <c r="CJ35" s="100">
        <v>24.294573523227321</v>
      </c>
      <c r="CK35" s="100">
        <v>12215.311567478695</v>
      </c>
      <c r="CL35" s="100">
        <v>23.881465214072989</v>
      </c>
      <c r="CM35" s="100">
        <v>12007.600709635897</v>
      </c>
      <c r="CN35" s="100">
        <v>23.332030990611344</v>
      </c>
      <c r="CO35" s="100">
        <v>11731.345182079382</v>
      </c>
      <c r="CP35" s="100">
        <v>22.878192856992655</v>
      </c>
      <c r="CQ35" s="100">
        <v>11503.155368495905</v>
      </c>
      <c r="CR35" s="100">
        <v>30.765126729831557</v>
      </c>
      <c r="CS35" s="100">
        <v>15468.705719759304</v>
      </c>
      <c r="CT35" s="100">
        <v>22.436904702275537</v>
      </c>
      <c r="CU35" s="100">
        <v>11281.275684304137</v>
      </c>
    </row>
    <row r="36" spans="2:99">
      <c r="C36" s="99" t="s">
        <v>202</v>
      </c>
      <c r="D36" s="100">
        <v>21</v>
      </c>
      <c r="E36" s="100">
        <v>15976.8</v>
      </c>
      <c r="F36" s="100">
        <v>24</v>
      </c>
      <c r="G36" s="100">
        <v>18259.199999999997</v>
      </c>
      <c r="H36" s="100">
        <v>25</v>
      </c>
      <c r="I36" s="100">
        <v>19020</v>
      </c>
      <c r="J36" s="100">
        <v>17</v>
      </c>
      <c r="K36" s="100">
        <v>12933.599999999999</v>
      </c>
      <c r="L36" s="100">
        <v>22</v>
      </c>
      <c r="M36" s="100">
        <v>16737.599999999999</v>
      </c>
      <c r="N36" s="100">
        <v>26</v>
      </c>
      <c r="O36" s="100">
        <v>19780.8</v>
      </c>
      <c r="P36" s="100">
        <v>23</v>
      </c>
      <c r="Q36" s="100">
        <v>17498.399999999998</v>
      </c>
      <c r="R36" s="100">
        <v>26</v>
      </c>
      <c r="S36" s="100">
        <v>19780.8</v>
      </c>
      <c r="T36" s="100">
        <v>24</v>
      </c>
      <c r="U36" s="100">
        <v>18259.199999999997</v>
      </c>
      <c r="V36" s="100">
        <v>25.099778058232957</v>
      </c>
      <c r="W36" s="100">
        <v>19095.911146703631</v>
      </c>
      <c r="X36" s="100">
        <v>13</v>
      </c>
      <c r="Y36" s="100">
        <v>9890.4</v>
      </c>
      <c r="Z36" s="100">
        <v>21</v>
      </c>
      <c r="AA36" s="100">
        <v>15976.8</v>
      </c>
      <c r="AB36" s="100">
        <v>14</v>
      </c>
      <c r="AC36" s="100">
        <v>10651.199999999999</v>
      </c>
      <c r="AD36" s="100">
        <v>17</v>
      </c>
      <c r="AE36" s="100">
        <v>12933.599999999999</v>
      </c>
      <c r="AF36" s="100">
        <v>17</v>
      </c>
      <c r="AG36" s="100">
        <v>12933.599999999999</v>
      </c>
      <c r="AH36" s="100">
        <v>17.720921965427067</v>
      </c>
      <c r="AI36" s="100">
        <v>13482.077431296912</v>
      </c>
      <c r="AJ36" s="100">
        <v>20</v>
      </c>
      <c r="AK36" s="100">
        <v>15216</v>
      </c>
      <c r="AL36" s="100">
        <v>18</v>
      </c>
      <c r="AM36" s="100">
        <v>13694.4</v>
      </c>
      <c r="AN36" s="100">
        <v>18</v>
      </c>
      <c r="AO36" s="100">
        <v>13694.4</v>
      </c>
      <c r="AP36" s="100">
        <v>21</v>
      </c>
      <c r="AQ36" s="100">
        <v>15976.8</v>
      </c>
      <c r="AR36" s="100">
        <v>23</v>
      </c>
      <c r="AS36" s="100">
        <v>17498.399999999998</v>
      </c>
      <c r="AT36" s="100">
        <v>21.077727796287704</v>
      </c>
      <c r="AU36" s="100">
        <v>16035.935307415684</v>
      </c>
      <c r="AV36" s="100">
        <v>21.963168706794931</v>
      </c>
      <c r="AW36" s="100">
        <v>16709.578752129582</v>
      </c>
      <c r="AX36" s="100">
        <v>23.092742545364967</v>
      </c>
      <c r="AY36" s="100">
        <v>17568.958528513667</v>
      </c>
      <c r="AZ36" s="100">
        <v>16.988820165100112</v>
      </c>
      <c r="BA36" s="100">
        <v>12925.094381608164</v>
      </c>
      <c r="BB36" s="100">
        <v>20.039716272789139</v>
      </c>
      <c r="BC36" s="100">
        <v>15246.216140337976</v>
      </c>
      <c r="BD36" s="100">
        <v>15.608281532017765</v>
      </c>
      <c r="BE36" s="100">
        <v>11874.780589559115</v>
      </c>
      <c r="BF36" s="100">
        <v>15</v>
      </c>
      <c r="BG36" s="100">
        <v>11412</v>
      </c>
      <c r="BH36" s="100">
        <v>26</v>
      </c>
      <c r="BI36" s="100">
        <v>19780.8</v>
      </c>
      <c r="BJ36" s="100">
        <v>17</v>
      </c>
      <c r="BK36" s="100">
        <v>12933.599999999999</v>
      </c>
      <c r="BL36" s="100">
        <v>26</v>
      </c>
      <c r="BM36" s="100">
        <v>19780.8</v>
      </c>
      <c r="BN36" s="100">
        <v>21.682727882067965</v>
      </c>
      <c r="BO36" s="100">
        <v>16496.219372677308</v>
      </c>
      <c r="BP36" s="100">
        <v>18.336669018652081</v>
      </c>
      <c r="BQ36" s="100">
        <v>13950.537789390502</v>
      </c>
      <c r="BR36" s="100">
        <v>18</v>
      </c>
      <c r="BS36" s="100">
        <v>13694.4</v>
      </c>
      <c r="BT36" s="100">
        <v>20</v>
      </c>
      <c r="BU36" s="100">
        <v>15216</v>
      </c>
      <c r="BV36" s="100">
        <v>24</v>
      </c>
      <c r="BW36" s="100">
        <v>18259.199999999997</v>
      </c>
      <c r="BX36" s="100">
        <v>23.208230550574346</v>
      </c>
      <c r="BY36" s="100">
        <v>17656.821802876962</v>
      </c>
      <c r="BZ36" s="100">
        <v>18</v>
      </c>
      <c r="CA36" s="100">
        <v>13694.4</v>
      </c>
      <c r="CB36" s="100">
        <v>23.876606642451627</v>
      </c>
      <c r="CC36" s="100">
        <v>18165.322333577198</v>
      </c>
      <c r="CD36" s="100">
        <v>14.476836139368224</v>
      </c>
      <c r="CE36" s="100">
        <v>11013.976934831344</v>
      </c>
      <c r="CF36" s="100">
        <v>21</v>
      </c>
      <c r="CG36" s="100">
        <v>15976.8</v>
      </c>
      <c r="CH36" s="100">
        <v>23.667773852570647</v>
      </c>
      <c r="CI36" s="100">
        <v>18006.442347035747</v>
      </c>
      <c r="CJ36" s="100">
        <v>26.029900203457846</v>
      </c>
      <c r="CK36" s="100">
        <v>19803.548074790728</v>
      </c>
      <c r="CL36" s="100">
        <v>26.351961615528818</v>
      </c>
      <c r="CM36" s="100">
        <v>20048.572397094325</v>
      </c>
      <c r="CN36" s="100">
        <v>22.49874416951808</v>
      </c>
      <c r="CO36" s="100">
        <v>17117.044564169355</v>
      </c>
      <c r="CP36" s="100">
        <v>20.511483251096866</v>
      </c>
      <c r="CQ36" s="100">
        <v>15605.136457434495</v>
      </c>
      <c r="CR36" s="100">
        <v>28.900573594690254</v>
      </c>
      <c r="CS36" s="100">
        <v>21987.556390840346</v>
      </c>
      <c r="CT36" s="100">
        <v>21.461387106524423</v>
      </c>
      <c r="CU36" s="100">
        <v>16327.82331064378</v>
      </c>
    </row>
    <row r="37" spans="2:99">
      <c r="B37" s="99" t="s">
        <v>128</v>
      </c>
      <c r="C37" s="99" t="s">
        <v>203</v>
      </c>
      <c r="D37" s="100">
        <v>12</v>
      </c>
      <c r="E37" s="100">
        <v>10324.799999999999</v>
      </c>
      <c r="F37" s="100">
        <v>15</v>
      </c>
      <c r="G37" s="100">
        <v>12906</v>
      </c>
      <c r="H37" s="100">
        <v>16</v>
      </c>
      <c r="I37" s="100">
        <v>13766.4</v>
      </c>
      <c r="J37" s="100">
        <v>13</v>
      </c>
      <c r="K37" s="100">
        <v>11185.199999999999</v>
      </c>
      <c r="L37" s="100">
        <v>16</v>
      </c>
      <c r="M37" s="100">
        <v>13766.4</v>
      </c>
      <c r="N37" s="100">
        <v>11</v>
      </c>
      <c r="O37" s="100">
        <v>9464.4</v>
      </c>
      <c r="P37" s="100">
        <v>13</v>
      </c>
      <c r="Q37" s="100">
        <v>11185.199999999999</v>
      </c>
      <c r="R37" s="100">
        <v>12</v>
      </c>
      <c r="S37" s="100">
        <v>10324.799999999999</v>
      </c>
      <c r="T37" s="100">
        <v>10</v>
      </c>
      <c r="U37" s="100">
        <v>8604</v>
      </c>
      <c r="V37" s="100">
        <v>17.031992253800933</v>
      </c>
      <c r="W37" s="100">
        <v>14654.326135170322</v>
      </c>
      <c r="X37" s="100">
        <v>11</v>
      </c>
      <c r="Y37" s="100">
        <v>9464.4</v>
      </c>
      <c r="Z37" s="100">
        <v>12</v>
      </c>
      <c r="AA37" s="100">
        <v>10324.799999999999</v>
      </c>
      <c r="AB37" s="100">
        <v>11</v>
      </c>
      <c r="AC37" s="100">
        <v>9464.4</v>
      </c>
      <c r="AD37" s="100">
        <v>14</v>
      </c>
      <c r="AE37" s="100">
        <v>12045.6</v>
      </c>
      <c r="AF37" s="100">
        <v>16</v>
      </c>
      <c r="AG37" s="100">
        <v>13766.4</v>
      </c>
      <c r="AH37" s="100">
        <v>10.126241123101179</v>
      </c>
      <c r="AI37" s="100">
        <v>8712.6178623162541</v>
      </c>
      <c r="AJ37" s="100">
        <v>12</v>
      </c>
      <c r="AK37" s="100">
        <v>10324.799999999999</v>
      </c>
      <c r="AL37" s="100">
        <v>10</v>
      </c>
      <c r="AM37" s="100">
        <v>8604</v>
      </c>
      <c r="AN37" s="100">
        <v>20</v>
      </c>
      <c r="AO37" s="100">
        <v>17208</v>
      </c>
      <c r="AP37" s="100">
        <v>15</v>
      </c>
      <c r="AQ37" s="100">
        <v>12906</v>
      </c>
      <c r="AR37" s="100">
        <v>15</v>
      </c>
      <c r="AS37" s="100">
        <v>12906</v>
      </c>
      <c r="AT37" s="100">
        <v>13.489745789624129</v>
      </c>
      <c r="AU37" s="100">
        <v>11606.5772773926</v>
      </c>
      <c r="AV37" s="100">
        <v>8.5942834070067136</v>
      </c>
      <c r="AW37" s="100">
        <v>7394.5214433885758</v>
      </c>
      <c r="AX37" s="100">
        <v>17.763648111819204</v>
      </c>
      <c r="AY37" s="100">
        <v>15283.842835409243</v>
      </c>
      <c r="AZ37" s="100">
        <v>11.892174115570077</v>
      </c>
      <c r="BA37" s="100">
        <v>10232.026609036493</v>
      </c>
      <c r="BB37" s="100">
        <v>8.5884498311953461</v>
      </c>
      <c r="BC37" s="100">
        <v>7389.5022347604754</v>
      </c>
      <c r="BD37" s="100">
        <v>17.559316723519984</v>
      </c>
      <c r="BE37" s="100">
        <v>15108.036108916594</v>
      </c>
      <c r="BF37" s="100">
        <v>15</v>
      </c>
      <c r="BG37" s="100">
        <v>12906</v>
      </c>
      <c r="BH37" s="100">
        <v>18</v>
      </c>
      <c r="BI37" s="100">
        <v>15487.199999999999</v>
      </c>
      <c r="BJ37" s="100">
        <v>14</v>
      </c>
      <c r="BK37" s="100">
        <v>12045.6</v>
      </c>
      <c r="BL37" s="100">
        <v>16</v>
      </c>
      <c r="BM37" s="100">
        <v>13766.4</v>
      </c>
      <c r="BN37" s="100">
        <v>14.455151921378643</v>
      </c>
      <c r="BO37" s="100">
        <v>12437.212713154184</v>
      </c>
      <c r="BP37" s="100">
        <v>11.918834862123854</v>
      </c>
      <c r="BQ37" s="100">
        <v>10254.965515371363</v>
      </c>
      <c r="BR37" s="100">
        <v>14</v>
      </c>
      <c r="BS37" s="100">
        <v>12045.6</v>
      </c>
      <c r="BT37" s="100">
        <v>13</v>
      </c>
      <c r="BU37" s="100">
        <v>11185.199999999999</v>
      </c>
      <c r="BV37" s="100">
        <v>10</v>
      </c>
      <c r="BW37" s="100">
        <v>8604</v>
      </c>
      <c r="BX37" s="100">
        <v>13.924938330344609</v>
      </c>
      <c r="BY37" s="100">
        <v>11981.016939428502</v>
      </c>
      <c r="BZ37" s="100">
        <v>17</v>
      </c>
      <c r="CA37" s="100">
        <v>14626.8</v>
      </c>
      <c r="CB37" s="100">
        <v>12.380462703493437</v>
      </c>
      <c r="CC37" s="100">
        <v>10652.150110085753</v>
      </c>
      <c r="CD37" s="100">
        <v>11.844684114028547</v>
      </c>
      <c r="CE37" s="100">
        <v>10191.166211710162</v>
      </c>
      <c r="CF37" s="100">
        <v>18</v>
      </c>
      <c r="CG37" s="100">
        <v>15487.199999999999</v>
      </c>
      <c r="CH37" s="100">
        <v>13.806201413999545</v>
      </c>
      <c r="CI37" s="100">
        <v>11878.855696605209</v>
      </c>
      <c r="CJ37" s="100">
        <v>9.5442967412678765</v>
      </c>
      <c r="CK37" s="100">
        <v>8211.9129161868805</v>
      </c>
      <c r="CL37" s="100">
        <v>13.175980807764409</v>
      </c>
      <c r="CM37" s="100">
        <v>11336.613887000498</v>
      </c>
      <c r="CN37" s="100">
        <v>10.832728674212408</v>
      </c>
      <c r="CO37" s="100">
        <v>9320.479751292356</v>
      </c>
      <c r="CP37" s="100">
        <v>9.4668384235831677</v>
      </c>
      <c r="CQ37" s="100">
        <v>8145.267779650957</v>
      </c>
      <c r="CR37" s="100">
        <v>9.3227656757065329</v>
      </c>
      <c r="CS37" s="100">
        <v>8021.3075873779007</v>
      </c>
      <c r="CT37" s="100">
        <v>13.657246340515545</v>
      </c>
      <c r="CU37" s="100">
        <v>11750.694751379575</v>
      </c>
    </row>
    <row r="38" spans="2:99">
      <c r="C38" s="99" t="s">
        <v>204</v>
      </c>
      <c r="D38" s="100">
        <v>11</v>
      </c>
      <c r="E38" s="100">
        <v>13662</v>
      </c>
      <c r="F38" s="100">
        <v>15</v>
      </c>
      <c r="G38" s="100">
        <v>18630</v>
      </c>
      <c r="H38" s="100">
        <v>17</v>
      </c>
      <c r="I38" s="100">
        <v>21114</v>
      </c>
      <c r="J38" s="100">
        <v>13</v>
      </c>
      <c r="K38" s="100">
        <v>16146</v>
      </c>
      <c r="L38" s="100">
        <v>16</v>
      </c>
      <c r="M38" s="100">
        <v>19872</v>
      </c>
      <c r="N38" s="100">
        <v>11</v>
      </c>
      <c r="O38" s="100">
        <v>13662</v>
      </c>
      <c r="P38" s="100">
        <v>13</v>
      </c>
      <c r="Q38" s="100">
        <v>16146</v>
      </c>
      <c r="R38" s="100">
        <v>12</v>
      </c>
      <c r="S38" s="100">
        <v>14904</v>
      </c>
      <c r="T38" s="100">
        <v>9</v>
      </c>
      <c r="U38" s="100">
        <v>11178</v>
      </c>
      <c r="V38" s="100">
        <v>16.135571608864044</v>
      </c>
      <c r="W38" s="100">
        <v>20040.379938209142</v>
      </c>
      <c r="X38" s="100">
        <v>9</v>
      </c>
      <c r="Y38" s="100">
        <v>11178</v>
      </c>
      <c r="Z38" s="100">
        <v>11</v>
      </c>
      <c r="AA38" s="100">
        <v>13662</v>
      </c>
      <c r="AB38" s="100">
        <v>9</v>
      </c>
      <c r="AC38" s="100">
        <v>11178</v>
      </c>
      <c r="AD38" s="100">
        <v>11</v>
      </c>
      <c r="AE38" s="100">
        <v>13662</v>
      </c>
      <c r="AF38" s="100">
        <v>16</v>
      </c>
      <c r="AG38" s="100">
        <v>19872</v>
      </c>
      <c r="AH38" s="100">
        <v>9.2823876961760803</v>
      </c>
      <c r="AI38" s="100">
        <v>11528.725518650692</v>
      </c>
      <c r="AJ38" s="100">
        <v>13</v>
      </c>
      <c r="AK38" s="100">
        <v>16146</v>
      </c>
      <c r="AL38" s="100">
        <v>10</v>
      </c>
      <c r="AM38" s="100">
        <v>12420</v>
      </c>
      <c r="AN38" s="100">
        <v>17</v>
      </c>
      <c r="AO38" s="100">
        <v>21114</v>
      </c>
      <c r="AP38" s="100">
        <v>14</v>
      </c>
      <c r="AQ38" s="100">
        <v>17388</v>
      </c>
      <c r="AR38" s="100">
        <v>16</v>
      </c>
      <c r="AS38" s="100">
        <v>19872</v>
      </c>
      <c r="AT38" s="100">
        <v>12.646636677772623</v>
      </c>
      <c r="AU38" s="100">
        <v>15707.122753793597</v>
      </c>
      <c r="AV38" s="100">
        <v>9.5492037855630123</v>
      </c>
      <c r="AW38" s="100">
        <v>11860.111101669261</v>
      </c>
      <c r="AX38" s="100">
        <v>16.875465706228244</v>
      </c>
      <c r="AY38" s="100">
        <v>20959.328407135479</v>
      </c>
      <c r="AZ38" s="100">
        <v>13.591056132080089</v>
      </c>
      <c r="BA38" s="100">
        <v>16880.091716043469</v>
      </c>
      <c r="BB38" s="100">
        <v>8.5884498311953461</v>
      </c>
      <c r="BC38" s="100">
        <v>10666.85469034462</v>
      </c>
      <c r="BD38" s="100">
        <v>14.632763936266654</v>
      </c>
      <c r="BE38" s="100">
        <v>18173.892808843186</v>
      </c>
      <c r="BF38" s="100">
        <v>15</v>
      </c>
      <c r="BG38" s="100">
        <v>18630</v>
      </c>
      <c r="BH38" s="100">
        <v>19</v>
      </c>
      <c r="BI38" s="100">
        <v>23598</v>
      </c>
      <c r="BJ38" s="100">
        <v>14</v>
      </c>
      <c r="BK38" s="100">
        <v>17388</v>
      </c>
      <c r="BL38" s="100">
        <v>17</v>
      </c>
      <c r="BM38" s="100">
        <v>21114</v>
      </c>
      <c r="BN38" s="100">
        <v>14.455151921378643</v>
      </c>
      <c r="BO38" s="100">
        <v>17953.298686352275</v>
      </c>
      <c r="BP38" s="100">
        <v>11.918834862123854</v>
      </c>
      <c r="BQ38" s="100">
        <v>14803.192898757827</v>
      </c>
      <c r="BR38" s="100">
        <v>13</v>
      </c>
      <c r="BS38" s="100">
        <v>16146</v>
      </c>
      <c r="BT38" s="100">
        <v>12</v>
      </c>
      <c r="BU38" s="100">
        <v>14904</v>
      </c>
      <c r="BV38" s="100">
        <v>9</v>
      </c>
      <c r="BW38" s="100">
        <v>11178</v>
      </c>
      <c r="BX38" s="100">
        <v>14.853267552367582</v>
      </c>
      <c r="BY38" s="100">
        <v>18447.758300040536</v>
      </c>
      <c r="BZ38" s="100">
        <v>16</v>
      </c>
      <c r="CA38" s="100">
        <v>19872</v>
      </c>
      <c r="CB38" s="100">
        <v>14.149100232563928</v>
      </c>
      <c r="CC38" s="100">
        <v>17573.182488844399</v>
      </c>
      <c r="CD38" s="100">
        <v>10.528608101358708</v>
      </c>
      <c r="CE38" s="100">
        <v>13076.531261887516</v>
      </c>
      <c r="CF38" s="100">
        <v>16</v>
      </c>
      <c r="CG38" s="100">
        <v>19872</v>
      </c>
      <c r="CH38" s="100">
        <v>12.820044170142435</v>
      </c>
      <c r="CI38" s="100">
        <v>15922.494859316903</v>
      </c>
      <c r="CJ38" s="100">
        <v>7.8089700610373525</v>
      </c>
      <c r="CK38" s="100">
        <v>9698.7408158083927</v>
      </c>
      <c r="CL38" s="100">
        <v>13.175980807764409</v>
      </c>
      <c r="CM38" s="100">
        <v>16364.568163243397</v>
      </c>
      <c r="CN38" s="100">
        <v>9.999441853119146</v>
      </c>
      <c r="CO38" s="100">
        <v>12419.30678157398</v>
      </c>
      <c r="CP38" s="100">
        <v>8.6779352216179042</v>
      </c>
      <c r="CQ38" s="100">
        <v>10777.995545249438</v>
      </c>
      <c r="CR38" s="100">
        <v>10.255042243277186</v>
      </c>
      <c r="CS38" s="100">
        <v>12736.762466150265</v>
      </c>
      <c r="CT38" s="100">
        <v>11.706211149013322</v>
      </c>
      <c r="CU38" s="100">
        <v>14539.114247074547</v>
      </c>
    </row>
    <row r="39" spans="2:99">
      <c r="C39" s="99" t="s">
        <v>205</v>
      </c>
      <c r="D39" s="100">
        <v>11</v>
      </c>
      <c r="E39" s="100">
        <v>15655.2</v>
      </c>
      <c r="F39" s="100">
        <v>14</v>
      </c>
      <c r="G39" s="100">
        <v>19924.8</v>
      </c>
      <c r="H39" s="100">
        <v>15</v>
      </c>
      <c r="I39" s="100">
        <v>21348</v>
      </c>
      <c r="J39" s="100">
        <v>13</v>
      </c>
      <c r="K39" s="100">
        <v>18501.600000000002</v>
      </c>
      <c r="L39" s="100">
        <v>16</v>
      </c>
      <c r="M39" s="100">
        <v>22771.200000000001</v>
      </c>
      <c r="N39" s="100">
        <v>11</v>
      </c>
      <c r="O39" s="100">
        <v>15655.2</v>
      </c>
      <c r="P39" s="100">
        <v>11</v>
      </c>
      <c r="Q39" s="100">
        <v>15655.2</v>
      </c>
      <c r="R39" s="100">
        <v>13</v>
      </c>
      <c r="S39" s="100">
        <v>18501.600000000002</v>
      </c>
      <c r="T39" s="100">
        <v>9</v>
      </c>
      <c r="U39" s="100">
        <v>12808.800000000001</v>
      </c>
      <c r="V39" s="100">
        <v>16.135571608864044</v>
      </c>
      <c r="W39" s="100">
        <v>22964.145513735308</v>
      </c>
      <c r="X39" s="100">
        <v>10</v>
      </c>
      <c r="Y39" s="100">
        <v>14232</v>
      </c>
      <c r="Z39" s="100">
        <v>11</v>
      </c>
      <c r="AA39" s="100">
        <v>15655.2</v>
      </c>
      <c r="AB39" s="100">
        <v>10</v>
      </c>
      <c r="AC39" s="100">
        <v>14232</v>
      </c>
      <c r="AD39" s="100">
        <v>11</v>
      </c>
      <c r="AE39" s="100">
        <v>15655.2</v>
      </c>
      <c r="AF39" s="100">
        <v>18</v>
      </c>
      <c r="AG39" s="100">
        <v>25617.600000000002</v>
      </c>
      <c r="AH39" s="100">
        <v>9.2823876961760803</v>
      </c>
      <c r="AI39" s="100">
        <v>13210.694169197797</v>
      </c>
      <c r="AJ39" s="100">
        <v>12</v>
      </c>
      <c r="AK39" s="100">
        <v>17078.400000000001</v>
      </c>
      <c r="AL39" s="100">
        <v>10</v>
      </c>
      <c r="AM39" s="100">
        <v>14232</v>
      </c>
      <c r="AN39" s="100">
        <v>17</v>
      </c>
      <c r="AO39" s="100">
        <v>24194.400000000001</v>
      </c>
      <c r="AP39" s="100">
        <v>14</v>
      </c>
      <c r="AQ39" s="100">
        <v>19924.8</v>
      </c>
      <c r="AR39" s="100">
        <v>16</v>
      </c>
      <c r="AS39" s="100">
        <v>22771.200000000001</v>
      </c>
      <c r="AT39" s="100">
        <v>13.489745789624129</v>
      </c>
      <c r="AU39" s="100">
        <v>19198.606207793062</v>
      </c>
      <c r="AV39" s="100">
        <v>9.5492037855630123</v>
      </c>
      <c r="AW39" s="100">
        <v>13590.426827613279</v>
      </c>
      <c r="AX39" s="100">
        <v>15.987283300637285</v>
      </c>
      <c r="AY39" s="100">
        <v>22753.101593466985</v>
      </c>
      <c r="AZ39" s="100">
        <v>12.741615123825083</v>
      </c>
      <c r="BA39" s="100">
        <v>18133.866644227859</v>
      </c>
      <c r="BB39" s="100">
        <v>8.5884498311953461</v>
      </c>
      <c r="BC39" s="100">
        <v>12223.081799757218</v>
      </c>
      <c r="BD39" s="100">
        <v>14.632763936266654</v>
      </c>
      <c r="BE39" s="100">
        <v>20825.349634094702</v>
      </c>
      <c r="BF39" s="100">
        <v>15</v>
      </c>
      <c r="BG39" s="100">
        <v>21348</v>
      </c>
      <c r="BH39" s="100">
        <v>19</v>
      </c>
      <c r="BI39" s="100">
        <v>27040.799999999999</v>
      </c>
      <c r="BJ39" s="100">
        <v>14</v>
      </c>
      <c r="BK39" s="100">
        <v>19924.8</v>
      </c>
      <c r="BL39" s="100">
        <v>16</v>
      </c>
      <c r="BM39" s="100">
        <v>22771.200000000001</v>
      </c>
      <c r="BN39" s="100">
        <v>14.455151921378643</v>
      </c>
      <c r="BO39" s="100">
        <v>20572.572214506086</v>
      </c>
      <c r="BP39" s="100">
        <v>11.918834862123854</v>
      </c>
      <c r="BQ39" s="100">
        <v>16962.88577577467</v>
      </c>
      <c r="BR39" s="100">
        <v>12</v>
      </c>
      <c r="BS39" s="100">
        <v>17078.400000000001</v>
      </c>
      <c r="BT39" s="100">
        <v>13</v>
      </c>
      <c r="BU39" s="100">
        <v>18501.600000000002</v>
      </c>
      <c r="BV39" s="100">
        <v>9</v>
      </c>
      <c r="BW39" s="100">
        <v>12808.800000000001</v>
      </c>
      <c r="BX39" s="100">
        <v>12.996609108321634</v>
      </c>
      <c r="BY39" s="100">
        <v>18496.774082963351</v>
      </c>
      <c r="BZ39" s="100">
        <v>16</v>
      </c>
      <c r="CA39" s="100">
        <v>22771.200000000001</v>
      </c>
      <c r="CB39" s="100">
        <v>11.496143938958193</v>
      </c>
      <c r="CC39" s="100">
        <v>16361.312053925301</v>
      </c>
      <c r="CD39" s="100">
        <v>11.186646107693628</v>
      </c>
      <c r="CE39" s="100">
        <v>15920.834740469572</v>
      </c>
      <c r="CF39" s="100">
        <v>17</v>
      </c>
      <c r="CG39" s="100">
        <v>24194.400000000001</v>
      </c>
      <c r="CH39" s="100">
        <v>10.847729682428213</v>
      </c>
      <c r="CI39" s="100">
        <v>15438.488884031833</v>
      </c>
      <c r="CJ39" s="100">
        <v>8.6766334011526141</v>
      </c>
      <c r="CK39" s="100">
        <v>12348.584656520401</v>
      </c>
      <c r="CL39" s="100">
        <v>12.352482007279134</v>
      </c>
      <c r="CM39" s="100">
        <v>17580.052392759662</v>
      </c>
      <c r="CN39" s="100">
        <v>9.999441853119146</v>
      </c>
      <c r="CO39" s="100">
        <v>14231.205645359169</v>
      </c>
      <c r="CP39" s="100">
        <v>7.8890320196526398</v>
      </c>
      <c r="CQ39" s="100">
        <v>11227.670370369637</v>
      </c>
      <c r="CR39" s="100">
        <v>10.255042243277186</v>
      </c>
      <c r="CS39" s="100">
        <v>14594.976120632093</v>
      </c>
      <c r="CT39" s="100">
        <v>12.681728744764435</v>
      </c>
      <c r="CU39" s="100">
        <v>18048.636349548746</v>
      </c>
    </row>
    <row r="40" spans="2:99">
      <c r="C40" s="99" t="s">
        <v>206</v>
      </c>
      <c r="D40" s="100">
        <v>11</v>
      </c>
      <c r="E40" s="100">
        <v>7972.7999999999993</v>
      </c>
      <c r="F40" s="100">
        <v>16</v>
      </c>
      <c r="G40" s="100">
        <v>11596.8</v>
      </c>
      <c r="H40" s="100">
        <v>16</v>
      </c>
      <c r="I40" s="100">
        <v>11596.8</v>
      </c>
      <c r="J40" s="100">
        <v>14</v>
      </c>
      <c r="K40" s="100">
        <v>10147.199999999999</v>
      </c>
      <c r="L40" s="100">
        <v>17</v>
      </c>
      <c r="M40" s="100">
        <v>12321.599999999999</v>
      </c>
      <c r="N40" s="100">
        <v>12</v>
      </c>
      <c r="O40" s="100">
        <v>8697.5999999999985</v>
      </c>
      <c r="P40" s="100">
        <v>14</v>
      </c>
      <c r="Q40" s="100">
        <v>10147.199999999999</v>
      </c>
      <c r="R40" s="100">
        <v>14</v>
      </c>
      <c r="S40" s="100">
        <v>10147.199999999999</v>
      </c>
      <c r="T40" s="100">
        <v>11</v>
      </c>
      <c r="U40" s="100">
        <v>7972.7999999999993</v>
      </c>
      <c r="V40" s="100">
        <v>15.239150963927152</v>
      </c>
      <c r="W40" s="100">
        <v>11045.336618654399</v>
      </c>
      <c r="X40" s="100">
        <v>10</v>
      </c>
      <c r="Y40" s="100">
        <v>7248</v>
      </c>
      <c r="Z40" s="100">
        <v>12</v>
      </c>
      <c r="AA40" s="100">
        <v>8697.5999999999985</v>
      </c>
      <c r="AB40" s="100">
        <v>11</v>
      </c>
      <c r="AC40" s="100">
        <v>7972.7999999999993</v>
      </c>
      <c r="AD40" s="100">
        <v>13</v>
      </c>
      <c r="AE40" s="100">
        <v>9422.4</v>
      </c>
      <c r="AF40" s="100">
        <v>18</v>
      </c>
      <c r="AG40" s="100">
        <v>13046.4</v>
      </c>
      <c r="AH40" s="100">
        <v>10.126241123101179</v>
      </c>
      <c r="AI40" s="100">
        <v>7339.4995660237346</v>
      </c>
      <c r="AJ40" s="100">
        <v>13</v>
      </c>
      <c r="AK40" s="100">
        <v>9422.4</v>
      </c>
      <c r="AL40" s="100">
        <v>11</v>
      </c>
      <c r="AM40" s="100">
        <v>7972.7999999999993</v>
      </c>
      <c r="AN40" s="100">
        <v>19</v>
      </c>
      <c r="AO40" s="100">
        <v>13771.199999999999</v>
      </c>
      <c r="AP40" s="100">
        <v>15</v>
      </c>
      <c r="AQ40" s="100">
        <v>10872</v>
      </c>
      <c r="AR40" s="100">
        <v>17</v>
      </c>
      <c r="AS40" s="100">
        <v>12321.599999999999</v>
      </c>
      <c r="AT40" s="100">
        <v>15.175964013327146</v>
      </c>
      <c r="AU40" s="100">
        <v>10999.538716859515</v>
      </c>
      <c r="AV40" s="100">
        <v>8.5942834070067136</v>
      </c>
      <c r="AW40" s="100">
        <v>6229.1366133984657</v>
      </c>
      <c r="AX40" s="100">
        <v>15.987283300637285</v>
      </c>
      <c r="AY40" s="100">
        <v>11587.582936301904</v>
      </c>
      <c r="AZ40" s="100">
        <v>14.440497140335093</v>
      </c>
      <c r="BA40" s="100">
        <v>10466.472327314876</v>
      </c>
      <c r="BB40" s="100">
        <v>9.5427220346614963</v>
      </c>
      <c r="BC40" s="100">
        <v>6916.5649307226522</v>
      </c>
      <c r="BD40" s="100">
        <v>16.583799127768877</v>
      </c>
      <c r="BE40" s="100">
        <v>12019.937607806882</v>
      </c>
      <c r="BF40" s="100">
        <v>15</v>
      </c>
      <c r="BG40" s="100">
        <v>10872</v>
      </c>
      <c r="BH40" s="100">
        <v>18</v>
      </c>
      <c r="BI40" s="100">
        <v>13046.4</v>
      </c>
      <c r="BJ40" s="100">
        <v>14</v>
      </c>
      <c r="BK40" s="100">
        <v>10147.199999999999</v>
      </c>
      <c r="BL40" s="100">
        <v>16</v>
      </c>
      <c r="BM40" s="100">
        <v>11596.8</v>
      </c>
      <c r="BN40" s="100">
        <v>14.455151921378643</v>
      </c>
      <c r="BO40" s="100">
        <v>10477.094112615239</v>
      </c>
      <c r="BP40" s="100">
        <v>12.835668313056457</v>
      </c>
      <c r="BQ40" s="100">
        <v>9303.2923933033198</v>
      </c>
      <c r="BR40" s="100">
        <v>13</v>
      </c>
      <c r="BS40" s="100">
        <v>9422.4</v>
      </c>
      <c r="BT40" s="100">
        <v>14</v>
      </c>
      <c r="BU40" s="100">
        <v>10147.199999999999</v>
      </c>
      <c r="BV40" s="100">
        <v>10</v>
      </c>
      <c r="BW40" s="100">
        <v>7248</v>
      </c>
      <c r="BX40" s="100">
        <v>15.781596774390557</v>
      </c>
      <c r="BY40" s="100">
        <v>11438.501342078276</v>
      </c>
      <c r="BZ40" s="100">
        <v>17</v>
      </c>
      <c r="CA40" s="100">
        <v>12321.599999999999</v>
      </c>
      <c r="CB40" s="100">
        <v>14.149100232563928</v>
      </c>
      <c r="CC40" s="100">
        <v>10255.267848562335</v>
      </c>
      <c r="CD40" s="100">
        <v>13.160760126698385</v>
      </c>
      <c r="CE40" s="100">
        <v>9538.9189398309882</v>
      </c>
      <c r="CF40" s="100">
        <v>20</v>
      </c>
      <c r="CG40" s="100">
        <v>14496</v>
      </c>
      <c r="CH40" s="100">
        <v>13.806201413999545</v>
      </c>
      <c r="CI40" s="100">
        <v>10006.734784866871</v>
      </c>
      <c r="CJ40" s="100">
        <v>9.5442967412678765</v>
      </c>
      <c r="CK40" s="100">
        <v>6917.7062780709566</v>
      </c>
      <c r="CL40" s="100">
        <v>13.175980807764409</v>
      </c>
      <c r="CM40" s="100">
        <v>9549.9508894676437</v>
      </c>
      <c r="CN40" s="100">
        <v>9.166155032025884</v>
      </c>
      <c r="CO40" s="100">
        <v>6643.6291672123607</v>
      </c>
      <c r="CP40" s="100">
        <v>8.6779352216179042</v>
      </c>
      <c r="CQ40" s="100">
        <v>6289.7674486286569</v>
      </c>
      <c r="CR40" s="100">
        <v>10.255042243277186</v>
      </c>
      <c r="CS40" s="100">
        <v>7432.8546179273044</v>
      </c>
      <c r="CT40" s="100">
        <v>11.706211149013322</v>
      </c>
      <c r="CU40" s="100">
        <v>8484.6618408048562</v>
      </c>
    </row>
    <row r="41" spans="2:99">
      <c r="C41" s="99" t="s">
        <v>207</v>
      </c>
      <c r="D41" s="100">
        <v>13</v>
      </c>
      <c r="E41" s="100">
        <v>8580</v>
      </c>
      <c r="F41" s="100">
        <v>15</v>
      </c>
      <c r="G41" s="100">
        <v>9900</v>
      </c>
      <c r="H41" s="100">
        <v>15</v>
      </c>
      <c r="I41" s="100">
        <v>9900</v>
      </c>
      <c r="J41" s="100">
        <v>15</v>
      </c>
      <c r="K41" s="100">
        <v>9900</v>
      </c>
      <c r="L41" s="100">
        <v>17</v>
      </c>
      <c r="M41" s="100">
        <v>11220</v>
      </c>
      <c r="N41" s="100">
        <v>11</v>
      </c>
      <c r="O41" s="100">
        <v>7260</v>
      </c>
      <c r="P41" s="100">
        <v>13</v>
      </c>
      <c r="Q41" s="100">
        <v>8580</v>
      </c>
      <c r="R41" s="100">
        <v>13</v>
      </c>
      <c r="S41" s="100">
        <v>8580</v>
      </c>
      <c r="T41" s="100">
        <v>10</v>
      </c>
      <c r="U41" s="100">
        <v>6600</v>
      </c>
      <c r="V41" s="100">
        <v>15.239150963927152</v>
      </c>
      <c r="W41" s="100">
        <v>10057.83963619192</v>
      </c>
      <c r="X41" s="100">
        <v>11</v>
      </c>
      <c r="Y41" s="100">
        <v>7260</v>
      </c>
      <c r="Z41" s="100">
        <v>10</v>
      </c>
      <c r="AA41" s="100">
        <v>6600</v>
      </c>
      <c r="AB41" s="100">
        <v>11</v>
      </c>
      <c r="AC41" s="100">
        <v>7260</v>
      </c>
      <c r="AD41" s="100">
        <v>12</v>
      </c>
      <c r="AE41" s="100">
        <v>7920</v>
      </c>
      <c r="AF41" s="100">
        <v>19</v>
      </c>
      <c r="AG41" s="100">
        <v>12540</v>
      </c>
      <c r="AH41" s="100">
        <v>9.2823876961760803</v>
      </c>
      <c r="AI41" s="100">
        <v>6126.3758794762134</v>
      </c>
      <c r="AJ41" s="100">
        <v>13</v>
      </c>
      <c r="AK41" s="100">
        <v>8580</v>
      </c>
      <c r="AL41" s="100">
        <v>10</v>
      </c>
      <c r="AM41" s="100">
        <v>6600</v>
      </c>
      <c r="AN41" s="100">
        <v>18</v>
      </c>
      <c r="AO41" s="100">
        <v>11880</v>
      </c>
      <c r="AP41" s="100">
        <v>15</v>
      </c>
      <c r="AQ41" s="100">
        <v>9900</v>
      </c>
      <c r="AR41" s="100">
        <v>17</v>
      </c>
      <c r="AS41" s="100">
        <v>11220</v>
      </c>
      <c r="AT41" s="100">
        <v>15.175964013327146</v>
      </c>
      <c r="AU41" s="100">
        <v>10016.136248795916</v>
      </c>
      <c r="AV41" s="100">
        <v>10.504124164119315</v>
      </c>
      <c r="AW41" s="100">
        <v>6932.7219483187473</v>
      </c>
      <c r="AX41" s="100">
        <v>18.651830517410165</v>
      </c>
      <c r="AY41" s="100">
        <v>12310.208141490708</v>
      </c>
      <c r="AZ41" s="100">
        <v>11.892174115570077</v>
      </c>
      <c r="BA41" s="100">
        <v>7848.8349162762506</v>
      </c>
      <c r="BB41" s="100">
        <v>9.5427220346614963</v>
      </c>
      <c r="BC41" s="100">
        <v>6298.196542876588</v>
      </c>
      <c r="BD41" s="100">
        <v>17.559316723519984</v>
      </c>
      <c r="BE41" s="100">
        <v>11589.14903752319</v>
      </c>
      <c r="BF41" s="100">
        <v>17</v>
      </c>
      <c r="BG41" s="100">
        <v>11220</v>
      </c>
      <c r="BH41" s="100">
        <v>18</v>
      </c>
      <c r="BI41" s="100">
        <v>11880</v>
      </c>
      <c r="BJ41" s="100">
        <v>13</v>
      </c>
      <c r="BK41" s="100">
        <v>8580</v>
      </c>
      <c r="BL41" s="100">
        <v>17</v>
      </c>
      <c r="BM41" s="100">
        <v>11220</v>
      </c>
      <c r="BN41" s="100">
        <v>15.358598916464809</v>
      </c>
      <c r="BO41" s="100">
        <v>10136.675284866773</v>
      </c>
      <c r="BP41" s="100">
        <v>11.918834862123854</v>
      </c>
      <c r="BQ41" s="100">
        <v>7866.4310090017434</v>
      </c>
      <c r="BR41" s="100">
        <v>14</v>
      </c>
      <c r="BS41" s="100">
        <v>9240</v>
      </c>
      <c r="BT41" s="100">
        <v>15</v>
      </c>
      <c r="BU41" s="100">
        <v>9900</v>
      </c>
      <c r="BV41" s="100">
        <v>10</v>
      </c>
      <c r="BW41" s="100">
        <v>6600</v>
      </c>
      <c r="BX41" s="100">
        <v>15.781596774390557</v>
      </c>
      <c r="BY41" s="100">
        <v>10415.853871097768</v>
      </c>
      <c r="BZ41" s="100">
        <v>15</v>
      </c>
      <c r="CA41" s="100">
        <v>9900</v>
      </c>
      <c r="CB41" s="100">
        <v>15.033418997099174</v>
      </c>
      <c r="CC41" s="100">
        <v>9922.056538085455</v>
      </c>
      <c r="CD41" s="100">
        <v>12.502722120363465</v>
      </c>
      <c r="CE41" s="100">
        <v>8251.7965994398874</v>
      </c>
      <c r="CF41" s="100">
        <v>18</v>
      </c>
      <c r="CG41" s="100">
        <v>11880</v>
      </c>
      <c r="CH41" s="100">
        <v>13.806201413999545</v>
      </c>
      <c r="CI41" s="100">
        <v>9112.0929332397009</v>
      </c>
      <c r="CJ41" s="100">
        <v>9.5442967412678765</v>
      </c>
      <c r="CK41" s="100">
        <v>6299.2358492367985</v>
      </c>
      <c r="CL41" s="100">
        <v>12.352482007279134</v>
      </c>
      <c r="CM41" s="100">
        <v>8152.638124804228</v>
      </c>
      <c r="CN41" s="100">
        <v>9.999441853119146</v>
      </c>
      <c r="CO41" s="100">
        <v>6599.6316230586363</v>
      </c>
      <c r="CP41" s="100">
        <v>10.255741625548433</v>
      </c>
      <c r="CQ41" s="100">
        <v>6768.7894728619658</v>
      </c>
      <c r="CR41" s="100">
        <v>11.187318810847838</v>
      </c>
      <c r="CS41" s="100">
        <v>7383.6304151595732</v>
      </c>
      <c r="CT41" s="100">
        <v>12.681728744764435</v>
      </c>
      <c r="CU41" s="100">
        <v>8369.9409715445272</v>
      </c>
    </row>
    <row r="42" spans="2:99">
      <c r="C42" s="99" t="s">
        <v>208</v>
      </c>
      <c r="D42" s="100">
        <v>12</v>
      </c>
      <c r="E42" s="100">
        <v>10152</v>
      </c>
      <c r="F42" s="100">
        <v>15</v>
      </c>
      <c r="G42" s="100">
        <v>12690</v>
      </c>
      <c r="H42" s="100">
        <v>18</v>
      </c>
      <c r="I42" s="100">
        <v>15228</v>
      </c>
      <c r="J42" s="100">
        <v>14</v>
      </c>
      <c r="K42" s="100">
        <v>11844</v>
      </c>
      <c r="L42" s="100">
        <v>18</v>
      </c>
      <c r="M42" s="100">
        <v>15228</v>
      </c>
      <c r="N42" s="100">
        <v>10</v>
      </c>
      <c r="O42" s="100">
        <v>8460</v>
      </c>
      <c r="P42" s="100">
        <v>13</v>
      </c>
      <c r="Q42" s="100">
        <v>10998</v>
      </c>
      <c r="R42" s="100">
        <v>12</v>
      </c>
      <c r="S42" s="100">
        <v>10152</v>
      </c>
      <c r="T42" s="100">
        <v>10</v>
      </c>
      <c r="U42" s="100">
        <v>8460</v>
      </c>
      <c r="V42" s="100">
        <v>15.239150963927152</v>
      </c>
      <c r="W42" s="100">
        <v>12892.321715482371</v>
      </c>
      <c r="X42" s="100">
        <v>11</v>
      </c>
      <c r="Y42" s="100">
        <v>9306</v>
      </c>
      <c r="Z42" s="100">
        <v>11</v>
      </c>
      <c r="AA42" s="100">
        <v>9306</v>
      </c>
      <c r="AB42" s="100">
        <v>11</v>
      </c>
      <c r="AC42" s="100">
        <v>9306</v>
      </c>
      <c r="AD42" s="100">
        <v>13</v>
      </c>
      <c r="AE42" s="100">
        <v>10998</v>
      </c>
      <c r="AF42" s="100">
        <v>15</v>
      </c>
      <c r="AG42" s="100">
        <v>12690</v>
      </c>
      <c r="AH42" s="100">
        <v>9.2823876961760803</v>
      </c>
      <c r="AI42" s="100">
        <v>7852.8999909649638</v>
      </c>
      <c r="AJ42" s="100">
        <v>13</v>
      </c>
      <c r="AK42" s="100">
        <v>10998</v>
      </c>
      <c r="AL42" s="100">
        <v>10</v>
      </c>
      <c r="AM42" s="100">
        <v>8460</v>
      </c>
      <c r="AN42" s="100">
        <v>20</v>
      </c>
      <c r="AO42" s="100">
        <v>16920</v>
      </c>
      <c r="AP42" s="100">
        <v>15</v>
      </c>
      <c r="AQ42" s="100">
        <v>12690</v>
      </c>
      <c r="AR42" s="100">
        <v>16</v>
      </c>
      <c r="AS42" s="100">
        <v>13536</v>
      </c>
      <c r="AT42" s="100">
        <v>16.019073125178654</v>
      </c>
      <c r="AU42" s="100">
        <v>13552.135863901141</v>
      </c>
      <c r="AV42" s="100">
        <v>9.5492037855630123</v>
      </c>
      <c r="AW42" s="100">
        <v>8078.6264025863084</v>
      </c>
      <c r="AX42" s="100">
        <v>17.763648111819204</v>
      </c>
      <c r="AY42" s="100">
        <v>15028.046302599047</v>
      </c>
      <c r="AZ42" s="100">
        <v>11.892174115570077</v>
      </c>
      <c r="BA42" s="100">
        <v>10060.779301772285</v>
      </c>
      <c r="BB42" s="100">
        <v>9.5427220346614963</v>
      </c>
      <c r="BC42" s="100">
        <v>8073.1428413236263</v>
      </c>
      <c r="BD42" s="100">
        <v>14.632763936266654</v>
      </c>
      <c r="BE42" s="100">
        <v>12379.31829008159</v>
      </c>
      <c r="BF42" s="100">
        <v>17</v>
      </c>
      <c r="BG42" s="100">
        <v>14382</v>
      </c>
      <c r="BH42" s="100">
        <v>20</v>
      </c>
      <c r="BI42" s="100">
        <v>16920</v>
      </c>
      <c r="BJ42" s="100">
        <v>15</v>
      </c>
      <c r="BK42" s="100">
        <v>12690</v>
      </c>
      <c r="BL42" s="100">
        <v>18</v>
      </c>
      <c r="BM42" s="100">
        <v>15228</v>
      </c>
      <c r="BN42" s="100">
        <v>16.262045911550974</v>
      </c>
      <c r="BO42" s="100">
        <v>13757.690841172123</v>
      </c>
      <c r="BP42" s="100">
        <v>11.918834862123854</v>
      </c>
      <c r="BQ42" s="100">
        <v>10083.33429335678</v>
      </c>
      <c r="BR42" s="100">
        <v>13</v>
      </c>
      <c r="BS42" s="100">
        <v>10998</v>
      </c>
      <c r="BT42" s="100">
        <v>14</v>
      </c>
      <c r="BU42" s="100">
        <v>11844</v>
      </c>
      <c r="BV42" s="100">
        <v>11</v>
      </c>
      <c r="BW42" s="100">
        <v>9306</v>
      </c>
      <c r="BX42" s="100">
        <v>14.853267552367582</v>
      </c>
      <c r="BY42" s="100">
        <v>12565.864349302974</v>
      </c>
      <c r="BZ42" s="100">
        <v>18</v>
      </c>
      <c r="CA42" s="100">
        <v>15228</v>
      </c>
      <c r="CB42" s="100">
        <v>14.149100232563928</v>
      </c>
      <c r="CC42" s="100">
        <v>11970.138796749083</v>
      </c>
      <c r="CD42" s="100">
        <v>11.844684114028547</v>
      </c>
      <c r="CE42" s="100">
        <v>10020.602760468151</v>
      </c>
      <c r="CF42" s="100">
        <v>18</v>
      </c>
      <c r="CG42" s="100">
        <v>15228</v>
      </c>
      <c r="CH42" s="100">
        <v>12.820044170142435</v>
      </c>
      <c r="CI42" s="100">
        <v>10845.7573679405</v>
      </c>
      <c r="CJ42" s="100">
        <v>9.5442967412678765</v>
      </c>
      <c r="CK42" s="100">
        <v>8074.4750431126231</v>
      </c>
      <c r="CL42" s="100">
        <v>12.352482007279134</v>
      </c>
      <c r="CM42" s="100">
        <v>10450.199778158147</v>
      </c>
      <c r="CN42" s="100">
        <v>9.999441853119146</v>
      </c>
      <c r="CO42" s="100">
        <v>8459.5278077387975</v>
      </c>
      <c r="CP42" s="100">
        <v>8.6779352216179042</v>
      </c>
      <c r="CQ42" s="100">
        <v>7341.5331974887467</v>
      </c>
      <c r="CR42" s="100">
        <v>9.3227656757065329</v>
      </c>
      <c r="CS42" s="100">
        <v>7887.0597616477271</v>
      </c>
      <c r="CT42" s="100">
        <v>12.681728744764435</v>
      </c>
      <c r="CU42" s="100">
        <v>10728.742518070712</v>
      </c>
    </row>
    <row r="43" spans="2:99">
      <c r="C43" s="99" t="s">
        <v>209</v>
      </c>
      <c r="D43" s="100">
        <v>10</v>
      </c>
      <c r="E43" s="100">
        <v>10224</v>
      </c>
      <c r="F43" s="100">
        <v>14</v>
      </c>
      <c r="G43" s="100">
        <v>14313.6</v>
      </c>
      <c r="H43" s="100">
        <v>16</v>
      </c>
      <c r="I43" s="100">
        <v>16358.4</v>
      </c>
      <c r="J43" s="100">
        <v>12</v>
      </c>
      <c r="K43" s="100">
        <v>12268.8</v>
      </c>
      <c r="L43" s="100">
        <v>17</v>
      </c>
      <c r="M43" s="100">
        <v>17380.8</v>
      </c>
      <c r="N43" s="100">
        <v>11</v>
      </c>
      <c r="O43" s="100">
        <v>11246.4</v>
      </c>
      <c r="P43" s="100">
        <v>14</v>
      </c>
      <c r="Q43" s="100">
        <v>14313.6</v>
      </c>
      <c r="R43" s="100">
        <v>13</v>
      </c>
      <c r="S43" s="100">
        <v>13291.199999999999</v>
      </c>
      <c r="T43" s="100">
        <v>10</v>
      </c>
      <c r="U43" s="100">
        <v>10224</v>
      </c>
      <c r="V43" s="100">
        <v>15.239150963927152</v>
      </c>
      <c r="W43" s="100">
        <v>15580.507945519119</v>
      </c>
      <c r="X43" s="100">
        <v>11</v>
      </c>
      <c r="Y43" s="100">
        <v>11246.4</v>
      </c>
      <c r="Z43" s="100">
        <v>11</v>
      </c>
      <c r="AA43" s="100">
        <v>11246.4</v>
      </c>
      <c r="AB43" s="100">
        <v>10</v>
      </c>
      <c r="AC43" s="100">
        <v>10224</v>
      </c>
      <c r="AD43" s="100">
        <v>12</v>
      </c>
      <c r="AE43" s="100">
        <v>12268.8</v>
      </c>
      <c r="AF43" s="100">
        <v>15</v>
      </c>
      <c r="AG43" s="100">
        <v>15336</v>
      </c>
      <c r="AH43" s="100">
        <v>10.970094550026278</v>
      </c>
      <c r="AI43" s="100">
        <v>11215.824667946867</v>
      </c>
      <c r="AJ43" s="100">
        <v>11</v>
      </c>
      <c r="AK43" s="100">
        <v>11246.4</v>
      </c>
      <c r="AL43" s="100">
        <v>9</v>
      </c>
      <c r="AM43" s="100">
        <v>9201.6</v>
      </c>
      <c r="AN43" s="100">
        <v>19</v>
      </c>
      <c r="AO43" s="100">
        <v>19425.599999999999</v>
      </c>
      <c r="AP43" s="100">
        <v>16</v>
      </c>
      <c r="AQ43" s="100">
        <v>16358.4</v>
      </c>
      <c r="AR43" s="100">
        <v>14</v>
      </c>
      <c r="AS43" s="100">
        <v>14313.6</v>
      </c>
      <c r="AT43" s="100">
        <v>14.332854901475638</v>
      </c>
      <c r="AU43" s="100">
        <v>14653.910851268693</v>
      </c>
      <c r="AV43" s="100">
        <v>9.5492037855630123</v>
      </c>
      <c r="AW43" s="100">
        <v>9763.1059503596243</v>
      </c>
      <c r="AX43" s="100">
        <v>15.987283300637285</v>
      </c>
      <c r="AY43" s="100">
        <v>16345.39844657156</v>
      </c>
      <c r="AZ43" s="100">
        <v>11.892174115570077</v>
      </c>
      <c r="BA43" s="100">
        <v>12158.558815758846</v>
      </c>
      <c r="BB43" s="100">
        <v>9.5427220346614963</v>
      </c>
      <c r="BC43" s="100">
        <v>9756.4790082379131</v>
      </c>
      <c r="BD43" s="100">
        <v>16.583799127768877</v>
      </c>
      <c r="BE43" s="100">
        <v>16955.276228230901</v>
      </c>
      <c r="BF43" s="100">
        <v>15</v>
      </c>
      <c r="BG43" s="100">
        <v>15336</v>
      </c>
      <c r="BH43" s="100">
        <v>17</v>
      </c>
      <c r="BI43" s="100">
        <v>17380.8</v>
      </c>
      <c r="BJ43" s="100">
        <v>13</v>
      </c>
      <c r="BK43" s="100">
        <v>13291.199999999999</v>
      </c>
      <c r="BL43" s="100">
        <v>16</v>
      </c>
      <c r="BM43" s="100">
        <v>16358.4</v>
      </c>
      <c r="BN43" s="100">
        <v>14.455151921378643</v>
      </c>
      <c r="BO43" s="100">
        <v>14778.947324417524</v>
      </c>
      <c r="BP43" s="100">
        <v>12.835668313056457</v>
      </c>
      <c r="BQ43" s="100">
        <v>13123.187283268922</v>
      </c>
      <c r="BR43" s="100">
        <v>14</v>
      </c>
      <c r="BS43" s="100">
        <v>14313.6</v>
      </c>
      <c r="BT43" s="100">
        <v>14</v>
      </c>
      <c r="BU43" s="100">
        <v>14313.6</v>
      </c>
      <c r="BV43" s="100">
        <v>10</v>
      </c>
      <c r="BW43" s="100">
        <v>10224</v>
      </c>
      <c r="BX43" s="100">
        <v>14.853267552367582</v>
      </c>
      <c r="BY43" s="100">
        <v>15185.980745540615</v>
      </c>
      <c r="BZ43" s="100">
        <v>16</v>
      </c>
      <c r="CA43" s="100">
        <v>16358.4</v>
      </c>
      <c r="CB43" s="100">
        <v>14.149100232563928</v>
      </c>
      <c r="CC43" s="100">
        <v>14466.040077773359</v>
      </c>
      <c r="CD43" s="100">
        <v>12.502722120363465</v>
      </c>
      <c r="CE43" s="100">
        <v>12782.783095859606</v>
      </c>
      <c r="CF43" s="100">
        <v>19</v>
      </c>
      <c r="CG43" s="100">
        <v>19425.599999999999</v>
      </c>
      <c r="CH43" s="100">
        <v>12.820044170142435</v>
      </c>
      <c r="CI43" s="100">
        <v>13107.213159553625</v>
      </c>
      <c r="CJ43" s="100">
        <v>8.6766334011526141</v>
      </c>
      <c r="CK43" s="100">
        <v>8870.9899893384318</v>
      </c>
      <c r="CL43" s="100">
        <v>12.352482007279134</v>
      </c>
      <c r="CM43" s="100">
        <v>12629.177604242186</v>
      </c>
      <c r="CN43" s="100">
        <v>9.166155032025884</v>
      </c>
      <c r="CO43" s="100">
        <v>9371.4769047432637</v>
      </c>
      <c r="CP43" s="100">
        <v>9.4668384235831677</v>
      </c>
      <c r="CQ43" s="100">
        <v>9678.8956042714308</v>
      </c>
      <c r="CR43" s="100">
        <v>9.3227656757065329</v>
      </c>
      <c r="CS43" s="100">
        <v>9531.5956268423597</v>
      </c>
      <c r="CT43" s="100">
        <v>11.706211149013322</v>
      </c>
      <c r="CU43" s="100">
        <v>11968.430278751221</v>
      </c>
    </row>
    <row r="44" spans="2:99">
      <c r="C44" s="99" t="s">
        <v>210</v>
      </c>
      <c r="D44" s="100">
        <v>11</v>
      </c>
      <c r="E44" s="100">
        <v>11246.4</v>
      </c>
      <c r="F44" s="100">
        <v>16</v>
      </c>
      <c r="G44" s="100">
        <v>16358.4</v>
      </c>
      <c r="H44" s="100">
        <v>15</v>
      </c>
      <c r="I44" s="100">
        <v>15336</v>
      </c>
      <c r="J44" s="100">
        <v>14</v>
      </c>
      <c r="K44" s="100">
        <v>14313.6</v>
      </c>
      <c r="L44" s="100">
        <v>16</v>
      </c>
      <c r="M44" s="100">
        <v>16358.4</v>
      </c>
      <c r="N44" s="100">
        <v>10</v>
      </c>
      <c r="O44" s="100">
        <v>10224</v>
      </c>
      <c r="P44" s="100">
        <v>13</v>
      </c>
      <c r="Q44" s="100">
        <v>13291.199999999999</v>
      </c>
      <c r="R44" s="100">
        <v>12</v>
      </c>
      <c r="S44" s="100">
        <v>12268.8</v>
      </c>
      <c r="T44" s="100">
        <v>9</v>
      </c>
      <c r="U44" s="100">
        <v>9201.6</v>
      </c>
      <c r="V44" s="100">
        <v>14.34273031899026</v>
      </c>
      <c r="W44" s="100">
        <v>14664.007478135642</v>
      </c>
      <c r="X44" s="100">
        <v>11</v>
      </c>
      <c r="Y44" s="100">
        <v>11246.4</v>
      </c>
      <c r="Z44" s="100">
        <v>12</v>
      </c>
      <c r="AA44" s="100">
        <v>12268.8</v>
      </c>
      <c r="AB44" s="100">
        <v>11</v>
      </c>
      <c r="AC44" s="100">
        <v>11246.4</v>
      </c>
      <c r="AD44" s="100">
        <v>12</v>
      </c>
      <c r="AE44" s="100">
        <v>12268.8</v>
      </c>
      <c r="AF44" s="100">
        <v>16</v>
      </c>
      <c r="AG44" s="100">
        <v>16358.4</v>
      </c>
      <c r="AH44" s="100">
        <v>10.970094550026278</v>
      </c>
      <c r="AI44" s="100">
        <v>11215.824667946867</v>
      </c>
      <c r="AJ44" s="100">
        <v>11</v>
      </c>
      <c r="AK44" s="100">
        <v>11246.4</v>
      </c>
      <c r="AL44" s="100">
        <v>10</v>
      </c>
      <c r="AM44" s="100">
        <v>10224</v>
      </c>
      <c r="AN44" s="100">
        <v>19</v>
      </c>
      <c r="AO44" s="100">
        <v>19425.599999999999</v>
      </c>
      <c r="AP44" s="100">
        <v>14</v>
      </c>
      <c r="AQ44" s="100">
        <v>14313.6</v>
      </c>
      <c r="AR44" s="100">
        <v>16</v>
      </c>
      <c r="AS44" s="100">
        <v>16358.4</v>
      </c>
      <c r="AT44" s="100">
        <v>16.019073125178654</v>
      </c>
      <c r="AU44" s="100">
        <v>16377.900363182654</v>
      </c>
      <c r="AV44" s="100">
        <v>9.5492037855630123</v>
      </c>
      <c r="AW44" s="100">
        <v>9763.1059503596243</v>
      </c>
      <c r="AX44" s="100">
        <v>15.987283300637285</v>
      </c>
      <c r="AY44" s="100">
        <v>16345.39844657156</v>
      </c>
      <c r="AZ44" s="100">
        <v>12.741615123825083</v>
      </c>
      <c r="BA44" s="100">
        <v>13027.027302598764</v>
      </c>
      <c r="BB44" s="100">
        <v>8.5884498311953461</v>
      </c>
      <c r="BC44" s="100">
        <v>8780.831107414122</v>
      </c>
      <c r="BD44" s="100">
        <v>15.608281532017765</v>
      </c>
      <c r="BE44" s="100">
        <v>15957.907038334963</v>
      </c>
      <c r="BF44" s="100">
        <v>16</v>
      </c>
      <c r="BG44" s="100">
        <v>16358.4</v>
      </c>
      <c r="BH44" s="100">
        <v>20</v>
      </c>
      <c r="BI44" s="100">
        <v>20448</v>
      </c>
      <c r="BJ44" s="100">
        <v>13</v>
      </c>
      <c r="BK44" s="100">
        <v>13291.199999999999</v>
      </c>
      <c r="BL44" s="100">
        <v>17</v>
      </c>
      <c r="BM44" s="100">
        <v>17380.8</v>
      </c>
      <c r="BN44" s="100">
        <v>14.455151921378643</v>
      </c>
      <c r="BO44" s="100">
        <v>14778.947324417524</v>
      </c>
      <c r="BP44" s="100">
        <v>10.085167960258646</v>
      </c>
      <c r="BQ44" s="100">
        <v>10311.075722568439</v>
      </c>
      <c r="BR44" s="100">
        <v>13</v>
      </c>
      <c r="BS44" s="100">
        <v>13291.199999999999</v>
      </c>
      <c r="BT44" s="100">
        <v>13</v>
      </c>
      <c r="BU44" s="100">
        <v>13291.199999999999</v>
      </c>
      <c r="BV44" s="100">
        <v>9</v>
      </c>
      <c r="BW44" s="100">
        <v>9201.6</v>
      </c>
      <c r="BX44" s="100">
        <v>14.853267552367582</v>
      </c>
      <c r="BY44" s="100">
        <v>15185.980745540615</v>
      </c>
      <c r="BZ44" s="100">
        <v>17</v>
      </c>
      <c r="CA44" s="100">
        <v>17380.8</v>
      </c>
      <c r="CB44" s="100">
        <v>13.264781468028682</v>
      </c>
      <c r="CC44" s="100">
        <v>13561.912572912524</v>
      </c>
      <c r="CD44" s="100">
        <v>11.844684114028547</v>
      </c>
      <c r="CE44" s="100">
        <v>12110.005038182786</v>
      </c>
      <c r="CF44" s="100">
        <v>18</v>
      </c>
      <c r="CG44" s="100">
        <v>18403.2</v>
      </c>
      <c r="CH44" s="100">
        <v>13.806201413999545</v>
      </c>
      <c r="CI44" s="100">
        <v>14115.460325673135</v>
      </c>
      <c r="CJ44" s="100">
        <v>7.8089700610373525</v>
      </c>
      <c r="CK44" s="100">
        <v>7983.8909904045886</v>
      </c>
      <c r="CL44" s="100">
        <v>12.352482007279134</v>
      </c>
      <c r="CM44" s="100">
        <v>12629.177604242186</v>
      </c>
      <c r="CN44" s="100">
        <v>9.999441853119146</v>
      </c>
      <c r="CO44" s="100">
        <v>10223.429350629014</v>
      </c>
      <c r="CP44" s="100">
        <v>8.6779352216179042</v>
      </c>
      <c r="CQ44" s="100">
        <v>8872.3209705821446</v>
      </c>
      <c r="CR44" s="100">
        <v>9.3227656757065329</v>
      </c>
      <c r="CS44" s="100">
        <v>9531.5956268423597</v>
      </c>
      <c r="CT44" s="100">
        <v>12.681728744764435</v>
      </c>
      <c r="CU44" s="100">
        <v>12965.799468647157</v>
      </c>
    </row>
    <row r="45" spans="2:99">
      <c r="C45" s="99" t="s">
        <v>211</v>
      </c>
      <c r="D45" s="100">
        <v>12</v>
      </c>
      <c r="E45" s="100">
        <v>14990.400000000001</v>
      </c>
      <c r="F45" s="100">
        <v>15</v>
      </c>
      <c r="G45" s="100">
        <v>18738</v>
      </c>
      <c r="H45" s="100">
        <v>16</v>
      </c>
      <c r="I45" s="100">
        <v>19987.2</v>
      </c>
      <c r="J45" s="100">
        <v>12</v>
      </c>
      <c r="K45" s="100">
        <v>14990.400000000001</v>
      </c>
      <c r="L45" s="100">
        <v>16</v>
      </c>
      <c r="M45" s="100">
        <v>19987.2</v>
      </c>
      <c r="N45" s="100">
        <v>11</v>
      </c>
      <c r="O45" s="100">
        <v>13741.2</v>
      </c>
      <c r="P45" s="100">
        <v>13</v>
      </c>
      <c r="Q45" s="100">
        <v>16239.6</v>
      </c>
      <c r="R45" s="100">
        <v>11</v>
      </c>
      <c r="S45" s="100">
        <v>13741.2</v>
      </c>
      <c r="T45" s="100">
        <v>11</v>
      </c>
      <c r="U45" s="100">
        <v>13741.2</v>
      </c>
      <c r="V45" s="100">
        <v>14.34273031899026</v>
      </c>
      <c r="W45" s="100">
        <v>17916.938714482632</v>
      </c>
      <c r="X45" s="100">
        <v>10</v>
      </c>
      <c r="Y45" s="100">
        <v>12492</v>
      </c>
      <c r="Z45" s="100">
        <v>9</v>
      </c>
      <c r="AA45" s="100">
        <v>11242.800000000001</v>
      </c>
      <c r="AB45" s="100">
        <v>10</v>
      </c>
      <c r="AC45" s="100">
        <v>12492</v>
      </c>
      <c r="AD45" s="100">
        <v>12</v>
      </c>
      <c r="AE45" s="100">
        <v>14990.400000000001</v>
      </c>
      <c r="AF45" s="100">
        <v>16</v>
      </c>
      <c r="AG45" s="100">
        <v>19987.2</v>
      </c>
      <c r="AH45" s="100">
        <v>9.2823876961760803</v>
      </c>
      <c r="AI45" s="100">
        <v>11595.55871006316</v>
      </c>
      <c r="AJ45" s="100">
        <v>11</v>
      </c>
      <c r="AK45" s="100">
        <v>13741.2</v>
      </c>
      <c r="AL45" s="100">
        <v>11</v>
      </c>
      <c r="AM45" s="100">
        <v>13741.2</v>
      </c>
      <c r="AN45" s="100">
        <v>19</v>
      </c>
      <c r="AO45" s="100">
        <v>23734.799999999999</v>
      </c>
      <c r="AP45" s="100">
        <v>15</v>
      </c>
      <c r="AQ45" s="100">
        <v>18738</v>
      </c>
      <c r="AR45" s="100">
        <v>17</v>
      </c>
      <c r="AS45" s="100">
        <v>21236.400000000001</v>
      </c>
      <c r="AT45" s="100">
        <v>12.646636677772623</v>
      </c>
      <c r="AU45" s="100">
        <v>15798.17853787356</v>
      </c>
      <c r="AV45" s="100">
        <v>9.5492037855630123</v>
      </c>
      <c r="AW45" s="100">
        <v>11928.865368925315</v>
      </c>
      <c r="AX45" s="100">
        <v>15.987283300637285</v>
      </c>
      <c r="AY45" s="100">
        <v>19971.314299156096</v>
      </c>
      <c r="AZ45" s="100">
        <v>11.892174115570077</v>
      </c>
      <c r="BA45" s="100">
        <v>14855.703905170141</v>
      </c>
      <c r="BB45" s="100">
        <v>8.5884498311953461</v>
      </c>
      <c r="BC45" s="100">
        <v>10728.691529129226</v>
      </c>
      <c r="BD45" s="100">
        <v>13.657246340515545</v>
      </c>
      <c r="BE45" s="100">
        <v>17060.632128572019</v>
      </c>
      <c r="BF45" s="100">
        <v>16</v>
      </c>
      <c r="BG45" s="100">
        <v>19987.2</v>
      </c>
      <c r="BH45" s="100">
        <v>19</v>
      </c>
      <c r="BI45" s="100">
        <v>23734.799999999999</v>
      </c>
      <c r="BJ45" s="100">
        <v>12</v>
      </c>
      <c r="BK45" s="100">
        <v>14990.400000000001</v>
      </c>
      <c r="BL45" s="100">
        <v>16</v>
      </c>
      <c r="BM45" s="100">
        <v>19987.2</v>
      </c>
      <c r="BN45" s="100">
        <v>15.358598916464809</v>
      </c>
      <c r="BO45" s="100">
        <v>19185.961766447839</v>
      </c>
      <c r="BP45" s="100">
        <v>11.00200141119125</v>
      </c>
      <c r="BQ45" s="100">
        <v>13743.70016286011</v>
      </c>
      <c r="BR45" s="100">
        <v>14</v>
      </c>
      <c r="BS45" s="100">
        <v>17488.8</v>
      </c>
      <c r="BT45" s="100">
        <v>14</v>
      </c>
      <c r="BU45" s="100">
        <v>17488.8</v>
      </c>
      <c r="BV45" s="100">
        <v>9</v>
      </c>
      <c r="BW45" s="100">
        <v>11242.800000000001</v>
      </c>
      <c r="BX45" s="100">
        <v>12.996609108321634</v>
      </c>
      <c r="BY45" s="100">
        <v>16235.364098115386</v>
      </c>
      <c r="BZ45" s="100">
        <v>15</v>
      </c>
      <c r="CA45" s="100">
        <v>18738</v>
      </c>
      <c r="CB45" s="100">
        <v>13.264781468028682</v>
      </c>
      <c r="CC45" s="100">
        <v>16570.365009861431</v>
      </c>
      <c r="CD45" s="100">
        <v>12.502722120363465</v>
      </c>
      <c r="CE45" s="100">
        <v>15618.400472758041</v>
      </c>
      <c r="CF45" s="100">
        <v>17</v>
      </c>
      <c r="CG45" s="100">
        <v>21236.400000000001</v>
      </c>
      <c r="CH45" s="100">
        <v>12.820044170142435</v>
      </c>
      <c r="CI45" s="100">
        <v>16014.799177341929</v>
      </c>
      <c r="CJ45" s="100">
        <v>8.6766334011526141</v>
      </c>
      <c r="CK45" s="100">
        <v>10838.850444719847</v>
      </c>
      <c r="CL45" s="100">
        <v>11.528983206793857</v>
      </c>
      <c r="CM45" s="100">
        <v>14402.005821926887</v>
      </c>
      <c r="CN45" s="100">
        <v>10.832728674212408</v>
      </c>
      <c r="CO45" s="100">
        <v>13532.244659826141</v>
      </c>
      <c r="CP45" s="100">
        <v>8.6779352216179042</v>
      </c>
      <c r="CQ45" s="100">
        <v>10840.476678845087</v>
      </c>
      <c r="CR45" s="100">
        <v>9.3227656757065329</v>
      </c>
      <c r="CS45" s="100">
        <v>11645.998882092601</v>
      </c>
      <c r="CT45" s="100">
        <v>11.706211149013322</v>
      </c>
      <c r="CU45" s="100">
        <v>14623.398967347443</v>
      </c>
    </row>
    <row r="46" spans="2:99">
      <c r="C46" s="99" t="s">
        <v>212</v>
      </c>
      <c r="D46" s="100">
        <v>12</v>
      </c>
      <c r="E46" s="100">
        <v>14544</v>
      </c>
      <c r="F46" s="100">
        <v>16</v>
      </c>
      <c r="G46" s="100">
        <v>19392</v>
      </c>
      <c r="H46" s="100">
        <v>14</v>
      </c>
      <c r="I46" s="100">
        <v>16968</v>
      </c>
      <c r="J46" s="100">
        <v>12</v>
      </c>
      <c r="K46" s="100">
        <v>14544</v>
      </c>
      <c r="L46" s="100">
        <v>19</v>
      </c>
      <c r="M46" s="100">
        <v>23028</v>
      </c>
      <c r="N46" s="100">
        <v>10</v>
      </c>
      <c r="O46" s="100">
        <v>12120</v>
      </c>
      <c r="P46" s="100">
        <v>14</v>
      </c>
      <c r="Q46" s="100">
        <v>16968</v>
      </c>
      <c r="R46" s="100">
        <v>12</v>
      </c>
      <c r="S46" s="100">
        <v>14544</v>
      </c>
      <c r="T46" s="100">
        <v>9</v>
      </c>
      <c r="U46" s="100">
        <v>10908</v>
      </c>
      <c r="V46" s="100">
        <v>17.031992253800933</v>
      </c>
      <c r="W46" s="100">
        <v>20642.774611606732</v>
      </c>
      <c r="X46" s="100">
        <v>11</v>
      </c>
      <c r="Y46" s="100">
        <v>13332</v>
      </c>
      <c r="Z46" s="100">
        <v>10</v>
      </c>
      <c r="AA46" s="100">
        <v>12120</v>
      </c>
      <c r="AB46" s="100">
        <v>11</v>
      </c>
      <c r="AC46" s="100">
        <v>13332</v>
      </c>
      <c r="AD46" s="100">
        <v>13</v>
      </c>
      <c r="AE46" s="100">
        <v>15756</v>
      </c>
      <c r="AF46" s="100">
        <v>17</v>
      </c>
      <c r="AG46" s="100">
        <v>20604</v>
      </c>
      <c r="AH46" s="100">
        <v>10.126241123101179</v>
      </c>
      <c r="AI46" s="100">
        <v>12273.004241198629</v>
      </c>
      <c r="AJ46" s="100">
        <v>11</v>
      </c>
      <c r="AK46" s="100">
        <v>13332</v>
      </c>
      <c r="AL46" s="100">
        <v>11</v>
      </c>
      <c r="AM46" s="100">
        <v>13332</v>
      </c>
      <c r="AN46" s="100">
        <v>18</v>
      </c>
      <c r="AO46" s="100">
        <v>21816</v>
      </c>
      <c r="AP46" s="100">
        <v>14</v>
      </c>
      <c r="AQ46" s="100">
        <v>16968</v>
      </c>
      <c r="AR46" s="100">
        <v>15</v>
      </c>
      <c r="AS46" s="100">
        <v>18180</v>
      </c>
      <c r="AT46" s="100">
        <v>15.175964013327146</v>
      </c>
      <c r="AU46" s="100">
        <v>18393.268384152499</v>
      </c>
      <c r="AV46" s="100">
        <v>8.5942834070067136</v>
      </c>
      <c r="AW46" s="100">
        <v>10416.271489292138</v>
      </c>
      <c r="AX46" s="100">
        <v>16.875465706228244</v>
      </c>
      <c r="AY46" s="100">
        <v>20453.064435948632</v>
      </c>
      <c r="AZ46" s="100">
        <v>12.741615123825083</v>
      </c>
      <c r="BA46" s="100">
        <v>15442.837530076</v>
      </c>
      <c r="BB46" s="100">
        <v>9.5427220346614963</v>
      </c>
      <c r="BC46" s="100">
        <v>11565.779106009733</v>
      </c>
      <c r="BD46" s="100">
        <v>14.632763936266654</v>
      </c>
      <c r="BE46" s="100">
        <v>17734.909890755185</v>
      </c>
      <c r="BF46" s="100">
        <v>15</v>
      </c>
      <c r="BG46" s="100">
        <v>18180</v>
      </c>
      <c r="BH46" s="100">
        <v>19</v>
      </c>
      <c r="BI46" s="100">
        <v>23028</v>
      </c>
      <c r="BJ46" s="100">
        <v>13</v>
      </c>
      <c r="BK46" s="100">
        <v>15756</v>
      </c>
      <c r="BL46" s="100">
        <v>15</v>
      </c>
      <c r="BM46" s="100">
        <v>18180</v>
      </c>
      <c r="BN46" s="100">
        <v>14.455151921378643</v>
      </c>
      <c r="BO46" s="100">
        <v>17519.644128710916</v>
      </c>
      <c r="BP46" s="100">
        <v>11.00200141119125</v>
      </c>
      <c r="BQ46" s="100">
        <v>13334.425710363796</v>
      </c>
      <c r="BR46" s="100">
        <v>12</v>
      </c>
      <c r="BS46" s="100">
        <v>14544</v>
      </c>
      <c r="BT46" s="100">
        <v>12</v>
      </c>
      <c r="BU46" s="100">
        <v>14544</v>
      </c>
      <c r="BV46" s="100">
        <v>10</v>
      </c>
      <c r="BW46" s="100">
        <v>12120</v>
      </c>
      <c r="BX46" s="100">
        <v>13.924938330344609</v>
      </c>
      <c r="BY46" s="100">
        <v>16877.025256377667</v>
      </c>
      <c r="BZ46" s="100">
        <v>16</v>
      </c>
      <c r="CA46" s="100">
        <v>19392</v>
      </c>
      <c r="CB46" s="100">
        <v>13.264781468028682</v>
      </c>
      <c r="CC46" s="100">
        <v>16076.915139250763</v>
      </c>
      <c r="CD46" s="100">
        <v>12.502722120363465</v>
      </c>
      <c r="CE46" s="100">
        <v>15153.299209880521</v>
      </c>
      <c r="CF46" s="100">
        <v>18</v>
      </c>
      <c r="CG46" s="100">
        <v>21816</v>
      </c>
      <c r="CH46" s="100">
        <v>13.806201413999545</v>
      </c>
      <c r="CI46" s="100">
        <v>16733.11611376745</v>
      </c>
      <c r="CJ46" s="100">
        <v>8.6766334011526141</v>
      </c>
      <c r="CK46" s="100">
        <v>10516.079682196969</v>
      </c>
      <c r="CL46" s="100">
        <v>13.175980807764409</v>
      </c>
      <c r="CM46" s="100">
        <v>15969.288739010464</v>
      </c>
      <c r="CN46" s="100">
        <v>10.832728674212408</v>
      </c>
      <c r="CO46" s="100">
        <v>13129.267153145438</v>
      </c>
      <c r="CP46" s="100">
        <v>8.6779352216179042</v>
      </c>
      <c r="CQ46" s="100">
        <v>10517.6574886009</v>
      </c>
      <c r="CR46" s="100">
        <v>10.255042243277186</v>
      </c>
      <c r="CS46" s="100">
        <v>12429.11119885195</v>
      </c>
      <c r="CT46" s="100">
        <v>11.706211149013322</v>
      </c>
      <c r="CU46" s="100">
        <v>14187.927912604147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13</v>
      </c>
      <c r="G47" s="100">
        <v>19858.8</v>
      </c>
      <c r="H47" s="100">
        <v>15</v>
      </c>
      <c r="I47" s="100">
        <v>22914</v>
      </c>
      <c r="J47" s="100">
        <v>12</v>
      </c>
      <c r="K47" s="100">
        <v>18331.199999999997</v>
      </c>
      <c r="L47" s="100">
        <v>16</v>
      </c>
      <c r="M47" s="100">
        <v>24441.599999999999</v>
      </c>
      <c r="N47" s="100">
        <v>11</v>
      </c>
      <c r="O47" s="100">
        <v>16803.599999999999</v>
      </c>
      <c r="P47" s="100">
        <v>12</v>
      </c>
      <c r="Q47" s="100">
        <v>18331.199999999997</v>
      </c>
      <c r="R47" s="100">
        <v>13</v>
      </c>
      <c r="S47" s="100">
        <v>19858.8</v>
      </c>
      <c r="T47" s="100">
        <v>9</v>
      </c>
      <c r="U47" s="100">
        <v>13748.4</v>
      </c>
      <c r="V47" s="100">
        <v>15.239150963927152</v>
      </c>
      <c r="W47" s="100">
        <v>23279.327012495116</v>
      </c>
      <c r="X47" s="100">
        <v>10</v>
      </c>
      <c r="Y47" s="100">
        <v>15276</v>
      </c>
      <c r="Z47" s="100">
        <v>10</v>
      </c>
      <c r="AA47" s="100">
        <v>15276</v>
      </c>
      <c r="AB47" s="100">
        <v>10</v>
      </c>
      <c r="AC47" s="100">
        <v>15276</v>
      </c>
      <c r="AD47" s="100">
        <v>11</v>
      </c>
      <c r="AE47" s="100">
        <v>16803.599999999999</v>
      </c>
      <c r="AF47" s="100">
        <v>15</v>
      </c>
      <c r="AG47" s="100">
        <v>22914</v>
      </c>
      <c r="AH47" s="100">
        <v>10.126241123101179</v>
      </c>
      <c r="AI47" s="100">
        <v>15468.84593964936</v>
      </c>
      <c r="AJ47" s="100">
        <v>11</v>
      </c>
      <c r="AK47" s="100">
        <v>16803.599999999999</v>
      </c>
      <c r="AL47" s="100">
        <v>10</v>
      </c>
      <c r="AM47" s="100">
        <v>15276</v>
      </c>
      <c r="AN47" s="100">
        <v>18</v>
      </c>
      <c r="AO47" s="100">
        <v>27496.799999999999</v>
      </c>
      <c r="AP47" s="100">
        <v>15</v>
      </c>
      <c r="AQ47" s="100">
        <v>22914</v>
      </c>
      <c r="AR47" s="100">
        <v>14</v>
      </c>
      <c r="AS47" s="100">
        <v>21386.399999999998</v>
      </c>
      <c r="AT47" s="100">
        <v>15.175964013327146</v>
      </c>
      <c r="AU47" s="100">
        <v>23182.802626758548</v>
      </c>
      <c r="AV47" s="100">
        <v>9.5492037855630123</v>
      </c>
      <c r="AW47" s="100">
        <v>14587.363702826056</v>
      </c>
      <c r="AX47" s="100">
        <v>15.987283300637285</v>
      </c>
      <c r="AY47" s="100">
        <v>24422.173970053514</v>
      </c>
      <c r="AZ47" s="100">
        <v>11.042733107315073</v>
      </c>
      <c r="BA47" s="100">
        <v>16868.879094734504</v>
      </c>
      <c r="BB47" s="100">
        <v>9.5427220346614963</v>
      </c>
      <c r="BC47" s="100">
        <v>14577.462180148901</v>
      </c>
      <c r="BD47" s="100">
        <v>14.632763936266654</v>
      </c>
      <c r="BE47" s="100">
        <v>22353.010189040939</v>
      </c>
      <c r="BF47" s="100">
        <v>16</v>
      </c>
      <c r="BG47" s="100">
        <v>24441.599999999999</v>
      </c>
      <c r="BH47" s="100">
        <v>16</v>
      </c>
      <c r="BI47" s="100">
        <v>24441.599999999999</v>
      </c>
      <c r="BJ47" s="100">
        <v>12</v>
      </c>
      <c r="BK47" s="100">
        <v>18331.199999999997</v>
      </c>
      <c r="BL47" s="100">
        <v>16</v>
      </c>
      <c r="BM47" s="100">
        <v>24441.599999999999</v>
      </c>
      <c r="BN47" s="100">
        <v>15.358598916464809</v>
      </c>
      <c r="BO47" s="100">
        <v>23461.795704791639</v>
      </c>
      <c r="BP47" s="100">
        <v>11.00200141119125</v>
      </c>
      <c r="BQ47" s="100">
        <v>16806.657355735751</v>
      </c>
      <c r="BR47" s="100">
        <v>13</v>
      </c>
      <c r="BS47" s="100">
        <v>19858.8</v>
      </c>
      <c r="BT47" s="100">
        <v>13</v>
      </c>
      <c r="BU47" s="100">
        <v>19858.8</v>
      </c>
      <c r="BV47" s="100">
        <v>10</v>
      </c>
      <c r="BW47" s="100">
        <v>15276</v>
      </c>
      <c r="BX47" s="100">
        <v>12.996609108321634</v>
      </c>
      <c r="BY47" s="100">
        <v>19853.620073872127</v>
      </c>
      <c r="BZ47" s="100">
        <v>15</v>
      </c>
      <c r="CA47" s="100">
        <v>22914</v>
      </c>
      <c r="CB47" s="100">
        <v>13.264781468028682</v>
      </c>
      <c r="CC47" s="100">
        <v>20263.280170560614</v>
      </c>
      <c r="CD47" s="100">
        <v>11.186646107693628</v>
      </c>
      <c r="CE47" s="100">
        <v>17088.720594112783</v>
      </c>
      <c r="CF47" s="100">
        <v>19</v>
      </c>
      <c r="CG47" s="100">
        <v>29024.399999999998</v>
      </c>
      <c r="CH47" s="100">
        <v>12.820044170142435</v>
      </c>
      <c r="CI47" s="100">
        <v>19583.899474309583</v>
      </c>
      <c r="CJ47" s="100">
        <v>8.6766334011526141</v>
      </c>
      <c r="CK47" s="100">
        <v>13254.425183600732</v>
      </c>
      <c r="CL47" s="100">
        <v>13.175980807764409</v>
      </c>
      <c r="CM47" s="100">
        <v>20127.62828194091</v>
      </c>
      <c r="CN47" s="100">
        <v>9.999441853119146</v>
      </c>
      <c r="CO47" s="100">
        <v>15275.147374824806</v>
      </c>
      <c r="CP47" s="100">
        <v>8.6779352216179042</v>
      </c>
      <c r="CQ47" s="100">
        <v>13256.413844543509</v>
      </c>
      <c r="CR47" s="100">
        <v>10.255042243277186</v>
      </c>
      <c r="CS47" s="100">
        <v>15665.602530830229</v>
      </c>
      <c r="CT47" s="100">
        <v>11.706211149013322</v>
      </c>
      <c r="CU47" s="100">
        <v>17882.40815123275</v>
      </c>
    </row>
    <row r="48" spans="2:99">
      <c r="C48" s="99" t="s">
        <v>214</v>
      </c>
      <c r="D48" s="100">
        <v>13</v>
      </c>
      <c r="E48" s="100">
        <v>11278.800000000001</v>
      </c>
      <c r="F48" s="100">
        <v>15</v>
      </c>
      <c r="G48" s="100">
        <v>13014</v>
      </c>
      <c r="H48" s="100">
        <v>17</v>
      </c>
      <c r="I48" s="100">
        <v>14749.2</v>
      </c>
      <c r="J48" s="100">
        <v>12</v>
      </c>
      <c r="K48" s="100">
        <v>10411.200000000001</v>
      </c>
      <c r="L48" s="100">
        <v>19</v>
      </c>
      <c r="M48" s="100">
        <v>16484.400000000001</v>
      </c>
      <c r="N48" s="100">
        <v>10</v>
      </c>
      <c r="O48" s="100">
        <v>8676</v>
      </c>
      <c r="P48" s="100">
        <v>14</v>
      </c>
      <c r="Q48" s="100">
        <v>12146.4</v>
      </c>
      <c r="R48" s="100">
        <v>13</v>
      </c>
      <c r="S48" s="100">
        <v>11278.800000000001</v>
      </c>
      <c r="T48" s="100">
        <v>11</v>
      </c>
      <c r="U48" s="100">
        <v>9543.6</v>
      </c>
      <c r="V48" s="100">
        <v>15.239150963927152</v>
      </c>
      <c r="W48" s="100">
        <v>13221.487376303197</v>
      </c>
      <c r="X48" s="100">
        <v>10</v>
      </c>
      <c r="Y48" s="100">
        <v>8676</v>
      </c>
      <c r="Z48" s="100">
        <v>11</v>
      </c>
      <c r="AA48" s="100">
        <v>9543.6</v>
      </c>
      <c r="AB48" s="100">
        <v>10</v>
      </c>
      <c r="AC48" s="100">
        <v>8676</v>
      </c>
      <c r="AD48" s="100">
        <v>13</v>
      </c>
      <c r="AE48" s="100">
        <v>11278.800000000001</v>
      </c>
      <c r="AF48" s="100">
        <v>16</v>
      </c>
      <c r="AG48" s="100">
        <v>13881.6</v>
      </c>
      <c r="AH48" s="100">
        <v>10.970094550026278</v>
      </c>
      <c r="AI48" s="100">
        <v>9517.6540316027986</v>
      </c>
      <c r="AJ48" s="100">
        <v>13</v>
      </c>
      <c r="AK48" s="100">
        <v>11278.800000000001</v>
      </c>
      <c r="AL48" s="100">
        <v>10</v>
      </c>
      <c r="AM48" s="100">
        <v>8676</v>
      </c>
      <c r="AN48" s="100">
        <v>17</v>
      </c>
      <c r="AO48" s="100">
        <v>14749.2</v>
      </c>
      <c r="AP48" s="100">
        <v>13</v>
      </c>
      <c r="AQ48" s="100">
        <v>11278.800000000001</v>
      </c>
      <c r="AR48" s="100">
        <v>16</v>
      </c>
      <c r="AS48" s="100">
        <v>13881.6</v>
      </c>
      <c r="AT48" s="100">
        <v>13.489745789624129</v>
      </c>
      <c r="AU48" s="100">
        <v>11703.703447077894</v>
      </c>
      <c r="AV48" s="100">
        <v>9.5492037855630123</v>
      </c>
      <c r="AW48" s="100">
        <v>8284.8892043544693</v>
      </c>
      <c r="AX48" s="100">
        <v>16.875465706228244</v>
      </c>
      <c r="AY48" s="100">
        <v>14641.154046723625</v>
      </c>
      <c r="AZ48" s="100">
        <v>11.892174115570077</v>
      </c>
      <c r="BA48" s="100">
        <v>10317.6502626686</v>
      </c>
      <c r="BB48" s="100">
        <v>9.5427220346614963</v>
      </c>
      <c r="BC48" s="100">
        <v>8279.2656372723141</v>
      </c>
      <c r="BD48" s="100">
        <v>16.583799127768877</v>
      </c>
      <c r="BE48" s="100">
        <v>14388.104123252278</v>
      </c>
      <c r="BF48" s="100">
        <v>18</v>
      </c>
      <c r="BG48" s="100">
        <v>15616.800000000001</v>
      </c>
      <c r="BH48" s="100">
        <v>21</v>
      </c>
      <c r="BI48" s="100">
        <v>18219.600000000002</v>
      </c>
      <c r="BJ48" s="100">
        <v>14</v>
      </c>
      <c r="BK48" s="100">
        <v>12146.4</v>
      </c>
      <c r="BL48" s="100">
        <v>16</v>
      </c>
      <c r="BM48" s="100">
        <v>13881.6</v>
      </c>
      <c r="BN48" s="100">
        <v>14.455151921378643</v>
      </c>
      <c r="BO48" s="100">
        <v>12541.289806988112</v>
      </c>
      <c r="BP48" s="100">
        <v>12.835668313056457</v>
      </c>
      <c r="BQ48" s="100">
        <v>11136.225828407783</v>
      </c>
      <c r="BR48" s="100">
        <v>14</v>
      </c>
      <c r="BS48" s="100">
        <v>12146.4</v>
      </c>
      <c r="BT48" s="100">
        <v>13</v>
      </c>
      <c r="BU48" s="100">
        <v>11278.800000000001</v>
      </c>
      <c r="BV48" s="100">
        <v>10</v>
      </c>
      <c r="BW48" s="100">
        <v>8676</v>
      </c>
      <c r="BX48" s="100">
        <v>15.781596774390557</v>
      </c>
      <c r="BY48" s="100">
        <v>13692.113361461248</v>
      </c>
      <c r="BZ48" s="100">
        <v>15</v>
      </c>
      <c r="CA48" s="100">
        <v>13014</v>
      </c>
      <c r="CB48" s="100">
        <v>13.264781468028682</v>
      </c>
      <c r="CC48" s="100">
        <v>11508.524401661685</v>
      </c>
      <c r="CD48" s="100">
        <v>11.844684114028547</v>
      </c>
      <c r="CE48" s="100">
        <v>10276.447937331168</v>
      </c>
      <c r="CF48" s="100">
        <v>20</v>
      </c>
      <c r="CG48" s="100">
        <v>17352</v>
      </c>
      <c r="CH48" s="100">
        <v>12.820044170142435</v>
      </c>
      <c r="CI48" s="100">
        <v>11122.670322015576</v>
      </c>
      <c r="CJ48" s="100">
        <v>7.8089700610373525</v>
      </c>
      <c r="CK48" s="100">
        <v>6775.0624249560069</v>
      </c>
      <c r="CL48" s="100">
        <v>13.999479608249684</v>
      </c>
      <c r="CM48" s="100">
        <v>12145.948508117426</v>
      </c>
      <c r="CN48" s="100">
        <v>9.999441853119146</v>
      </c>
      <c r="CO48" s="100">
        <v>8675.5157517661719</v>
      </c>
      <c r="CP48" s="100">
        <v>9.4668384235831677</v>
      </c>
      <c r="CQ48" s="100">
        <v>8213.4290163007572</v>
      </c>
      <c r="CR48" s="100">
        <v>10.255042243277186</v>
      </c>
      <c r="CS48" s="100">
        <v>8897.2746502672871</v>
      </c>
      <c r="CT48" s="100">
        <v>11.706211149013322</v>
      </c>
      <c r="CU48" s="100">
        <v>10156.30879288396</v>
      </c>
    </row>
    <row r="49" spans="2:99">
      <c r="B49" s="99" t="s">
        <v>129</v>
      </c>
      <c r="C49" s="99" t="s">
        <v>215</v>
      </c>
      <c r="D49" s="100">
        <v>10</v>
      </c>
      <c r="E49" s="100">
        <v>9852</v>
      </c>
      <c r="F49" s="100">
        <v>11</v>
      </c>
      <c r="G49" s="100">
        <v>10837.199999999999</v>
      </c>
      <c r="H49" s="100">
        <v>9</v>
      </c>
      <c r="I49" s="100">
        <v>8866.7999999999993</v>
      </c>
      <c r="J49" s="100">
        <v>10</v>
      </c>
      <c r="K49" s="100">
        <v>9852</v>
      </c>
      <c r="L49" s="100">
        <v>12</v>
      </c>
      <c r="M49" s="100">
        <v>11822.4</v>
      </c>
      <c r="N49" s="100">
        <v>14</v>
      </c>
      <c r="O49" s="100">
        <v>13792.8</v>
      </c>
      <c r="P49" s="100">
        <v>15</v>
      </c>
      <c r="Q49" s="100">
        <v>14777.999999999998</v>
      </c>
      <c r="R49" s="100">
        <v>10</v>
      </c>
      <c r="S49" s="100">
        <v>9852</v>
      </c>
      <c r="T49" s="100">
        <v>12</v>
      </c>
      <c r="U49" s="100">
        <v>11822.4</v>
      </c>
      <c r="V49" s="100">
        <v>14</v>
      </c>
      <c r="W49" s="100">
        <v>13792.8</v>
      </c>
      <c r="X49" s="100">
        <v>15</v>
      </c>
      <c r="Y49" s="100">
        <v>14777.999999999998</v>
      </c>
      <c r="Z49" s="100">
        <v>15</v>
      </c>
      <c r="AA49" s="100">
        <v>14777.999999999998</v>
      </c>
      <c r="AB49" s="100">
        <v>13</v>
      </c>
      <c r="AC49" s="100">
        <v>12807.599999999999</v>
      </c>
      <c r="AD49" s="100">
        <v>11</v>
      </c>
      <c r="AE49" s="100">
        <v>10837.199999999999</v>
      </c>
      <c r="AF49" s="100">
        <v>12</v>
      </c>
      <c r="AG49" s="100">
        <v>11822.4</v>
      </c>
      <c r="AH49" s="100">
        <v>9</v>
      </c>
      <c r="AI49" s="100">
        <v>8866.7999999999993</v>
      </c>
      <c r="AJ49" s="100">
        <v>15</v>
      </c>
      <c r="AK49" s="100">
        <v>14777.999999999998</v>
      </c>
      <c r="AL49" s="100">
        <v>8</v>
      </c>
      <c r="AM49" s="100">
        <v>7881.5999999999995</v>
      </c>
      <c r="AN49" s="100">
        <v>15</v>
      </c>
      <c r="AO49" s="100">
        <v>14777.999999999998</v>
      </c>
      <c r="AP49" s="100">
        <v>9</v>
      </c>
      <c r="AQ49" s="100">
        <v>8866.7999999999993</v>
      </c>
      <c r="AR49" s="100">
        <v>13</v>
      </c>
      <c r="AS49" s="100">
        <v>12807.599999999999</v>
      </c>
      <c r="AT49" s="100">
        <v>14</v>
      </c>
      <c r="AU49" s="100">
        <v>13792.8</v>
      </c>
      <c r="AV49" s="100">
        <v>13</v>
      </c>
      <c r="AW49" s="100">
        <v>12807.599999999999</v>
      </c>
      <c r="AX49" s="100">
        <v>9</v>
      </c>
      <c r="AY49" s="100">
        <v>8866.7999999999993</v>
      </c>
      <c r="AZ49" s="100">
        <v>16</v>
      </c>
      <c r="BA49" s="100">
        <v>15763.199999999999</v>
      </c>
      <c r="BB49" s="100">
        <v>14</v>
      </c>
      <c r="BC49" s="100">
        <v>13792.8</v>
      </c>
      <c r="BD49" s="100">
        <v>15</v>
      </c>
      <c r="BE49" s="100">
        <v>14777.999999999998</v>
      </c>
      <c r="BF49" s="100">
        <v>9</v>
      </c>
      <c r="BG49" s="100">
        <v>8866.7999999999993</v>
      </c>
      <c r="BH49" s="100">
        <v>15</v>
      </c>
      <c r="BI49" s="100">
        <v>14777.999999999998</v>
      </c>
      <c r="BJ49" s="100">
        <v>10</v>
      </c>
      <c r="BK49" s="100">
        <v>9852</v>
      </c>
      <c r="BL49" s="100">
        <v>13</v>
      </c>
      <c r="BM49" s="100">
        <v>12807.599999999999</v>
      </c>
      <c r="BN49" s="100">
        <v>15</v>
      </c>
      <c r="BO49" s="100">
        <v>14777.999999999998</v>
      </c>
      <c r="BP49" s="100">
        <v>17</v>
      </c>
      <c r="BQ49" s="100">
        <v>16748.399999999998</v>
      </c>
      <c r="BR49" s="100">
        <v>8</v>
      </c>
      <c r="BS49" s="100">
        <v>7881.5999999999995</v>
      </c>
      <c r="BT49" s="100">
        <v>18</v>
      </c>
      <c r="BU49" s="100">
        <v>17733.599999999999</v>
      </c>
      <c r="BV49" s="100">
        <v>14</v>
      </c>
      <c r="BW49" s="100">
        <v>13792.8</v>
      </c>
      <c r="BX49" s="100">
        <v>10</v>
      </c>
      <c r="BY49" s="100">
        <v>9852</v>
      </c>
      <c r="BZ49" s="100">
        <v>15</v>
      </c>
      <c r="CA49" s="100">
        <v>14777.999999999998</v>
      </c>
      <c r="CB49" s="100">
        <v>8</v>
      </c>
      <c r="CC49" s="100">
        <v>7881.5999999999995</v>
      </c>
      <c r="CD49" s="100">
        <v>14</v>
      </c>
      <c r="CE49" s="100">
        <v>13792.8</v>
      </c>
      <c r="CF49" s="100">
        <v>13</v>
      </c>
      <c r="CG49" s="100">
        <v>12807.599999999999</v>
      </c>
      <c r="CH49" s="100">
        <v>9</v>
      </c>
      <c r="CI49" s="100">
        <v>8866.7999999999993</v>
      </c>
      <c r="CJ49" s="100">
        <v>16</v>
      </c>
      <c r="CK49" s="100">
        <v>15763.199999999999</v>
      </c>
      <c r="CL49" s="100">
        <v>13</v>
      </c>
      <c r="CM49" s="100">
        <v>12807.599999999999</v>
      </c>
      <c r="CN49" s="100">
        <v>12</v>
      </c>
      <c r="CO49" s="100">
        <v>11822.4</v>
      </c>
      <c r="CP49" s="100">
        <v>13</v>
      </c>
      <c r="CQ49" s="100">
        <v>12807.599999999999</v>
      </c>
      <c r="CR49" s="100">
        <v>11</v>
      </c>
      <c r="CS49" s="100">
        <v>10837.199999999999</v>
      </c>
      <c r="CT49" s="100">
        <v>10</v>
      </c>
      <c r="CU49" s="100">
        <v>9852</v>
      </c>
    </row>
    <row r="50" spans="2:99">
      <c r="C50" s="99" t="s">
        <v>216</v>
      </c>
      <c r="D50" s="100">
        <v>11</v>
      </c>
      <c r="E50" s="100">
        <v>3102</v>
      </c>
      <c r="F50" s="100">
        <v>13</v>
      </c>
      <c r="G50" s="100">
        <v>3666</v>
      </c>
      <c r="H50" s="100">
        <v>11</v>
      </c>
      <c r="I50" s="100">
        <v>3102</v>
      </c>
      <c r="J50" s="100">
        <v>12</v>
      </c>
      <c r="K50" s="100">
        <v>3384</v>
      </c>
      <c r="L50" s="100">
        <v>14</v>
      </c>
      <c r="M50" s="100">
        <v>3948</v>
      </c>
      <c r="N50" s="100">
        <v>18</v>
      </c>
      <c r="O50" s="100">
        <v>5076</v>
      </c>
      <c r="P50" s="100">
        <v>18</v>
      </c>
      <c r="Q50" s="100">
        <v>5076</v>
      </c>
      <c r="R50" s="100">
        <v>11</v>
      </c>
      <c r="S50" s="100">
        <v>3102</v>
      </c>
      <c r="T50" s="100">
        <v>14</v>
      </c>
      <c r="U50" s="100">
        <v>3948</v>
      </c>
      <c r="V50" s="100">
        <v>13.446309674053369</v>
      </c>
      <c r="W50" s="100">
        <v>3791.8593280830501</v>
      </c>
      <c r="X50" s="100">
        <v>16</v>
      </c>
      <c r="Y50" s="100">
        <v>4512</v>
      </c>
      <c r="Z50" s="100">
        <v>15</v>
      </c>
      <c r="AA50" s="100">
        <v>4230</v>
      </c>
      <c r="AB50" s="100">
        <v>13</v>
      </c>
      <c r="AC50" s="100">
        <v>3666</v>
      </c>
      <c r="AD50" s="100">
        <v>13</v>
      </c>
      <c r="AE50" s="100">
        <v>3666</v>
      </c>
      <c r="AF50" s="100">
        <v>12</v>
      </c>
      <c r="AG50" s="100">
        <v>3384</v>
      </c>
      <c r="AH50" s="100">
        <v>9.2823876961760803</v>
      </c>
      <c r="AI50" s="100">
        <v>2617.6333303216547</v>
      </c>
      <c r="AJ50" s="100">
        <v>14</v>
      </c>
      <c r="AK50" s="100">
        <v>3948</v>
      </c>
      <c r="AL50" s="100">
        <v>8</v>
      </c>
      <c r="AM50" s="100">
        <v>2256</v>
      </c>
      <c r="AN50" s="100">
        <v>16</v>
      </c>
      <c r="AO50" s="100">
        <v>4512</v>
      </c>
      <c r="AP50" s="100">
        <v>10</v>
      </c>
      <c r="AQ50" s="100">
        <v>2820</v>
      </c>
      <c r="AR50" s="100">
        <v>15</v>
      </c>
      <c r="AS50" s="100">
        <v>4230</v>
      </c>
      <c r="AT50" s="100">
        <v>13.489745789624129</v>
      </c>
      <c r="AU50" s="100">
        <v>3804.1083126740045</v>
      </c>
      <c r="AV50" s="100">
        <v>15.278726056900821</v>
      </c>
      <c r="AW50" s="100">
        <v>4308.6007480460312</v>
      </c>
      <c r="AX50" s="100">
        <v>8.8818240559096022</v>
      </c>
      <c r="AY50" s="100">
        <v>2504.6743837665076</v>
      </c>
      <c r="AZ50" s="100">
        <v>15.289938148590101</v>
      </c>
      <c r="BA50" s="100">
        <v>4311.7625579024088</v>
      </c>
      <c r="BB50" s="100">
        <v>16.222627458924546</v>
      </c>
      <c r="BC50" s="100">
        <v>4574.780943416722</v>
      </c>
      <c r="BD50" s="100">
        <v>15.608281532017765</v>
      </c>
      <c r="BE50" s="100">
        <v>4401.5353920290099</v>
      </c>
      <c r="BF50" s="100">
        <v>9</v>
      </c>
      <c r="BG50" s="100">
        <v>2538</v>
      </c>
      <c r="BH50" s="100">
        <v>18</v>
      </c>
      <c r="BI50" s="100">
        <v>5076</v>
      </c>
      <c r="BJ50" s="100">
        <v>11</v>
      </c>
      <c r="BK50" s="100">
        <v>3102</v>
      </c>
      <c r="BL50" s="100">
        <v>16</v>
      </c>
      <c r="BM50" s="100">
        <v>4512</v>
      </c>
      <c r="BN50" s="100">
        <v>15.358598916464809</v>
      </c>
      <c r="BO50" s="100">
        <v>4331.1248944430763</v>
      </c>
      <c r="BP50" s="100">
        <v>17.419835567719478</v>
      </c>
      <c r="BQ50" s="100">
        <v>4912.3936300968926</v>
      </c>
      <c r="BR50" s="100">
        <v>10</v>
      </c>
      <c r="BS50" s="100">
        <v>2820</v>
      </c>
      <c r="BT50" s="100">
        <v>18</v>
      </c>
      <c r="BU50" s="100">
        <v>5076</v>
      </c>
      <c r="BV50" s="100">
        <v>15</v>
      </c>
      <c r="BW50" s="100">
        <v>4230</v>
      </c>
      <c r="BX50" s="100">
        <v>9.2832922202297397</v>
      </c>
      <c r="BY50" s="100">
        <v>2617.8884061047866</v>
      </c>
      <c r="BZ50" s="100">
        <v>16</v>
      </c>
      <c r="CA50" s="100">
        <v>4512</v>
      </c>
      <c r="CB50" s="100">
        <v>7.9588688808172092</v>
      </c>
      <c r="CC50" s="100">
        <v>2244.4010243904531</v>
      </c>
      <c r="CD50" s="100">
        <v>9.8705700950237905</v>
      </c>
      <c r="CE50" s="100">
        <v>2783.5007667967088</v>
      </c>
      <c r="CF50" s="100">
        <v>14</v>
      </c>
      <c r="CG50" s="100">
        <v>3948</v>
      </c>
      <c r="CH50" s="100">
        <v>10.847729682428213</v>
      </c>
      <c r="CI50" s="100">
        <v>3059.0597704447559</v>
      </c>
      <c r="CJ50" s="100">
        <v>15.617940122074705</v>
      </c>
      <c r="CK50" s="100">
        <v>4404.2591144250664</v>
      </c>
      <c r="CL50" s="100">
        <v>9.8819856058233082</v>
      </c>
      <c r="CM50" s="100">
        <v>2786.7199408421729</v>
      </c>
      <c r="CN50" s="100">
        <v>10.832728674212408</v>
      </c>
      <c r="CO50" s="100">
        <v>3054.8294861278991</v>
      </c>
      <c r="CP50" s="100">
        <v>12.622451231444224</v>
      </c>
      <c r="CQ50" s="100">
        <v>3559.5312472672713</v>
      </c>
      <c r="CR50" s="100">
        <v>10.255042243277186</v>
      </c>
      <c r="CS50" s="100">
        <v>2891.9219126041667</v>
      </c>
      <c r="CT50" s="100">
        <v>12.681728744764435</v>
      </c>
      <c r="CU50" s="100">
        <v>3576.2475060235706</v>
      </c>
    </row>
    <row r="51" spans="2:99">
      <c r="C51" s="99" t="s">
        <v>217</v>
      </c>
      <c r="D51" s="100">
        <v>13</v>
      </c>
      <c r="E51" s="100">
        <v>11107.199999999999</v>
      </c>
      <c r="F51" s="100">
        <v>13</v>
      </c>
      <c r="G51" s="100">
        <v>11107.199999999999</v>
      </c>
      <c r="H51" s="100">
        <v>10</v>
      </c>
      <c r="I51" s="100">
        <v>8544</v>
      </c>
      <c r="J51" s="100">
        <v>12</v>
      </c>
      <c r="K51" s="100">
        <v>10252.799999999999</v>
      </c>
      <c r="L51" s="100">
        <v>13</v>
      </c>
      <c r="M51" s="100">
        <v>11107.199999999999</v>
      </c>
      <c r="N51" s="100">
        <v>14</v>
      </c>
      <c r="O51" s="100">
        <v>11961.6</v>
      </c>
      <c r="P51" s="100">
        <v>16</v>
      </c>
      <c r="Q51" s="100">
        <v>13670.4</v>
      </c>
      <c r="R51" s="100">
        <v>10</v>
      </c>
      <c r="S51" s="100">
        <v>8544</v>
      </c>
      <c r="T51" s="100">
        <v>13</v>
      </c>
      <c r="U51" s="100">
        <v>11107.199999999999</v>
      </c>
      <c r="V51" s="100">
        <v>15.239150963927152</v>
      </c>
      <c r="W51" s="100">
        <v>13020.330583579358</v>
      </c>
      <c r="X51" s="100">
        <v>15</v>
      </c>
      <c r="Y51" s="100">
        <v>12816</v>
      </c>
      <c r="Z51" s="100">
        <v>14</v>
      </c>
      <c r="AA51" s="100">
        <v>11961.6</v>
      </c>
      <c r="AB51" s="100">
        <v>14</v>
      </c>
      <c r="AC51" s="100">
        <v>11961.6</v>
      </c>
      <c r="AD51" s="100">
        <v>11</v>
      </c>
      <c r="AE51" s="100">
        <v>9398.4</v>
      </c>
      <c r="AF51" s="100">
        <v>11</v>
      </c>
      <c r="AG51" s="100">
        <v>9398.4</v>
      </c>
      <c r="AH51" s="100">
        <v>7.5946808423258849</v>
      </c>
      <c r="AI51" s="100">
        <v>6488.8953116832363</v>
      </c>
      <c r="AJ51" s="100">
        <v>15</v>
      </c>
      <c r="AK51" s="100">
        <v>12816</v>
      </c>
      <c r="AL51" s="100">
        <v>9</v>
      </c>
      <c r="AM51" s="100">
        <v>7689.5999999999995</v>
      </c>
      <c r="AN51" s="100">
        <v>14</v>
      </c>
      <c r="AO51" s="100">
        <v>11961.6</v>
      </c>
      <c r="AP51" s="100">
        <v>8</v>
      </c>
      <c r="AQ51" s="100">
        <v>6835.2</v>
      </c>
      <c r="AR51" s="100">
        <v>14</v>
      </c>
      <c r="AS51" s="100">
        <v>11961.6</v>
      </c>
      <c r="AT51" s="100">
        <v>13.489745789624129</v>
      </c>
      <c r="AU51" s="100">
        <v>11525.638802654856</v>
      </c>
      <c r="AV51" s="100">
        <v>14.32380567834452</v>
      </c>
      <c r="AW51" s="100">
        <v>12238.259571577557</v>
      </c>
      <c r="AX51" s="100">
        <v>7.9936416503186427</v>
      </c>
      <c r="AY51" s="100">
        <v>6829.7674260322483</v>
      </c>
      <c r="AZ51" s="100">
        <v>12.741615123825083</v>
      </c>
      <c r="BA51" s="100">
        <v>10886.435961796151</v>
      </c>
      <c r="BB51" s="100">
        <v>13.359810848526095</v>
      </c>
      <c r="BC51" s="100">
        <v>11414.622388980695</v>
      </c>
      <c r="BD51" s="100">
        <v>13.657246340515545</v>
      </c>
      <c r="BE51" s="100">
        <v>11668.751273336482</v>
      </c>
      <c r="BF51" s="100">
        <v>9</v>
      </c>
      <c r="BG51" s="100">
        <v>7689.5999999999995</v>
      </c>
      <c r="BH51" s="100">
        <v>17</v>
      </c>
      <c r="BI51" s="100">
        <v>14524.8</v>
      </c>
      <c r="BJ51" s="100">
        <v>12</v>
      </c>
      <c r="BK51" s="100">
        <v>10252.799999999999</v>
      </c>
      <c r="BL51" s="100">
        <v>14</v>
      </c>
      <c r="BM51" s="100">
        <v>11961.6</v>
      </c>
      <c r="BN51" s="100">
        <v>14.455151921378643</v>
      </c>
      <c r="BO51" s="100">
        <v>12350.481801625912</v>
      </c>
      <c r="BP51" s="100">
        <v>15.58616866585427</v>
      </c>
      <c r="BQ51" s="100">
        <v>13316.822508105888</v>
      </c>
      <c r="BR51" s="100">
        <v>9</v>
      </c>
      <c r="BS51" s="100">
        <v>7689.5999999999995</v>
      </c>
      <c r="BT51" s="100">
        <v>15</v>
      </c>
      <c r="BU51" s="100">
        <v>12816</v>
      </c>
      <c r="BV51" s="100">
        <v>15</v>
      </c>
      <c r="BW51" s="100">
        <v>12816</v>
      </c>
      <c r="BX51" s="100">
        <v>8.3549629982067657</v>
      </c>
      <c r="BY51" s="100">
        <v>7138.48038566786</v>
      </c>
      <c r="BZ51" s="100">
        <v>15</v>
      </c>
      <c r="CA51" s="100">
        <v>12816</v>
      </c>
      <c r="CB51" s="100">
        <v>7.9588688808172092</v>
      </c>
      <c r="CC51" s="100">
        <v>6800.0575717702231</v>
      </c>
      <c r="CD51" s="100">
        <v>9.8705700950237905</v>
      </c>
      <c r="CE51" s="100">
        <v>8433.4150891883255</v>
      </c>
      <c r="CF51" s="100">
        <v>13</v>
      </c>
      <c r="CG51" s="100">
        <v>11107.199999999999</v>
      </c>
      <c r="CH51" s="100">
        <v>10.847729682428213</v>
      </c>
      <c r="CI51" s="100">
        <v>9268.3002406666656</v>
      </c>
      <c r="CJ51" s="100">
        <v>13.014950101728923</v>
      </c>
      <c r="CK51" s="100">
        <v>11119.973366917191</v>
      </c>
      <c r="CL51" s="100">
        <v>10.705484406308582</v>
      </c>
      <c r="CM51" s="100">
        <v>9146.7658767500525</v>
      </c>
      <c r="CN51" s="100">
        <v>9.999441853119146</v>
      </c>
      <c r="CO51" s="100">
        <v>8543.5231193049985</v>
      </c>
      <c r="CP51" s="100">
        <v>10.255741625548433</v>
      </c>
      <c r="CQ51" s="100">
        <v>8762.5056448685809</v>
      </c>
      <c r="CR51" s="100">
        <v>9.3227656757065329</v>
      </c>
      <c r="CS51" s="100">
        <v>7965.3709933236614</v>
      </c>
      <c r="CT51" s="100">
        <v>11.706211149013322</v>
      </c>
      <c r="CU51" s="100">
        <v>10001.786805716982</v>
      </c>
    </row>
    <row r="52" spans="2:99">
      <c r="C52" s="99" t="s">
        <v>218</v>
      </c>
      <c r="D52" s="100">
        <v>12</v>
      </c>
      <c r="E52" s="100">
        <v>6480</v>
      </c>
      <c r="F52" s="100">
        <v>12</v>
      </c>
      <c r="G52" s="100">
        <v>6480</v>
      </c>
      <c r="H52" s="100">
        <v>10</v>
      </c>
      <c r="I52" s="100">
        <v>5400</v>
      </c>
      <c r="J52" s="100">
        <v>12</v>
      </c>
      <c r="K52" s="100">
        <v>6480</v>
      </c>
      <c r="L52" s="100">
        <v>12</v>
      </c>
      <c r="M52" s="100">
        <v>6480</v>
      </c>
      <c r="N52" s="100">
        <v>16</v>
      </c>
      <c r="O52" s="100">
        <v>8640</v>
      </c>
      <c r="P52" s="100">
        <v>18</v>
      </c>
      <c r="Q52" s="100">
        <v>9720</v>
      </c>
      <c r="R52" s="100">
        <v>11</v>
      </c>
      <c r="S52" s="100">
        <v>5940</v>
      </c>
      <c r="T52" s="100">
        <v>13</v>
      </c>
      <c r="U52" s="100">
        <v>7020</v>
      </c>
      <c r="V52" s="100">
        <v>13.446309674053369</v>
      </c>
      <c r="W52" s="100">
        <v>7261.0072239888195</v>
      </c>
      <c r="X52" s="100">
        <v>16</v>
      </c>
      <c r="Y52" s="100">
        <v>8640</v>
      </c>
      <c r="Z52" s="100">
        <v>14</v>
      </c>
      <c r="AA52" s="100">
        <v>7560</v>
      </c>
      <c r="AB52" s="100">
        <v>13</v>
      </c>
      <c r="AC52" s="100">
        <v>7020</v>
      </c>
      <c r="AD52" s="100">
        <v>11</v>
      </c>
      <c r="AE52" s="100">
        <v>5940</v>
      </c>
      <c r="AF52" s="100">
        <v>11</v>
      </c>
      <c r="AG52" s="100">
        <v>5940</v>
      </c>
      <c r="AH52" s="100">
        <v>8.438534269250983</v>
      </c>
      <c r="AI52" s="100">
        <v>4556.808505395531</v>
      </c>
      <c r="AJ52" s="100">
        <v>14</v>
      </c>
      <c r="AK52" s="100">
        <v>7560</v>
      </c>
      <c r="AL52" s="100">
        <v>9</v>
      </c>
      <c r="AM52" s="100">
        <v>4860</v>
      </c>
      <c r="AN52" s="100">
        <v>14</v>
      </c>
      <c r="AO52" s="100">
        <v>7560</v>
      </c>
      <c r="AP52" s="100">
        <v>8</v>
      </c>
      <c r="AQ52" s="100">
        <v>4320</v>
      </c>
      <c r="AR52" s="100">
        <v>14</v>
      </c>
      <c r="AS52" s="100">
        <v>7560</v>
      </c>
      <c r="AT52" s="100">
        <v>11.803527565921113</v>
      </c>
      <c r="AU52" s="100">
        <v>6373.9048855974015</v>
      </c>
      <c r="AV52" s="100">
        <v>14.32380567834452</v>
      </c>
      <c r="AW52" s="100">
        <v>7734.8550663060405</v>
      </c>
      <c r="AX52" s="100">
        <v>8.8818240559096022</v>
      </c>
      <c r="AY52" s="100">
        <v>4796.1849901911855</v>
      </c>
      <c r="AZ52" s="100">
        <v>13.591056132080089</v>
      </c>
      <c r="BA52" s="100">
        <v>7339.1703113232479</v>
      </c>
      <c r="BB52" s="100">
        <v>13.359810848526095</v>
      </c>
      <c r="BC52" s="100">
        <v>7214.2978582040914</v>
      </c>
      <c r="BD52" s="100">
        <v>14.632763936266654</v>
      </c>
      <c r="BE52" s="100">
        <v>7901.6925255839933</v>
      </c>
      <c r="BF52" s="100">
        <v>9</v>
      </c>
      <c r="BG52" s="100">
        <v>4860</v>
      </c>
      <c r="BH52" s="100">
        <v>16</v>
      </c>
      <c r="BI52" s="100">
        <v>8640</v>
      </c>
      <c r="BJ52" s="100">
        <v>12</v>
      </c>
      <c r="BK52" s="100">
        <v>6480</v>
      </c>
      <c r="BL52" s="100">
        <v>16</v>
      </c>
      <c r="BM52" s="100">
        <v>8640</v>
      </c>
      <c r="BN52" s="100">
        <v>13.551704926292478</v>
      </c>
      <c r="BO52" s="100">
        <v>7317.9206601979386</v>
      </c>
      <c r="BP52" s="100">
        <v>14.669335214921666</v>
      </c>
      <c r="BQ52" s="100">
        <v>7921.4410160576999</v>
      </c>
      <c r="BR52" s="100">
        <v>8</v>
      </c>
      <c r="BS52" s="100">
        <v>4320</v>
      </c>
      <c r="BT52" s="100">
        <v>16</v>
      </c>
      <c r="BU52" s="100">
        <v>8640</v>
      </c>
      <c r="BV52" s="100">
        <v>17</v>
      </c>
      <c r="BW52" s="100">
        <v>9180</v>
      </c>
      <c r="BX52" s="100">
        <v>9.2832922202297397</v>
      </c>
      <c r="BY52" s="100">
        <v>5012.9777989240592</v>
      </c>
      <c r="BZ52" s="100">
        <v>17</v>
      </c>
      <c r="CA52" s="100">
        <v>9180</v>
      </c>
      <c r="CB52" s="100">
        <v>8.8431876453524563</v>
      </c>
      <c r="CC52" s="100">
        <v>4775.3213284903268</v>
      </c>
      <c r="CD52" s="100">
        <v>9.8705700950237905</v>
      </c>
      <c r="CE52" s="100">
        <v>5330.1078513128468</v>
      </c>
      <c r="CF52" s="100">
        <v>14</v>
      </c>
      <c r="CG52" s="100">
        <v>7560</v>
      </c>
      <c r="CH52" s="100">
        <v>9.8615724385711037</v>
      </c>
      <c r="CI52" s="100">
        <v>5325.2491168283959</v>
      </c>
      <c r="CJ52" s="100">
        <v>14.750276781959444</v>
      </c>
      <c r="CK52" s="100">
        <v>7965.1494622580994</v>
      </c>
      <c r="CL52" s="100">
        <v>10.705484406308582</v>
      </c>
      <c r="CM52" s="100">
        <v>5780.961579406634</v>
      </c>
      <c r="CN52" s="100">
        <v>9.999441853119146</v>
      </c>
      <c r="CO52" s="100">
        <v>5399.698600684339</v>
      </c>
      <c r="CP52" s="100">
        <v>11.044644827513695</v>
      </c>
      <c r="CQ52" s="100">
        <v>5964.1082068573951</v>
      </c>
      <c r="CR52" s="100">
        <v>10.255042243277186</v>
      </c>
      <c r="CS52" s="100">
        <v>5537.722811369681</v>
      </c>
      <c r="CT52" s="100">
        <v>10.730693553262212</v>
      </c>
      <c r="CU52" s="100">
        <v>5794.5745187615939</v>
      </c>
    </row>
    <row r="53" spans="2:99">
      <c r="C53" s="99" t="s">
        <v>219</v>
      </c>
      <c r="D53" s="100">
        <v>11</v>
      </c>
      <c r="E53" s="100">
        <v>4474.8</v>
      </c>
      <c r="F53" s="100">
        <v>12</v>
      </c>
      <c r="G53" s="100">
        <v>4881.6000000000004</v>
      </c>
      <c r="H53" s="100">
        <v>10</v>
      </c>
      <c r="I53" s="100">
        <v>4068</v>
      </c>
      <c r="J53" s="100">
        <v>12</v>
      </c>
      <c r="K53" s="100">
        <v>4881.6000000000004</v>
      </c>
      <c r="L53" s="100">
        <v>12</v>
      </c>
      <c r="M53" s="100">
        <v>4881.6000000000004</v>
      </c>
      <c r="N53" s="100">
        <v>17</v>
      </c>
      <c r="O53" s="100">
        <v>6915.6</v>
      </c>
      <c r="P53" s="100">
        <v>18</v>
      </c>
      <c r="Q53" s="100">
        <v>7322.4000000000005</v>
      </c>
      <c r="R53" s="100">
        <v>10</v>
      </c>
      <c r="S53" s="100">
        <v>4068</v>
      </c>
      <c r="T53" s="100">
        <v>14</v>
      </c>
      <c r="U53" s="100">
        <v>5695.2</v>
      </c>
      <c r="V53" s="100">
        <v>13.446309674053369</v>
      </c>
      <c r="W53" s="100">
        <v>5469.9587754049107</v>
      </c>
      <c r="X53" s="100">
        <v>16</v>
      </c>
      <c r="Y53" s="100">
        <v>6508.8</v>
      </c>
      <c r="Z53" s="100">
        <v>15</v>
      </c>
      <c r="AA53" s="100">
        <v>6102</v>
      </c>
      <c r="AB53" s="100">
        <v>13</v>
      </c>
      <c r="AC53" s="100">
        <v>5288.4000000000005</v>
      </c>
      <c r="AD53" s="100">
        <v>12</v>
      </c>
      <c r="AE53" s="100">
        <v>4881.6000000000004</v>
      </c>
      <c r="AF53" s="100">
        <v>11</v>
      </c>
      <c r="AG53" s="100">
        <v>4474.8</v>
      </c>
      <c r="AH53" s="100">
        <v>9.2823876961760803</v>
      </c>
      <c r="AI53" s="100">
        <v>3776.0753148044296</v>
      </c>
      <c r="AJ53" s="100">
        <v>15</v>
      </c>
      <c r="AK53" s="100">
        <v>6102</v>
      </c>
      <c r="AL53" s="100">
        <v>9</v>
      </c>
      <c r="AM53" s="100">
        <v>3661.2000000000003</v>
      </c>
      <c r="AN53" s="100">
        <v>15</v>
      </c>
      <c r="AO53" s="100">
        <v>6102</v>
      </c>
      <c r="AP53" s="100">
        <v>10</v>
      </c>
      <c r="AQ53" s="100">
        <v>4068</v>
      </c>
      <c r="AR53" s="100">
        <v>14</v>
      </c>
      <c r="AS53" s="100">
        <v>5695.2</v>
      </c>
      <c r="AT53" s="100">
        <v>12.646636677772623</v>
      </c>
      <c r="AU53" s="100">
        <v>5144.6518005179032</v>
      </c>
      <c r="AV53" s="100">
        <v>14.32380567834452</v>
      </c>
      <c r="AW53" s="100">
        <v>5826.9241499505506</v>
      </c>
      <c r="AX53" s="100">
        <v>9.7700064615005626</v>
      </c>
      <c r="AY53" s="100">
        <v>3974.4386285384289</v>
      </c>
      <c r="AZ53" s="100">
        <v>11.892174115570077</v>
      </c>
      <c r="BA53" s="100">
        <v>4837.7364302139076</v>
      </c>
      <c r="BB53" s="100">
        <v>14.314083051992244</v>
      </c>
      <c r="BC53" s="100">
        <v>5822.9689855504448</v>
      </c>
      <c r="BD53" s="100">
        <v>13.657246340515545</v>
      </c>
      <c r="BE53" s="100">
        <v>5555.7678113217244</v>
      </c>
      <c r="BF53" s="100">
        <v>9</v>
      </c>
      <c r="BG53" s="100">
        <v>3661.2000000000003</v>
      </c>
      <c r="BH53" s="100">
        <v>16</v>
      </c>
      <c r="BI53" s="100">
        <v>6508.8</v>
      </c>
      <c r="BJ53" s="100">
        <v>12</v>
      </c>
      <c r="BK53" s="100">
        <v>4881.6000000000004</v>
      </c>
      <c r="BL53" s="100">
        <v>16</v>
      </c>
      <c r="BM53" s="100">
        <v>6508.8</v>
      </c>
      <c r="BN53" s="100">
        <v>15.358598916464809</v>
      </c>
      <c r="BO53" s="100">
        <v>6247.8780392178842</v>
      </c>
      <c r="BP53" s="100">
        <v>16.503002116786874</v>
      </c>
      <c r="BQ53" s="100">
        <v>6713.4212611089006</v>
      </c>
      <c r="BR53" s="100">
        <v>9</v>
      </c>
      <c r="BS53" s="100">
        <v>3661.2000000000003</v>
      </c>
      <c r="BT53" s="100">
        <v>18</v>
      </c>
      <c r="BU53" s="100">
        <v>7322.4000000000005</v>
      </c>
      <c r="BV53" s="100">
        <v>14</v>
      </c>
      <c r="BW53" s="100">
        <v>5695.2</v>
      </c>
      <c r="BX53" s="100">
        <v>9.2832922202297397</v>
      </c>
      <c r="BY53" s="100">
        <v>3776.4432751894583</v>
      </c>
      <c r="BZ53" s="100">
        <v>16</v>
      </c>
      <c r="CA53" s="100">
        <v>6508.8</v>
      </c>
      <c r="CB53" s="100">
        <v>8.8431876453524563</v>
      </c>
      <c r="CC53" s="100">
        <v>3597.4087341293794</v>
      </c>
      <c r="CD53" s="100">
        <v>10.528608101358708</v>
      </c>
      <c r="CE53" s="100">
        <v>4283.0377756327225</v>
      </c>
      <c r="CF53" s="100">
        <v>14</v>
      </c>
      <c r="CG53" s="100">
        <v>5695.2</v>
      </c>
      <c r="CH53" s="100">
        <v>9.8615724385711037</v>
      </c>
      <c r="CI53" s="100">
        <v>4011.6876680107252</v>
      </c>
      <c r="CJ53" s="100">
        <v>15.617940122074705</v>
      </c>
      <c r="CK53" s="100">
        <v>6353.3780416599902</v>
      </c>
      <c r="CL53" s="100">
        <v>11.528983206793857</v>
      </c>
      <c r="CM53" s="100">
        <v>4689.9903685237414</v>
      </c>
      <c r="CN53" s="100">
        <v>9.166155032025884</v>
      </c>
      <c r="CO53" s="100">
        <v>3728.7918670281297</v>
      </c>
      <c r="CP53" s="100">
        <v>11.833548029478958</v>
      </c>
      <c r="CQ53" s="100">
        <v>4813.88733839204</v>
      </c>
      <c r="CR53" s="100">
        <v>11.187318810847838</v>
      </c>
      <c r="CS53" s="100">
        <v>4551.0012922529004</v>
      </c>
      <c r="CT53" s="100">
        <v>11.706211149013322</v>
      </c>
      <c r="CU53" s="100">
        <v>4762.0866954186195</v>
      </c>
    </row>
    <row r="54" spans="2:99">
      <c r="C54" s="99" t="s">
        <v>220</v>
      </c>
      <c r="D54" s="100">
        <v>12</v>
      </c>
      <c r="E54" s="100">
        <v>4017.6000000000004</v>
      </c>
      <c r="F54" s="100">
        <v>14</v>
      </c>
      <c r="G54" s="100">
        <v>4687.2</v>
      </c>
      <c r="H54" s="100">
        <v>10</v>
      </c>
      <c r="I54" s="100">
        <v>3348</v>
      </c>
      <c r="J54" s="100">
        <v>12</v>
      </c>
      <c r="K54" s="100">
        <v>4017.6000000000004</v>
      </c>
      <c r="L54" s="100">
        <v>14</v>
      </c>
      <c r="M54" s="100">
        <v>4687.2</v>
      </c>
      <c r="N54" s="100">
        <v>16</v>
      </c>
      <c r="O54" s="100">
        <v>5356.8</v>
      </c>
      <c r="P54" s="100">
        <v>19</v>
      </c>
      <c r="Q54" s="100">
        <v>6361.2</v>
      </c>
      <c r="R54" s="100">
        <v>12</v>
      </c>
      <c r="S54" s="100">
        <v>4017.6000000000004</v>
      </c>
      <c r="T54" s="100">
        <v>15</v>
      </c>
      <c r="U54" s="100">
        <v>5022</v>
      </c>
      <c r="V54" s="100">
        <v>13.446309674053369</v>
      </c>
      <c r="W54" s="100">
        <v>4501.8244788730681</v>
      </c>
      <c r="X54" s="100">
        <v>16</v>
      </c>
      <c r="Y54" s="100">
        <v>5356.8</v>
      </c>
      <c r="Z54" s="100">
        <v>15</v>
      </c>
      <c r="AA54" s="100">
        <v>5022</v>
      </c>
      <c r="AB54" s="100">
        <v>15</v>
      </c>
      <c r="AC54" s="100">
        <v>5022</v>
      </c>
      <c r="AD54" s="100">
        <v>11</v>
      </c>
      <c r="AE54" s="100">
        <v>3682.8</v>
      </c>
      <c r="AF54" s="100">
        <v>13</v>
      </c>
      <c r="AG54" s="100">
        <v>4352.4000000000005</v>
      </c>
      <c r="AH54" s="100">
        <v>8.438534269250983</v>
      </c>
      <c r="AI54" s="100">
        <v>2825.2212733452293</v>
      </c>
      <c r="AJ54" s="100">
        <v>15</v>
      </c>
      <c r="AK54" s="100">
        <v>5022</v>
      </c>
      <c r="AL54" s="100">
        <v>8</v>
      </c>
      <c r="AM54" s="100">
        <v>2678.4</v>
      </c>
      <c r="AN54" s="100">
        <v>15</v>
      </c>
      <c r="AO54" s="100">
        <v>5022</v>
      </c>
      <c r="AP54" s="100">
        <v>9</v>
      </c>
      <c r="AQ54" s="100">
        <v>3013.2000000000003</v>
      </c>
      <c r="AR54" s="100">
        <v>16</v>
      </c>
      <c r="AS54" s="100">
        <v>5356.8</v>
      </c>
      <c r="AT54" s="100">
        <v>12.646636677772623</v>
      </c>
      <c r="AU54" s="100">
        <v>4234.0939597182742</v>
      </c>
      <c r="AV54" s="100">
        <v>13.36888529978822</v>
      </c>
      <c r="AW54" s="100">
        <v>4475.9027983690958</v>
      </c>
      <c r="AX54" s="100">
        <v>9.7700064615005626</v>
      </c>
      <c r="AY54" s="100">
        <v>3270.9981633103885</v>
      </c>
      <c r="AZ54" s="100">
        <v>14.440497140335093</v>
      </c>
      <c r="BA54" s="100">
        <v>4834.6784425841897</v>
      </c>
      <c r="BB54" s="100">
        <v>14.314083051992244</v>
      </c>
      <c r="BC54" s="100">
        <v>4792.3550058070032</v>
      </c>
      <c r="BD54" s="100">
        <v>12.681728744764435</v>
      </c>
      <c r="BE54" s="100">
        <v>4245.8427837471327</v>
      </c>
      <c r="BF54" s="100">
        <v>9</v>
      </c>
      <c r="BG54" s="100">
        <v>3013.2000000000003</v>
      </c>
      <c r="BH54" s="100">
        <v>18</v>
      </c>
      <c r="BI54" s="100">
        <v>6026.4000000000005</v>
      </c>
      <c r="BJ54" s="100">
        <v>12</v>
      </c>
      <c r="BK54" s="100">
        <v>4017.6000000000004</v>
      </c>
      <c r="BL54" s="100">
        <v>16</v>
      </c>
      <c r="BM54" s="100">
        <v>5356.8</v>
      </c>
      <c r="BN54" s="100">
        <v>16.262045911550974</v>
      </c>
      <c r="BO54" s="100">
        <v>5444.5329711872664</v>
      </c>
      <c r="BP54" s="100">
        <v>15.58616866585427</v>
      </c>
      <c r="BQ54" s="100">
        <v>5218.2492693280101</v>
      </c>
      <c r="BR54" s="100">
        <v>10</v>
      </c>
      <c r="BS54" s="100">
        <v>3348</v>
      </c>
      <c r="BT54" s="100">
        <v>16</v>
      </c>
      <c r="BU54" s="100">
        <v>5356.8</v>
      </c>
      <c r="BV54" s="100">
        <v>16</v>
      </c>
      <c r="BW54" s="100">
        <v>5356.8</v>
      </c>
      <c r="BX54" s="100">
        <v>10.211621442252712</v>
      </c>
      <c r="BY54" s="100">
        <v>3418.850858866208</v>
      </c>
      <c r="BZ54" s="100">
        <v>17</v>
      </c>
      <c r="CA54" s="100">
        <v>5691.6</v>
      </c>
      <c r="CB54" s="100">
        <v>7.9588688808172092</v>
      </c>
      <c r="CC54" s="100">
        <v>2664.6293012976016</v>
      </c>
      <c r="CD54" s="100">
        <v>11.186646107693628</v>
      </c>
      <c r="CE54" s="100">
        <v>3745.2891168558267</v>
      </c>
      <c r="CF54" s="100">
        <v>13</v>
      </c>
      <c r="CG54" s="100">
        <v>4352.4000000000005</v>
      </c>
      <c r="CH54" s="100">
        <v>10.847729682428213</v>
      </c>
      <c r="CI54" s="100">
        <v>3631.8198976769659</v>
      </c>
      <c r="CJ54" s="100">
        <v>14.750276781959444</v>
      </c>
      <c r="CK54" s="100">
        <v>4938.3926666000225</v>
      </c>
      <c r="CL54" s="100">
        <v>9.8819856058233082</v>
      </c>
      <c r="CM54" s="100">
        <v>3308.4887808296435</v>
      </c>
      <c r="CN54" s="100">
        <v>10.832728674212408</v>
      </c>
      <c r="CO54" s="100">
        <v>3626.7975601263142</v>
      </c>
      <c r="CP54" s="100">
        <v>11.833548029478958</v>
      </c>
      <c r="CQ54" s="100">
        <v>3961.8718802695553</v>
      </c>
      <c r="CR54" s="100">
        <v>9.3227656757065329</v>
      </c>
      <c r="CS54" s="100">
        <v>3121.2619482265472</v>
      </c>
      <c r="CT54" s="100">
        <v>11.706211149013322</v>
      </c>
      <c r="CU54" s="100">
        <v>3919.2394926896604</v>
      </c>
    </row>
    <row r="55" spans="2:99">
      <c r="C55" s="99" t="s">
        <v>221</v>
      </c>
      <c r="D55" s="100">
        <v>11</v>
      </c>
      <c r="E55" s="100">
        <v>7299.6</v>
      </c>
      <c r="F55" s="100">
        <v>12</v>
      </c>
      <c r="G55" s="100">
        <v>7963.2000000000007</v>
      </c>
      <c r="H55" s="100">
        <v>9</v>
      </c>
      <c r="I55" s="100">
        <v>5972.4000000000005</v>
      </c>
      <c r="J55" s="100">
        <v>12</v>
      </c>
      <c r="K55" s="100">
        <v>7963.2000000000007</v>
      </c>
      <c r="L55" s="100">
        <v>13</v>
      </c>
      <c r="M55" s="100">
        <v>8626.8000000000011</v>
      </c>
      <c r="N55" s="100">
        <v>16</v>
      </c>
      <c r="O55" s="100">
        <v>10617.6</v>
      </c>
      <c r="P55" s="100">
        <v>16</v>
      </c>
      <c r="Q55" s="100">
        <v>10617.6</v>
      </c>
      <c r="R55" s="100">
        <v>11</v>
      </c>
      <c r="S55" s="100">
        <v>7299.6</v>
      </c>
      <c r="T55" s="100">
        <v>13</v>
      </c>
      <c r="U55" s="100">
        <v>8626.8000000000011</v>
      </c>
      <c r="V55" s="100">
        <v>15.239150963927152</v>
      </c>
      <c r="W55" s="100">
        <v>10112.700579662058</v>
      </c>
      <c r="X55" s="100">
        <v>17</v>
      </c>
      <c r="Y55" s="100">
        <v>11281.2</v>
      </c>
      <c r="Z55" s="100">
        <v>16</v>
      </c>
      <c r="AA55" s="100">
        <v>10617.6</v>
      </c>
      <c r="AB55" s="100">
        <v>15</v>
      </c>
      <c r="AC55" s="100">
        <v>9954</v>
      </c>
      <c r="AD55" s="100">
        <v>11</v>
      </c>
      <c r="AE55" s="100">
        <v>7299.6</v>
      </c>
      <c r="AF55" s="100">
        <v>11</v>
      </c>
      <c r="AG55" s="100">
        <v>7299.6</v>
      </c>
      <c r="AH55" s="100">
        <v>8.438534269250983</v>
      </c>
      <c r="AI55" s="100">
        <v>5599.8113410749529</v>
      </c>
      <c r="AJ55" s="100">
        <v>15</v>
      </c>
      <c r="AK55" s="100">
        <v>9954</v>
      </c>
      <c r="AL55" s="100">
        <v>9</v>
      </c>
      <c r="AM55" s="100">
        <v>5972.4000000000005</v>
      </c>
      <c r="AN55" s="100">
        <v>14</v>
      </c>
      <c r="AO55" s="100">
        <v>9290.4</v>
      </c>
      <c r="AP55" s="100">
        <v>8</v>
      </c>
      <c r="AQ55" s="100">
        <v>5308.8</v>
      </c>
      <c r="AR55" s="100">
        <v>16</v>
      </c>
      <c r="AS55" s="100">
        <v>10617.6</v>
      </c>
      <c r="AT55" s="100">
        <v>14.332854901475638</v>
      </c>
      <c r="AU55" s="100">
        <v>9511.2825126192347</v>
      </c>
      <c r="AV55" s="100">
        <v>14.32380567834452</v>
      </c>
      <c r="AW55" s="100">
        <v>9505.2774481494234</v>
      </c>
      <c r="AX55" s="100">
        <v>8.8818240559096022</v>
      </c>
      <c r="AY55" s="100">
        <v>5893.9784435016127</v>
      </c>
      <c r="AZ55" s="100">
        <v>13.591056132080089</v>
      </c>
      <c r="BA55" s="100">
        <v>9019.0248492483479</v>
      </c>
      <c r="BB55" s="100">
        <v>14.314083051992244</v>
      </c>
      <c r="BC55" s="100">
        <v>9498.8255133020539</v>
      </c>
      <c r="BD55" s="100">
        <v>13.657246340515545</v>
      </c>
      <c r="BE55" s="100">
        <v>9062.9486715661169</v>
      </c>
      <c r="BF55" s="100">
        <v>10</v>
      </c>
      <c r="BG55" s="100">
        <v>6636</v>
      </c>
      <c r="BH55" s="100">
        <v>16</v>
      </c>
      <c r="BI55" s="100">
        <v>10617.6</v>
      </c>
      <c r="BJ55" s="100">
        <v>12</v>
      </c>
      <c r="BK55" s="100">
        <v>7963.2000000000007</v>
      </c>
      <c r="BL55" s="100">
        <v>14</v>
      </c>
      <c r="BM55" s="100">
        <v>9290.4</v>
      </c>
      <c r="BN55" s="100">
        <v>15.358598916464809</v>
      </c>
      <c r="BO55" s="100">
        <v>10191.966240966047</v>
      </c>
      <c r="BP55" s="100">
        <v>15.58616866585427</v>
      </c>
      <c r="BQ55" s="100">
        <v>10342.981526660895</v>
      </c>
      <c r="BR55" s="100">
        <v>9</v>
      </c>
      <c r="BS55" s="100">
        <v>5972.4000000000005</v>
      </c>
      <c r="BT55" s="100">
        <v>18</v>
      </c>
      <c r="BU55" s="100">
        <v>11944.800000000001</v>
      </c>
      <c r="BV55" s="100">
        <v>16</v>
      </c>
      <c r="BW55" s="100">
        <v>10617.6</v>
      </c>
      <c r="BX55" s="100">
        <v>9.2832922202297397</v>
      </c>
      <c r="BY55" s="100">
        <v>6160.3927173444554</v>
      </c>
      <c r="BZ55" s="100">
        <v>15</v>
      </c>
      <c r="CA55" s="100">
        <v>9954</v>
      </c>
      <c r="CB55" s="100">
        <v>7.9588688808172092</v>
      </c>
      <c r="CC55" s="100">
        <v>5281.5053893103004</v>
      </c>
      <c r="CD55" s="100">
        <v>9.2125320886888709</v>
      </c>
      <c r="CE55" s="100">
        <v>6113.4362940539349</v>
      </c>
      <c r="CF55" s="100">
        <v>12</v>
      </c>
      <c r="CG55" s="100">
        <v>7963.2000000000007</v>
      </c>
      <c r="CH55" s="100">
        <v>9.8615724385711037</v>
      </c>
      <c r="CI55" s="100">
        <v>6544.1394702357848</v>
      </c>
      <c r="CJ55" s="100">
        <v>14.750276781959444</v>
      </c>
      <c r="CK55" s="100">
        <v>9788.2836725082871</v>
      </c>
      <c r="CL55" s="100">
        <v>9.8819856058233082</v>
      </c>
      <c r="CM55" s="100">
        <v>6557.6856480243478</v>
      </c>
      <c r="CN55" s="100">
        <v>10.832728674212408</v>
      </c>
      <c r="CO55" s="100">
        <v>7188.5987482073542</v>
      </c>
      <c r="CP55" s="100">
        <v>10.255741625548433</v>
      </c>
      <c r="CQ55" s="100">
        <v>6805.7101427139405</v>
      </c>
      <c r="CR55" s="100">
        <v>10.255042243277186</v>
      </c>
      <c r="CS55" s="100">
        <v>6805.2460326387409</v>
      </c>
      <c r="CT55" s="100">
        <v>11.706211149013322</v>
      </c>
      <c r="CU55" s="100">
        <v>7768.2417184852411</v>
      </c>
    </row>
    <row r="56" spans="2:99">
      <c r="C56" s="99" t="s">
        <v>222</v>
      </c>
      <c r="D56" s="100">
        <v>9.8122065727699539</v>
      </c>
      <c r="E56" s="100">
        <v>9631.6619718309867</v>
      </c>
      <c r="F56" s="100">
        <v>13</v>
      </c>
      <c r="G56" s="100">
        <v>12760.8</v>
      </c>
      <c r="H56" s="100">
        <v>9</v>
      </c>
      <c r="I56" s="100">
        <v>8834.4</v>
      </c>
      <c r="J56" s="100">
        <v>11</v>
      </c>
      <c r="K56" s="100">
        <v>10797.599999999999</v>
      </c>
      <c r="L56" s="100">
        <v>13</v>
      </c>
      <c r="M56" s="100">
        <v>12760.8</v>
      </c>
      <c r="N56" s="100">
        <v>16</v>
      </c>
      <c r="O56" s="100">
        <v>15705.599999999999</v>
      </c>
      <c r="P56" s="100">
        <v>16</v>
      </c>
      <c r="Q56" s="100">
        <v>15705.599999999999</v>
      </c>
      <c r="R56" s="100">
        <v>10</v>
      </c>
      <c r="S56" s="100">
        <v>9816</v>
      </c>
      <c r="T56" s="100">
        <v>13</v>
      </c>
      <c r="U56" s="100">
        <v>12760.8</v>
      </c>
      <c r="V56" s="100">
        <v>15</v>
      </c>
      <c r="W56" s="100">
        <v>14723.999999999998</v>
      </c>
      <c r="X56" s="100">
        <v>16</v>
      </c>
      <c r="Y56" s="100">
        <v>15705.599999999999</v>
      </c>
      <c r="Z56" s="100">
        <v>15</v>
      </c>
      <c r="AA56" s="100">
        <v>14723.999999999998</v>
      </c>
      <c r="AB56" s="100">
        <v>10.638655462184873</v>
      </c>
      <c r="AC56" s="100">
        <v>10442.904201680671</v>
      </c>
      <c r="AD56" s="100">
        <v>10.82901554404145</v>
      </c>
      <c r="AE56" s="100">
        <v>10629.761658031086</v>
      </c>
      <c r="AF56" s="100">
        <v>10.316742081447964</v>
      </c>
      <c r="AG56" s="100">
        <v>10126.914027149322</v>
      </c>
      <c r="AH56" s="100">
        <v>9</v>
      </c>
      <c r="AI56" s="100">
        <v>8834.4</v>
      </c>
      <c r="AJ56" s="100">
        <v>15</v>
      </c>
      <c r="AK56" s="100">
        <v>14723.999999999998</v>
      </c>
      <c r="AL56" s="100">
        <v>9</v>
      </c>
      <c r="AM56" s="100">
        <v>8834.4</v>
      </c>
      <c r="AN56" s="100">
        <v>14</v>
      </c>
      <c r="AO56" s="100">
        <v>13742.399999999998</v>
      </c>
      <c r="AP56" s="100">
        <v>9</v>
      </c>
      <c r="AQ56" s="100">
        <v>8834.4</v>
      </c>
      <c r="AR56" s="100">
        <v>15</v>
      </c>
      <c r="AS56" s="100">
        <v>14723.999999999998</v>
      </c>
      <c r="AT56" s="100">
        <v>15</v>
      </c>
      <c r="AU56" s="100">
        <v>14723.999999999998</v>
      </c>
      <c r="AV56" s="100">
        <v>16</v>
      </c>
      <c r="AW56" s="100">
        <v>15705.599999999999</v>
      </c>
      <c r="AX56" s="100">
        <v>8.6818181818181817</v>
      </c>
      <c r="AY56" s="100">
        <v>8522.0727272727272</v>
      </c>
      <c r="AZ56" s="100">
        <v>14.84375</v>
      </c>
      <c r="BA56" s="100">
        <v>14570.624999999998</v>
      </c>
      <c r="BB56" s="100">
        <v>14.84375</v>
      </c>
      <c r="BC56" s="100">
        <v>14570.624999999998</v>
      </c>
      <c r="BD56" s="100">
        <v>15</v>
      </c>
      <c r="BE56" s="100">
        <v>14723.999999999998</v>
      </c>
      <c r="BF56" s="100">
        <v>7.4392523364485976</v>
      </c>
      <c r="BG56" s="100">
        <v>7302.3700934579429</v>
      </c>
      <c r="BH56" s="100">
        <v>11.220472440944881</v>
      </c>
      <c r="BI56" s="100">
        <v>11014.015748031494</v>
      </c>
      <c r="BJ56" s="100">
        <v>9.0869565217391308</v>
      </c>
      <c r="BK56" s="100">
        <v>8919.7565217391293</v>
      </c>
      <c r="BL56" s="100">
        <v>15</v>
      </c>
      <c r="BM56" s="100">
        <v>14723.999999999998</v>
      </c>
      <c r="BN56" s="100">
        <v>14.473684210526315</v>
      </c>
      <c r="BO56" s="100">
        <v>14207.36842105263</v>
      </c>
      <c r="BP56" s="100">
        <v>13.168316831683169</v>
      </c>
      <c r="BQ56" s="100">
        <v>12926.019801980197</v>
      </c>
      <c r="BR56" s="100">
        <v>8</v>
      </c>
      <c r="BS56" s="100">
        <v>7852.7999999999993</v>
      </c>
      <c r="BT56" s="100">
        <v>13.694444444444443</v>
      </c>
      <c r="BU56" s="100">
        <v>13442.466666666664</v>
      </c>
      <c r="BV56" s="100">
        <v>12.547169811320755</v>
      </c>
      <c r="BW56" s="100">
        <v>12316.301886792451</v>
      </c>
      <c r="BX56" s="100">
        <v>10</v>
      </c>
      <c r="BY56" s="100">
        <v>9816</v>
      </c>
      <c r="BZ56" s="100">
        <v>11.301204819277109</v>
      </c>
      <c r="CA56" s="100">
        <v>11093.262650602408</v>
      </c>
      <c r="CB56" s="100">
        <v>9</v>
      </c>
      <c r="CC56" s="100">
        <v>8834.4</v>
      </c>
      <c r="CD56" s="100">
        <v>15</v>
      </c>
      <c r="CE56" s="100">
        <v>14723.999999999998</v>
      </c>
      <c r="CF56" s="100">
        <v>11</v>
      </c>
      <c r="CG56" s="100">
        <v>10797.599999999999</v>
      </c>
      <c r="CH56" s="100">
        <v>9.6551724137931032</v>
      </c>
      <c r="CI56" s="100">
        <v>9477.5172413793098</v>
      </c>
      <c r="CJ56" s="100">
        <v>14.292035398230089</v>
      </c>
      <c r="CK56" s="100">
        <v>14029.061946902655</v>
      </c>
      <c r="CL56" s="100">
        <v>12</v>
      </c>
      <c r="CM56" s="100">
        <v>11779.199999999999</v>
      </c>
      <c r="CN56" s="100">
        <v>11</v>
      </c>
      <c r="CO56" s="100">
        <v>10797.599999999999</v>
      </c>
      <c r="CP56" s="100">
        <v>12.444444444444445</v>
      </c>
      <c r="CQ56" s="100">
        <v>12215.466666666665</v>
      </c>
      <c r="CR56" s="100">
        <v>11</v>
      </c>
      <c r="CS56" s="100">
        <v>10797.599999999999</v>
      </c>
      <c r="CT56" s="100">
        <v>8.3935742971887546</v>
      </c>
      <c r="CU56" s="100">
        <v>8239.1325301204815</v>
      </c>
    </row>
    <row r="57" spans="2:99">
      <c r="C57" s="99" t="s">
        <v>223</v>
      </c>
      <c r="D57" s="100">
        <v>12</v>
      </c>
      <c r="E57" s="100">
        <v>16934.400000000001</v>
      </c>
      <c r="F57" s="100">
        <v>11</v>
      </c>
      <c r="G57" s="100">
        <v>15523.2</v>
      </c>
      <c r="H57" s="100">
        <v>8</v>
      </c>
      <c r="I57" s="100">
        <v>11289.6</v>
      </c>
      <c r="J57" s="100">
        <v>11</v>
      </c>
      <c r="K57" s="100">
        <v>15523.2</v>
      </c>
      <c r="L57" s="100">
        <v>12</v>
      </c>
      <c r="M57" s="100">
        <v>16934.400000000001</v>
      </c>
      <c r="N57" s="100">
        <v>16</v>
      </c>
      <c r="O57" s="100">
        <v>22579.200000000001</v>
      </c>
      <c r="P57" s="100">
        <v>14</v>
      </c>
      <c r="Q57" s="100">
        <v>19756.8</v>
      </c>
      <c r="R57" s="100">
        <v>10</v>
      </c>
      <c r="S57" s="100">
        <v>14112</v>
      </c>
      <c r="T57" s="100">
        <v>11</v>
      </c>
      <c r="U57" s="100">
        <v>15523.2</v>
      </c>
      <c r="V57" s="100">
        <v>13.446309674053369</v>
      </c>
      <c r="W57" s="100">
        <v>18975.432212024116</v>
      </c>
      <c r="X57" s="100">
        <v>14</v>
      </c>
      <c r="Y57" s="100">
        <v>19756.8</v>
      </c>
      <c r="Z57" s="100">
        <v>13</v>
      </c>
      <c r="AA57" s="100">
        <v>18345.600000000002</v>
      </c>
      <c r="AB57" s="100">
        <v>12</v>
      </c>
      <c r="AC57" s="100">
        <v>16934.400000000001</v>
      </c>
      <c r="AD57" s="100">
        <v>12</v>
      </c>
      <c r="AE57" s="100">
        <v>16934.400000000001</v>
      </c>
      <c r="AF57" s="100">
        <v>11</v>
      </c>
      <c r="AG57" s="100">
        <v>15523.2</v>
      </c>
      <c r="AH57" s="100">
        <v>8.438534269250983</v>
      </c>
      <c r="AI57" s="100">
        <v>11908.459560766987</v>
      </c>
      <c r="AJ57" s="100">
        <v>14</v>
      </c>
      <c r="AK57" s="100">
        <v>19756.8</v>
      </c>
      <c r="AL57" s="100">
        <v>8</v>
      </c>
      <c r="AM57" s="100">
        <v>11289.6</v>
      </c>
      <c r="AN57" s="100">
        <v>14</v>
      </c>
      <c r="AO57" s="100">
        <v>19756.8</v>
      </c>
      <c r="AP57" s="100">
        <v>8</v>
      </c>
      <c r="AQ57" s="100">
        <v>11289.6</v>
      </c>
      <c r="AR57" s="100">
        <v>15</v>
      </c>
      <c r="AS57" s="100">
        <v>21168</v>
      </c>
      <c r="AT57" s="100">
        <v>11.803527565921113</v>
      </c>
      <c r="AU57" s="100">
        <v>16657.138101027875</v>
      </c>
      <c r="AV57" s="100">
        <v>12.413964921231917</v>
      </c>
      <c r="AW57" s="100">
        <v>17518.587296842481</v>
      </c>
      <c r="AX57" s="100">
        <v>8.8818240559096022</v>
      </c>
      <c r="AY57" s="100">
        <v>12534.030107699631</v>
      </c>
      <c r="AZ57" s="100">
        <v>11.892174115570077</v>
      </c>
      <c r="BA57" s="100">
        <v>16782.236111892493</v>
      </c>
      <c r="BB57" s="100">
        <v>12.405538645059947</v>
      </c>
      <c r="BC57" s="100">
        <v>17506.696135908598</v>
      </c>
      <c r="BD57" s="100">
        <v>13.657246340515545</v>
      </c>
      <c r="BE57" s="100">
        <v>19273.106035735538</v>
      </c>
      <c r="BF57" s="100">
        <v>10</v>
      </c>
      <c r="BG57" s="100">
        <v>14112</v>
      </c>
      <c r="BH57" s="100">
        <v>16</v>
      </c>
      <c r="BI57" s="100">
        <v>22579.200000000001</v>
      </c>
      <c r="BJ57" s="100">
        <v>11</v>
      </c>
      <c r="BK57" s="100">
        <v>15523.2</v>
      </c>
      <c r="BL57" s="100">
        <v>14</v>
      </c>
      <c r="BM57" s="100">
        <v>19756.8</v>
      </c>
      <c r="BN57" s="100">
        <v>14.455151921378643</v>
      </c>
      <c r="BO57" s="100">
        <v>20399.110391449543</v>
      </c>
      <c r="BP57" s="100">
        <v>14.669335214921666</v>
      </c>
      <c r="BQ57" s="100">
        <v>20701.365855297456</v>
      </c>
      <c r="BR57" s="100">
        <v>9</v>
      </c>
      <c r="BS57" s="100">
        <v>12700.800000000001</v>
      </c>
      <c r="BT57" s="100">
        <v>16</v>
      </c>
      <c r="BU57" s="100">
        <v>22579.200000000001</v>
      </c>
      <c r="BV57" s="100">
        <v>14</v>
      </c>
      <c r="BW57" s="100">
        <v>19756.8</v>
      </c>
      <c r="BX57" s="100">
        <v>7.4266337761837908</v>
      </c>
      <c r="BY57" s="100">
        <v>10480.465584950565</v>
      </c>
      <c r="BZ57" s="100">
        <v>14</v>
      </c>
      <c r="CA57" s="100">
        <v>19756.8</v>
      </c>
      <c r="CB57" s="100">
        <v>6.1902313517467187</v>
      </c>
      <c r="CC57" s="100">
        <v>8735.6544835849691</v>
      </c>
      <c r="CD57" s="100">
        <v>8.5544940823539513</v>
      </c>
      <c r="CE57" s="100">
        <v>12072.102049017896</v>
      </c>
      <c r="CF57" s="100">
        <v>13</v>
      </c>
      <c r="CG57" s="100">
        <v>18345.600000000002</v>
      </c>
      <c r="CH57" s="100">
        <v>9.8615724385711037</v>
      </c>
      <c r="CI57" s="100">
        <v>13916.651025311541</v>
      </c>
      <c r="CJ57" s="100">
        <v>13.014950101728923</v>
      </c>
      <c r="CK57" s="100">
        <v>18366.697583559857</v>
      </c>
      <c r="CL57" s="100">
        <v>9.8819856058233082</v>
      </c>
      <c r="CM57" s="100">
        <v>13945.458086937853</v>
      </c>
      <c r="CN57" s="100">
        <v>9.166155032025884</v>
      </c>
      <c r="CO57" s="100">
        <v>12935.277981194928</v>
      </c>
      <c r="CP57" s="100">
        <v>10.255741625548433</v>
      </c>
      <c r="CQ57" s="100">
        <v>14472.902581973949</v>
      </c>
      <c r="CR57" s="100">
        <v>8.3904891081358794</v>
      </c>
      <c r="CS57" s="100">
        <v>11840.658229401353</v>
      </c>
      <c r="CT57" s="100">
        <v>9.7551759575111028</v>
      </c>
      <c r="CU57" s="100">
        <v>13766.504311239669</v>
      </c>
    </row>
    <row r="58" spans="2:99">
      <c r="C58" s="99" t="s">
        <v>224</v>
      </c>
      <c r="D58" s="100">
        <v>10</v>
      </c>
      <c r="E58" s="100">
        <v>11772</v>
      </c>
      <c r="F58" s="100">
        <v>11</v>
      </c>
      <c r="G58" s="100">
        <v>12949.2</v>
      </c>
      <c r="H58" s="100">
        <v>10</v>
      </c>
      <c r="I58" s="100">
        <v>11772</v>
      </c>
      <c r="J58" s="100">
        <v>10</v>
      </c>
      <c r="K58" s="100">
        <v>11772</v>
      </c>
      <c r="L58" s="100">
        <v>12</v>
      </c>
      <c r="M58" s="100">
        <v>14126.400000000001</v>
      </c>
      <c r="N58" s="100">
        <v>15</v>
      </c>
      <c r="O58" s="100">
        <v>17658</v>
      </c>
      <c r="P58" s="100">
        <v>15</v>
      </c>
      <c r="Q58" s="100">
        <v>17658</v>
      </c>
      <c r="R58" s="100">
        <v>10</v>
      </c>
      <c r="S58" s="100">
        <v>11772</v>
      </c>
      <c r="T58" s="100">
        <v>12</v>
      </c>
      <c r="U58" s="100">
        <v>14126.400000000001</v>
      </c>
      <c r="V58" s="100">
        <v>15</v>
      </c>
      <c r="W58" s="100">
        <v>17658</v>
      </c>
      <c r="X58" s="100">
        <v>16</v>
      </c>
      <c r="Y58" s="100">
        <v>18835.2</v>
      </c>
      <c r="Z58" s="100">
        <v>14</v>
      </c>
      <c r="AA58" s="100">
        <v>16480.8</v>
      </c>
      <c r="AB58" s="100">
        <v>12</v>
      </c>
      <c r="AC58" s="100">
        <v>14126.400000000001</v>
      </c>
      <c r="AD58" s="100">
        <v>11</v>
      </c>
      <c r="AE58" s="100">
        <v>12949.2</v>
      </c>
      <c r="AF58" s="100">
        <v>11</v>
      </c>
      <c r="AG58" s="100">
        <v>12949.2</v>
      </c>
      <c r="AH58" s="100">
        <v>10</v>
      </c>
      <c r="AI58" s="100">
        <v>11772</v>
      </c>
      <c r="AJ58" s="100">
        <v>14</v>
      </c>
      <c r="AK58" s="100">
        <v>16480.8</v>
      </c>
      <c r="AL58" s="100">
        <v>8</v>
      </c>
      <c r="AM58" s="100">
        <v>9417.6</v>
      </c>
      <c r="AN58" s="100">
        <v>14</v>
      </c>
      <c r="AO58" s="100">
        <v>16480.8</v>
      </c>
      <c r="AP58" s="100">
        <v>8</v>
      </c>
      <c r="AQ58" s="100">
        <v>9417.6</v>
      </c>
      <c r="AR58" s="100">
        <v>14</v>
      </c>
      <c r="AS58" s="100">
        <v>16480.8</v>
      </c>
      <c r="AT58" s="100">
        <v>14</v>
      </c>
      <c r="AU58" s="100">
        <v>16480.8</v>
      </c>
      <c r="AV58" s="100">
        <v>13</v>
      </c>
      <c r="AW58" s="100">
        <v>15303.6</v>
      </c>
      <c r="AX58" s="100">
        <v>10</v>
      </c>
      <c r="AY58" s="100">
        <v>11772</v>
      </c>
      <c r="AZ58" s="100">
        <v>13</v>
      </c>
      <c r="BA58" s="100">
        <v>15303.6</v>
      </c>
      <c r="BB58" s="100">
        <v>15</v>
      </c>
      <c r="BC58" s="100">
        <v>17658</v>
      </c>
      <c r="BD58" s="100">
        <v>14</v>
      </c>
      <c r="BE58" s="100">
        <v>16480.8</v>
      </c>
      <c r="BF58" s="100">
        <v>9</v>
      </c>
      <c r="BG58" s="100">
        <v>10594.800000000001</v>
      </c>
      <c r="BH58" s="100">
        <v>15</v>
      </c>
      <c r="BI58" s="100">
        <v>17658</v>
      </c>
      <c r="BJ58" s="100">
        <v>11</v>
      </c>
      <c r="BK58" s="100">
        <v>12949.2</v>
      </c>
      <c r="BL58" s="100">
        <v>14</v>
      </c>
      <c r="BM58" s="100">
        <v>16480.8</v>
      </c>
      <c r="BN58" s="100">
        <v>14</v>
      </c>
      <c r="BO58" s="100">
        <v>16480.8</v>
      </c>
      <c r="BP58" s="100">
        <v>17</v>
      </c>
      <c r="BQ58" s="100">
        <v>20012.400000000001</v>
      </c>
      <c r="BR58" s="100">
        <v>8</v>
      </c>
      <c r="BS58" s="100">
        <v>9417.6</v>
      </c>
      <c r="BT58" s="100">
        <v>15</v>
      </c>
      <c r="BU58" s="100">
        <v>17658</v>
      </c>
      <c r="BV58" s="100">
        <v>14</v>
      </c>
      <c r="BW58" s="100">
        <v>16480.8</v>
      </c>
      <c r="BX58" s="100">
        <v>9</v>
      </c>
      <c r="BY58" s="100">
        <v>10594.800000000001</v>
      </c>
      <c r="BZ58" s="100">
        <v>15</v>
      </c>
      <c r="CA58" s="100">
        <v>17658</v>
      </c>
      <c r="CB58" s="100">
        <v>8</v>
      </c>
      <c r="CC58" s="100">
        <v>9417.6</v>
      </c>
      <c r="CD58" s="100">
        <v>14</v>
      </c>
      <c r="CE58" s="100">
        <v>16480.8</v>
      </c>
      <c r="CF58" s="100">
        <v>13</v>
      </c>
      <c r="CG58" s="100">
        <v>15303.6</v>
      </c>
      <c r="CH58" s="100">
        <v>10</v>
      </c>
      <c r="CI58" s="100">
        <v>11772</v>
      </c>
      <c r="CJ58" s="100">
        <v>17</v>
      </c>
      <c r="CK58" s="100">
        <v>20012.400000000001</v>
      </c>
      <c r="CL58" s="100">
        <v>12</v>
      </c>
      <c r="CM58" s="100">
        <v>14126.400000000001</v>
      </c>
      <c r="CN58" s="100">
        <v>13</v>
      </c>
      <c r="CO58" s="100">
        <v>15303.6</v>
      </c>
      <c r="CP58" s="100">
        <v>12</v>
      </c>
      <c r="CQ58" s="100">
        <v>14126.400000000001</v>
      </c>
      <c r="CR58" s="100">
        <v>10</v>
      </c>
      <c r="CS58" s="100">
        <v>11772</v>
      </c>
      <c r="CT58" s="100">
        <v>10</v>
      </c>
      <c r="CU58" s="100">
        <v>11772</v>
      </c>
    </row>
    <row r="59" spans="2:99">
      <c r="C59" s="99" t="s">
        <v>225</v>
      </c>
      <c r="D59" s="100">
        <v>13</v>
      </c>
      <c r="E59" s="100">
        <v>3946.7999999999997</v>
      </c>
      <c r="F59" s="100">
        <v>12</v>
      </c>
      <c r="G59" s="100">
        <v>3643.2</v>
      </c>
      <c r="H59" s="100">
        <v>9</v>
      </c>
      <c r="I59" s="100">
        <v>2732.3999999999996</v>
      </c>
      <c r="J59" s="100">
        <v>12</v>
      </c>
      <c r="K59" s="100">
        <v>3643.2</v>
      </c>
      <c r="L59" s="100">
        <v>13</v>
      </c>
      <c r="M59" s="100">
        <v>3946.7999999999997</v>
      </c>
      <c r="N59" s="100">
        <v>16</v>
      </c>
      <c r="O59" s="100">
        <v>4857.5999999999995</v>
      </c>
      <c r="P59" s="100">
        <v>16</v>
      </c>
      <c r="Q59" s="100">
        <v>4857.5999999999995</v>
      </c>
      <c r="R59" s="100">
        <v>12</v>
      </c>
      <c r="S59" s="100">
        <v>3643.2</v>
      </c>
      <c r="T59" s="100">
        <v>13</v>
      </c>
      <c r="U59" s="100">
        <v>3946.7999999999997</v>
      </c>
      <c r="V59" s="100">
        <v>14.34273031899026</v>
      </c>
      <c r="W59" s="100">
        <v>4354.4529248454419</v>
      </c>
      <c r="X59" s="100">
        <v>15</v>
      </c>
      <c r="Y59" s="100">
        <v>4553.9999999999991</v>
      </c>
      <c r="Z59" s="100">
        <v>15</v>
      </c>
      <c r="AA59" s="100">
        <v>4553.9999999999991</v>
      </c>
      <c r="AB59" s="100">
        <v>13</v>
      </c>
      <c r="AC59" s="100">
        <v>3946.7999999999997</v>
      </c>
      <c r="AD59" s="100">
        <v>12</v>
      </c>
      <c r="AE59" s="100">
        <v>3643.2</v>
      </c>
      <c r="AF59" s="100">
        <v>13</v>
      </c>
      <c r="AG59" s="100">
        <v>3946.7999999999997</v>
      </c>
      <c r="AH59" s="100">
        <v>8.438534269250983</v>
      </c>
      <c r="AI59" s="100">
        <v>2561.9390041445981</v>
      </c>
      <c r="AJ59" s="100">
        <v>16</v>
      </c>
      <c r="AK59" s="100">
        <v>4857.5999999999995</v>
      </c>
      <c r="AL59" s="100">
        <v>9</v>
      </c>
      <c r="AM59" s="100">
        <v>2732.3999999999996</v>
      </c>
      <c r="AN59" s="100">
        <v>14</v>
      </c>
      <c r="AO59" s="100">
        <v>4250.3999999999996</v>
      </c>
      <c r="AP59" s="100">
        <v>9</v>
      </c>
      <c r="AQ59" s="100">
        <v>2732.3999999999996</v>
      </c>
      <c r="AR59" s="100">
        <v>16</v>
      </c>
      <c r="AS59" s="100">
        <v>4857.5999999999995</v>
      </c>
      <c r="AT59" s="100">
        <v>14.332854901475638</v>
      </c>
      <c r="AU59" s="100">
        <v>4351.4547480880037</v>
      </c>
      <c r="AV59" s="100">
        <v>15.278726056900821</v>
      </c>
      <c r="AW59" s="100">
        <v>4638.6212308750883</v>
      </c>
      <c r="AX59" s="100">
        <v>8.8818240559096022</v>
      </c>
      <c r="AY59" s="100">
        <v>2696.5217833741549</v>
      </c>
      <c r="AZ59" s="100">
        <v>12.741615123825083</v>
      </c>
      <c r="BA59" s="100">
        <v>3868.3543515932947</v>
      </c>
      <c r="BB59" s="100">
        <v>16.222627458924546</v>
      </c>
      <c r="BC59" s="100">
        <v>4925.1896965294918</v>
      </c>
      <c r="BD59" s="100">
        <v>15.608281532017765</v>
      </c>
      <c r="BE59" s="100">
        <v>4738.6742731205932</v>
      </c>
      <c r="BF59" s="100">
        <v>10</v>
      </c>
      <c r="BG59" s="100">
        <v>3035.9999999999995</v>
      </c>
      <c r="BH59" s="100">
        <v>18</v>
      </c>
      <c r="BI59" s="100">
        <v>5464.7999999999993</v>
      </c>
      <c r="BJ59" s="100">
        <v>12</v>
      </c>
      <c r="BK59" s="100">
        <v>3643.2</v>
      </c>
      <c r="BL59" s="100">
        <v>15</v>
      </c>
      <c r="BM59" s="100">
        <v>4553.9999999999991</v>
      </c>
      <c r="BN59" s="100">
        <v>14.455151921378643</v>
      </c>
      <c r="BO59" s="100">
        <v>4388.5841233305555</v>
      </c>
      <c r="BP59" s="100">
        <v>15.58616866585427</v>
      </c>
      <c r="BQ59" s="100">
        <v>4731.960806953356</v>
      </c>
      <c r="BR59" s="100">
        <v>9</v>
      </c>
      <c r="BS59" s="100">
        <v>2732.3999999999996</v>
      </c>
      <c r="BT59" s="100">
        <v>16</v>
      </c>
      <c r="BU59" s="100">
        <v>4857.5999999999995</v>
      </c>
      <c r="BV59" s="100">
        <v>18</v>
      </c>
      <c r="BW59" s="100">
        <v>5464.7999999999993</v>
      </c>
      <c r="BX59" s="100">
        <v>10.211621442252712</v>
      </c>
      <c r="BY59" s="100">
        <v>3100.2482698679228</v>
      </c>
      <c r="BZ59" s="100">
        <v>15</v>
      </c>
      <c r="CA59" s="100">
        <v>4553.9999999999991</v>
      </c>
      <c r="CB59" s="100">
        <v>7.9588688808172092</v>
      </c>
      <c r="CC59" s="100">
        <v>2416.3125922161043</v>
      </c>
      <c r="CD59" s="100">
        <v>9.2125320886888709</v>
      </c>
      <c r="CE59" s="100">
        <v>2796.9247421259411</v>
      </c>
      <c r="CF59" s="100">
        <v>13</v>
      </c>
      <c r="CG59" s="100">
        <v>3946.7999999999997</v>
      </c>
      <c r="CH59" s="100">
        <v>9.8615724385711037</v>
      </c>
      <c r="CI59" s="100">
        <v>2993.9733923501867</v>
      </c>
      <c r="CJ59" s="100">
        <v>14.750276781959444</v>
      </c>
      <c r="CK59" s="100">
        <v>4478.1840310028865</v>
      </c>
      <c r="CL59" s="100">
        <v>10.705484406308582</v>
      </c>
      <c r="CM59" s="100">
        <v>3250.185065755285</v>
      </c>
      <c r="CN59" s="100">
        <v>9.166155032025884</v>
      </c>
      <c r="CO59" s="100">
        <v>2782.8446677230581</v>
      </c>
      <c r="CP59" s="100">
        <v>10.255741625548433</v>
      </c>
      <c r="CQ59" s="100">
        <v>3113.6431575165038</v>
      </c>
      <c r="CR59" s="100">
        <v>9.3227656757065329</v>
      </c>
      <c r="CS59" s="100">
        <v>2830.3916591445031</v>
      </c>
      <c r="CT59" s="100">
        <v>12.681728744764435</v>
      </c>
      <c r="CU59" s="100">
        <v>3850.1728469104819</v>
      </c>
    </row>
    <row r="60" spans="2:99">
      <c r="C60" s="99" t="s">
        <v>226</v>
      </c>
      <c r="D60" s="100">
        <v>11</v>
      </c>
      <c r="E60" s="100">
        <v>7167.6</v>
      </c>
      <c r="F60" s="100">
        <v>12</v>
      </c>
      <c r="G60" s="100">
        <v>7819.2000000000007</v>
      </c>
      <c r="H60" s="100">
        <v>10</v>
      </c>
      <c r="I60" s="100">
        <v>6516</v>
      </c>
      <c r="J60" s="100">
        <v>11</v>
      </c>
      <c r="K60" s="100">
        <v>7167.6</v>
      </c>
      <c r="L60" s="100">
        <v>13</v>
      </c>
      <c r="M60" s="100">
        <v>8470.8000000000011</v>
      </c>
      <c r="N60" s="100">
        <v>16</v>
      </c>
      <c r="O60" s="100">
        <v>10425.6</v>
      </c>
      <c r="P60" s="100">
        <v>15</v>
      </c>
      <c r="Q60" s="100">
        <v>9774</v>
      </c>
      <c r="R60" s="100">
        <v>10</v>
      </c>
      <c r="S60" s="100">
        <v>6516</v>
      </c>
      <c r="T60" s="100">
        <v>12</v>
      </c>
      <c r="U60" s="100">
        <v>7819.2000000000007</v>
      </c>
      <c r="V60" s="100">
        <v>13.446309674053369</v>
      </c>
      <c r="W60" s="100">
        <v>8761.6153836131762</v>
      </c>
      <c r="X60" s="100">
        <v>17</v>
      </c>
      <c r="Y60" s="100">
        <v>11077.2</v>
      </c>
      <c r="Z60" s="100">
        <v>14</v>
      </c>
      <c r="AA60" s="100">
        <v>9122.4</v>
      </c>
      <c r="AB60" s="100">
        <v>12</v>
      </c>
      <c r="AC60" s="100">
        <v>7819.2000000000007</v>
      </c>
      <c r="AD60" s="100">
        <v>13</v>
      </c>
      <c r="AE60" s="100">
        <v>8470.8000000000011</v>
      </c>
      <c r="AF60" s="100">
        <v>12</v>
      </c>
      <c r="AG60" s="100">
        <v>7819.2000000000007</v>
      </c>
      <c r="AH60" s="100">
        <v>7.5946808423258849</v>
      </c>
      <c r="AI60" s="100">
        <v>4948.6940368595469</v>
      </c>
      <c r="AJ60" s="100">
        <v>16</v>
      </c>
      <c r="AK60" s="100">
        <v>10425.6</v>
      </c>
      <c r="AL60" s="100">
        <v>9</v>
      </c>
      <c r="AM60" s="100">
        <v>5864.4000000000005</v>
      </c>
      <c r="AN60" s="100">
        <v>15</v>
      </c>
      <c r="AO60" s="100">
        <v>9774</v>
      </c>
      <c r="AP60" s="100">
        <v>8</v>
      </c>
      <c r="AQ60" s="100">
        <v>5212.8</v>
      </c>
      <c r="AR60" s="100">
        <v>15</v>
      </c>
      <c r="AS60" s="100">
        <v>9774</v>
      </c>
      <c r="AT60" s="100">
        <v>11.803527565921113</v>
      </c>
      <c r="AU60" s="100">
        <v>7691.1785619541979</v>
      </c>
      <c r="AV60" s="100">
        <v>13.36888529978822</v>
      </c>
      <c r="AW60" s="100">
        <v>8711.1656613420037</v>
      </c>
      <c r="AX60" s="100">
        <v>7.9936416503186427</v>
      </c>
      <c r="AY60" s="100">
        <v>5208.6568993476276</v>
      </c>
      <c r="AZ60" s="100">
        <v>12.741615123825083</v>
      </c>
      <c r="BA60" s="100">
        <v>8302.4364146844237</v>
      </c>
      <c r="BB60" s="100">
        <v>16.222627458924546</v>
      </c>
      <c r="BC60" s="100">
        <v>10570.664052235234</v>
      </c>
      <c r="BD60" s="100">
        <v>13.657246340515545</v>
      </c>
      <c r="BE60" s="100">
        <v>8899.0617154799293</v>
      </c>
      <c r="BF60" s="100">
        <v>9</v>
      </c>
      <c r="BG60" s="100">
        <v>5864.4000000000005</v>
      </c>
      <c r="BH60" s="100">
        <v>16</v>
      </c>
      <c r="BI60" s="100">
        <v>10425.6</v>
      </c>
      <c r="BJ60" s="100">
        <v>12</v>
      </c>
      <c r="BK60" s="100">
        <v>7819.2000000000007</v>
      </c>
      <c r="BL60" s="100">
        <v>15</v>
      </c>
      <c r="BM60" s="100">
        <v>9774</v>
      </c>
      <c r="BN60" s="100">
        <v>16.262045911550974</v>
      </c>
      <c r="BO60" s="100">
        <v>10596.349115966615</v>
      </c>
      <c r="BP60" s="100">
        <v>15.58616866585427</v>
      </c>
      <c r="BQ60" s="100">
        <v>10155.947502670642</v>
      </c>
      <c r="BR60" s="100">
        <v>8</v>
      </c>
      <c r="BS60" s="100">
        <v>5212.8</v>
      </c>
      <c r="BT60" s="100">
        <v>16</v>
      </c>
      <c r="BU60" s="100">
        <v>10425.6</v>
      </c>
      <c r="BV60" s="100">
        <v>15</v>
      </c>
      <c r="BW60" s="100">
        <v>9774</v>
      </c>
      <c r="BX60" s="100">
        <v>9.2832922202297397</v>
      </c>
      <c r="BY60" s="100">
        <v>6048.9932107016984</v>
      </c>
      <c r="BZ60" s="100">
        <v>17</v>
      </c>
      <c r="CA60" s="100">
        <v>11077.2</v>
      </c>
      <c r="CB60" s="100">
        <v>8.8431876453524563</v>
      </c>
      <c r="CC60" s="100">
        <v>5762.2210697116607</v>
      </c>
      <c r="CD60" s="100">
        <v>9.8705700950237905</v>
      </c>
      <c r="CE60" s="100">
        <v>6431.6634739175024</v>
      </c>
      <c r="CF60" s="100">
        <v>12</v>
      </c>
      <c r="CG60" s="100">
        <v>7819.2000000000007</v>
      </c>
      <c r="CH60" s="100">
        <v>9.8615724385711037</v>
      </c>
      <c r="CI60" s="100">
        <v>6425.8006009729315</v>
      </c>
      <c r="CJ60" s="100">
        <v>13.014950101728923</v>
      </c>
      <c r="CK60" s="100">
        <v>8480.5414862865673</v>
      </c>
      <c r="CL60" s="100">
        <v>11.528983206793857</v>
      </c>
      <c r="CM60" s="100">
        <v>7512.2854575468773</v>
      </c>
      <c r="CN60" s="100">
        <v>9.999441853119146</v>
      </c>
      <c r="CO60" s="100">
        <v>6515.6363114924361</v>
      </c>
      <c r="CP60" s="100">
        <v>11.833548029478958</v>
      </c>
      <c r="CQ60" s="100">
        <v>7710.7398960084893</v>
      </c>
      <c r="CR60" s="100">
        <v>10.255042243277186</v>
      </c>
      <c r="CS60" s="100">
        <v>6682.1855257194147</v>
      </c>
      <c r="CT60" s="100">
        <v>9.7551759575111028</v>
      </c>
      <c r="CU60" s="100">
        <v>6356.4726539142348</v>
      </c>
    </row>
    <row r="61" spans="2:99">
      <c r="C61" s="99" t="s">
        <v>227</v>
      </c>
      <c r="D61" s="100">
        <v>12</v>
      </c>
      <c r="E61" s="100">
        <v>11419.199999999999</v>
      </c>
      <c r="F61" s="100">
        <v>12</v>
      </c>
      <c r="G61" s="100">
        <v>11419.199999999999</v>
      </c>
      <c r="H61" s="100">
        <v>8</v>
      </c>
      <c r="I61" s="100">
        <v>7612.7999999999993</v>
      </c>
      <c r="J61" s="100">
        <v>12</v>
      </c>
      <c r="K61" s="100">
        <v>11419.199999999999</v>
      </c>
      <c r="L61" s="100">
        <v>11</v>
      </c>
      <c r="M61" s="100">
        <v>10467.599999999999</v>
      </c>
      <c r="N61" s="100">
        <v>15</v>
      </c>
      <c r="O61" s="100">
        <v>14273.999999999998</v>
      </c>
      <c r="P61" s="100">
        <v>16</v>
      </c>
      <c r="Q61" s="100">
        <v>15225.599999999999</v>
      </c>
      <c r="R61" s="100">
        <v>10</v>
      </c>
      <c r="S61" s="100">
        <v>9516</v>
      </c>
      <c r="T61" s="100">
        <v>13</v>
      </c>
      <c r="U61" s="100">
        <v>12370.8</v>
      </c>
      <c r="V61" s="100">
        <v>14.34273031899026</v>
      </c>
      <c r="W61" s="100">
        <v>13648.542171551129</v>
      </c>
      <c r="X61" s="100">
        <v>15</v>
      </c>
      <c r="Y61" s="100">
        <v>14273.999999999998</v>
      </c>
      <c r="Z61" s="100">
        <v>15</v>
      </c>
      <c r="AA61" s="100">
        <v>14273.999999999998</v>
      </c>
      <c r="AB61" s="100">
        <v>14</v>
      </c>
      <c r="AC61" s="100">
        <v>13322.399999999998</v>
      </c>
      <c r="AD61" s="100">
        <v>11</v>
      </c>
      <c r="AE61" s="100">
        <v>10467.599999999999</v>
      </c>
      <c r="AF61" s="100">
        <v>11</v>
      </c>
      <c r="AG61" s="100">
        <v>10467.599999999999</v>
      </c>
      <c r="AH61" s="100">
        <v>8.438534269250983</v>
      </c>
      <c r="AI61" s="100">
        <v>8030.1092106192345</v>
      </c>
      <c r="AJ61" s="100">
        <v>14</v>
      </c>
      <c r="AK61" s="100">
        <v>13322.399999999998</v>
      </c>
      <c r="AL61" s="100">
        <v>8</v>
      </c>
      <c r="AM61" s="100">
        <v>7612.7999999999993</v>
      </c>
      <c r="AN61" s="100">
        <v>13</v>
      </c>
      <c r="AO61" s="100">
        <v>12370.8</v>
      </c>
      <c r="AP61" s="100">
        <v>8</v>
      </c>
      <c r="AQ61" s="100">
        <v>7612.7999999999993</v>
      </c>
      <c r="AR61" s="100">
        <v>14</v>
      </c>
      <c r="AS61" s="100">
        <v>13322.399999999998</v>
      </c>
      <c r="AT61" s="100">
        <v>12.646636677772623</v>
      </c>
      <c r="AU61" s="100">
        <v>12034.539462568428</v>
      </c>
      <c r="AV61" s="100">
        <v>14.32380567834452</v>
      </c>
      <c r="AW61" s="100">
        <v>13630.533483512645</v>
      </c>
      <c r="AX61" s="100">
        <v>8.8818240559096022</v>
      </c>
      <c r="AY61" s="100">
        <v>8451.9437716035773</v>
      </c>
      <c r="AZ61" s="100">
        <v>13.591056132080089</v>
      </c>
      <c r="BA61" s="100">
        <v>12933.249015287411</v>
      </c>
      <c r="BB61" s="100">
        <v>14.314083051992244</v>
      </c>
      <c r="BC61" s="100">
        <v>13621.281432275817</v>
      </c>
      <c r="BD61" s="100">
        <v>14.632763936266654</v>
      </c>
      <c r="BE61" s="100">
        <v>13924.538161751347</v>
      </c>
      <c r="BF61" s="100">
        <v>9</v>
      </c>
      <c r="BG61" s="100">
        <v>8564.4</v>
      </c>
      <c r="BH61" s="100">
        <v>17</v>
      </c>
      <c r="BI61" s="100">
        <v>16177.199999999999</v>
      </c>
      <c r="BJ61" s="100">
        <v>11</v>
      </c>
      <c r="BK61" s="100">
        <v>10467.599999999999</v>
      </c>
      <c r="BL61" s="100">
        <v>15</v>
      </c>
      <c r="BM61" s="100">
        <v>14273.999999999998</v>
      </c>
      <c r="BN61" s="100">
        <v>14.455151921378643</v>
      </c>
      <c r="BO61" s="100">
        <v>13755.522568383916</v>
      </c>
      <c r="BP61" s="100">
        <v>13.752501763989061</v>
      </c>
      <c r="BQ61" s="100">
        <v>13086.880678611989</v>
      </c>
      <c r="BR61" s="100">
        <v>9</v>
      </c>
      <c r="BS61" s="100">
        <v>8564.4</v>
      </c>
      <c r="BT61" s="100">
        <v>18</v>
      </c>
      <c r="BU61" s="100">
        <v>17128.8</v>
      </c>
      <c r="BV61" s="100">
        <v>15</v>
      </c>
      <c r="BW61" s="100">
        <v>14273.999999999998</v>
      </c>
      <c r="BX61" s="100">
        <v>9.2832922202297397</v>
      </c>
      <c r="BY61" s="100">
        <v>8833.9808767706199</v>
      </c>
      <c r="BZ61" s="100">
        <v>15</v>
      </c>
      <c r="CA61" s="100">
        <v>14273.999999999998</v>
      </c>
      <c r="CB61" s="100">
        <v>7.9588688808172092</v>
      </c>
      <c r="CC61" s="100">
        <v>7573.6596269856554</v>
      </c>
      <c r="CD61" s="100">
        <v>10.528608101358708</v>
      </c>
      <c r="CE61" s="100">
        <v>10019.023469252947</v>
      </c>
      <c r="CF61" s="100">
        <v>11</v>
      </c>
      <c r="CG61" s="100">
        <v>10467.599999999999</v>
      </c>
      <c r="CH61" s="100">
        <v>8.8754151947139928</v>
      </c>
      <c r="CI61" s="100">
        <v>8445.8450992898343</v>
      </c>
      <c r="CJ61" s="100">
        <v>14.750276781959444</v>
      </c>
      <c r="CK61" s="100">
        <v>14036.363385712606</v>
      </c>
      <c r="CL61" s="100">
        <v>9.8819856058233082</v>
      </c>
      <c r="CM61" s="100">
        <v>9403.6975025014599</v>
      </c>
      <c r="CN61" s="100">
        <v>9.166155032025884</v>
      </c>
      <c r="CO61" s="100">
        <v>8722.5131284758299</v>
      </c>
      <c r="CP61" s="100">
        <v>10.255741625548433</v>
      </c>
      <c r="CQ61" s="100">
        <v>9759.363730871888</v>
      </c>
      <c r="CR61" s="100">
        <v>9.3227656757065329</v>
      </c>
      <c r="CS61" s="100">
        <v>8871.5438170023353</v>
      </c>
      <c r="CT61" s="100">
        <v>10.730693553262212</v>
      </c>
      <c r="CU61" s="100">
        <v>10211.327985284319</v>
      </c>
    </row>
    <row r="62" spans="2:99">
      <c r="C62" s="99" t="s">
        <v>228</v>
      </c>
      <c r="D62" s="100">
        <v>8.92018779342723</v>
      </c>
      <c r="E62" s="100">
        <v>14889.577464788732</v>
      </c>
      <c r="F62" s="100">
        <v>10</v>
      </c>
      <c r="G62" s="100">
        <v>16692</v>
      </c>
      <c r="H62" s="100">
        <v>9</v>
      </c>
      <c r="I62" s="100">
        <v>15022.800000000001</v>
      </c>
      <c r="J62" s="100">
        <v>10</v>
      </c>
      <c r="K62" s="100">
        <v>16692</v>
      </c>
      <c r="L62" s="100">
        <v>12</v>
      </c>
      <c r="M62" s="100">
        <v>20030.400000000001</v>
      </c>
      <c r="N62" s="100">
        <v>15</v>
      </c>
      <c r="O62" s="100">
        <v>25038</v>
      </c>
      <c r="P62" s="100">
        <v>16</v>
      </c>
      <c r="Q62" s="100">
        <v>26707.200000000001</v>
      </c>
      <c r="R62" s="100">
        <v>10</v>
      </c>
      <c r="S62" s="100">
        <v>16692</v>
      </c>
      <c r="T62" s="100">
        <v>11</v>
      </c>
      <c r="U62" s="100">
        <v>18361.2</v>
      </c>
      <c r="V62" s="100">
        <v>16</v>
      </c>
      <c r="W62" s="100">
        <v>26707.200000000001</v>
      </c>
      <c r="X62" s="100">
        <v>14</v>
      </c>
      <c r="Y62" s="100">
        <v>23368.799999999999</v>
      </c>
      <c r="Z62" s="100">
        <v>13</v>
      </c>
      <c r="AA62" s="100">
        <v>21699.600000000002</v>
      </c>
      <c r="AB62" s="100">
        <v>11.525210084033613</v>
      </c>
      <c r="AC62" s="100">
        <v>19237.880672268908</v>
      </c>
      <c r="AD62" s="100">
        <v>10.82901554404145</v>
      </c>
      <c r="AE62" s="100">
        <v>18075.792746113988</v>
      </c>
      <c r="AF62" s="100">
        <v>9.4570135746606336</v>
      </c>
      <c r="AG62" s="100">
        <v>15785.64705882353</v>
      </c>
      <c r="AH62" s="100">
        <v>9</v>
      </c>
      <c r="AI62" s="100">
        <v>15022.800000000001</v>
      </c>
      <c r="AJ62" s="100">
        <v>14</v>
      </c>
      <c r="AK62" s="100">
        <v>23368.799999999999</v>
      </c>
      <c r="AL62" s="100">
        <v>8</v>
      </c>
      <c r="AM62" s="100">
        <v>13353.6</v>
      </c>
      <c r="AN62" s="100">
        <v>14</v>
      </c>
      <c r="AO62" s="100">
        <v>23368.799999999999</v>
      </c>
      <c r="AP62" s="100">
        <v>9</v>
      </c>
      <c r="AQ62" s="100">
        <v>15022.800000000001</v>
      </c>
      <c r="AR62" s="100">
        <v>13</v>
      </c>
      <c r="AS62" s="100">
        <v>21699.600000000002</v>
      </c>
      <c r="AT62" s="100">
        <v>14</v>
      </c>
      <c r="AU62" s="100">
        <v>23368.799999999999</v>
      </c>
      <c r="AV62" s="100">
        <v>14</v>
      </c>
      <c r="AW62" s="100">
        <v>23368.799999999999</v>
      </c>
      <c r="AX62" s="100">
        <v>8.6818181818181817</v>
      </c>
      <c r="AY62" s="100">
        <v>14491.690909090908</v>
      </c>
      <c r="AZ62" s="100">
        <v>13.854166666666668</v>
      </c>
      <c r="BA62" s="100">
        <v>23125.375000000004</v>
      </c>
      <c r="BB62" s="100">
        <v>12.864583333333332</v>
      </c>
      <c r="BC62" s="100">
        <v>21473.5625</v>
      </c>
      <c r="BD62" s="100">
        <v>13</v>
      </c>
      <c r="BE62" s="100">
        <v>21699.600000000002</v>
      </c>
      <c r="BF62" s="100">
        <v>7.4392523364485976</v>
      </c>
      <c r="BG62" s="100">
        <v>12417.6</v>
      </c>
      <c r="BH62" s="100">
        <v>11.220472440944881</v>
      </c>
      <c r="BI62" s="100">
        <v>18729.212598425198</v>
      </c>
      <c r="BJ62" s="100">
        <v>8.2608695652173907</v>
      </c>
      <c r="BK62" s="100">
        <v>13789.043478260868</v>
      </c>
      <c r="BL62" s="100">
        <v>13</v>
      </c>
      <c r="BM62" s="100">
        <v>21699.600000000002</v>
      </c>
      <c r="BN62" s="100">
        <v>13.50877192982456</v>
      </c>
      <c r="BO62" s="100">
        <v>22548.842105263157</v>
      </c>
      <c r="BP62" s="100">
        <v>12.227722772277229</v>
      </c>
      <c r="BQ62" s="100">
        <v>20410.51485148515</v>
      </c>
      <c r="BR62" s="100">
        <v>9</v>
      </c>
      <c r="BS62" s="100">
        <v>15022.800000000001</v>
      </c>
      <c r="BT62" s="100">
        <v>12.083333333333332</v>
      </c>
      <c r="BU62" s="100">
        <v>20169.5</v>
      </c>
      <c r="BV62" s="100">
        <v>11.650943396226415</v>
      </c>
      <c r="BW62" s="100">
        <v>19447.754716981133</v>
      </c>
      <c r="BX62" s="100">
        <v>8</v>
      </c>
      <c r="BY62" s="100">
        <v>13353.6</v>
      </c>
      <c r="BZ62" s="100">
        <v>12.915662650602409</v>
      </c>
      <c r="CA62" s="100">
        <v>21558.824096385542</v>
      </c>
      <c r="CB62" s="100">
        <v>9</v>
      </c>
      <c r="CC62" s="100">
        <v>15022.800000000001</v>
      </c>
      <c r="CD62" s="100">
        <v>15</v>
      </c>
      <c r="CE62" s="100">
        <v>25038</v>
      </c>
      <c r="CF62" s="100">
        <v>11</v>
      </c>
      <c r="CG62" s="100">
        <v>18361.2</v>
      </c>
      <c r="CH62" s="100">
        <v>8.6896551724137936</v>
      </c>
      <c r="CI62" s="100">
        <v>14504.772413793105</v>
      </c>
      <c r="CJ62" s="100">
        <v>12.610619469026549</v>
      </c>
      <c r="CK62" s="100">
        <v>21049.646017699117</v>
      </c>
      <c r="CL62" s="100">
        <v>10</v>
      </c>
      <c r="CM62" s="100">
        <v>16692</v>
      </c>
      <c r="CN62" s="100">
        <v>11</v>
      </c>
      <c r="CO62" s="100">
        <v>18361.2</v>
      </c>
      <c r="CP62" s="100">
        <v>11.555555555555555</v>
      </c>
      <c r="CQ62" s="100">
        <v>19288.533333333333</v>
      </c>
      <c r="CR62" s="100">
        <v>9</v>
      </c>
      <c r="CS62" s="100">
        <v>15022.800000000001</v>
      </c>
      <c r="CT62" s="100">
        <v>8.3935742971887546</v>
      </c>
      <c r="CU62" s="100">
        <v>14010.554216867469</v>
      </c>
    </row>
    <row r="63" spans="2:99">
      <c r="C63" s="99" t="s">
        <v>229</v>
      </c>
      <c r="D63" s="100">
        <v>11</v>
      </c>
      <c r="E63" s="100">
        <v>8751.6</v>
      </c>
      <c r="F63" s="100">
        <v>12</v>
      </c>
      <c r="G63" s="100">
        <v>9547.2000000000007</v>
      </c>
      <c r="H63" s="100">
        <v>10</v>
      </c>
      <c r="I63" s="100">
        <v>7956</v>
      </c>
      <c r="J63" s="100">
        <v>11</v>
      </c>
      <c r="K63" s="100">
        <v>8751.6</v>
      </c>
      <c r="L63" s="100">
        <v>13</v>
      </c>
      <c r="M63" s="100">
        <v>10342.800000000001</v>
      </c>
      <c r="N63" s="100">
        <v>15</v>
      </c>
      <c r="O63" s="100">
        <v>11934</v>
      </c>
      <c r="P63" s="100">
        <v>16</v>
      </c>
      <c r="Q63" s="100">
        <v>12729.6</v>
      </c>
      <c r="R63" s="100">
        <v>11</v>
      </c>
      <c r="S63" s="100">
        <v>8751.6</v>
      </c>
      <c r="T63" s="100">
        <v>12</v>
      </c>
      <c r="U63" s="100">
        <v>9547.2000000000007</v>
      </c>
      <c r="V63" s="100">
        <v>13.446309674053369</v>
      </c>
      <c r="W63" s="100">
        <v>10697.883976676861</v>
      </c>
      <c r="X63" s="100">
        <v>17</v>
      </c>
      <c r="Y63" s="100">
        <v>13525.2</v>
      </c>
      <c r="Z63" s="100">
        <v>14</v>
      </c>
      <c r="AA63" s="100">
        <v>11138.4</v>
      </c>
      <c r="AB63" s="100">
        <v>14</v>
      </c>
      <c r="AC63" s="100">
        <v>11138.4</v>
      </c>
      <c r="AD63" s="100">
        <v>11</v>
      </c>
      <c r="AE63" s="100">
        <v>8751.6</v>
      </c>
      <c r="AF63" s="100">
        <v>11</v>
      </c>
      <c r="AG63" s="100">
        <v>8751.6</v>
      </c>
      <c r="AH63" s="100">
        <v>9.2823876961760803</v>
      </c>
      <c r="AI63" s="100">
        <v>7385.0676510776893</v>
      </c>
      <c r="AJ63" s="100">
        <v>15</v>
      </c>
      <c r="AK63" s="100">
        <v>11934</v>
      </c>
      <c r="AL63" s="100">
        <v>9</v>
      </c>
      <c r="AM63" s="100">
        <v>7160.4000000000005</v>
      </c>
      <c r="AN63" s="100">
        <v>14</v>
      </c>
      <c r="AO63" s="100">
        <v>11138.4</v>
      </c>
      <c r="AP63" s="100">
        <v>9</v>
      </c>
      <c r="AQ63" s="100">
        <v>7160.4000000000005</v>
      </c>
      <c r="AR63" s="100">
        <v>14</v>
      </c>
      <c r="AS63" s="100">
        <v>11138.4</v>
      </c>
      <c r="AT63" s="100">
        <v>11.803527565921113</v>
      </c>
      <c r="AU63" s="100">
        <v>9390.8865314468385</v>
      </c>
      <c r="AV63" s="100">
        <v>12.413964921231917</v>
      </c>
      <c r="AW63" s="100">
        <v>9876.5504913321129</v>
      </c>
      <c r="AX63" s="100">
        <v>8.8818240559096022</v>
      </c>
      <c r="AY63" s="100">
        <v>7066.3792188816797</v>
      </c>
      <c r="AZ63" s="100">
        <v>13.591056132080089</v>
      </c>
      <c r="BA63" s="100">
        <v>10813.044258682919</v>
      </c>
      <c r="BB63" s="100">
        <v>14.314083051992244</v>
      </c>
      <c r="BC63" s="100">
        <v>11388.284476165029</v>
      </c>
      <c r="BD63" s="100">
        <v>13.657246340515545</v>
      </c>
      <c r="BE63" s="100">
        <v>10865.705188514168</v>
      </c>
      <c r="BF63" s="100">
        <v>9</v>
      </c>
      <c r="BG63" s="100">
        <v>7160.4000000000005</v>
      </c>
      <c r="BH63" s="100">
        <v>18</v>
      </c>
      <c r="BI63" s="100">
        <v>14320.800000000001</v>
      </c>
      <c r="BJ63" s="100">
        <v>12</v>
      </c>
      <c r="BK63" s="100">
        <v>9547.2000000000007</v>
      </c>
      <c r="BL63" s="100">
        <v>14</v>
      </c>
      <c r="BM63" s="100">
        <v>11138.4</v>
      </c>
      <c r="BN63" s="100">
        <v>13.551704926292478</v>
      </c>
      <c r="BO63" s="100">
        <v>10781.736439358296</v>
      </c>
      <c r="BP63" s="100">
        <v>13.752501763989061</v>
      </c>
      <c r="BQ63" s="100">
        <v>10941.490403429698</v>
      </c>
      <c r="BR63" s="100">
        <v>9</v>
      </c>
      <c r="BS63" s="100">
        <v>7160.4000000000005</v>
      </c>
      <c r="BT63" s="100">
        <v>17</v>
      </c>
      <c r="BU63" s="100">
        <v>13525.2</v>
      </c>
      <c r="BV63" s="100">
        <v>14</v>
      </c>
      <c r="BW63" s="100">
        <v>11138.4</v>
      </c>
      <c r="BX63" s="100">
        <v>8.3549629982067657</v>
      </c>
      <c r="BY63" s="100">
        <v>6647.2085613733034</v>
      </c>
      <c r="BZ63" s="100">
        <v>16</v>
      </c>
      <c r="CA63" s="100">
        <v>12729.6</v>
      </c>
      <c r="CB63" s="100">
        <v>7.9588688808172092</v>
      </c>
      <c r="CC63" s="100">
        <v>6332.0760815781714</v>
      </c>
      <c r="CD63" s="100">
        <v>9.8705700950237905</v>
      </c>
      <c r="CE63" s="100">
        <v>7853.0255676009283</v>
      </c>
      <c r="CF63" s="100">
        <v>12</v>
      </c>
      <c r="CG63" s="100">
        <v>9547.2000000000007</v>
      </c>
      <c r="CH63" s="100">
        <v>9.8615724385711037</v>
      </c>
      <c r="CI63" s="100">
        <v>7845.8670321271702</v>
      </c>
      <c r="CJ63" s="100">
        <v>14.750276781959444</v>
      </c>
      <c r="CK63" s="100">
        <v>11735.320207726934</v>
      </c>
      <c r="CL63" s="100">
        <v>10.705484406308582</v>
      </c>
      <c r="CM63" s="100">
        <v>8517.2833936591087</v>
      </c>
      <c r="CN63" s="100">
        <v>9.999441853119146</v>
      </c>
      <c r="CO63" s="100">
        <v>7955.555938341593</v>
      </c>
      <c r="CP63" s="100">
        <v>11.833548029478958</v>
      </c>
      <c r="CQ63" s="100">
        <v>9414.7708122534586</v>
      </c>
      <c r="CR63" s="100">
        <v>9.3227656757065329</v>
      </c>
      <c r="CS63" s="100">
        <v>7417.1923715921175</v>
      </c>
      <c r="CT63" s="100">
        <v>11.706211149013322</v>
      </c>
      <c r="CU63" s="100">
        <v>9313.4615901549987</v>
      </c>
    </row>
    <row r="64" spans="2:99">
      <c r="C64" s="99" t="s">
        <v>230</v>
      </c>
      <c r="D64" s="100">
        <v>11</v>
      </c>
      <c r="E64" s="100">
        <v>11101.199999999997</v>
      </c>
      <c r="F64" s="100">
        <v>13</v>
      </c>
      <c r="G64" s="100">
        <v>13119.599999999999</v>
      </c>
      <c r="H64" s="100">
        <v>9</v>
      </c>
      <c r="I64" s="100">
        <v>9082.7999999999993</v>
      </c>
      <c r="J64" s="100">
        <v>11</v>
      </c>
      <c r="K64" s="100">
        <v>11101.199999999997</v>
      </c>
      <c r="L64" s="100">
        <v>11</v>
      </c>
      <c r="M64" s="100">
        <v>11101.199999999997</v>
      </c>
      <c r="N64" s="100">
        <v>15</v>
      </c>
      <c r="O64" s="100">
        <v>15137.999999999996</v>
      </c>
      <c r="P64" s="100">
        <v>15</v>
      </c>
      <c r="Q64" s="100">
        <v>15137.999999999996</v>
      </c>
      <c r="R64" s="100">
        <v>10</v>
      </c>
      <c r="S64" s="100">
        <v>10091.999999999998</v>
      </c>
      <c r="T64" s="100">
        <v>12</v>
      </c>
      <c r="U64" s="100">
        <v>12110.399999999998</v>
      </c>
      <c r="V64" s="100">
        <v>12.549889029116478</v>
      </c>
      <c r="W64" s="100">
        <v>12665.348008184348</v>
      </c>
      <c r="X64" s="100">
        <v>15</v>
      </c>
      <c r="Y64" s="100">
        <v>15137.999999999996</v>
      </c>
      <c r="Z64" s="100">
        <v>16</v>
      </c>
      <c r="AA64" s="100">
        <v>16147.199999999997</v>
      </c>
      <c r="AB64" s="100">
        <v>14</v>
      </c>
      <c r="AC64" s="100">
        <v>14128.799999999997</v>
      </c>
      <c r="AD64" s="100">
        <v>12</v>
      </c>
      <c r="AE64" s="100">
        <v>12110.399999999998</v>
      </c>
      <c r="AF64" s="100">
        <v>11</v>
      </c>
      <c r="AG64" s="100">
        <v>11101.199999999997</v>
      </c>
      <c r="AH64" s="100">
        <v>7.5946808423258849</v>
      </c>
      <c r="AI64" s="100">
        <v>7664.5519060752813</v>
      </c>
      <c r="AJ64" s="100">
        <v>14</v>
      </c>
      <c r="AK64" s="100">
        <v>14128.799999999997</v>
      </c>
      <c r="AL64" s="100">
        <v>9</v>
      </c>
      <c r="AM64" s="100">
        <v>9082.7999999999993</v>
      </c>
      <c r="AN64" s="100">
        <v>14</v>
      </c>
      <c r="AO64" s="100">
        <v>14128.799999999997</v>
      </c>
      <c r="AP64" s="100">
        <v>8</v>
      </c>
      <c r="AQ64" s="100">
        <v>8073.5999999999985</v>
      </c>
      <c r="AR64" s="100">
        <v>13</v>
      </c>
      <c r="AS64" s="100">
        <v>13119.599999999999</v>
      </c>
      <c r="AT64" s="100">
        <v>13.489745789624129</v>
      </c>
      <c r="AU64" s="100">
        <v>13613.851450888669</v>
      </c>
      <c r="AV64" s="100">
        <v>12.413964921231917</v>
      </c>
      <c r="AW64" s="100">
        <v>12528.17339850725</v>
      </c>
      <c r="AX64" s="100">
        <v>7.9936416503186427</v>
      </c>
      <c r="AY64" s="100">
        <v>8067.1831535015726</v>
      </c>
      <c r="AZ64" s="100">
        <v>11.892174115570077</v>
      </c>
      <c r="BA64" s="100">
        <v>12001.58211743332</v>
      </c>
      <c r="BB64" s="100">
        <v>14.314083051992244</v>
      </c>
      <c r="BC64" s="100">
        <v>14445.77261607057</v>
      </c>
      <c r="BD64" s="100">
        <v>12.681728744764435</v>
      </c>
      <c r="BE64" s="100">
        <v>12798.400649216264</v>
      </c>
      <c r="BF64" s="100">
        <v>8</v>
      </c>
      <c r="BG64" s="100">
        <v>8073.5999999999985</v>
      </c>
      <c r="BH64" s="100">
        <v>17</v>
      </c>
      <c r="BI64" s="100">
        <v>17156.399999999998</v>
      </c>
      <c r="BJ64" s="100">
        <v>11</v>
      </c>
      <c r="BK64" s="100">
        <v>11101.199999999997</v>
      </c>
      <c r="BL64" s="100">
        <v>14</v>
      </c>
      <c r="BM64" s="100">
        <v>14128.799999999997</v>
      </c>
      <c r="BN64" s="100">
        <v>14.455151921378643</v>
      </c>
      <c r="BO64" s="100">
        <v>14588.139319055324</v>
      </c>
      <c r="BP64" s="100">
        <v>13.752501763989061</v>
      </c>
      <c r="BQ64" s="100">
        <v>13879.024780217758</v>
      </c>
      <c r="BR64" s="100">
        <v>9</v>
      </c>
      <c r="BS64" s="100">
        <v>9082.7999999999993</v>
      </c>
      <c r="BT64" s="100">
        <v>18</v>
      </c>
      <c r="BU64" s="100">
        <v>18165.599999999999</v>
      </c>
      <c r="BV64" s="100">
        <v>16</v>
      </c>
      <c r="BW64" s="100">
        <v>16147.199999999997</v>
      </c>
      <c r="BX64" s="100">
        <v>8.3549629982067657</v>
      </c>
      <c r="BY64" s="100">
        <v>8431.8286577902672</v>
      </c>
      <c r="BZ64" s="100">
        <v>16</v>
      </c>
      <c r="CA64" s="100">
        <v>16147.199999999997</v>
      </c>
      <c r="CB64" s="100">
        <v>7.074550116281964</v>
      </c>
      <c r="CC64" s="100">
        <v>7139.635977351757</v>
      </c>
      <c r="CD64" s="100">
        <v>9.2125320886888709</v>
      </c>
      <c r="CE64" s="100">
        <v>9297.2873839048061</v>
      </c>
      <c r="CF64" s="100">
        <v>13</v>
      </c>
      <c r="CG64" s="100">
        <v>13119.599999999999</v>
      </c>
      <c r="CH64" s="100">
        <v>9.8615724385711037</v>
      </c>
      <c r="CI64" s="100">
        <v>9952.2989050059568</v>
      </c>
      <c r="CJ64" s="100">
        <v>13.882613441844184</v>
      </c>
      <c r="CK64" s="100">
        <v>14010.333485509147</v>
      </c>
      <c r="CL64" s="100">
        <v>9.8819856058233082</v>
      </c>
      <c r="CM64" s="100">
        <v>9972.8998733968801</v>
      </c>
      <c r="CN64" s="100">
        <v>9.166155032025884</v>
      </c>
      <c r="CO64" s="100">
        <v>9250.4836583205197</v>
      </c>
      <c r="CP64" s="100">
        <v>11.044644827513695</v>
      </c>
      <c r="CQ64" s="100">
        <v>11146.255559926818</v>
      </c>
      <c r="CR64" s="100">
        <v>10.255042243277186</v>
      </c>
      <c r="CS64" s="100">
        <v>10349.388631915335</v>
      </c>
      <c r="CT64" s="100">
        <v>11.706211149013322</v>
      </c>
      <c r="CU64" s="100">
        <v>11813.908291584243</v>
      </c>
    </row>
    <row r="65" spans="2:99">
      <c r="C65" s="99" t="s">
        <v>231</v>
      </c>
      <c r="D65" s="100">
        <v>12</v>
      </c>
      <c r="E65" s="100">
        <v>12312</v>
      </c>
      <c r="F65" s="100">
        <v>12</v>
      </c>
      <c r="G65" s="100">
        <v>12312</v>
      </c>
      <c r="H65" s="100">
        <v>10</v>
      </c>
      <c r="I65" s="100">
        <v>10260</v>
      </c>
      <c r="J65" s="100">
        <v>10</v>
      </c>
      <c r="K65" s="100">
        <v>10260</v>
      </c>
      <c r="L65" s="100">
        <v>13</v>
      </c>
      <c r="M65" s="100">
        <v>13338</v>
      </c>
      <c r="N65" s="100">
        <v>15</v>
      </c>
      <c r="O65" s="100">
        <v>15390</v>
      </c>
      <c r="P65" s="100">
        <v>15</v>
      </c>
      <c r="Q65" s="100">
        <v>15390</v>
      </c>
      <c r="R65" s="100">
        <v>10</v>
      </c>
      <c r="S65" s="100">
        <v>10260</v>
      </c>
      <c r="T65" s="100">
        <v>12</v>
      </c>
      <c r="U65" s="100">
        <v>12312</v>
      </c>
      <c r="V65" s="100">
        <v>12.549889029116478</v>
      </c>
      <c r="W65" s="100">
        <v>12876.186143873507</v>
      </c>
      <c r="X65" s="100">
        <v>17</v>
      </c>
      <c r="Y65" s="100">
        <v>17442</v>
      </c>
      <c r="Z65" s="100">
        <v>15</v>
      </c>
      <c r="AA65" s="100">
        <v>15390</v>
      </c>
      <c r="AB65" s="100">
        <v>13</v>
      </c>
      <c r="AC65" s="100">
        <v>13338</v>
      </c>
      <c r="AD65" s="100">
        <v>12</v>
      </c>
      <c r="AE65" s="100">
        <v>12312</v>
      </c>
      <c r="AF65" s="100">
        <v>11</v>
      </c>
      <c r="AG65" s="100">
        <v>11286</v>
      </c>
      <c r="AH65" s="100">
        <v>9.2823876961760803</v>
      </c>
      <c r="AI65" s="100">
        <v>9523.7297762766575</v>
      </c>
      <c r="AJ65" s="100">
        <v>15</v>
      </c>
      <c r="AK65" s="100">
        <v>15390</v>
      </c>
      <c r="AL65" s="100">
        <v>8</v>
      </c>
      <c r="AM65" s="100">
        <v>8208</v>
      </c>
      <c r="AN65" s="100">
        <v>14</v>
      </c>
      <c r="AO65" s="100">
        <v>14364</v>
      </c>
      <c r="AP65" s="100">
        <v>8</v>
      </c>
      <c r="AQ65" s="100">
        <v>8208</v>
      </c>
      <c r="AR65" s="100">
        <v>13</v>
      </c>
      <c r="AS65" s="100">
        <v>13338</v>
      </c>
      <c r="AT65" s="100">
        <v>12.646636677772623</v>
      </c>
      <c r="AU65" s="100">
        <v>12975.44923139471</v>
      </c>
      <c r="AV65" s="100">
        <v>13.36888529978822</v>
      </c>
      <c r="AW65" s="100">
        <v>13716.476317582714</v>
      </c>
      <c r="AX65" s="100">
        <v>7.9936416503186427</v>
      </c>
      <c r="AY65" s="100">
        <v>8201.4763332269267</v>
      </c>
      <c r="AZ65" s="100">
        <v>11.892174115570077</v>
      </c>
      <c r="BA65" s="100">
        <v>12201.370642574899</v>
      </c>
      <c r="BB65" s="100">
        <v>15.268355255458394</v>
      </c>
      <c r="BC65" s="100">
        <v>15665.332492100311</v>
      </c>
      <c r="BD65" s="100">
        <v>12.681728744764435</v>
      </c>
      <c r="BE65" s="100">
        <v>13011.453692128311</v>
      </c>
      <c r="BF65" s="100">
        <v>10</v>
      </c>
      <c r="BG65" s="100">
        <v>10260</v>
      </c>
      <c r="BH65" s="100">
        <v>17</v>
      </c>
      <c r="BI65" s="100">
        <v>17442</v>
      </c>
      <c r="BJ65" s="100">
        <v>10</v>
      </c>
      <c r="BK65" s="100">
        <v>10260</v>
      </c>
      <c r="BL65" s="100">
        <v>14</v>
      </c>
      <c r="BM65" s="100">
        <v>14364</v>
      </c>
      <c r="BN65" s="100">
        <v>15.358598916464809</v>
      </c>
      <c r="BO65" s="100">
        <v>15757.922488292894</v>
      </c>
      <c r="BP65" s="100">
        <v>15.58616866585427</v>
      </c>
      <c r="BQ65" s="100">
        <v>15991.409051166482</v>
      </c>
      <c r="BR65" s="100">
        <v>9</v>
      </c>
      <c r="BS65" s="100">
        <v>9234</v>
      </c>
      <c r="BT65" s="100">
        <v>16</v>
      </c>
      <c r="BU65" s="100">
        <v>16416</v>
      </c>
      <c r="BV65" s="100">
        <v>16</v>
      </c>
      <c r="BW65" s="100">
        <v>16416</v>
      </c>
      <c r="BX65" s="100">
        <v>8.3549629982067657</v>
      </c>
      <c r="BY65" s="100">
        <v>8572.1920361601424</v>
      </c>
      <c r="BZ65" s="100">
        <v>14</v>
      </c>
      <c r="CA65" s="100">
        <v>14364</v>
      </c>
      <c r="CB65" s="100">
        <v>7.9588688808172092</v>
      </c>
      <c r="CC65" s="100">
        <v>8165.7994717184565</v>
      </c>
      <c r="CD65" s="100">
        <v>9.2125320886888709</v>
      </c>
      <c r="CE65" s="100">
        <v>9452.0579229947816</v>
      </c>
      <c r="CF65" s="100">
        <v>11</v>
      </c>
      <c r="CG65" s="100">
        <v>11286</v>
      </c>
      <c r="CH65" s="100">
        <v>9.8615724385711037</v>
      </c>
      <c r="CI65" s="100">
        <v>10117.973321973952</v>
      </c>
      <c r="CJ65" s="100">
        <v>13.882613441844184</v>
      </c>
      <c r="CK65" s="100">
        <v>14243.561391332132</v>
      </c>
      <c r="CL65" s="100">
        <v>10.705484406308582</v>
      </c>
      <c r="CM65" s="100">
        <v>10983.827000872605</v>
      </c>
      <c r="CN65" s="100">
        <v>9.166155032025884</v>
      </c>
      <c r="CO65" s="100">
        <v>9404.4750628585571</v>
      </c>
      <c r="CP65" s="100">
        <v>10.255741625548433</v>
      </c>
      <c r="CQ65" s="100">
        <v>10522.390907812693</v>
      </c>
      <c r="CR65" s="100">
        <v>9.3227656757065329</v>
      </c>
      <c r="CS65" s="100">
        <v>9565.1575832749022</v>
      </c>
      <c r="CT65" s="100">
        <v>11.706211149013322</v>
      </c>
      <c r="CU65" s="100">
        <v>12010.572638887668</v>
      </c>
    </row>
    <row r="66" spans="2:99">
      <c r="C66" s="99" t="s">
        <v>232</v>
      </c>
      <c r="D66" s="100">
        <v>10</v>
      </c>
      <c r="E66" s="100">
        <v>11903.999999999998</v>
      </c>
      <c r="F66" s="100">
        <v>13</v>
      </c>
      <c r="G66" s="100">
        <v>15475.199999999999</v>
      </c>
      <c r="H66" s="100">
        <v>10</v>
      </c>
      <c r="I66" s="100">
        <v>11903.999999999998</v>
      </c>
      <c r="J66" s="100">
        <v>10</v>
      </c>
      <c r="K66" s="100">
        <v>11903.999999999998</v>
      </c>
      <c r="L66" s="100">
        <v>12</v>
      </c>
      <c r="M66" s="100">
        <v>14284.8</v>
      </c>
      <c r="N66" s="100">
        <v>15</v>
      </c>
      <c r="O66" s="100">
        <v>17855.999999999996</v>
      </c>
      <c r="P66" s="100">
        <v>16</v>
      </c>
      <c r="Q66" s="100">
        <v>19046.399999999998</v>
      </c>
      <c r="R66" s="100">
        <v>10</v>
      </c>
      <c r="S66" s="100">
        <v>11903.999999999998</v>
      </c>
      <c r="T66" s="100">
        <v>13</v>
      </c>
      <c r="U66" s="100">
        <v>15475.199999999999</v>
      </c>
      <c r="V66" s="100">
        <v>12.549889029116478</v>
      </c>
      <c r="W66" s="100">
        <v>14939.387900260253</v>
      </c>
      <c r="X66" s="100">
        <v>13</v>
      </c>
      <c r="Y66" s="100">
        <v>15475.199999999999</v>
      </c>
      <c r="Z66" s="100">
        <v>15</v>
      </c>
      <c r="AA66" s="100">
        <v>17855.999999999996</v>
      </c>
      <c r="AB66" s="100">
        <v>13</v>
      </c>
      <c r="AC66" s="100">
        <v>15475.199999999999</v>
      </c>
      <c r="AD66" s="100">
        <v>11</v>
      </c>
      <c r="AE66" s="100">
        <v>13094.399999999998</v>
      </c>
      <c r="AF66" s="100">
        <v>11</v>
      </c>
      <c r="AG66" s="100">
        <v>13094.399999999998</v>
      </c>
      <c r="AH66" s="100">
        <v>8.438534269250983</v>
      </c>
      <c r="AI66" s="100">
        <v>10045.23119411637</v>
      </c>
      <c r="AJ66" s="100">
        <v>15</v>
      </c>
      <c r="AK66" s="100">
        <v>17855.999999999996</v>
      </c>
      <c r="AL66" s="100">
        <v>9</v>
      </c>
      <c r="AM66" s="100">
        <v>10713.599999999999</v>
      </c>
      <c r="AN66" s="100">
        <v>15</v>
      </c>
      <c r="AO66" s="100">
        <v>17855.999999999996</v>
      </c>
      <c r="AP66" s="100">
        <v>9</v>
      </c>
      <c r="AQ66" s="100">
        <v>10713.599999999999</v>
      </c>
      <c r="AR66" s="100">
        <v>14</v>
      </c>
      <c r="AS66" s="100">
        <v>16665.599999999999</v>
      </c>
      <c r="AT66" s="100">
        <v>11.803527565921113</v>
      </c>
      <c r="AU66" s="100">
        <v>14050.919214472491</v>
      </c>
      <c r="AV66" s="100">
        <v>14.32380567834452</v>
      </c>
      <c r="AW66" s="100">
        <v>17051.058279501314</v>
      </c>
      <c r="AX66" s="100">
        <v>8.8818240559096022</v>
      </c>
      <c r="AY66" s="100">
        <v>10572.92335615479</v>
      </c>
      <c r="AZ66" s="100">
        <v>12.741615123825083</v>
      </c>
      <c r="BA66" s="100">
        <v>15167.618643401376</v>
      </c>
      <c r="BB66" s="100">
        <v>12.405538645059947</v>
      </c>
      <c r="BC66" s="100">
        <v>14767.553203079358</v>
      </c>
      <c r="BD66" s="100">
        <v>13.657246340515545</v>
      </c>
      <c r="BE66" s="100">
        <v>16257.586043749703</v>
      </c>
      <c r="BF66" s="100">
        <v>10</v>
      </c>
      <c r="BG66" s="100">
        <v>11903.999999999998</v>
      </c>
      <c r="BH66" s="100">
        <v>15</v>
      </c>
      <c r="BI66" s="100">
        <v>17855.999999999996</v>
      </c>
      <c r="BJ66" s="100">
        <v>12</v>
      </c>
      <c r="BK66" s="100">
        <v>14284.8</v>
      </c>
      <c r="BL66" s="100">
        <v>14</v>
      </c>
      <c r="BM66" s="100">
        <v>16665.599999999999</v>
      </c>
      <c r="BN66" s="100">
        <v>14.455151921378643</v>
      </c>
      <c r="BO66" s="100">
        <v>17207.412847209136</v>
      </c>
      <c r="BP66" s="100">
        <v>13.752501763989061</v>
      </c>
      <c r="BQ66" s="100">
        <v>16370.978099852577</v>
      </c>
      <c r="BR66" s="100">
        <v>8</v>
      </c>
      <c r="BS66" s="100">
        <v>9523.1999999999989</v>
      </c>
      <c r="BT66" s="100">
        <v>15</v>
      </c>
      <c r="BU66" s="100">
        <v>17855.999999999996</v>
      </c>
      <c r="BV66" s="100">
        <v>14</v>
      </c>
      <c r="BW66" s="100">
        <v>16665.599999999999</v>
      </c>
      <c r="BX66" s="100">
        <v>9.2832922202297397</v>
      </c>
      <c r="BY66" s="100">
        <v>11050.831058961481</v>
      </c>
      <c r="BZ66" s="100">
        <v>14</v>
      </c>
      <c r="CA66" s="100">
        <v>16665.599999999999</v>
      </c>
      <c r="CB66" s="100">
        <v>7.074550116281964</v>
      </c>
      <c r="CC66" s="100">
        <v>8421.5444584220495</v>
      </c>
      <c r="CD66" s="100">
        <v>8.5544940823539513</v>
      </c>
      <c r="CE66" s="100">
        <v>10183.269755634143</v>
      </c>
      <c r="CF66" s="100">
        <v>13</v>
      </c>
      <c r="CG66" s="100">
        <v>15475.199999999999</v>
      </c>
      <c r="CH66" s="100">
        <v>9.8615724385711037</v>
      </c>
      <c r="CI66" s="100">
        <v>11739.21583087504</v>
      </c>
      <c r="CJ66" s="100">
        <v>12.14728676161366</v>
      </c>
      <c r="CK66" s="100">
        <v>14460.130161024899</v>
      </c>
      <c r="CL66" s="100">
        <v>9.8819856058233082</v>
      </c>
      <c r="CM66" s="100">
        <v>11763.515665172064</v>
      </c>
      <c r="CN66" s="100">
        <v>8.332868210932622</v>
      </c>
      <c r="CO66" s="100">
        <v>9919.4463182941927</v>
      </c>
      <c r="CP66" s="100">
        <v>11.044644827513695</v>
      </c>
      <c r="CQ66" s="100">
        <v>13147.545202672301</v>
      </c>
      <c r="CR66" s="100">
        <v>8.3904891081358794</v>
      </c>
      <c r="CS66" s="100">
        <v>9988.0382343249494</v>
      </c>
      <c r="CT66" s="100">
        <v>10.730693553262212</v>
      </c>
      <c r="CU66" s="100">
        <v>12773.817605803335</v>
      </c>
    </row>
    <row r="67" spans="2:99">
      <c r="C67" s="99" t="s">
        <v>233</v>
      </c>
      <c r="D67" s="100">
        <v>11</v>
      </c>
      <c r="E67" s="100">
        <v>12355.2</v>
      </c>
      <c r="F67" s="100">
        <v>12</v>
      </c>
      <c r="G67" s="100">
        <v>13478.400000000001</v>
      </c>
      <c r="H67" s="100">
        <v>9</v>
      </c>
      <c r="I67" s="100">
        <v>10108.800000000001</v>
      </c>
      <c r="J67" s="100">
        <v>12</v>
      </c>
      <c r="K67" s="100">
        <v>13478.400000000001</v>
      </c>
      <c r="L67" s="100">
        <v>14</v>
      </c>
      <c r="M67" s="100">
        <v>15724.800000000001</v>
      </c>
      <c r="N67" s="100">
        <v>17</v>
      </c>
      <c r="O67" s="100">
        <v>19094.400000000001</v>
      </c>
      <c r="P67" s="100">
        <v>16</v>
      </c>
      <c r="Q67" s="100">
        <v>17971.2</v>
      </c>
      <c r="R67" s="100">
        <v>10</v>
      </c>
      <c r="S67" s="100">
        <v>11232</v>
      </c>
      <c r="T67" s="100">
        <v>12</v>
      </c>
      <c r="U67" s="100">
        <v>13478.400000000001</v>
      </c>
      <c r="V67" s="100">
        <v>12.549889029116478</v>
      </c>
      <c r="W67" s="100">
        <v>14096.03535750363</v>
      </c>
      <c r="X67" s="100">
        <v>15</v>
      </c>
      <c r="Y67" s="100">
        <v>16848</v>
      </c>
      <c r="Z67" s="100">
        <v>15</v>
      </c>
      <c r="AA67" s="100">
        <v>16848</v>
      </c>
      <c r="AB67" s="100">
        <v>12</v>
      </c>
      <c r="AC67" s="100">
        <v>13478.400000000001</v>
      </c>
      <c r="AD67" s="100">
        <v>11</v>
      </c>
      <c r="AE67" s="100">
        <v>12355.2</v>
      </c>
      <c r="AF67" s="100">
        <v>10</v>
      </c>
      <c r="AG67" s="100">
        <v>11232</v>
      </c>
      <c r="AH67" s="100">
        <v>7.5946808423258849</v>
      </c>
      <c r="AI67" s="100">
        <v>8530.3455221004351</v>
      </c>
      <c r="AJ67" s="100">
        <v>14</v>
      </c>
      <c r="AK67" s="100">
        <v>15724.800000000001</v>
      </c>
      <c r="AL67" s="100">
        <v>7</v>
      </c>
      <c r="AM67" s="100">
        <v>7862.4000000000005</v>
      </c>
      <c r="AN67" s="100">
        <v>14</v>
      </c>
      <c r="AO67" s="100">
        <v>15724.800000000001</v>
      </c>
      <c r="AP67" s="100">
        <v>9</v>
      </c>
      <c r="AQ67" s="100">
        <v>10108.800000000001</v>
      </c>
      <c r="AR67" s="100">
        <v>15</v>
      </c>
      <c r="AS67" s="100">
        <v>16848</v>
      </c>
      <c r="AT67" s="100">
        <v>12.646636677772623</v>
      </c>
      <c r="AU67" s="100">
        <v>14204.702316474211</v>
      </c>
      <c r="AV67" s="100">
        <v>14.32380567834452</v>
      </c>
      <c r="AW67" s="100">
        <v>16088.498537916566</v>
      </c>
      <c r="AX67" s="100">
        <v>7.9936416503186427</v>
      </c>
      <c r="AY67" s="100">
        <v>8978.4583016379001</v>
      </c>
      <c r="AZ67" s="100">
        <v>12.741615123825083</v>
      </c>
      <c r="BA67" s="100">
        <v>14311.382107080333</v>
      </c>
      <c r="BB67" s="100">
        <v>13.359810848526095</v>
      </c>
      <c r="BC67" s="100">
        <v>15005.739545064511</v>
      </c>
      <c r="BD67" s="100">
        <v>12.681728744764435</v>
      </c>
      <c r="BE67" s="100">
        <v>14244.117726119413</v>
      </c>
      <c r="BF67" s="100">
        <v>9</v>
      </c>
      <c r="BG67" s="100">
        <v>10108.800000000001</v>
      </c>
      <c r="BH67" s="100">
        <v>16</v>
      </c>
      <c r="BI67" s="100">
        <v>17971.2</v>
      </c>
      <c r="BJ67" s="100">
        <v>12</v>
      </c>
      <c r="BK67" s="100">
        <v>13478.400000000001</v>
      </c>
      <c r="BL67" s="100">
        <v>15</v>
      </c>
      <c r="BM67" s="100">
        <v>16848</v>
      </c>
      <c r="BN67" s="100">
        <v>15.358598916464809</v>
      </c>
      <c r="BO67" s="100">
        <v>17250.778302973275</v>
      </c>
      <c r="BP67" s="100">
        <v>14.669335214921666</v>
      </c>
      <c r="BQ67" s="100">
        <v>16476.597313400016</v>
      </c>
      <c r="BR67" s="100">
        <v>9</v>
      </c>
      <c r="BS67" s="100">
        <v>10108.800000000001</v>
      </c>
      <c r="BT67" s="100">
        <v>16</v>
      </c>
      <c r="BU67" s="100">
        <v>17971.2</v>
      </c>
      <c r="BV67" s="100">
        <v>16</v>
      </c>
      <c r="BW67" s="100">
        <v>17971.2</v>
      </c>
      <c r="BX67" s="100">
        <v>9.2832922202297397</v>
      </c>
      <c r="BY67" s="100">
        <v>10426.993821762044</v>
      </c>
      <c r="BZ67" s="100">
        <v>15</v>
      </c>
      <c r="CA67" s="100">
        <v>16848</v>
      </c>
      <c r="CB67" s="100">
        <v>7.074550116281964</v>
      </c>
      <c r="CC67" s="100">
        <v>7946.1346906079025</v>
      </c>
      <c r="CD67" s="100">
        <v>8.5544940823539513</v>
      </c>
      <c r="CE67" s="100">
        <v>9608.4077532999581</v>
      </c>
      <c r="CF67" s="100">
        <v>11</v>
      </c>
      <c r="CG67" s="100">
        <v>12355.2</v>
      </c>
      <c r="CH67" s="100">
        <v>10.847729682428213</v>
      </c>
      <c r="CI67" s="100">
        <v>12184.169979303369</v>
      </c>
      <c r="CJ67" s="100">
        <v>12.14728676161366</v>
      </c>
      <c r="CK67" s="100">
        <v>13643.832490644463</v>
      </c>
      <c r="CL67" s="100">
        <v>9.8819856058233082</v>
      </c>
      <c r="CM67" s="100">
        <v>11099.446232460739</v>
      </c>
      <c r="CN67" s="100">
        <v>9.166155032025884</v>
      </c>
      <c r="CO67" s="100">
        <v>10295.425331971473</v>
      </c>
      <c r="CP67" s="100">
        <v>11.044644827513695</v>
      </c>
      <c r="CQ67" s="100">
        <v>12405.345070263382</v>
      </c>
      <c r="CR67" s="100">
        <v>10.255042243277186</v>
      </c>
      <c r="CS67" s="100">
        <v>11518.463447648935</v>
      </c>
      <c r="CT67" s="100">
        <v>10.730693553262212</v>
      </c>
      <c r="CU67" s="100">
        <v>12052.714999024116</v>
      </c>
    </row>
    <row r="68" spans="2:99">
      <c r="C68" s="99" t="s">
        <v>234</v>
      </c>
      <c r="D68" s="100">
        <v>12</v>
      </c>
      <c r="E68" s="100">
        <v>12398.400000000001</v>
      </c>
      <c r="F68" s="100">
        <v>12</v>
      </c>
      <c r="G68" s="100">
        <v>12398.400000000001</v>
      </c>
      <c r="H68" s="100">
        <v>9</v>
      </c>
      <c r="I68" s="100">
        <v>9298.8000000000011</v>
      </c>
      <c r="J68" s="100">
        <v>10</v>
      </c>
      <c r="K68" s="100">
        <v>10332</v>
      </c>
      <c r="L68" s="100">
        <v>13</v>
      </c>
      <c r="M68" s="100">
        <v>13431.6</v>
      </c>
      <c r="N68" s="100">
        <v>17</v>
      </c>
      <c r="O68" s="100">
        <v>17564.400000000001</v>
      </c>
      <c r="P68" s="100">
        <v>17</v>
      </c>
      <c r="Q68" s="100">
        <v>17564.400000000001</v>
      </c>
      <c r="R68" s="100">
        <v>10</v>
      </c>
      <c r="S68" s="100">
        <v>10332</v>
      </c>
      <c r="T68" s="100">
        <v>12</v>
      </c>
      <c r="U68" s="100">
        <v>12398.400000000001</v>
      </c>
      <c r="V68" s="100">
        <v>15.239150963927152</v>
      </c>
      <c r="W68" s="100">
        <v>15745.090775929533</v>
      </c>
      <c r="X68" s="100">
        <v>16</v>
      </c>
      <c r="Y68" s="100">
        <v>16531.2</v>
      </c>
      <c r="Z68" s="100">
        <v>15</v>
      </c>
      <c r="AA68" s="100">
        <v>15498</v>
      </c>
      <c r="AB68" s="100">
        <v>13</v>
      </c>
      <c r="AC68" s="100">
        <v>13431.6</v>
      </c>
      <c r="AD68" s="100">
        <v>10</v>
      </c>
      <c r="AE68" s="100">
        <v>10332</v>
      </c>
      <c r="AF68" s="100">
        <v>12</v>
      </c>
      <c r="AG68" s="100">
        <v>12398.400000000001</v>
      </c>
      <c r="AH68" s="100">
        <v>8.438534269250983</v>
      </c>
      <c r="AI68" s="100">
        <v>8718.6936069901167</v>
      </c>
      <c r="AJ68" s="100">
        <v>13</v>
      </c>
      <c r="AK68" s="100">
        <v>13431.6</v>
      </c>
      <c r="AL68" s="100">
        <v>8</v>
      </c>
      <c r="AM68" s="100">
        <v>8265.6</v>
      </c>
      <c r="AN68" s="100">
        <v>15</v>
      </c>
      <c r="AO68" s="100">
        <v>15498</v>
      </c>
      <c r="AP68" s="100">
        <v>8</v>
      </c>
      <c r="AQ68" s="100">
        <v>8265.6</v>
      </c>
      <c r="AR68" s="100">
        <v>14</v>
      </c>
      <c r="AS68" s="100">
        <v>14464.800000000001</v>
      </c>
      <c r="AT68" s="100">
        <v>13.489745789624129</v>
      </c>
      <c r="AU68" s="100">
        <v>13937.60534983965</v>
      </c>
      <c r="AV68" s="100">
        <v>15.278726056900821</v>
      </c>
      <c r="AW68" s="100">
        <v>15785.979761989929</v>
      </c>
      <c r="AX68" s="100">
        <v>7.9936416503186427</v>
      </c>
      <c r="AY68" s="100">
        <v>8259.0305531092217</v>
      </c>
      <c r="AZ68" s="100">
        <v>11.892174115570077</v>
      </c>
      <c r="BA68" s="100">
        <v>12286.994296207004</v>
      </c>
      <c r="BB68" s="100">
        <v>15.268355255458394</v>
      </c>
      <c r="BC68" s="100">
        <v>15775.264649939612</v>
      </c>
      <c r="BD68" s="100">
        <v>14.632763936266654</v>
      </c>
      <c r="BE68" s="100">
        <v>15118.571698950707</v>
      </c>
      <c r="BF68" s="100">
        <v>10</v>
      </c>
      <c r="BG68" s="100">
        <v>10332</v>
      </c>
      <c r="BH68" s="100">
        <v>15</v>
      </c>
      <c r="BI68" s="100">
        <v>15498</v>
      </c>
      <c r="BJ68" s="100">
        <v>12</v>
      </c>
      <c r="BK68" s="100">
        <v>12398.400000000001</v>
      </c>
      <c r="BL68" s="100">
        <v>15</v>
      </c>
      <c r="BM68" s="100">
        <v>15498</v>
      </c>
      <c r="BN68" s="100">
        <v>14.455151921378643</v>
      </c>
      <c r="BO68" s="100">
        <v>14935.062965168416</v>
      </c>
      <c r="BP68" s="100">
        <v>14.669335214921666</v>
      </c>
      <c r="BQ68" s="100">
        <v>15156.357144057067</v>
      </c>
      <c r="BR68" s="100">
        <v>9</v>
      </c>
      <c r="BS68" s="100">
        <v>9298.8000000000011</v>
      </c>
      <c r="BT68" s="100">
        <v>18</v>
      </c>
      <c r="BU68" s="100">
        <v>18597.600000000002</v>
      </c>
      <c r="BV68" s="100">
        <v>14</v>
      </c>
      <c r="BW68" s="100">
        <v>14464.800000000001</v>
      </c>
      <c r="BX68" s="100">
        <v>9.2832922202297397</v>
      </c>
      <c r="BY68" s="100">
        <v>9591.4975219413682</v>
      </c>
      <c r="BZ68" s="100">
        <v>15</v>
      </c>
      <c r="CA68" s="100">
        <v>15498</v>
      </c>
      <c r="CB68" s="100">
        <v>7.074550116281964</v>
      </c>
      <c r="CC68" s="100">
        <v>7309.4251801425253</v>
      </c>
      <c r="CD68" s="100">
        <v>10.528608101358708</v>
      </c>
      <c r="CE68" s="100">
        <v>10878.157890323819</v>
      </c>
      <c r="CF68" s="100">
        <v>12</v>
      </c>
      <c r="CG68" s="100">
        <v>12398.400000000001</v>
      </c>
      <c r="CH68" s="100">
        <v>8.8754151947139928</v>
      </c>
      <c r="CI68" s="100">
        <v>9170.0789791784973</v>
      </c>
      <c r="CJ68" s="100">
        <v>13.882613441844184</v>
      </c>
      <c r="CK68" s="100">
        <v>14343.516208113411</v>
      </c>
      <c r="CL68" s="100">
        <v>9.0584868053380312</v>
      </c>
      <c r="CM68" s="100">
        <v>9359.228567275255</v>
      </c>
      <c r="CN68" s="100">
        <v>9.166155032025884</v>
      </c>
      <c r="CO68" s="100">
        <v>9470.4713790891437</v>
      </c>
      <c r="CP68" s="100">
        <v>11.833548029478958</v>
      </c>
      <c r="CQ68" s="100">
        <v>12226.421824057661</v>
      </c>
      <c r="CR68" s="100">
        <v>9.3227656757065329</v>
      </c>
      <c r="CS68" s="100">
        <v>9632.2814961399908</v>
      </c>
      <c r="CT68" s="100">
        <v>10.730693553262212</v>
      </c>
      <c r="CU68" s="100">
        <v>11086.952579230518</v>
      </c>
    </row>
    <row r="69" spans="2:99">
      <c r="C69" s="99" t="s">
        <v>235</v>
      </c>
      <c r="D69" s="100">
        <v>12</v>
      </c>
      <c r="E69" s="100">
        <v>9100.7999999999993</v>
      </c>
      <c r="F69" s="100">
        <v>14</v>
      </c>
      <c r="G69" s="100">
        <v>10617.6</v>
      </c>
      <c r="H69" s="100">
        <v>9</v>
      </c>
      <c r="I69" s="100">
        <v>6825.5999999999995</v>
      </c>
      <c r="J69" s="100">
        <v>11</v>
      </c>
      <c r="K69" s="100">
        <v>8342.4</v>
      </c>
      <c r="L69" s="100">
        <v>13</v>
      </c>
      <c r="M69" s="100">
        <v>9859.1999999999989</v>
      </c>
      <c r="N69" s="100">
        <v>16</v>
      </c>
      <c r="O69" s="100">
        <v>12134.4</v>
      </c>
      <c r="P69" s="100">
        <v>15</v>
      </c>
      <c r="Q69" s="100">
        <v>11376</v>
      </c>
      <c r="R69" s="100">
        <v>11</v>
      </c>
      <c r="S69" s="100">
        <v>8342.4</v>
      </c>
      <c r="T69" s="100">
        <v>13</v>
      </c>
      <c r="U69" s="100">
        <v>9859.1999999999989</v>
      </c>
      <c r="V69" s="100">
        <v>14.34273031899026</v>
      </c>
      <c r="W69" s="100">
        <v>10877.526673922213</v>
      </c>
      <c r="X69" s="100">
        <v>15</v>
      </c>
      <c r="Y69" s="100">
        <v>11376</v>
      </c>
      <c r="Z69" s="100">
        <v>15</v>
      </c>
      <c r="AA69" s="100">
        <v>11376</v>
      </c>
      <c r="AB69" s="100">
        <v>12</v>
      </c>
      <c r="AC69" s="100">
        <v>9100.7999999999993</v>
      </c>
      <c r="AD69" s="100">
        <v>11</v>
      </c>
      <c r="AE69" s="100">
        <v>8342.4</v>
      </c>
      <c r="AF69" s="100">
        <v>11</v>
      </c>
      <c r="AG69" s="100">
        <v>8342.4</v>
      </c>
      <c r="AH69" s="100">
        <v>8.438534269250983</v>
      </c>
      <c r="AI69" s="100">
        <v>6399.7843897999455</v>
      </c>
      <c r="AJ69" s="100">
        <v>14</v>
      </c>
      <c r="AK69" s="100">
        <v>10617.6</v>
      </c>
      <c r="AL69" s="100">
        <v>9</v>
      </c>
      <c r="AM69" s="100">
        <v>6825.5999999999995</v>
      </c>
      <c r="AN69" s="100">
        <v>15</v>
      </c>
      <c r="AO69" s="100">
        <v>11376</v>
      </c>
      <c r="AP69" s="100">
        <v>9</v>
      </c>
      <c r="AQ69" s="100">
        <v>6825.5999999999995</v>
      </c>
      <c r="AR69" s="100">
        <v>13</v>
      </c>
      <c r="AS69" s="100">
        <v>9859.1999999999989</v>
      </c>
      <c r="AT69" s="100">
        <v>11.803527565921113</v>
      </c>
      <c r="AU69" s="100">
        <v>8951.7953059945721</v>
      </c>
      <c r="AV69" s="100">
        <v>15.278726056900821</v>
      </c>
      <c r="AW69" s="100">
        <v>11587.385841553581</v>
      </c>
      <c r="AX69" s="100">
        <v>9.7700064615005626</v>
      </c>
      <c r="AY69" s="100">
        <v>7409.5729004020268</v>
      </c>
      <c r="AZ69" s="100">
        <v>12.741615123825083</v>
      </c>
      <c r="BA69" s="100">
        <v>9663.2409099089418</v>
      </c>
      <c r="BB69" s="100">
        <v>14.314083051992244</v>
      </c>
      <c r="BC69" s="100">
        <v>10855.800586630918</v>
      </c>
      <c r="BD69" s="100">
        <v>13.657246340515545</v>
      </c>
      <c r="BE69" s="100">
        <v>10357.65562464699</v>
      </c>
      <c r="BF69" s="100">
        <v>9</v>
      </c>
      <c r="BG69" s="100">
        <v>6825.5999999999995</v>
      </c>
      <c r="BH69" s="100">
        <v>17</v>
      </c>
      <c r="BI69" s="100">
        <v>12892.8</v>
      </c>
      <c r="BJ69" s="100">
        <v>12</v>
      </c>
      <c r="BK69" s="100">
        <v>9100.7999999999993</v>
      </c>
      <c r="BL69" s="100">
        <v>15</v>
      </c>
      <c r="BM69" s="100">
        <v>11376</v>
      </c>
      <c r="BN69" s="100">
        <v>13.551704926292478</v>
      </c>
      <c r="BO69" s="100">
        <v>10277.613016100215</v>
      </c>
      <c r="BP69" s="100">
        <v>14.669335214921666</v>
      </c>
      <c r="BQ69" s="100">
        <v>11125.223826996591</v>
      </c>
      <c r="BR69" s="100">
        <v>9</v>
      </c>
      <c r="BS69" s="100">
        <v>6825.5999999999995</v>
      </c>
      <c r="BT69" s="100">
        <v>17</v>
      </c>
      <c r="BU69" s="100">
        <v>12892.8</v>
      </c>
      <c r="BV69" s="100">
        <v>17</v>
      </c>
      <c r="BW69" s="100">
        <v>12892.8</v>
      </c>
      <c r="BX69" s="100">
        <v>8.3549629982067657</v>
      </c>
      <c r="BY69" s="100">
        <v>6336.4039378400112</v>
      </c>
      <c r="BZ69" s="100">
        <v>15</v>
      </c>
      <c r="CA69" s="100">
        <v>11376</v>
      </c>
      <c r="CB69" s="100">
        <v>7.9588688808172092</v>
      </c>
      <c r="CC69" s="100">
        <v>6036.0061592117709</v>
      </c>
      <c r="CD69" s="100">
        <v>10.528608101358708</v>
      </c>
      <c r="CE69" s="100">
        <v>7984.8963840704437</v>
      </c>
      <c r="CF69" s="100">
        <v>14</v>
      </c>
      <c r="CG69" s="100">
        <v>10617.6</v>
      </c>
      <c r="CH69" s="100">
        <v>10.847729682428213</v>
      </c>
      <c r="CI69" s="100">
        <v>8226.9181911535561</v>
      </c>
      <c r="CJ69" s="100">
        <v>13.882613441844184</v>
      </c>
      <c r="CK69" s="100">
        <v>10528.574034294628</v>
      </c>
      <c r="CL69" s="100">
        <v>10.705484406308582</v>
      </c>
      <c r="CM69" s="100">
        <v>8119.0393737444283</v>
      </c>
      <c r="CN69" s="100">
        <v>9.999441853119146</v>
      </c>
      <c r="CO69" s="100">
        <v>7583.57670140556</v>
      </c>
      <c r="CP69" s="100">
        <v>10.255741625548433</v>
      </c>
      <c r="CQ69" s="100">
        <v>7777.9544488159318</v>
      </c>
      <c r="CR69" s="100">
        <v>10.255042243277186</v>
      </c>
      <c r="CS69" s="100">
        <v>7777.4240373014181</v>
      </c>
      <c r="CT69" s="100">
        <v>9.7551759575111028</v>
      </c>
      <c r="CU69" s="100">
        <v>7398.32544617642</v>
      </c>
    </row>
    <row r="70" spans="2:99">
      <c r="C70" s="99" t="s">
        <v>236</v>
      </c>
      <c r="D70" s="100">
        <v>12</v>
      </c>
      <c r="E70" s="100">
        <v>6422.4</v>
      </c>
      <c r="F70" s="100">
        <v>12</v>
      </c>
      <c r="G70" s="100">
        <v>6422.4</v>
      </c>
      <c r="H70" s="100">
        <v>10</v>
      </c>
      <c r="I70" s="100">
        <v>5351.9999999999991</v>
      </c>
      <c r="J70" s="100">
        <v>11</v>
      </c>
      <c r="K70" s="100">
        <v>5887.1999999999989</v>
      </c>
      <c r="L70" s="100">
        <v>14</v>
      </c>
      <c r="M70" s="100">
        <v>7492.7999999999993</v>
      </c>
      <c r="N70" s="100">
        <v>17</v>
      </c>
      <c r="O70" s="100">
        <v>9098.4</v>
      </c>
      <c r="P70" s="100">
        <v>17</v>
      </c>
      <c r="Q70" s="100">
        <v>9098.4</v>
      </c>
      <c r="R70" s="100">
        <v>11</v>
      </c>
      <c r="S70" s="100">
        <v>5887.1999999999989</v>
      </c>
      <c r="T70" s="100">
        <v>13</v>
      </c>
      <c r="U70" s="100">
        <v>6957.5999999999995</v>
      </c>
      <c r="V70" s="100">
        <v>15.239150963927152</v>
      </c>
      <c r="W70" s="100">
        <v>8155.9935958938104</v>
      </c>
      <c r="X70" s="100">
        <v>15</v>
      </c>
      <c r="Y70" s="100">
        <v>8027.9999999999991</v>
      </c>
      <c r="Z70" s="100">
        <v>14</v>
      </c>
      <c r="AA70" s="100">
        <v>7492.7999999999993</v>
      </c>
      <c r="AB70" s="100">
        <v>12</v>
      </c>
      <c r="AC70" s="100">
        <v>6422.4</v>
      </c>
      <c r="AD70" s="100">
        <v>13</v>
      </c>
      <c r="AE70" s="100">
        <v>6957.5999999999995</v>
      </c>
      <c r="AF70" s="100">
        <v>12</v>
      </c>
      <c r="AG70" s="100">
        <v>6422.4</v>
      </c>
      <c r="AH70" s="100">
        <v>8.438534269250983</v>
      </c>
      <c r="AI70" s="100">
        <v>4516.3035409031254</v>
      </c>
      <c r="AJ70" s="100">
        <v>14</v>
      </c>
      <c r="AK70" s="100">
        <v>7492.7999999999993</v>
      </c>
      <c r="AL70" s="100">
        <v>10</v>
      </c>
      <c r="AM70" s="100">
        <v>5351.9999999999991</v>
      </c>
      <c r="AN70" s="100">
        <v>13</v>
      </c>
      <c r="AO70" s="100">
        <v>6957.5999999999995</v>
      </c>
      <c r="AP70" s="100">
        <v>9</v>
      </c>
      <c r="AQ70" s="100">
        <v>4816.7999999999993</v>
      </c>
      <c r="AR70" s="100">
        <v>15</v>
      </c>
      <c r="AS70" s="100">
        <v>8027.9999999999991</v>
      </c>
      <c r="AT70" s="100">
        <v>14.332854901475638</v>
      </c>
      <c r="AU70" s="100">
        <v>7670.9439432697609</v>
      </c>
      <c r="AV70" s="100">
        <v>15.278726056900821</v>
      </c>
      <c r="AW70" s="100">
        <v>8177.1741856533181</v>
      </c>
      <c r="AX70" s="100">
        <v>9.7700064615005626</v>
      </c>
      <c r="AY70" s="100">
        <v>5228.9074581951008</v>
      </c>
      <c r="AZ70" s="100">
        <v>13.591056132080089</v>
      </c>
      <c r="BA70" s="100">
        <v>7273.9332418892627</v>
      </c>
      <c r="BB70" s="100">
        <v>13.359810848526095</v>
      </c>
      <c r="BC70" s="100">
        <v>7150.1707661311648</v>
      </c>
      <c r="BD70" s="100">
        <v>13.657246340515545</v>
      </c>
      <c r="BE70" s="100">
        <v>7309.3582414439188</v>
      </c>
      <c r="BF70" s="100">
        <v>9</v>
      </c>
      <c r="BG70" s="100">
        <v>4816.7999999999993</v>
      </c>
      <c r="BH70" s="100">
        <v>17</v>
      </c>
      <c r="BI70" s="100">
        <v>9098.4</v>
      </c>
      <c r="BJ70" s="100">
        <v>12</v>
      </c>
      <c r="BK70" s="100">
        <v>6422.4</v>
      </c>
      <c r="BL70" s="100">
        <v>14</v>
      </c>
      <c r="BM70" s="100">
        <v>7492.7999999999993</v>
      </c>
      <c r="BN70" s="100">
        <v>16.262045911550974</v>
      </c>
      <c r="BO70" s="100">
        <v>8703.4469718620803</v>
      </c>
      <c r="BP70" s="100">
        <v>14.669335214921666</v>
      </c>
      <c r="BQ70" s="100">
        <v>7851.0282070260746</v>
      </c>
      <c r="BR70" s="100">
        <v>9</v>
      </c>
      <c r="BS70" s="100">
        <v>4816.7999999999993</v>
      </c>
      <c r="BT70" s="100">
        <v>17</v>
      </c>
      <c r="BU70" s="100">
        <v>9098.4</v>
      </c>
      <c r="BV70" s="100">
        <v>16</v>
      </c>
      <c r="BW70" s="100">
        <v>8563.1999999999989</v>
      </c>
      <c r="BX70" s="100">
        <v>8.3549629982067657</v>
      </c>
      <c r="BY70" s="100">
        <v>4471.5761966402606</v>
      </c>
      <c r="BZ70" s="100">
        <v>17</v>
      </c>
      <c r="CA70" s="100">
        <v>9098.4</v>
      </c>
      <c r="CB70" s="100">
        <v>7.9588688808172092</v>
      </c>
      <c r="CC70" s="100">
        <v>4259.5866250133695</v>
      </c>
      <c r="CD70" s="100">
        <v>9.8705700950237905</v>
      </c>
      <c r="CE70" s="100">
        <v>5282.7291148567319</v>
      </c>
      <c r="CF70" s="100">
        <v>13</v>
      </c>
      <c r="CG70" s="100">
        <v>6957.5999999999995</v>
      </c>
      <c r="CH70" s="100">
        <v>9.8615724385711037</v>
      </c>
      <c r="CI70" s="100">
        <v>5277.9135691232541</v>
      </c>
      <c r="CJ70" s="100">
        <v>15.617940122074705</v>
      </c>
      <c r="CK70" s="100">
        <v>8358.7215533343806</v>
      </c>
      <c r="CL70" s="100">
        <v>10.705484406308582</v>
      </c>
      <c r="CM70" s="100">
        <v>5729.5752542563523</v>
      </c>
      <c r="CN70" s="100">
        <v>9.166155032025884</v>
      </c>
      <c r="CO70" s="100">
        <v>4905.7261731402523</v>
      </c>
      <c r="CP70" s="100">
        <v>11.044644827513695</v>
      </c>
      <c r="CQ70" s="100">
        <v>5911.0939116853287</v>
      </c>
      <c r="CR70" s="100">
        <v>10.255042243277186</v>
      </c>
      <c r="CS70" s="100">
        <v>5488.4986086019499</v>
      </c>
      <c r="CT70" s="100">
        <v>11.706211149013322</v>
      </c>
      <c r="CU70" s="100">
        <v>6265.1642069519294</v>
      </c>
    </row>
    <row r="71" spans="2:99">
      <c r="B71" s="99" t="s">
        <v>130</v>
      </c>
      <c r="C71" s="99" t="s">
        <v>237</v>
      </c>
      <c r="D71" s="100">
        <v>7</v>
      </c>
      <c r="E71" s="100">
        <v>3948</v>
      </c>
      <c r="F71" s="100">
        <v>6</v>
      </c>
      <c r="G71" s="100">
        <v>3384</v>
      </c>
      <c r="H71" s="100">
        <v>10</v>
      </c>
      <c r="I71" s="100">
        <v>5640</v>
      </c>
      <c r="J71" s="100">
        <v>5</v>
      </c>
      <c r="K71" s="100">
        <v>2820</v>
      </c>
      <c r="L71" s="100">
        <v>7</v>
      </c>
      <c r="M71" s="100">
        <v>3948</v>
      </c>
      <c r="N71" s="100">
        <v>7</v>
      </c>
      <c r="O71" s="100">
        <v>3948</v>
      </c>
      <c r="P71" s="100">
        <v>7</v>
      </c>
      <c r="Q71" s="100">
        <v>3948</v>
      </c>
      <c r="R71" s="100">
        <v>5</v>
      </c>
      <c r="S71" s="100">
        <v>2820</v>
      </c>
      <c r="T71" s="100">
        <v>7</v>
      </c>
      <c r="U71" s="100">
        <v>3948</v>
      </c>
      <c r="V71" s="100">
        <v>8</v>
      </c>
      <c r="W71" s="100">
        <v>4512</v>
      </c>
      <c r="X71" s="100">
        <v>10</v>
      </c>
      <c r="Y71" s="100">
        <v>5640</v>
      </c>
      <c r="Z71" s="100">
        <v>7</v>
      </c>
      <c r="AA71" s="100">
        <v>3948</v>
      </c>
      <c r="AB71" s="100">
        <v>8</v>
      </c>
      <c r="AC71" s="100">
        <v>4512</v>
      </c>
      <c r="AD71" s="100">
        <v>9</v>
      </c>
      <c r="AE71" s="100">
        <v>5076</v>
      </c>
      <c r="AF71" s="100">
        <v>6</v>
      </c>
      <c r="AG71" s="100">
        <v>3384</v>
      </c>
      <c r="AH71" s="100">
        <v>9</v>
      </c>
      <c r="AI71" s="100">
        <v>5076</v>
      </c>
      <c r="AJ71" s="100">
        <v>6</v>
      </c>
      <c r="AK71" s="100">
        <v>3384</v>
      </c>
      <c r="AL71" s="100">
        <v>9</v>
      </c>
      <c r="AM71" s="100">
        <v>5076</v>
      </c>
      <c r="AN71" s="100">
        <v>5</v>
      </c>
      <c r="AO71" s="100">
        <v>2820</v>
      </c>
      <c r="AP71" s="100">
        <v>9</v>
      </c>
      <c r="AQ71" s="100">
        <v>5076</v>
      </c>
      <c r="AR71" s="100">
        <v>6</v>
      </c>
      <c r="AS71" s="100">
        <v>3384</v>
      </c>
      <c r="AT71" s="100">
        <v>7</v>
      </c>
      <c r="AU71" s="100">
        <v>3948</v>
      </c>
      <c r="AV71" s="100">
        <v>7</v>
      </c>
      <c r="AW71" s="100">
        <v>3948</v>
      </c>
      <c r="AX71" s="100">
        <v>6</v>
      </c>
      <c r="AY71" s="100">
        <v>3384</v>
      </c>
      <c r="AZ71" s="100">
        <v>5</v>
      </c>
      <c r="BA71" s="100">
        <v>2820</v>
      </c>
      <c r="BB71" s="100">
        <v>7</v>
      </c>
      <c r="BC71" s="100">
        <v>3948</v>
      </c>
      <c r="BD71" s="100">
        <v>6</v>
      </c>
      <c r="BE71" s="100">
        <v>3384</v>
      </c>
      <c r="BF71" s="100">
        <v>8</v>
      </c>
      <c r="BG71" s="100">
        <v>4512</v>
      </c>
      <c r="BH71" s="100">
        <v>8</v>
      </c>
      <c r="BI71" s="100">
        <v>4512</v>
      </c>
      <c r="BJ71" s="100">
        <v>9</v>
      </c>
      <c r="BK71" s="100">
        <v>5076</v>
      </c>
      <c r="BL71" s="100">
        <v>6</v>
      </c>
      <c r="BM71" s="100">
        <v>3384</v>
      </c>
      <c r="BN71" s="100">
        <v>7</v>
      </c>
      <c r="BO71" s="100">
        <v>3948</v>
      </c>
      <c r="BP71" s="100">
        <v>9</v>
      </c>
      <c r="BQ71" s="100">
        <v>5076</v>
      </c>
      <c r="BR71" s="100">
        <v>7</v>
      </c>
      <c r="BS71" s="100">
        <v>3948</v>
      </c>
      <c r="BT71" s="100">
        <v>8</v>
      </c>
      <c r="BU71" s="100">
        <v>4512</v>
      </c>
      <c r="BV71" s="100">
        <v>9</v>
      </c>
      <c r="BW71" s="100">
        <v>5076</v>
      </c>
      <c r="BX71" s="100">
        <v>7</v>
      </c>
      <c r="BY71" s="100">
        <v>3948</v>
      </c>
      <c r="BZ71" s="100">
        <v>10</v>
      </c>
      <c r="CA71" s="100">
        <v>5640</v>
      </c>
      <c r="CB71" s="100">
        <v>8</v>
      </c>
      <c r="CC71" s="100">
        <v>4512</v>
      </c>
      <c r="CD71" s="100">
        <v>6</v>
      </c>
      <c r="CE71" s="100">
        <v>3384</v>
      </c>
      <c r="CF71" s="100">
        <v>9</v>
      </c>
      <c r="CG71" s="100">
        <v>5076</v>
      </c>
      <c r="CH71" s="100">
        <v>6</v>
      </c>
      <c r="CI71" s="100">
        <v>3384</v>
      </c>
      <c r="CJ71" s="100">
        <v>6</v>
      </c>
      <c r="CK71" s="100">
        <v>3384</v>
      </c>
      <c r="CL71" s="100">
        <v>9</v>
      </c>
      <c r="CM71" s="100">
        <v>5076</v>
      </c>
      <c r="CN71" s="100">
        <v>9</v>
      </c>
      <c r="CO71" s="100">
        <v>5076</v>
      </c>
      <c r="CP71" s="100">
        <v>8</v>
      </c>
      <c r="CQ71" s="100">
        <v>4512</v>
      </c>
      <c r="CR71" s="100">
        <v>9</v>
      </c>
      <c r="CS71" s="100">
        <v>5076</v>
      </c>
      <c r="CT71" s="100">
        <v>8</v>
      </c>
      <c r="CU71" s="100">
        <v>4512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6</v>
      </c>
      <c r="G72" s="100">
        <v>446.4</v>
      </c>
      <c r="H72" s="100">
        <v>10</v>
      </c>
      <c r="I72" s="100">
        <v>743.99999999999989</v>
      </c>
      <c r="J72" s="100">
        <v>6</v>
      </c>
      <c r="K72" s="100">
        <v>446.4</v>
      </c>
      <c r="L72" s="100">
        <v>7</v>
      </c>
      <c r="M72" s="100">
        <v>520.79999999999995</v>
      </c>
      <c r="N72" s="100">
        <v>8</v>
      </c>
      <c r="O72" s="100">
        <v>595.19999999999993</v>
      </c>
      <c r="P72" s="100">
        <v>8</v>
      </c>
      <c r="Q72" s="100">
        <v>595.19999999999993</v>
      </c>
      <c r="R72" s="100">
        <v>6</v>
      </c>
      <c r="S72" s="100">
        <v>446.4</v>
      </c>
      <c r="T72" s="100">
        <v>8</v>
      </c>
      <c r="U72" s="100">
        <v>595.19999999999993</v>
      </c>
      <c r="V72" s="100">
        <v>9</v>
      </c>
      <c r="W72" s="100">
        <v>669.59999999999991</v>
      </c>
      <c r="X72" s="100">
        <v>10</v>
      </c>
      <c r="Y72" s="100">
        <v>743.99999999999989</v>
      </c>
      <c r="Z72" s="100">
        <v>8</v>
      </c>
      <c r="AA72" s="100">
        <v>595.19999999999993</v>
      </c>
      <c r="AB72" s="100">
        <v>9</v>
      </c>
      <c r="AC72" s="100">
        <v>669.59999999999991</v>
      </c>
      <c r="AD72" s="100">
        <v>8</v>
      </c>
      <c r="AE72" s="100">
        <v>595.19999999999993</v>
      </c>
      <c r="AF72" s="100">
        <v>7</v>
      </c>
      <c r="AG72" s="100">
        <v>520.79999999999995</v>
      </c>
      <c r="AH72" s="100">
        <v>9</v>
      </c>
      <c r="AI72" s="100">
        <v>669.59999999999991</v>
      </c>
      <c r="AJ72" s="100">
        <v>6</v>
      </c>
      <c r="AK72" s="100">
        <v>446.4</v>
      </c>
      <c r="AL72" s="100">
        <v>11</v>
      </c>
      <c r="AM72" s="100">
        <v>818.39999999999986</v>
      </c>
      <c r="AN72" s="100">
        <v>6</v>
      </c>
      <c r="AO72" s="100">
        <v>446.4</v>
      </c>
      <c r="AP72" s="100">
        <v>11</v>
      </c>
      <c r="AQ72" s="100">
        <v>818.39999999999986</v>
      </c>
      <c r="AR72" s="100">
        <v>6</v>
      </c>
      <c r="AS72" s="100">
        <v>446.4</v>
      </c>
      <c r="AT72" s="100">
        <v>6</v>
      </c>
      <c r="AU72" s="100">
        <v>446.4</v>
      </c>
      <c r="AV72" s="100">
        <v>8</v>
      </c>
      <c r="AW72" s="100">
        <v>595.19999999999993</v>
      </c>
      <c r="AX72" s="100">
        <v>8</v>
      </c>
      <c r="AY72" s="100">
        <v>595.19999999999993</v>
      </c>
      <c r="AZ72" s="100">
        <v>5</v>
      </c>
      <c r="BA72" s="100">
        <v>371.99999999999994</v>
      </c>
      <c r="BB72" s="100">
        <v>8</v>
      </c>
      <c r="BC72" s="100">
        <v>595.19999999999993</v>
      </c>
      <c r="BD72" s="100">
        <v>6</v>
      </c>
      <c r="BE72" s="100">
        <v>446.4</v>
      </c>
      <c r="BF72" s="100">
        <v>8</v>
      </c>
      <c r="BG72" s="100">
        <v>595.19999999999993</v>
      </c>
      <c r="BH72" s="100">
        <v>8</v>
      </c>
      <c r="BI72" s="100">
        <v>595.19999999999993</v>
      </c>
      <c r="BJ72" s="100">
        <v>9</v>
      </c>
      <c r="BK72" s="100">
        <v>669.59999999999991</v>
      </c>
      <c r="BL72" s="100">
        <v>6</v>
      </c>
      <c r="BM72" s="100">
        <v>446.4</v>
      </c>
      <c r="BN72" s="100">
        <v>8</v>
      </c>
      <c r="BO72" s="100">
        <v>595.19999999999993</v>
      </c>
      <c r="BP72" s="100">
        <v>10</v>
      </c>
      <c r="BQ72" s="100">
        <v>743.99999999999989</v>
      </c>
      <c r="BR72" s="100">
        <v>7</v>
      </c>
      <c r="BS72" s="100">
        <v>520.79999999999995</v>
      </c>
      <c r="BT72" s="100">
        <v>8</v>
      </c>
      <c r="BU72" s="100">
        <v>595.19999999999993</v>
      </c>
      <c r="BV72" s="100">
        <v>9</v>
      </c>
      <c r="BW72" s="100">
        <v>669.59999999999991</v>
      </c>
      <c r="BX72" s="100">
        <v>7</v>
      </c>
      <c r="BY72" s="100">
        <v>520.79999999999995</v>
      </c>
      <c r="BZ72" s="100">
        <v>9</v>
      </c>
      <c r="CA72" s="100">
        <v>669.59999999999991</v>
      </c>
      <c r="CB72" s="100">
        <v>8</v>
      </c>
      <c r="CC72" s="100">
        <v>595.19999999999993</v>
      </c>
      <c r="CD72" s="100">
        <v>7</v>
      </c>
      <c r="CE72" s="100">
        <v>520.79999999999995</v>
      </c>
      <c r="CF72" s="100">
        <v>9</v>
      </c>
      <c r="CG72" s="100">
        <v>669.59999999999991</v>
      </c>
      <c r="CH72" s="100">
        <v>6</v>
      </c>
      <c r="CI72" s="100">
        <v>446.4</v>
      </c>
      <c r="CJ72" s="100">
        <v>6</v>
      </c>
      <c r="CK72" s="100">
        <v>446.4</v>
      </c>
      <c r="CL72" s="100">
        <v>11</v>
      </c>
      <c r="CM72" s="100">
        <v>818.39999999999986</v>
      </c>
      <c r="CN72" s="100">
        <v>10</v>
      </c>
      <c r="CO72" s="100">
        <v>743.99999999999989</v>
      </c>
      <c r="CP72" s="100">
        <v>9</v>
      </c>
      <c r="CQ72" s="100">
        <v>669.59999999999991</v>
      </c>
      <c r="CR72" s="100">
        <v>9</v>
      </c>
      <c r="CS72" s="100">
        <v>669.59999999999991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8</v>
      </c>
      <c r="E73" s="100">
        <v>4473.5999999999995</v>
      </c>
      <c r="F73" s="100">
        <v>6</v>
      </c>
      <c r="G73" s="100">
        <v>3355.2</v>
      </c>
      <c r="H73" s="100">
        <v>9</v>
      </c>
      <c r="I73" s="100">
        <v>5032.7999999999993</v>
      </c>
      <c r="J73" s="100">
        <v>5</v>
      </c>
      <c r="K73" s="100">
        <v>2795.9999999999995</v>
      </c>
      <c r="L73" s="100">
        <v>6</v>
      </c>
      <c r="M73" s="100">
        <v>3355.2</v>
      </c>
      <c r="N73" s="100">
        <v>7</v>
      </c>
      <c r="O73" s="100">
        <v>3914.3999999999996</v>
      </c>
      <c r="P73" s="100">
        <v>8</v>
      </c>
      <c r="Q73" s="100">
        <v>4473.5999999999995</v>
      </c>
      <c r="R73" s="100">
        <v>5</v>
      </c>
      <c r="S73" s="100">
        <v>2795.9999999999995</v>
      </c>
      <c r="T73" s="100">
        <v>8</v>
      </c>
      <c r="U73" s="100">
        <v>4473.5999999999995</v>
      </c>
      <c r="V73" s="100">
        <v>9</v>
      </c>
      <c r="W73" s="100">
        <v>5032.7999999999993</v>
      </c>
      <c r="X73" s="100">
        <v>9</v>
      </c>
      <c r="Y73" s="100">
        <v>5032.7999999999993</v>
      </c>
      <c r="Z73" s="100">
        <v>7</v>
      </c>
      <c r="AA73" s="100">
        <v>3914.3999999999996</v>
      </c>
      <c r="AB73" s="100">
        <v>8</v>
      </c>
      <c r="AC73" s="100">
        <v>4473.5999999999995</v>
      </c>
      <c r="AD73" s="100">
        <v>9</v>
      </c>
      <c r="AE73" s="100">
        <v>5032.7999999999993</v>
      </c>
      <c r="AF73" s="100">
        <v>7</v>
      </c>
      <c r="AG73" s="100">
        <v>3914.3999999999996</v>
      </c>
      <c r="AH73" s="100">
        <v>8</v>
      </c>
      <c r="AI73" s="100">
        <v>4473.5999999999995</v>
      </c>
      <c r="AJ73" s="100">
        <v>6</v>
      </c>
      <c r="AK73" s="100">
        <v>3355.2</v>
      </c>
      <c r="AL73" s="100">
        <v>10</v>
      </c>
      <c r="AM73" s="100">
        <v>5591.9999999999991</v>
      </c>
      <c r="AN73" s="100">
        <v>5</v>
      </c>
      <c r="AO73" s="100">
        <v>2795.9999999999995</v>
      </c>
      <c r="AP73" s="100">
        <v>10</v>
      </c>
      <c r="AQ73" s="100">
        <v>5591.9999999999991</v>
      </c>
      <c r="AR73" s="100">
        <v>6</v>
      </c>
      <c r="AS73" s="100">
        <v>3355.2</v>
      </c>
      <c r="AT73" s="100">
        <v>6</v>
      </c>
      <c r="AU73" s="100">
        <v>3355.2</v>
      </c>
      <c r="AV73" s="100">
        <v>8</v>
      </c>
      <c r="AW73" s="100">
        <v>4473.5999999999995</v>
      </c>
      <c r="AX73" s="100">
        <v>7</v>
      </c>
      <c r="AY73" s="100">
        <v>3914.3999999999996</v>
      </c>
      <c r="AZ73" s="100">
        <v>5</v>
      </c>
      <c r="BA73" s="100">
        <v>2795.9999999999995</v>
      </c>
      <c r="BB73" s="100">
        <v>8</v>
      </c>
      <c r="BC73" s="100">
        <v>4473.5999999999995</v>
      </c>
      <c r="BD73" s="100">
        <v>6</v>
      </c>
      <c r="BE73" s="100">
        <v>3355.2</v>
      </c>
      <c r="BF73" s="100">
        <v>8</v>
      </c>
      <c r="BG73" s="100">
        <v>4473.5999999999995</v>
      </c>
      <c r="BH73" s="100">
        <v>8</v>
      </c>
      <c r="BI73" s="100">
        <v>4473.5999999999995</v>
      </c>
      <c r="BJ73" s="100">
        <v>8</v>
      </c>
      <c r="BK73" s="100">
        <v>4473.5999999999995</v>
      </c>
      <c r="BL73" s="100">
        <v>6</v>
      </c>
      <c r="BM73" s="100">
        <v>3355.2</v>
      </c>
      <c r="BN73" s="100">
        <v>8</v>
      </c>
      <c r="BO73" s="100">
        <v>4473.5999999999995</v>
      </c>
      <c r="BP73" s="100">
        <v>9</v>
      </c>
      <c r="BQ73" s="100">
        <v>5032.7999999999993</v>
      </c>
      <c r="BR73" s="100">
        <v>8</v>
      </c>
      <c r="BS73" s="100">
        <v>4473.5999999999995</v>
      </c>
      <c r="BT73" s="100">
        <v>8</v>
      </c>
      <c r="BU73" s="100">
        <v>4473.5999999999995</v>
      </c>
      <c r="BV73" s="100">
        <v>9</v>
      </c>
      <c r="BW73" s="100">
        <v>5032.7999999999993</v>
      </c>
      <c r="BX73" s="100">
        <v>7</v>
      </c>
      <c r="BY73" s="100">
        <v>3914.3999999999996</v>
      </c>
      <c r="BZ73" s="100">
        <v>10</v>
      </c>
      <c r="CA73" s="100">
        <v>5591.9999999999991</v>
      </c>
      <c r="CB73" s="100">
        <v>8</v>
      </c>
      <c r="CC73" s="100">
        <v>4473.5999999999995</v>
      </c>
      <c r="CD73" s="100">
        <v>6</v>
      </c>
      <c r="CE73" s="100">
        <v>3355.2</v>
      </c>
      <c r="CF73" s="100">
        <v>10</v>
      </c>
      <c r="CG73" s="100">
        <v>5591.9999999999991</v>
      </c>
      <c r="CH73" s="100">
        <v>5</v>
      </c>
      <c r="CI73" s="100">
        <v>2795.9999999999995</v>
      </c>
      <c r="CJ73" s="100">
        <v>6</v>
      </c>
      <c r="CK73" s="100">
        <v>3355.2</v>
      </c>
      <c r="CL73" s="100">
        <v>9</v>
      </c>
      <c r="CM73" s="100">
        <v>5032.7999999999993</v>
      </c>
      <c r="CN73" s="100">
        <v>9</v>
      </c>
      <c r="CO73" s="100">
        <v>5032.7999999999993</v>
      </c>
      <c r="CP73" s="100">
        <v>10</v>
      </c>
      <c r="CQ73" s="100">
        <v>5591.9999999999991</v>
      </c>
      <c r="CR73" s="100">
        <v>9</v>
      </c>
      <c r="CS73" s="100">
        <v>5032.7999999999993</v>
      </c>
      <c r="CT73" s="100">
        <v>7</v>
      </c>
      <c r="CU73" s="100">
        <v>3914.3999999999996</v>
      </c>
    </row>
    <row r="74" spans="2:99">
      <c r="C74" s="99" t="s">
        <v>240</v>
      </c>
      <c r="D74" s="100">
        <v>8</v>
      </c>
      <c r="E74" s="100">
        <v>3225.6</v>
      </c>
      <c r="F74" s="100">
        <v>7</v>
      </c>
      <c r="G74" s="100">
        <v>2822.4</v>
      </c>
      <c r="H74" s="100">
        <v>10</v>
      </c>
      <c r="I74" s="100">
        <v>4032</v>
      </c>
      <c r="J74" s="100">
        <v>5</v>
      </c>
      <c r="K74" s="100">
        <v>2016</v>
      </c>
      <c r="L74" s="100">
        <v>6</v>
      </c>
      <c r="M74" s="100">
        <v>2419.1999999999998</v>
      </c>
      <c r="N74" s="100">
        <v>7</v>
      </c>
      <c r="O74" s="100">
        <v>2822.4</v>
      </c>
      <c r="P74" s="100">
        <v>8</v>
      </c>
      <c r="Q74" s="100">
        <v>3225.6</v>
      </c>
      <c r="R74" s="100">
        <v>6</v>
      </c>
      <c r="S74" s="100">
        <v>2419.1999999999998</v>
      </c>
      <c r="T74" s="100">
        <v>8</v>
      </c>
      <c r="U74" s="100">
        <v>3225.6</v>
      </c>
      <c r="V74" s="100">
        <v>8</v>
      </c>
      <c r="W74" s="100">
        <v>3225.6</v>
      </c>
      <c r="X74" s="100">
        <v>9</v>
      </c>
      <c r="Y74" s="100">
        <v>3628.7999999999997</v>
      </c>
      <c r="Z74" s="100">
        <v>8</v>
      </c>
      <c r="AA74" s="100">
        <v>3225.6</v>
      </c>
      <c r="AB74" s="100">
        <v>9</v>
      </c>
      <c r="AC74" s="100">
        <v>3628.7999999999997</v>
      </c>
      <c r="AD74" s="100">
        <v>8</v>
      </c>
      <c r="AE74" s="100">
        <v>3225.6</v>
      </c>
      <c r="AF74" s="100">
        <v>7</v>
      </c>
      <c r="AG74" s="100">
        <v>2822.4</v>
      </c>
      <c r="AH74" s="100">
        <v>9</v>
      </c>
      <c r="AI74" s="100">
        <v>3628.7999999999997</v>
      </c>
      <c r="AJ74" s="100">
        <v>6</v>
      </c>
      <c r="AK74" s="100">
        <v>2419.1999999999998</v>
      </c>
      <c r="AL74" s="100">
        <v>9</v>
      </c>
      <c r="AM74" s="100">
        <v>3628.7999999999997</v>
      </c>
      <c r="AN74" s="100">
        <v>5</v>
      </c>
      <c r="AO74" s="100">
        <v>2016</v>
      </c>
      <c r="AP74" s="100">
        <v>10</v>
      </c>
      <c r="AQ74" s="100">
        <v>4032</v>
      </c>
      <c r="AR74" s="100">
        <v>6</v>
      </c>
      <c r="AS74" s="100">
        <v>2419.1999999999998</v>
      </c>
      <c r="AT74" s="100">
        <v>7</v>
      </c>
      <c r="AU74" s="100">
        <v>2822.4</v>
      </c>
      <c r="AV74" s="100">
        <v>8</v>
      </c>
      <c r="AW74" s="100">
        <v>3225.6</v>
      </c>
      <c r="AX74" s="100">
        <v>7</v>
      </c>
      <c r="AY74" s="100">
        <v>2822.4</v>
      </c>
      <c r="AZ74" s="100">
        <v>5</v>
      </c>
      <c r="BA74" s="100">
        <v>2016</v>
      </c>
      <c r="BB74" s="100">
        <v>7</v>
      </c>
      <c r="BC74" s="100">
        <v>2822.4</v>
      </c>
      <c r="BD74" s="100">
        <v>6</v>
      </c>
      <c r="BE74" s="100">
        <v>2419.1999999999998</v>
      </c>
      <c r="BF74" s="100">
        <v>8</v>
      </c>
      <c r="BG74" s="100">
        <v>3225.6</v>
      </c>
      <c r="BH74" s="100">
        <v>8</v>
      </c>
      <c r="BI74" s="100">
        <v>3225.6</v>
      </c>
      <c r="BJ74" s="100">
        <v>8</v>
      </c>
      <c r="BK74" s="100">
        <v>3225.6</v>
      </c>
      <c r="BL74" s="100">
        <v>7</v>
      </c>
      <c r="BM74" s="100">
        <v>2822.4</v>
      </c>
      <c r="BN74" s="100">
        <v>8</v>
      </c>
      <c r="BO74" s="100">
        <v>3225.6</v>
      </c>
      <c r="BP74" s="100">
        <v>8</v>
      </c>
      <c r="BQ74" s="100">
        <v>3225.6</v>
      </c>
      <c r="BR74" s="100">
        <v>8</v>
      </c>
      <c r="BS74" s="100">
        <v>3225.6</v>
      </c>
      <c r="BT74" s="100">
        <v>9</v>
      </c>
      <c r="BU74" s="100">
        <v>3628.7999999999997</v>
      </c>
      <c r="BV74" s="100">
        <v>9</v>
      </c>
      <c r="BW74" s="100">
        <v>3628.7999999999997</v>
      </c>
      <c r="BX74" s="100">
        <v>6</v>
      </c>
      <c r="BY74" s="100">
        <v>2419.1999999999998</v>
      </c>
      <c r="BZ74" s="100">
        <v>9</v>
      </c>
      <c r="CA74" s="100">
        <v>3628.7999999999997</v>
      </c>
      <c r="CB74" s="100">
        <v>8</v>
      </c>
      <c r="CC74" s="100">
        <v>3225.6</v>
      </c>
      <c r="CD74" s="100">
        <v>6</v>
      </c>
      <c r="CE74" s="100">
        <v>2419.1999999999998</v>
      </c>
      <c r="CF74" s="100">
        <v>9</v>
      </c>
      <c r="CG74" s="100">
        <v>3628.7999999999997</v>
      </c>
      <c r="CH74" s="100">
        <v>6</v>
      </c>
      <c r="CI74" s="100">
        <v>2419.1999999999998</v>
      </c>
      <c r="CJ74" s="100">
        <v>6</v>
      </c>
      <c r="CK74" s="100">
        <v>2419.1999999999998</v>
      </c>
      <c r="CL74" s="100">
        <v>10</v>
      </c>
      <c r="CM74" s="100">
        <v>4032</v>
      </c>
      <c r="CN74" s="100">
        <v>9</v>
      </c>
      <c r="CO74" s="100">
        <v>3628.7999999999997</v>
      </c>
      <c r="CP74" s="100">
        <v>9</v>
      </c>
      <c r="CQ74" s="100">
        <v>3628.7999999999997</v>
      </c>
      <c r="CR74" s="100">
        <v>9</v>
      </c>
      <c r="CS74" s="100">
        <v>3628.7999999999997</v>
      </c>
      <c r="CT74" s="100">
        <v>8</v>
      </c>
      <c r="CU74" s="100">
        <v>3225.6</v>
      </c>
    </row>
    <row r="75" spans="2:99">
      <c r="C75" s="99" t="s">
        <v>241</v>
      </c>
      <c r="D75" s="100">
        <v>8</v>
      </c>
      <c r="E75" s="100">
        <v>5145.5999999999995</v>
      </c>
      <c r="F75" s="100">
        <v>6</v>
      </c>
      <c r="G75" s="100">
        <v>3859.2</v>
      </c>
      <c r="H75" s="100">
        <v>9</v>
      </c>
      <c r="I75" s="100">
        <v>5788.7999999999993</v>
      </c>
      <c r="J75" s="100">
        <v>5</v>
      </c>
      <c r="K75" s="100">
        <v>3215.9999999999995</v>
      </c>
      <c r="L75" s="100">
        <v>7</v>
      </c>
      <c r="M75" s="100">
        <v>4502.3999999999996</v>
      </c>
      <c r="N75" s="100">
        <v>7</v>
      </c>
      <c r="O75" s="100">
        <v>4502.3999999999996</v>
      </c>
      <c r="P75" s="100">
        <v>8</v>
      </c>
      <c r="Q75" s="100">
        <v>5145.5999999999995</v>
      </c>
      <c r="R75" s="100">
        <v>5</v>
      </c>
      <c r="S75" s="100">
        <v>3215.9999999999995</v>
      </c>
      <c r="T75" s="100">
        <v>7</v>
      </c>
      <c r="U75" s="100">
        <v>4502.3999999999996</v>
      </c>
      <c r="V75" s="100">
        <v>9</v>
      </c>
      <c r="W75" s="100">
        <v>5788.7999999999993</v>
      </c>
      <c r="X75" s="100">
        <v>9</v>
      </c>
      <c r="Y75" s="100">
        <v>5788.7999999999993</v>
      </c>
      <c r="Z75" s="100">
        <v>7</v>
      </c>
      <c r="AA75" s="100">
        <v>4502.3999999999996</v>
      </c>
      <c r="AB75" s="100">
        <v>9</v>
      </c>
      <c r="AC75" s="100">
        <v>5788.7999999999993</v>
      </c>
      <c r="AD75" s="100">
        <v>8</v>
      </c>
      <c r="AE75" s="100">
        <v>5145.5999999999995</v>
      </c>
      <c r="AF75" s="100">
        <v>7</v>
      </c>
      <c r="AG75" s="100">
        <v>4502.3999999999996</v>
      </c>
      <c r="AH75" s="100">
        <v>10</v>
      </c>
      <c r="AI75" s="100">
        <v>6431.9999999999991</v>
      </c>
      <c r="AJ75" s="100">
        <v>6</v>
      </c>
      <c r="AK75" s="100">
        <v>3859.2</v>
      </c>
      <c r="AL75" s="100">
        <v>10</v>
      </c>
      <c r="AM75" s="100">
        <v>6431.9999999999991</v>
      </c>
      <c r="AN75" s="100">
        <v>5</v>
      </c>
      <c r="AO75" s="100">
        <v>3215.9999999999995</v>
      </c>
      <c r="AP75" s="100">
        <v>10</v>
      </c>
      <c r="AQ75" s="100">
        <v>6431.9999999999991</v>
      </c>
      <c r="AR75" s="100">
        <v>6</v>
      </c>
      <c r="AS75" s="100">
        <v>3859.2</v>
      </c>
      <c r="AT75" s="100">
        <v>6</v>
      </c>
      <c r="AU75" s="100">
        <v>3859.2</v>
      </c>
      <c r="AV75" s="100">
        <v>8</v>
      </c>
      <c r="AW75" s="100">
        <v>5145.5999999999995</v>
      </c>
      <c r="AX75" s="100">
        <v>6</v>
      </c>
      <c r="AY75" s="100">
        <v>3859.2</v>
      </c>
      <c r="AZ75" s="100">
        <v>5</v>
      </c>
      <c r="BA75" s="100">
        <v>3215.9999999999995</v>
      </c>
      <c r="BB75" s="100">
        <v>8</v>
      </c>
      <c r="BC75" s="100">
        <v>5145.5999999999995</v>
      </c>
      <c r="BD75" s="100">
        <v>6</v>
      </c>
      <c r="BE75" s="100">
        <v>3859.2</v>
      </c>
      <c r="BF75" s="100">
        <v>7</v>
      </c>
      <c r="BG75" s="100">
        <v>4502.3999999999996</v>
      </c>
      <c r="BH75" s="100">
        <v>7</v>
      </c>
      <c r="BI75" s="100">
        <v>4502.3999999999996</v>
      </c>
      <c r="BJ75" s="100">
        <v>8</v>
      </c>
      <c r="BK75" s="100">
        <v>5145.5999999999995</v>
      </c>
      <c r="BL75" s="100">
        <v>6</v>
      </c>
      <c r="BM75" s="100">
        <v>3859.2</v>
      </c>
      <c r="BN75" s="100">
        <v>7</v>
      </c>
      <c r="BO75" s="100">
        <v>4502.3999999999996</v>
      </c>
      <c r="BP75" s="100">
        <v>10</v>
      </c>
      <c r="BQ75" s="100">
        <v>6431.9999999999991</v>
      </c>
      <c r="BR75" s="100">
        <v>7</v>
      </c>
      <c r="BS75" s="100">
        <v>4502.3999999999996</v>
      </c>
      <c r="BT75" s="100">
        <v>9</v>
      </c>
      <c r="BU75" s="100">
        <v>5788.7999999999993</v>
      </c>
      <c r="BV75" s="100">
        <v>9</v>
      </c>
      <c r="BW75" s="100">
        <v>5788.7999999999993</v>
      </c>
      <c r="BX75" s="100">
        <v>6</v>
      </c>
      <c r="BY75" s="100">
        <v>3859.2</v>
      </c>
      <c r="BZ75" s="100">
        <v>9</v>
      </c>
      <c r="CA75" s="100">
        <v>5788.7999999999993</v>
      </c>
      <c r="CB75" s="100">
        <v>7</v>
      </c>
      <c r="CC75" s="100">
        <v>4502.3999999999996</v>
      </c>
      <c r="CD75" s="100">
        <v>6</v>
      </c>
      <c r="CE75" s="100">
        <v>3859.2</v>
      </c>
      <c r="CF75" s="100">
        <v>9</v>
      </c>
      <c r="CG75" s="100">
        <v>5788.7999999999993</v>
      </c>
      <c r="CH75" s="100">
        <v>5</v>
      </c>
      <c r="CI75" s="100">
        <v>3215.9999999999995</v>
      </c>
      <c r="CJ75" s="100">
        <v>6</v>
      </c>
      <c r="CK75" s="100">
        <v>3859.2</v>
      </c>
      <c r="CL75" s="100">
        <v>11</v>
      </c>
      <c r="CM75" s="100">
        <v>7075.1999999999989</v>
      </c>
      <c r="CN75" s="100">
        <v>10</v>
      </c>
      <c r="CO75" s="100">
        <v>6431.9999999999991</v>
      </c>
      <c r="CP75" s="100">
        <v>9</v>
      </c>
      <c r="CQ75" s="100">
        <v>5788.7999999999993</v>
      </c>
      <c r="CR75" s="100">
        <v>9</v>
      </c>
      <c r="CS75" s="100">
        <v>5788.7999999999993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6</v>
      </c>
      <c r="G76" s="100">
        <v>4672.7999999999993</v>
      </c>
      <c r="H76" s="100">
        <v>9</v>
      </c>
      <c r="I76" s="100">
        <v>7009.2</v>
      </c>
      <c r="J76" s="100">
        <v>5</v>
      </c>
      <c r="K76" s="100">
        <v>3894</v>
      </c>
      <c r="L76" s="100">
        <v>7</v>
      </c>
      <c r="M76" s="100">
        <v>5451.5999999999995</v>
      </c>
      <c r="N76" s="100">
        <v>7</v>
      </c>
      <c r="O76" s="100">
        <v>5451.5999999999995</v>
      </c>
      <c r="P76" s="100">
        <v>8</v>
      </c>
      <c r="Q76" s="100">
        <v>6230.4</v>
      </c>
      <c r="R76" s="100">
        <v>5</v>
      </c>
      <c r="S76" s="100">
        <v>3894</v>
      </c>
      <c r="T76" s="100">
        <v>8</v>
      </c>
      <c r="U76" s="100">
        <v>6230.4</v>
      </c>
      <c r="V76" s="100">
        <v>8</v>
      </c>
      <c r="W76" s="100">
        <v>6230.4</v>
      </c>
      <c r="X76" s="100">
        <v>9</v>
      </c>
      <c r="Y76" s="100">
        <v>7009.2</v>
      </c>
      <c r="Z76" s="100">
        <v>8</v>
      </c>
      <c r="AA76" s="100">
        <v>6230.4</v>
      </c>
      <c r="AB76" s="100">
        <v>8</v>
      </c>
      <c r="AC76" s="100">
        <v>6230.4</v>
      </c>
      <c r="AD76" s="100">
        <v>9</v>
      </c>
      <c r="AE76" s="100">
        <v>7009.2</v>
      </c>
      <c r="AF76" s="100">
        <v>6</v>
      </c>
      <c r="AG76" s="100">
        <v>4672.7999999999993</v>
      </c>
      <c r="AH76" s="100">
        <v>8</v>
      </c>
      <c r="AI76" s="100">
        <v>6230.4</v>
      </c>
      <c r="AJ76" s="100">
        <v>7</v>
      </c>
      <c r="AK76" s="100">
        <v>5451.5999999999995</v>
      </c>
      <c r="AL76" s="100">
        <v>10</v>
      </c>
      <c r="AM76" s="100">
        <v>7788</v>
      </c>
      <c r="AN76" s="100">
        <v>5</v>
      </c>
      <c r="AO76" s="100">
        <v>3894</v>
      </c>
      <c r="AP76" s="100">
        <v>11</v>
      </c>
      <c r="AQ76" s="100">
        <v>8566.7999999999993</v>
      </c>
      <c r="AR76" s="100">
        <v>5</v>
      </c>
      <c r="AS76" s="100">
        <v>3894</v>
      </c>
      <c r="AT76" s="100">
        <v>6</v>
      </c>
      <c r="AU76" s="100">
        <v>4672.7999999999993</v>
      </c>
      <c r="AV76" s="100">
        <v>8</v>
      </c>
      <c r="AW76" s="100">
        <v>6230.4</v>
      </c>
      <c r="AX76" s="100">
        <v>6</v>
      </c>
      <c r="AY76" s="100">
        <v>4672.7999999999993</v>
      </c>
      <c r="AZ76" s="100">
        <v>5</v>
      </c>
      <c r="BA76" s="100">
        <v>3894</v>
      </c>
      <c r="BB76" s="100">
        <v>8</v>
      </c>
      <c r="BC76" s="100">
        <v>6230.4</v>
      </c>
      <c r="BD76" s="100">
        <v>6</v>
      </c>
      <c r="BE76" s="100">
        <v>4672.7999999999993</v>
      </c>
      <c r="BF76" s="100">
        <v>7</v>
      </c>
      <c r="BG76" s="100">
        <v>5451.5999999999995</v>
      </c>
      <c r="BH76" s="100">
        <v>8</v>
      </c>
      <c r="BI76" s="100">
        <v>6230.4</v>
      </c>
      <c r="BJ76" s="100">
        <v>8</v>
      </c>
      <c r="BK76" s="100">
        <v>6230.4</v>
      </c>
      <c r="BL76" s="100">
        <v>6</v>
      </c>
      <c r="BM76" s="100">
        <v>4672.7999999999993</v>
      </c>
      <c r="BN76" s="100">
        <v>8</v>
      </c>
      <c r="BO76" s="100">
        <v>6230.4</v>
      </c>
      <c r="BP76" s="100">
        <v>9</v>
      </c>
      <c r="BQ76" s="100">
        <v>7009.2</v>
      </c>
      <c r="BR76" s="100">
        <v>8</v>
      </c>
      <c r="BS76" s="100">
        <v>6230.4</v>
      </c>
      <c r="BT76" s="100">
        <v>9</v>
      </c>
      <c r="BU76" s="100">
        <v>7009.2</v>
      </c>
      <c r="BV76" s="100">
        <v>8</v>
      </c>
      <c r="BW76" s="100">
        <v>6230.4</v>
      </c>
      <c r="BX76" s="100">
        <v>6</v>
      </c>
      <c r="BY76" s="100">
        <v>4672.7999999999993</v>
      </c>
      <c r="BZ76" s="100">
        <v>10</v>
      </c>
      <c r="CA76" s="100">
        <v>7788</v>
      </c>
      <c r="CB76" s="100">
        <v>8</v>
      </c>
      <c r="CC76" s="100">
        <v>6230.4</v>
      </c>
      <c r="CD76" s="100">
        <v>6</v>
      </c>
      <c r="CE76" s="100">
        <v>4672.7999999999993</v>
      </c>
      <c r="CF76" s="100">
        <v>8</v>
      </c>
      <c r="CG76" s="100">
        <v>6230.4</v>
      </c>
      <c r="CH76" s="100">
        <v>5</v>
      </c>
      <c r="CI76" s="100">
        <v>3894</v>
      </c>
      <c r="CJ76" s="100">
        <v>6</v>
      </c>
      <c r="CK76" s="100">
        <v>4672.7999999999993</v>
      </c>
      <c r="CL76" s="100">
        <v>10</v>
      </c>
      <c r="CM76" s="100">
        <v>7788</v>
      </c>
      <c r="CN76" s="100">
        <v>10</v>
      </c>
      <c r="CO76" s="100">
        <v>7788</v>
      </c>
      <c r="CP76" s="100">
        <v>9</v>
      </c>
      <c r="CQ76" s="100">
        <v>7009.2</v>
      </c>
      <c r="CR76" s="100">
        <v>9</v>
      </c>
      <c r="CS76" s="100">
        <v>7009.2</v>
      </c>
      <c r="CT76" s="100">
        <v>7</v>
      </c>
      <c r="CU76" s="100">
        <v>5451.5999999999995</v>
      </c>
    </row>
    <row r="77" spans="2:99">
      <c r="C77" s="99" t="s">
        <v>243</v>
      </c>
      <c r="D77" s="100">
        <v>9</v>
      </c>
      <c r="E77" s="100">
        <v>2505.6</v>
      </c>
      <c r="F77" s="100">
        <v>6</v>
      </c>
      <c r="G77" s="100">
        <v>1670.3999999999999</v>
      </c>
      <c r="H77" s="100">
        <v>9</v>
      </c>
      <c r="I77" s="100">
        <v>2505.6</v>
      </c>
      <c r="J77" s="100">
        <v>6</v>
      </c>
      <c r="K77" s="100">
        <v>1670.3999999999999</v>
      </c>
      <c r="L77" s="100">
        <v>6</v>
      </c>
      <c r="M77" s="100">
        <v>1670.3999999999999</v>
      </c>
      <c r="N77" s="100">
        <v>7</v>
      </c>
      <c r="O77" s="100">
        <v>1948.7999999999997</v>
      </c>
      <c r="P77" s="100">
        <v>8</v>
      </c>
      <c r="Q77" s="100">
        <v>2227.1999999999998</v>
      </c>
      <c r="R77" s="100">
        <v>5</v>
      </c>
      <c r="S77" s="100">
        <v>1392</v>
      </c>
      <c r="T77" s="100">
        <v>8</v>
      </c>
      <c r="U77" s="100">
        <v>2227.1999999999998</v>
      </c>
      <c r="V77" s="100">
        <v>9</v>
      </c>
      <c r="W77" s="100">
        <v>2505.6</v>
      </c>
      <c r="X77" s="100">
        <v>9</v>
      </c>
      <c r="Y77" s="100">
        <v>2505.6</v>
      </c>
      <c r="Z77" s="100">
        <v>8</v>
      </c>
      <c r="AA77" s="100">
        <v>2227.1999999999998</v>
      </c>
      <c r="AB77" s="100">
        <v>9</v>
      </c>
      <c r="AC77" s="100">
        <v>2505.6</v>
      </c>
      <c r="AD77" s="100">
        <v>8</v>
      </c>
      <c r="AE77" s="100">
        <v>2227.1999999999998</v>
      </c>
      <c r="AF77" s="100">
        <v>7</v>
      </c>
      <c r="AG77" s="100">
        <v>1948.7999999999997</v>
      </c>
      <c r="AH77" s="100">
        <v>9</v>
      </c>
      <c r="AI77" s="100">
        <v>2505.6</v>
      </c>
      <c r="AJ77" s="100">
        <v>6</v>
      </c>
      <c r="AK77" s="100">
        <v>1670.3999999999999</v>
      </c>
      <c r="AL77" s="100">
        <v>11</v>
      </c>
      <c r="AM77" s="100">
        <v>3062.3999999999996</v>
      </c>
      <c r="AN77" s="100">
        <v>5</v>
      </c>
      <c r="AO77" s="100">
        <v>1392</v>
      </c>
      <c r="AP77" s="100">
        <v>11</v>
      </c>
      <c r="AQ77" s="100">
        <v>3062.3999999999996</v>
      </c>
      <c r="AR77" s="100">
        <v>7</v>
      </c>
      <c r="AS77" s="100">
        <v>1948.7999999999997</v>
      </c>
      <c r="AT77" s="100">
        <v>7</v>
      </c>
      <c r="AU77" s="100">
        <v>1948.7999999999997</v>
      </c>
      <c r="AV77" s="100">
        <v>9</v>
      </c>
      <c r="AW77" s="100">
        <v>2505.6</v>
      </c>
      <c r="AX77" s="100">
        <v>7</v>
      </c>
      <c r="AY77" s="100">
        <v>1948.7999999999997</v>
      </c>
      <c r="AZ77" s="100">
        <v>6</v>
      </c>
      <c r="BA77" s="100">
        <v>1670.3999999999999</v>
      </c>
      <c r="BB77" s="100">
        <v>8</v>
      </c>
      <c r="BC77" s="100">
        <v>2227.1999999999998</v>
      </c>
      <c r="BD77" s="100">
        <v>6</v>
      </c>
      <c r="BE77" s="100">
        <v>1670.3999999999999</v>
      </c>
      <c r="BF77" s="100">
        <v>7</v>
      </c>
      <c r="BG77" s="100">
        <v>1948.7999999999997</v>
      </c>
      <c r="BH77" s="100">
        <v>9</v>
      </c>
      <c r="BI77" s="100">
        <v>2505.6</v>
      </c>
      <c r="BJ77" s="100">
        <v>8</v>
      </c>
      <c r="BK77" s="100">
        <v>2227.1999999999998</v>
      </c>
      <c r="BL77" s="100">
        <v>7</v>
      </c>
      <c r="BM77" s="100">
        <v>1948.7999999999997</v>
      </c>
      <c r="BN77" s="100">
        <v>8</v>
      </c>
      <c r="BO77" s="100">
        <v>2227.1999999999998</v>
      </c>
      <c r="BP77" s="100">
        <v>10</v>
      </c>
      <c r="BQ77" s="100">
        <v>2784</v>
      </c>
      <c r="BR77" s="100">
        <v>7</v>
      </c>
      <c r="BS77" s="100">
        <v>1948.7999999999997</v>
      </c>
      <c r="BT77" s="100">
        <v>8</v>
      </c>
      <c r="BU77" s="100">
        <v>2227.1999999999998</v>
      </c>
      <c r="BV77" s="100">
        <v>8</v>
      </c>
      <c r="BW77" s="100">
        <v>2227.1999999999998</v>
      </c>
      <c r="BX77" s="100">
        <v>7</v>
      </c>
      <c r="BY77" s="100">
        <v>1948.7999999999997</v>
      </c>
      <c r="BZ77" s="100">
        <v>10</v>
      </c>
      <c r="CA77" s="100">
        <v>2784</v>
      </c>
      <c r="CB77" s="100">
        <v>8</v>
      </c>
      <c r="CC77" s="100">
        <v>2227.1999999999998</v>
      </c>
      <c r="CD77" s="100">
        <v>6</v>
      </c>
      <c r="CE77" s="100">
        <v>1670.3999999999999</v>
      </c>
      <c r="CF77" s="100">
        <v>9</v>
      </c>
      <c r="CG77" s="100">
        <v>2505.6</v>
      </c>
      <c r="CH77" s="100">
        <v>6</v>
      </c>
      <c r="CI77" s="100">
        <v>1670.3999999999999</v>
      </c>
      <c r="CJ77" s="100">
        <v>6</v>
      </c>
      <c r="CK77" s="100">
        <v>1670.3999999999999</v>
      </c>
      <c r="CL77" s="100">
        <v>11</v>
      </c>
      <c r="CM77" s="100">
        <v>3062.3999999999996</v>
      </c>
      <c r="CN77" s="100">
        <v>11</v>
      </c>
      <c r="CO77" s="100">
        <v>3062.3999999999996</v>
      </c>
      <c r="CP77" s="100">
        <v>10</v>
      </c>
      <c r="CQ77" s="100">
        <v>2784</v>
      </c>
      <c r="CR77" s="100">
        <v>9</v>
      </c>
      <c r="CS77" s="100">
        <v>2505.6</v>
      </c>
      <c r="CT77" s="100">
        <v>8</v>
      </c>
      <c r="CU77" s="100">
        <v>2227.1999999999998</v>
      </c>
    </row>
    <row r="78" spans="2:99">
      <c r="C78" s="99" t="s">
        <v>244</v>
      </c>
      <c r="D78" s="100">
        <v>8</v>
      </c>
      <c r="E78" s="100">
        <v>4416</v>
      </c>
      <c r="F78" s="100">
        <v>6</v>
      </c>
      <c r="G78" s="100">
        <v>3312</v>
      </c>
      <c r="H78" s="100">
        <v>9</v>
      </c>
      <c r="I78" s="100">
        <v>4968</v>
      </c>
      <c r="J78" s="100">
        <v>6</v>
      </c>
      <c r="K78" s="100">
        <v>3312</v>
      </c>
      <c r="L78" s="100">
        <v>6</v>
      </c>
      <c r="M78" s="100">
        <v>3312</v>
      </c>
      <c r="N78" s="100">
        <v>7</v>
      </c>
      <c r="O78" s="100">
        <v>3864</v>
      </c>
      <c r="P78" s="100">
        <v>8</v>
      </c>
      <c r="Q78" s="100">
        <v>4416</v>
      </c>
      <c r="R78" s="100">
        <v>5</v>
      </c>
      <c r="S78" s="100">
        <v>2760</v>
      </c>
      <c r="T78" s="100">
        <v>7</v>
      </c>
      <c r="U78" s="100">
        <v>3864</v>
      </c>
      <c r="V78" s="100">
        <v>8</v>
      </c>
      <c r="W78" s="100">
        <v>4416</v>
      </c>
      <c r="X78" s="100">
        <v>10</v>
      </c>
      <c r="Y78" s="100">
        <v>5520</v>
      </c>
      <c r="Z78" s="100">
        <v>8</v>
      </c>
      <c r="AA78" s="100">
        <v>4416</v>
      </c>
      <c r="AB78" s="100">
        <v>9</v>
      </c>
      <c r="AC78" s="100">
        <v>4968</v>
      </c>
      <c r="AD78" s="100">
        <v>8</v>
      </c>
      <c r="AE78" s="100">
        <v>4416</v>
      </c>
      <c r="AF78" s="100">
        <v>6</v>
      </c>
      <c r="AG78" s="100">
        <v>3312</v>
      </c>
      <c r="AH78" s="100">
        <v>9</v>
      </c>
      <c r="AI78" s="100">
        <v>4968</v>
      </c>
      <c r="AJ78" s="100">
        <v>6</v>
      </c>
      <c r="AK78" s="100">
        <v>3312</v>
      </c>
      <c r="AL78" s="100">
        <v>9</v>
      </c>
      <c r="AM78" s="100">
        <v>4968</v>
      </c>
      <c r="AN78" s="100">
        <v>5</v>
      </c>
      <c r="AO78" s="100">
        <v>2760</v>
      </c>
      <c r="AP78" s="100">
        <v>9</v>
      </c>
      <c r="AQ78" s="100">
        <v>4968</v>
      </c>
      <c r="AR78" s="100">
        <v>6</v>
      </c>
      <c r="AS78" s="100">
        <v>3312</v>
      </c>
      <c r="AT78" s="100">
        <v>7</v>
      </c>
      <c r="AU78" s="100">
        <v>3864</v>
      </c>
      <c r="AV78" s="100">
        <v>9</v>
      </c>
      <c r="AW78" s="100">
        <v>4968</v>
      </c>
      <c r="AX78" s="100">
        <v>7</v>
      </c>
      <c r="AY78" s="100">
        <v>3864</v>
      </c>
      <c r="AZ78" s="100">
        <v>5</v>
      </c>
      <c r="BA78" s="100">
        <v>2760</v>
      </c>
      <c r="BB78" s="100">
        <v>7</v>
      </c>
      <c r="BC78" s="100">
        <v>3864</v>
      </c>
      <c r="BD78" s="100">
        <v>6</v>
      </c>
      <c r="BE78" s="100">
        <v>3312</v>
      </c>
      <c r="BF78" s="100">
        <v>7</v>
      </c>
      <c r="BG78" s="100">
        <v>3864</v>
      </c>
      <c r="BH78" s="100">
        <v>9</v>
      </c>
      <c r="BI78" s="100">
        <v>4968</v>
      </c>
      <c r="BJ78" s="100">
        <v>9</v>
      </c>
      <c r="BK78" s="100">
        <v>4968</v>
      </c>
      <c r="BL78" s="100">
        <v>6</v>
      </c>
      <c r="BM78" s="100">
        <v>3312</v>
      </c>
      <c r="BN78" s="100">
        <v>8</v>
      </c>
      <c r="BO78" s="100">
        <v>4416</v>
      </c>
      <c r="BP78" s="100">
        <v>9</v>
      </c>
      <c r="BQ78" s="100">
        <v>4968</v>
      </c>
      <c r="BR78" s="100">
        <v>7</v>
      </c>
      <c r="BS78" s="100">
        <v>3864</v>
      </c>
      <c r="BT78" s="100">
        <v>9</v>
      </c>
      <c r="BU78" s="100">
        <v>4968</v>
      </c>
      <c r="BV78" s="100">
        <v>8</v>
      </c>
      <c r="BW78" s="100">
        <v>4416</v>
      </c>
      <c r="BX78" s="100">
        <v>7</v>
      </c>
      <c r="BY78" s="100">
        <v>3864</v>
      </c>
      <c r="BZ78" s="100">
        <v>9</v>
      </c>
      <c r="CA78" s="100">
        <v>4968</v>
      </c>
      <c r="CB78" s="100">
        <v>7</v>
      </c>
      <c r="CC78" s="100">
        <v>3864</v>
      </c>
      <c r="CD78" s="100">
        <v>6</v>
      </c>
      <c r="CE78" s="100">
        <v>3312</v>
      </c>
      <c r="CF78" s="100">
        <v>9</v>
      </c>
      <c r="CG78" s="100">
        <v>4968</v>
      </c>
      <c r="CH78" s="100">
        <v>5</v>
      </c>
      <c r="CI78" s="100">
        <v>2760</v>
      </c>
      <c r="CJ78" s="100">
        <v>6</v>
      </c>
      <c r="CK78" s="100">
        <v>3312</v>
      </c>
      <c r="CL78" s="100">
        <v>10</v>
      </c>
      <c r="CM78" s="100">
        <v>5520</v>
      </c>
      <c r="CN78" s="100">
        <v>10</v>
      </c>
      <c r="CO78" s="100">
        <v>5520</v>
      </c>
      <c r="CP78" s="100">
        <v>8</v>
      </c>
      <c r="CQ78" s="100">
        <v>4416</v>
      </c>
      <c r="CR78" s="100">
        <v>8</v>
      </c>
      <c r="CS78" s="100">
        <v>4416</v>
      </c>
      <c r="CT78" s="100">
        <v>8</v>
      </c>
      <c r="CU78" s="100">
        <v>4416</v>
      </c>
    </row>
    <row r="79" spans="2:99">
      <c r="C79" s="99" t="s">
        <v>245</v>
      </c>
      <c r="D79" s="100">
        <v>7</v>
      </c>
      <c r="E79" s="100">
        <v>5300.4</v>
      </c>
      <c r="F79" s="100">
        <v>6</v>
      </c>
      <c r="G79" s="100">
        <v>4543.2</v>
      </c>
      <c r="H79" s="100">
        <v>9</v>
      </c>
      <c r="I79" s="100">
        <v>6814.7999999999993</v>
      </c>
      <c r="J79" s="100">
        <v>5</v>
      </c>
      <c r="K79" s="100">
        <v>3785.9999999999995</v>
      </c>
      <c r="L79" s="100">
        <v>7</v>
      </c>
      <c r="M79" s="100">
        <v>5300.4</v>
      </c>
      <c r="N79" s="100">
        <v>7</v>
      </c>
      <c r="O79" s="100">
        <v>5300.4</v>
      </c>
      <c r="P79" s="100">
        <v>8</v>
      </c>
      <c r="Q79" s="100">
        <v>6057.5999999999995</v>
      </c>
      <c r="R79" s="100">
        <v>4</v>
      </c>
      <c r="S79" s="100">
        <v>3028.7999999999997</v>
      </c>
      <c r="T79" s="100">
        <v>7</v>
      </c>
      <c r="U79" s="100">
        <v>5300.4</v>
      </c>
      <c r="V79" s="100">
        <v>9</v>
      </c>
      <c r="W79" s="100">
        <v>6814.7999999999993</v>
      </c>
      <c r="X79" s="100">
        <v>8</v>
      </c>
      <c r="Y79" s="100">
        <v>6057.5999999999995</v>
      </c>
      <c r="Z79" s="100">
        <v>7</v>
      </c>
      <c r="AA79" s="100">
        <v>5300.4</v>
      </c>
      <c r="AB79" s="100">
        <v>8</v>
      </c>
      <c r="AC79" s="100">
        <v>6057.5999999999995</v>
      </c>
      <c r="AD79" s="100">
        <v>9</v>
      </c>
      <c r="AE79" s="100">
        <v>6814.7999999999993</v>
      </c>
      <c r="AF79" s="100">
        <v>6</v>
      </c>
      <c r="AG79" s="100">
        <v>4543.2</v>
      </c>
      <c r="AH79" s="100">
        <v>9</v>
      </c>
      <c r="AI79" s="100">
        <v>6814.7999999999993</v>
      </c>
      <c r="AJ79" s="100">
        <v>6</v>
      </c>
      <c r="AK79" s="100">
        <v>4543.2</v>
      </c>
      <c r="AL79" s="100">
        <v>9</v>
      </c>
      <c r="AM79" s="100">
        <v>6814.7999999999993</v>
      </c>
      <c r="AN79" s="100">
        <v>5</v>
      </c>
      <c r="AO79" s="100">
        <v>3785.9999999999995</v>
      </c>
      <c r="AP79" s="100">
        <v>9</v>
      </c>
      <c r="AQ79" s="100">
        <v>6814.7999999999993</v>
      </c>
      <c r="AR79" s="100">
        <v>6</v>
      </c>
      <c r="AS79" s="100">
        <v>4543.2</v>
      </c>
      <c r="AT79" s="100">
        <v>7</v>
      </c>
      <c r="AU79" s="100">
        <v>5300.4</v>
      </c>
      <c r="AV79" s="100">
        <v>8</v>
      </c>
      <c r="AW79" s="100">
        <v>6057.5999999999995</v>
      </c>
      <c r="AX79" s="100">
        <v>7</v>
      </c>
      <c r="AY79" s="100">
        <v>5300.4</v>
      </c>
      <c r="AZ79" s="100">
        <v>5</v>
      </c>
      <c r="BA79" s="100">
        <v>3785.9999999999995</v>
      </c>
      <c r="BB79" s="100">
        <v>7</v>
      </c>
      <c r="BC79" s="100">
        <v>5300.4</v>
      </c>
      <c r="BD79" s="100">
        <v>6</v>
      </c>
      <c r="BE79" s="100">
        <v>4543.2</v>
      </c>
      <c r="BF79" s="100">
        <v>7</v>
      </c>
      <c r="BG79" s="100">
        <v>5300.4</v>
      </c>
      <c r="BH79" s="100">
        <v>8</v>
      </c>
      <c r="BI79" s="100">
        <v>6057.5999999999995</v>
      </c>
      <c r="BJ79" s="100">
        <v>8</v>
      </c>
      <c r="BK79" s="100">
        <v>6057.5999999999995</v>
      </c>
      <c r="BL79" s="100">
        <v>6</v>
      </c>
      <c r="BM79" s="100">
        <v>4543.2</v>
      </c>
      <c r="BN79" s="100">
        <v>7</v>
      </c>
      <c r="BO79" s="100">
        <v>5300.4</v>
      </c>
      <c r="BP79" s="100">
        <v>9</v>
      </c>
      <c r="BQ79" s="100">
        <v>6814.7999999999993</v>
      </c>
      <c r="BR79" s="100">
        <v>7</v>
      </c>
      <c r="BS79" s="100">
        <v>5300.4</v>
      </c>
      <c r="BT79" s="100">
        <v>9</v>
      </c>
      <c r="BU79" s="100">
        <v>6814.7999999999993</v>
      </c>
      <c r="BV79" s="100">
        <v>8</v>
      </c>
      <c r="BW79" s="100">
        <v>6057.5999999999995</v>
      </c>
      <c r="BX79" s="100">
        <v>7</v>
      </c>
      <c r="BY79" s="100">
        <v>5300.4</v>
      </c>
      <c r="BZ79" s="100">
        <v>9</v>
      </c>
      <c r="CA79" s="100">
        <v>6814.7999999999993</v>
      </c>
      <c r="CB79" s="100">
        <v>8</v>
      </c>
      <c r="CC79" s="100">
        <v>6057.5999999999995</v>
      </c>
      <c r="CD79" s="100">
        <v>5</v>
      </c>
      <c r="CE79" s="100">
        <v>3785.9999999999995</v>
      </c>
      <c r="CF79" s="100">
        <v>9</v>
      </c>
      <c r="CG79" s="100">
        <v>6814.7999999999993</v>
      </c>
      <c r="CH79" s="100">
        <v>5</v>
      </c>
      <c r="CI79" s="100">
        <v>3785.9999999999995</v>
      </c>
      <c r="CJ79" s="100">
        <v>5</v>
      </c>
      <c r="CK79" s="100">
        <v>3785.9999999999995</v>
      </c>
      <c r="CL79" s="100">
        <v>9</v>
      </c>
      <c r="CM79" s="100">
        <v>6814.7999999999993</v>
      </c>
      <c r="CN79" s="100">
        <v>10</v>
      </c>
      <c r="CO79" s="100">
        <v>7571.9999999999991</v>
      </c>
      <c r="CP79" s="100">
        <v>9</v>
      </c>
      <c r="CQ79" s="100">
        <v>6814.7999999999993</v>
      </c>
      <c r="CR79" s="100">
        <v>9</v>
      </c>
      <c r="CS79" s="100">
        <v>6814.7999999999993</v>
      </c>
      <c r="CT79" s="100">
        <v>8</v>
      </c>
      <c r="CU79" s="100">
        <v>6057.5999999999995</v>
      </c>
    </row>
    <row r="80" spans="2:99">
      <c r="C80" s="99" t="s">
        <v>246</v>
      </c>
      <c r="D80" s="100">
        <v>8</v>
      </c>
      <c r="E80" s="100">
        <v>6441.5999999999995</v>
      </c>
      <c r="F80" s="100">
        <v>6</v>
      </c>
      <c r="G80" s="100">
        <v>4831.2</v>
      </c>
      <c r="H80" s="100">
        <v>10</v>
      </c>
      <c r="I80" s="100">
        <v>8051.9999999999991</v>
      </c>
      <c r="J80" s="100">
        <v>5</v>
      </c>
      <c r="K80" s="100">
        <v>4025.9999999999995</v>
      </c>
      <c r="L80" s="100">
        <v>7</v>
      </c>
      <c r="M80" s="100">
        <v>5636.4</v>
      </c>
      <c r="N80" s="100">
        <v>6</v>
      </c>
      <c r="O80" s="100">
        <v>4831.2</v>
      </c>
      <c r="P80" s="100">
        <v>8</v>
      </c>
      <c r="Q80" s="100">
        <v>6441.5999999999995</v>
      </c>
      <c r="R80" s="100">
        <v>5</v>
      </c>
      <c r="S80" s="100">
        <v>4025.9999999999995</v>
      </c>
      <c r="T80" s="100">
        <v>7</v>
      </c>
      <c r="U80" s="100">
        <v>5636.4</v>
      </c>
      <c r="V80" s="100">
        <v>7</v>
      </c>
      <c r="W80" s="100">
        <v>5636.4</v>
      </c>
      <c r="X80" s="100">
        <v>9</v>
      </c>
      <c r="Y80" s="100">
        <v>7246.7999999999993</v>
      </c>
      <c r="Z80" s="100">
        <v>7</v>
      </c>
      <c r="AA80" s="100">
        <v>5636.4</v>
      </c>
      <c r="AB80" s="100">
        <v>9</v>
      </c>
      <c r="AC80" s="100">
        <v>7246.7999999999993</v>
      </c>
      <c r="AD80" s="100">
        <v>9</v>
      </c>
      <c r="AE80" s="100">
        <v>7246.7999999999993</v>
      </c>
      <c r="AF80" s="100">
        <v>6</v>
      </c>
      <c r="AG80" s="100">
        <v>4831.2</v>
      </c>
      <c r="AH80" s="100">
        <v>8</v>
      </c>
      <c r="AI80" s="100">
        <v>6441.5999999999995</v>
      </c>
      <c r="AJ80" s="100">
        <v>7</v>
      </c>
      <c r="AK80" s="100">
        <v>5636.4</v>
      </c>
      <c r="AL80" s="100">
        <v>9</v>
      </c>
      <c r="AM80" s="100">
        <v>7246.7999999999993</v>
      </c>
      <c r="AN80" s="100">
        <v>5</v>
      </c>
      <c r="AO80" s="100">
        <v>4025.9999999999995</v>
      </c>
      <c r="AP80" s="100">
        <v>10</v>
      </c>
      <c r="AQ80" s="100">
        <v>8051.9999999999991</v>
      </c>
      <c r="AR80" s="100">
        <v>6</v>
      </c>
      <c r="AS80" s="100">
        <v>4831.2</v>
      </c>
      <c r="AT80" s="100">
        <v>6</v>
      </c>
      <c r="AU80" s="100">
        <v>4831.2</v>
      </c>
      <c r="AV80" s="100">
        <v>7</v>
      </c>
      <c r="AW80" s="100">
        <v>5636.4</v>
      </c>
      <c r="AX80" s="100">
        <v>7</v>
      </c>
      <c r="AY80" s="100">
        <v>5636.4</v>
      </c>
      <c r="AZ80" s="100">
        <v>5</v>
      </c>
      <c r="BA80" s="100">
        <v>4025.9999999999995</v>
      </c>
      <c r="BB80" s="100">
        <v>8</v>
      </c>
      <c r="BC80" s="100">
        <v>6441.5999999999995</v>
      </c>
      <c r="BD80" s="100">
        <v>6</v>
      </c>
      <c r="BE80" s="100">
        <v>4831.2</v>
      </c>
      <c r="BF80" s="100">
        <v>7</v>
      </c>
      <c r="BG80" s="100">
        <v>5636.4</v>
      </c>
      <c r="BH80" s="100">
        <v>8</v>
      </c>
      <c r="BI80" s="100">
        <v>6441.5999999999995</v>
      </c>
      <c r="BJ80" s="100">
        <v>7</v>
      </c>
      <c r="BK80" s="100">
        <v>5636.4</v>
      </c>
      <c r="BL80" s="100">
        <v>6</v>
      </c>
      <c r="BM80" s="100">
        <v>4831.2</v>
      </c>
      <c r="BN80" s="100">
        <v>7</v>
      </c>
      <c r="BO80" s="100">
        <v>5636.4</v>
      </c>
      <c r="BP80" s="100">
        <v>10</v>
      </c>
      <c r="BQ80" s="100">
        <v>8051.9999999999991</v>
      </c>
      <c r="BR80" s="100">
        <v>7</v>
      </c>
      <c r="BS80" s="100">
        <v>5636.4</v>
      </c>
      <c r="BT80" s="100">
        <v>8</v>
      </c>
      <c r="BU80" s="100">
        <v>6441.5999999999995</v>
      </c>
      <c r="BV80" s="100">
        <v>8</v>
      </c>
      <c r="BW80" s="100">
        <v>6441.5999999999995</v>
      </c>
      <c r="BX80" s="100">
        <v>6</v>
      </c>
      <c r="BY80" s="100">
        <v>4831.2</v>
      </c>
      <c r="BZ80" s="100">
        <v>9</v>
      </c>
      <c r="CA80" s="100">
        <v>7246.7999999999993</v>
      </c>
      <c r="CB80" s="100">
        <v>8</v>
      </c>
      <c r="CC80" s="100">
        <v>6441.5999999999995</v>
      </c>
      <c r="CD80" s="100">
        <v>5</v>
      </c>
      <c r="CE80" s="100">
        <v>4025.9999999999995</v>
      </c>
      <c r="CF80" s="100">
        <v>9</v>
      </c>
      <c r="CG80" s="100">
        <v>7246.7999999999993</v>
      </c>
      <c r="CH80" s="100">
        <v>6</v>
      </c>
      <c r="CI80" s="100">
        <v>4831.2</v>
      </c>
      <c r="CJ80" s="100">
        <v>6</v>
      </c>
      <c r="CK80" s="100">
        <v>4831.2</v>
      </c>
      <c r="CL80" s="100">
        <v>9</v>
      </c>
      <c r="CM80" s="100">
        <v>7246.7999999999993</v>
      </c>
      <c r="CN80" s="100">
        <v>10</v>
      </c>
      <c r="CO80" s="100">
        <v>8051.9999999999991</v>
      </c>
      <c r="CP80" s="100">
        <v>9</v>
      </c>
      <c r="CQ80" s="100">
        <v>7246.7999999999993</v>
      </c>
      <c r="CR80" s="100">
        <v>8</v>
      </c>
      <c r="CS80" s="100">
        <v>6441.5999999999995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7</v>
      </c>
      <c r="E81" s="100">
        <v>5275.2</v>
      </c>
      <c r="F81" s="100">
        <v>6</v>
      </c>
      <c r="G81" s="100">
        <v>4521.6000000000004</v>
      </c>
      <c r="H81" s="100">
        <v>9</v>
      </c>
      <c r="I81" s="100">
        <v>6782.4000000000005</v>
      </c>
      <c r="J81" s="100">
        <v>5</v>
      </c>
      <c r="K81" s="100">
        <v>3768</v>
      </c>
      <c r="L81" s="100">
        <v>7</v>
      </c>
      <c r="M81" s="100">
        <v>5275.2</v>
      </c>
      <c r="N81" s="100">
        <v>7</v>
      </c>
      <c r="O81" s="100">
        <v>5275.2</v>
      </c>
      <c r="P81" s="100">
        <v>8</v>
      </c>
      <c r="Q81" s="100">
        <v>6028.8</v>
      </c>
      <c r="R81" s="100">
        <v>5</v>
      </c>
      <c r="S81" s="100">
        <v>3768</v>
      </c>
      <c r="T81" s="100">
        <v>7</v>
      </c>
      <c r="U81" s="100">
        <v>5275.2</v>
      </c>
      <c r="V81" s="100">
        <v>8</v>
      </c>
      <c r="W81" s="100">
        <v>6028.8</v>
      </c>
      <c r="X81" s="100">
        <v>8</v>
      </c>
      <c r="Y81" s="100">
        <v>6028.8</v>
      </c>
      <c r="Z81" s="100">
        <v>7</v>
      </c>
      <c r="AA81" s="100">
        <v>5275.2</v>
      </c>
      <c r="AB81" s="100">
        <v>9</v>
      </c>
      <c r="AC81" s="100">
        <v>6782.4000000000005</v>
      </c>
      <c r="AD81" s="100">
        <v>9</v>
      </c>
      <c r="AE81" s="100">
        <v>6782.4000000000005</v>
      </c>
      <c r="AF81" s="100">
        <v>6</v>
      </c>
      <c r="AG81" s="100">
        <v>4521.6000000000004</v>
      </c>
      <c r="AH81" s="100">
        <v>10</v>
      </c>
      <c r="AI81" s="100">
        <v>7536</v>
      </c>
      <c r="AJ81" s="100">
        <v>6</v>
      </c>
      <c r="AK81" s="100">
        <v>4521.6000000000004</v>
      </c>
      <c r="AL81" s="100">
        <v>10</v>
      </c>
      <c r="AM81" s="100">
        <v>7536</v>
      </c>
      <c r="AN81" s="100">
        <v>5</v>
      </c>
      <c r="AO81" s="100">
        <v>3768</v>
      </c>
      <c r="AP81" s="100">
        <v>9</v>
      </c>
      <c r="AQ81" s="100">
        <v>6782.4000000000005</v>
      </c>
      <c r="AR81" s="100">
        <v>6</v>
      </c>
      <c r="AS81" s="100">
        <v>4521.6000000000004</v>
      </c>
      <c r="AT81" s="100">
        <v>6</v>
      </c>
      <c r="AU81" s="100">
        <v>4521.6000000000004</v>
      </c>
      <c r="AV81" s="100">
        <v>8</v>
      </c>
      <c r="AW81" s="100">
        <v>6028.8</v>
      </c>
      <c r="AX81" s="100">
        <v>6</v>
      </c>
      <c r="AY81" s="100">
        <v>4521.6000000000004</v>
      </c>
      <c r="AZ81" s="100">
        <v>5</v>
      </c>
      <c r="BA81" s="100">
        <v>3768</v>
      </c>
      <c r="BB81" s="100">
        <v>8</v>
      </c>
      <c r="BC81" s="100">
        <v>6028.8</v>
      </c>
      <c r="BD81" s="100">
        <v>6</v>
      </c>
      <c r="BE81" s="100">
        <v>4521.6000000000004</v>
      </c>
      <c r="BF81" s="100">
        <v>8</v>
      </c>
      <c r="BG81" s="100">
        <v>6028.8</v>
      </c>
      <c r="BH81" s="100">
        <v>8</v>
      </c>
      <c r="BI81" s="100">
        <v>6028.8</v>
      </c>
      <c r="BJ81" s="100">
        <v>7</v>
      </c>
      <c r="BK81" s="100">
        <v>5275.2</v>
      </c>
      <c r="BL81" s="100">
        <v>6</v>
      </c>
      <c r="BM81" s="100">
        <v>4521.6000000000004</v>
      </c>
      <c r="BN81" s="100">
        <v>8</v>
      </c>
      <c r="BO81" s="100">
        <v>6028.8</v>
      </c>
      <c r="BP81" s="100">
        <v>9</v>
      </c>
      <c r="BQ81" s="100">
        <v>6782.4000000000005</v>
      </c>
      <c r="BR81" s="100">
        <v>7</v>
      </c>
      <c r="BS81" s="100">
        <v>5275.2</v>
      </c>
      <c r="BT81" s="100">
        <v>9</v>
      </c>
      <c r="BU81" s="100">
        <v>6782.4000000000005</v>
      </c>
      <c r="BV81" s="100">
        <v>8</v>
      </c>
      <c r="BW81" s="100">
        <v>6028.8</v>
      </c>
      <c r="BX81" s="100">
        <v>7</v>
      </c>
      <c r="BY81" s="100">
        <v>5275.2</v>
      </c>
      <c r="BZ81" s="100">
        <v>9</v>
      </c>
      <c r="CA81" s="100">
        <v>6782.4000000000005</v>
      </c>
      <c r="CB81" s="100">
        <v>8</v>
      </c>
      <c r="CC81" s="100">
        <v>6028.8</v>
      </c>
      <c r="CD81" s="100">
        <v>6</v>
      </c>
      <c r="CE81" s="100">
        <v>4521.6000000000004</v>
      </c>
      <c r="CF81" s="100">
        <v>9</v>
      </c>
      <c r="CG81" s="100">
        <v>6782.4000000000005</v>
      </c>
      <c r="CH81" s="100">
        <v>5</v>
      </c>
      <c r="CI81" s="100">
        <v>3768</v>
      </c>
      <c r="CJ81" s="100">
        <v>6</v>
      </c>
      <c r="CK81" s="100">
        <v>4521.6000000000004</v>
      </c>
      <c r="CL81" s="100">
        <v>11</v>
      </c>
      <c r="CM81" s="100">
        <v>8289.6</v>
      </c>
      <c r="CN81" s="100">
        <v>9</v>
      </c>
      <c r="CO81" s="100">
        <v>6782.4000000000005</v>
      </c>
      <c r="CP81" s="100">
        <v>8</v>
      </c>
      <c r="CQ81" s="100">
        <v>6028.8</v>
      </c>
      <c r="CR81" s="100">
        <v>8</v>
      </c>
      <c r="CS81" s="100">
        <v>6028.8</v>
      </c>
      <c r="CT81" s="100">
        <v>8</v>
      </c>
      <c r="CU81" s="100">
        <v>6028.8</v>
      </c>
    </row>
    <row r="82" spans="2:99">
      <c r="C82" s="99" t="s">
        <v>248</v>
      </c>
      <c r="D82" s="100">
        <v>8</v>
      </c>
      <c r="E82" s="100">
        <v>4070.3999999999992</v>
      </c>
      <c r="F82" s="100">
        <v>6</v>
      </c>
      <c r="G82" s="100">
        <v>3052.7999999999993</v>
      </c>
      <c r="H82" s="100">
        <v>9</v>
      </c>
      <c r="I82" s="100">
        <v>4579.1999999999989</v>
      </c>
      <c r="J82" s="100">
        <v>5</v>
      </c>
      <c r="K82" s="100">
        <v>2543.9999999999995</v>
      </c>
      <c r="L82" s="100">
        <v>6</v>
      </c>
      <c r="M82" s="100">
        <v>3052.7999999999993</v>
      </c>
      <c r="N82" s="100">
        <v>7</v>
      </c>
      <c r="O82" s="100">
        <v>3561.5999999999995</v>
      </c>
      <c r="P82" s="100">
        <v>8</v>
      </c>
      <c r="Q82" s="100">
        <v>4070.3999999999992</v>
      </c>
      <c r="R82" s="100">
        <v>5</v>
      </c>
      <c r="S82" s="100">
        <v>2543.9999999999995</v>
      </c>
      <c r="T82" s="100">
        <v>7</v>
      </c>
      <c r="U82" s="100">
        <v>3561.5999999999995</v>
      </c>
      <c r="V82" s="100">
        <v>9</v>
      </c>
      <c r="W82" s="100">
        <v>4579.1999999999989</v>
      </c>
      <c r="X82" s="100">
        <v>10</v>
      </c>
      <c r="Y82" s="100">
        <v>5087.9999999999991</v>
      </c>
      <c r="Z82" s="100">
        <v>7</v>
      </c>
      <c r="AA82" s="100">
        <v>3561.5999999999995</v>
      </c>
      <c r="AB82" s="100">
        <v>9</v>
      </c>
      <c r="AC82" s="100">
        <v>4579.1999999999989</v>
      </c>
      <c r="AD82" s="100">
        <v>9</v>
      </c>
      <c r="AE82" s="100">
        <v>4579.1999999999989</v>
      </c>
      <c r="AF82" s="100">
        <v>7</v>
      </c>
      <c r="AG82" s="100">
        <v>3561.5999999999995</v>
      </c>
      <c r="AH82" s="100">
        <v>9</v>
      </c>
      <c r="AI82" s="100">
        <v>4579.1999999999989</v>
      </c>
      <c r="AJ82" s="100">
        <v>7</v>
      </c>
      <c r="AK82" s="100">
        <v>3561.5999999999995</v>
      </c>
      <c r="AL82" s="100">
        <v>10</v>
      </c>
      <c r="AM82" s="100">
        <v>5087.9999999999991</v>
      </c>
      <c r="AN82" s="100">
        <v>5</v>
      </c>
      <c r="AO82" s="100">
        <v>2543.9999999999995</v>
      </c>
      <c r="AP82" s="100">
        <v>10</v>
      </c>
      <c r="AQ82" s="100">
        <v>5087.9999999999991</v>
      </c>
      <c r="AR82" s="100">
        <v>5</v>
      </c>
      <c r="AS82" s="100">
        <v>2543.9999999999995</v>
      </c>
      <c r="AT82" s="100">
        <v>6</v>
      </c>
      <c r="AU82" s="100">
        <v>3052.7999999999993</v>
      </c>
      <c r="AV82" s="100">
        <v>8</v>
      </c>
      <c r="AW82" s="100">
        <v>4070.3999999999992</v>
      </c>
      <c r="AX82" s="100">
        <v>8</v>
      </c>
      <c r="AY82" s="100">
        <v>4070.3999999999992</v>
      </c>
      <c r="AZ82" s="100">
        <v>5</v>
      </c>
      <c r="BA82" s="100">
        <v>2543.9999999999995</v>
      </c>
      <c r="BB82" s="100">
        <v>8</v>
      </c>
      <c r="BC82" s="100">
        <v>4070.3999999999992</v>
      </c>
      <c r="BD82" s="100">
        <v>6</v>
      </c>
      <c r="BE82" s="100">
        <v>3052.7999999999993</v>
      </c>
      <c r="BF82" s="100">
        <v>8</v>
      </c>
      <c r="BG82" s="100">
        <v>4070.3999999999992</v>
      </c>
      <c r="BH82" s="100">
        <v>8</v>
      </c>
      <c r="BI82" s="100">
        <v>4070.3999999999992</v>
      </c>
      <c r="BJ82" s="100">
        <v>8</v>
      </c>
      <c r="BK82" s="100">
        <v>4070.3999999999992</v>
      </c>
      <c r="BL82" s="100">
        <v>6</v>
      </c>
      <c r="BM82" s="100">
        <v>3052.7999999999993</v>
      </c>
      <c r="BN82" s="100">
        <v>7</v>
      </c>
      <c r="BO82" s="100">
        <v>3561.5999999999995</v>
      </c>
      <c r="BP82" s="100">
        <v>10</v>
      </c>
      <c r="BQ82" s="100">
        <v>5087.9999999999991</v>
      </c>
      <c r="BR82" s="100">
        <v>7</v>
      </c>
      <c r="BS82" s="100">
        <v>3561.5999999999995</v>
      </c>
      <c r="BT82" s="100">
        <v>8</v>
      </c>
      <c r="BU82" s="100">
        <v>4070.3999999999992</v>
      </c>
      <c r="BV82" s="100">
        <v>9</v>
      </c>
      <c r="BW82" s="100">
        <v>4579.1999999999989</v>
      </c>
      <c r="BX82" s="100">
        <v>7</v>
      </c>
      <c r="BY82" s="100">
        <v>3561.5999999999995</v>
      </c>
      <c r="BZ82" s="100">
        <v>11</v>
      </c>
      <c r="CA82" s="100">
        <v>5596.7999999999993</v>
      </c>
      <c r="CB82" s="100">
        <v>7</v>
      </c>
      <c r="CC82" s="100">
        <v>3561.5999999999995</v>
      </c>
      <c r="CD82" s="100">
        <v>5</v>
      </c>
      <c r="CE82" s="100">
        <v>2543.9999999999995</v>
      </c>
      <c r="CF82" s="100">
        <v>10</v>
      </c>
      <c r="CG82" s="100">
        <v>5087.9999999999991</v>
      </c>
      <c r="CH82" s="100">
        <v>5</v>
      </c>
      <c r="CI82" s="100">
        <v>2543.9999999999995</v>
      </c>
      <c r="CJ82" s="100">
        <v>6</v>
      </c>
      <c r="CK82" s="100">
        <v>3052.7999999999993</v>
      </c>
      <c r="CL82" s="100">
        <v>11</v>
      </c>
      <c r="CM82" s="100">
        <v>5596.7999999999993</v>
      </c>
      <c r="CN82" s="100">
        <v>10</v>
      </c>
      <c r="CO82" s="100">
        <v>5087.9999999999991</v>
      </c>
      <c r="CP82" s="100">
        <v>9</v>
      </c>
      <c r="CQ82" s="100">
        <v>4579.1999999999989</v>
      </c>
      <c r="CR82" s="100">
        <v>8</v>
      </c>
      <c r="CS82" s="100">
        <v>4070.3999999999992</v>
      </c>
      <c r="CT82" s="100">
        <v>7</v>
      </c>
      <c r="CU82" s="100">
        <v>3561.5999999999995</v>
      </c>
    </row>
    <row r="83" spans="2:99">
      <c r="C83" s="99" t="s">
        <v>249</v>
      </c>
      <c r="D83" s="100">
        <v>8</v>
      </c>
      <c r="E83" s="100">
        <v>6883.2</v>
      </c>
      <c r="F83" s="100">
        <v>5</v>
      </c>
      <c r="G83" s="100">
        <v>4302</v>
      </c>
      <c r="H83" s="100">
        <v>10</v>
      </c>
      <c r="I83" s="100">
        <v>8604</v>
      </c>
      <c r="J83" s="100">
        <v>5</v>
      </c>
      <c r="K83" s="100">
        <v>4302</v>
      </c>
      <c r="L83" s="100">
        <v>6</v>
      </c>
      <c r="M83" s="100">
        <v>5162.3999999999996</v>
      </c>
      <c r="N83" s="100">
        <v>7</v>
      </c>
      <c r="O83" s="100">
        <v>6022.8</v>
      </c>
      <c r="P83" s="100">
        <v>7</v>
      </c>
      <c r="Q83" s="100">
        <v>6022.8</v>
      </c>
      <c r="R83" s="100">
        <v>5</v>
      </c>
      <c r="S83" s="100">
        <v>4302</v>
      </c>
      <c r="T83" s="100">
        <v>7</v>
      </c>
      <c r="U83" s="100">
        <v>6022.8</v>
      </c>
      <c r="V83" s="100">
        <v>8</v>
      </c>
      <c r="W83" s="100">
        <v>6883.2</v>
      </c>
      <c r="X83" s="100">
        <v>10</v>
      </c>
      <c r="Y83" s="100">
        <v>8604</v>
      </c>
      <c r="Z83" s="100">
        <v>6</v>
      </c>
      <c r="AA83" s="100">
        <v>5162.3999999999996</v>
      </c>
      <c r="AB83" s="100">
        <v>9</v>
      </c>
      <c r="AC83" s="100">
        <v>7743.5999999999995</v>
      </c>
      <c r="AD83" s="100">
        <v>8</v>
      </c>
      <c r="AE83" s="100">
        <v>6883.2</v>
      </c>
      <c r="AF83" s="100">
        <v>6</v>
      </c>
      <c r="AG83" s="100">
        <v>5162.3999999999996</v>
      </c>
      <c r="AH83" s="100">
        <v>10</v>
      </c>
      <c r="AI83" s="100">
        <v>8604</v>
      </c>
      <c r="AJ83" s="100">
        <v>6</v>
      </c>
      <c r="AK83" s="100">
        <v>5162.3999999999996</v>
      </c>
      <c r="AL83" s="100">
        <v>9</v>
      </c>
      <c r="AM83" s="100">
        <v>7743.5999999999995</v>
      </c>
      <c r="AN83" s="100">
        <v>5</v>
      </c>
      <c r="AO83" s="100">
        <v>4302</v>
      </c>
      <c r="AP83" s="100">
        <v>10</v>
      </c>
      <c r="AQ83" s="100">
        <v>8604</v>
      </c>
      <c r="AR83" s="100">
        <v>6</v>
      </c>
      <c r="AS83" s="100">
        <v>5162.3999999999996</v>
      </c>
      <c r="AT83" s="100">
        <v>7</v>
      </c>
      <c r="AU83" s="100">
        <v>6022.8</v>
      </c>
      <c r="AV83" s="100">
        <v>8</v>
      </c>
      <c r="AW83" s="100">
        <v>6883.2</v>
      </c>
      <c r="AX83" s="100">
        <v>7</v>
      </c>
      <c r="AY83" s="100">
        <v>6022.8</v>
      </c>
      <c r="AZ83" s="100">
        <v>5</v>
      </c>
      <c r="BA83" s="100">
        <v>4302</v>
      </c>
      <c r="BB83" s="100">
        <v>8</v>
      </c>
      <c r="BC83" s="100">
        <v>6883.2</v>
      </c>
      <c r="BD83" s="100">
        <v>6</v>
      </c>
      <c r="BE83" s="100">
        <v>5162.3999999999996</v>
      </c>
      <c r="BF83" s="100">
        <v>7</v>
      </c>
      <c r="BG83" s="100">
        <v>6022.8</v>
      </c>
      <c r="BH83" s="100">
        <v>8</v>
      </c>
      <c r="BI83" s="100">
        <v>6883.2</v>
      </c>
      <c r="BJ83" s="100">
        <v>7</v>
      </c>
      <c r="BK83" s="100">
        <v>6022.8</v>
      </c>
      <c r="BL83" s="100">
        <v>6</v>
      </c>
      <c r="BM83" s="100">
        <v>5162.3999999999996</v>
      </c>
      <c r="BN83" s="100">
        <v>7</v>
      </c>
      <c r="BO83" s="100">
        <v>6022.8</v>
      </c>
      <c r="BP83" s="100">
        <v>9</v>
      </c>
      <c r="BQ83" s="100">
        <v>7743.5999999999995</v>
      </c>
      <c r="BR83" s="100">
        <v>8</v>
      </c>
      <c r="BS83" s="100">
        <v>6883.2</v>
      </c>
      <c r="BT83" s="100">
        <v>8</v>
      </c>
      <c r="BU83" s="100">
        <v>6883.2</v>
      </c>
      <c r="BV83" s="100">
        <v>8</v>
      </c>
      <c r="BW83" s="100">
        <v>6883.2</v>
      </c>
      <c r="BX83" s="100">
        <v>7</v>
      </c>
      <c r="BY83" s="100">
        <v>6022.8</v>
      </c>
      <c r="BZ83" s="100">
        <v>10</v>
      </c>
      <c r="CA83" s="100">
        <v>8604</v>
      </c>
      <c r="CB83" s="100">
        <v>7</v>
      </c>
      <c r="CC83" s="100">
        <v>6022.8</v>
      </c>
      <c r="CD83" s="100">
        <v>6</v>
      </c>
      <c r="CE83" s="100">
        <v>5162.3999999999996</v>
      </c>
      <c r="CF83" s="100">
        <v>9</v>
      </c>
      <c r="CG83" s="100">
        <v>7743.5999999999995</v>
      </c>
      <c r="CH83" s="100">
        <v>5</v>
      </c>
      <c r="CI83" s="100">
        <v>4302</v>
      </c>
      <c r="CJ83" s="100">
        <v>5</v>
      </c>
      <c r="CK83" s="100">
        <v>4302</v>
      </c>
      <c r="CL83" s="100">
        <v>10</v>
      </c>
      <c r="CM83" s="100">
        <v>8604</v>
      </c>
      <c r="CN83" s="100">
        <v>9</v>
      </c>
      <c r="CO83" s="100">
        <v>7743.5999999999995</v>
      </c>
      <c r="CP83" s="100">
        <v>9</v>
      </c>
      <c r="CQ83" s="100">
        <v>7743.5999999999995</v>
      </c>
      <c r="CR83" s="100">
        <v>8</v>
      </c>
      <c r="CS83" s="100">
        <v>6883.2</v>
      </c>
      <c r="CT83" s="100">
        <v>7</v>
      </c>
      <c r="CU83" s="100">
        <v>6022.8</v>
      </c>
    </row>
    <row r="84" spans="2:99">
      <c r="C84" s="99" t="s">
        <v>250</v>
      </c>
      <c r="D84" s="100">
        <v>8</v>
      </c>
      <c r="E84" s="100">
        <v>6249.5999999999995</v>
      </c>
      <c r="F84" s="100">
        <v>6</v>
      </c>
      <c r="G84" s="100">
        <v>4687.2</v>
      </c>
      <c r="H84" s="100">
        <v>9</v>
      </c>
      <c r="I84" s="100">
        <v>7030.7999999999993</v>
      </c>
      <c r="J84" s="100">
        <v>5</v>
      </c>
      <c r="K84" s="100">
        <v>3905.9999999999995</v>
      </c>
      <c r="L84" s="100">
        <v>7</v>
      </c>
      <c r="M84" s="100">
        <v>5468.4</v>
      </c>
      <c r="N84" s="100">
        <v>7</v>
      </c>
      <c r="O84" s="100">
        <v>5468.4</v>
      </c>
      <c r="P84" s="100">
        <v>7</v>
      </c>
      <c r="Q84" s="100">
        <v>5468.4</v>
      </c>
      <c r="R84" s="100">
        <v>5</v>
      </c>
      <c r="S84" s="100">
        <v>3905.9999999999995</v>
      </c>
      <c r="T84" s="100">
        <v>8</v>
      </c>
      <c r="U84" s="100">
        <v>6249.5999999999995</v>
      </c>
      <c r="V84" s="100">
        <v>8</v>
      </c>
      <c r="W84" s="100">
        <v>6249.5999999999995</v>
      </c>
      <c r="X84" s="100">
        <v>9</v>
      </c>
      <c r="Y84" s="100">
        <v>7030.7999999999993</v>
      </c>
      <c r="Z84" s="100">
        <v>8</v>
      </c>
      <c r="AA84" s="100">
        <v>6249.5999999999995</v>
      </c>
      <c r="AB84" s="100">
        <v>8</v>
      </c>
      <c r="AC84" s="100">
        <v>6249.5999999999995</v>
      </c>
      <c r="AD84" s="100">
        <v>9</v>
      </c>
      <c r="AE84" s="100">
        <v>7030.7999999999993</v>
      </c>
      <c r="AF84" s="100">
        <v>7</v>
      </c>
      <c r="AG84" s="100">
        <v>5468.4</v>
      </c>
      <c r="AH84" s="100">
        <v>8</v>
      </c>
      <c r="AI84" s="100">
        <v>6249.5999999999995</v>
      </c>
      <c r="AJ84" s="100">
        <v>6</v>
      </c>
      <c r="AK84" s="100">
        <v>4687.2</v>
      </c>
      <c r="AL84" s="100">
        <v>9</v>
      </c>
      <c r="AM84" s="100">
        <v>7030.7999999999993</v>
      </c>
      <c r="AN84" s="100">
        <v>4</v>
      </c>
      <c r="AO84" s="100">
        <v>3124.7999999999997</v>
      </c>
      <c r="AP84" s="100">
        <v>10</v>
      </c>
      <c r="AQ84" s="100">
        <v>7811.9999999999991</v>
      </c>
      <c r="AR84" s="100">
        <v>6</v>
      </c>
      <c r="AS84" s="100">
        <v>4687.2</v>
      </c>
      <c r="AT84" s="100">
        <v>6</v>
      </c>
      <c r="AU84" s="100">
        <v>4687.2</v>
      </c>
      <c r="AV84" s="100">
        <v>8</v>
      </c>
      <c r="AW84" s="100">
        <v>6249.5999999999995</v>
      </c>
      <c r="AX84" s="100">
        <v>7</v>
      </c>
      <c r="AY84" s="100">
        <v>5468.4</v>
      </c>
      <c r="AZ84" s="100">
        <v>5</v>
      </c>
      <c r="BA84" s="100">
        <v>3905.9999999999995</v>
      </c>
      <c r="BB84" s="100">
        <v>7</v>
      </c>
      <c r="BC84" s="100">
        <v>5468.4</v>
      </c>
      <c r="BD84" s="100">
        <v>6</v>
      </c>
      <c r="BE84" s="100">
        <v>4687.2</v>
      </c>
      <c r="BF84" s="100">
        <v>7</v>
      </c>
      <c r="BG84" s="100">
        <v>5468.4</v>
      </c>
      <c r="BH84" s="100">
        <v>7</v>
      </c>
      <c r="BI84" s="100">
        <v>5468.4</v>
      </c>
      <c r="BJ84" s="100">
        <v>8</v>
      </c>
      <c r="BK84" s="100">
        <v>6249.5999999999995</v>
      </c>
      <c r="BL84" s="100">
        <v>5</v>
      </c>
      <c r="BM84" s="100">
        <v>3905.9999999999995</v>
      </c>
      <c r="BN84" s="100">
        <v>8</v>
      </c>
      <c r="BO84" s="100">
        <v>6249.5999999999995</v>
      </c>
      <c r="BP84" s="100">
        <v>9</v>
      </c>
      <c r="BQ84" s="100">
        <v>7030.7999999999993</v>
      </c>
      <c r="BR84" s="100">
        <v>7</v>
      </c>
      <c r="BS84" s="100">
        <v>5468.4</v>
      </c>
      <c r="BT84" s="100">
        <v>9</v>
      </c>
      <c r="BU84" s="100">
        <v>7030.7999999999993</v>
      </c>
      <c r="BV84" s="100">
        <v>8</v>
      </c>
      <c r="BW84" s="100">
        <v>6249.5999999999995</v>
      </c>
      <c r="BX84" s="100">
        <v>6</v>
      </c>
      <c r="BY84" s="100">
        <v>4687.2</v>
      </c>
      <c r="BZ84" s="100">
        <v>10</v>
      </c>
      <c r="CA84" s="100">
        <v>7811.9999999999991</v>
      </c>
      <c r="CB84" s="100">
        <v>8</v>
      </c>
      <c r="CC84" s="100">
        <v>6249.5999999999995</v>
      </c>
      <c r="CD84" s="100">
        <v>5</v>
      </c>
      <c r="CE84" s="100">
        <v>3905.9999999999995</v>
      </c>
      <c r="CF84" s="100">
        <v>9</v>
      </c>
      <c r="CG84" s="100">
        <v>7030.7999999999993</v>
      </c>
      <c r="CH84" s="100">
        <v>5</v>
      </c>
      <c r="CI84" s="100">
        <v>3905.9999999999995</v>
      </c>
      <c r="CJ84" s="100">
        <v>5</v>
      </c>
      <c r="CK84" s="100">
        <v>3905.9999999999995</v>
      </c>
      <c r="CL84" s="100">
        <v>11</v>
      </c>
      <c r="CM84" s="100">
        <v>8593.1999999999989</v>
      </c>
      <c r="CN84" s="100">
        <v>10</v>
      </c>
      <c r="CO84" s="100">
        <v>7811.9999999999991</v>
      </c>
      <c r="CP84" s="100">
        <v>9</v>
      </c>
      <c r="CQ84" s="100">
        <v>7030.7999999999993</v>
      </c>
      <c r="CR84" s="100">
        <v>9</v>
      </c>
      <c r="CS84" s="100">
        <v>7030.7999999999993</v>
      </c>
      <c r="CT84" s="100">
        <v>7</v>
      </c>
      <c r="CU84" s="100">
        <v>5468.4</v>
      </c>
    </row>
    <row r="85" spans="2:99">
      <c r="C85" s="99" t="s">
        <v>251</v>
      </c>
      <c r="D85" s="100">
        <v>8</v>
      </c>
      <c r="E85" s="100">
        <v>1200</v>
      </c>
      <c r="F85" s="100">
        <v>7</v>
      </c>
      <c r="G85" s="100">
        <v>1050</v>
      </c>
      <c r="H85" s="100">
        <v>10</v>
      </c>
      <c r="I85" s="100">
        <v>1500</v>
      </c>
      <c r="J85" s="100">
        <v>5</v>
      </c>
      <c r="K85" s="100">
        <v>750</v>
      </c>
      <c r="L85" s="100">
        <v>7</v>
      </c>
      <c r="M85" s="100">
        <v>1050</v>
      </c>
      <c r="N85" s="100">
        <v>8</v>
      </c>
      <c r="O85" s="100">
        <v>1200</v>
      </c>
      <c r="P85" s="100">
        <v>8</v>
      </c>
      <c r="Q85" s="100">
        <v>1200</v>
      </c>
      <c r="R85" s="100">
        <v>5</v>
      </c>
      <c r="S85" s="100">
        <v>750</v>
      </c>
      <c r="T85" s="100">
        <v>8</v>
      </c>
      <c r="U85" s="100">
        <v>1200</v>
      </c>
      <c r="V85" s="100">
        <v>9</v>
      </c>
      <c r="W85" s="100">
        <v>1350</v>
      </c>
      <c r="X85" s="100">
        <v>9</v>
      </c>
      <c r="Y85" s="100">
        <v>1350</v>
      </c>
      <c r="Z85" s="100">
        <v>7</v>
      </c>
      <c r="AA85" s="100">
        <v>1050</v>
      </c>
      <c r="AB85" s="100">
        <v>9</v>
      </c>
      <c r="AC85" s="100">
        <v>1350</v>
      </c>
      <c r="AD85" s="100">
        <v>9</v>
      </c>
      <c r="AE85" s="100">
        <v>1350</v>
      </c>
      <c r="AF85" s="100">
        <v>7</v>
      </c>
      <c r="AG85" s="100">
        <v>1050</v>
      </c>
      <c r="AH85" s="100">
        <v>10</v>
      </c>
      <c r="AI85" s="100">
        <v>1500</v>
      </c>
      <c r="AJ85" s="100">
        <v>6</v>
      </c>
      <c r="AK85" s="100">
        <v>900</v>
      </c>
      <c r="AL85" s="100">
        <v>11</v>
      </c>
      <c r="AM85" s="100">
        <v>1650</v>
      </c>
      <c r="AN85" s="100">
        <v>6</v>
      </c>
      <c r="AO85" s="100">
        <v>900</v>
      </c>
      <c r="AP85" s="100">
        <v>10</v>
      </c>
      <c r="AQ85" s="100">
        <v>1500</v>
      </c>
      <c r="AR85" s="100">
        <v>6</v>
      </c>
      <c r="AS85" s="100">
        <v>900</v>
      </c>
      <c r="AT85" s="100">
        <v>6</v>
      </c>
      <c r="AU85" s="100">
        <v>900</v>
      </c>
      <c r="AV85" s="100">
        <v>8</v>
      </c>
      <c r="AW85" s="100">
        <v>1200</v>
      </c>
      <c r="AX85" s="100">
        <v>7</v>
      </c>
      <c r="AY85" s="100">
        <v>1050</v>
      </c>
      <c r="AZ85" s="100">
        <v>5</v>
      </c>
      <c r="BA85" s="100">
        <v>750</v>
      </c>
      <c r="BB85" s="100">
        <v>8</v>
      </c>
      <c r="BC85" s="100">
        <v>1200</v>
      </c>
      <c r="BD85" s="100">
        <v>6</v>
      </c>
      <c r="BE85" s="100">
        <v>900</v>
      </c>
      <c r="BF85" s="100">
        <v>9</v>
      </c>
      <c r="BG85" s="100">
        <v>1350</v>
      </c>
      <c r="BH85" s="100">
        <v>9</v>
      </c>
      <c r="BI85" s="100">
        <v>1350</v>
      </c>
      <c r="BJ85" s="100">
        <v>8</v>
      </c>
      <c r="BK85" s="100">
        <v>1200</v>
      </c>
      <c r="BL85" s="100">
        <v>7</v>
      </c>
      <c r="BM85" s="100">
        <v>1050</v>
      </c>
      <c r="BN85" s="100">
        <v>8</v>
      </c>
      <c r="BO85" s="100">
        <v>1200</v>
      </c>
      <c r="BP85" s="100">
        <v>9</v>
      </c>
      <c r="BQ85" s="100">
        <v>1350</v>
      </c>
      <c r="BR85" s="100">
        <v>9</v>
      </c>
      <c r="BS85" s="100">
        <v>1350</v>
      </c>
      <c r="BT85" s="100">
        <v>9</v>
      </c>
      <c r="BU85" s="100">
        <v>1350</v>
      </c>
      <c r="BV85" s="100">
        <v>9</v>
      </c>
      <c r="BW85" s="100">
        <v>1350</v>
      </c>
      <c r="BX85" s="100">
        <v>7</v>
      </c>
      <c r="BY85" s="100">
        <v>1050</v>
      </c>
      <c r="BZ85" s="100">
        <v>10</v>
      </c>
      <c r="CA85" s="100">
        <v>1500</v>
      </c>
      <c r="CB85" s="100">
        <v>8</v>
      </c>
      <c r="CC85" s="100">
        <v>1200</v>
      </c>
      <c r="CD85" s="100">
        <v>6</v>
      </c>
      <c r="CE85" s="100">
        <v>900</v>
      </c>
      <c r="CF85" s="100">
        <v>9</v>
      </c>
      <c r="CG85" s="100">
        <v>1350</v>
      </c>
      <c r="CH85" s="100">
        <v>6</v>
      </c>
      <c r="CI85" s="100">
        <v>900</v>
      </c>
      <c r="CJ85" s="100">
        <v>5</v>
      </c>
      <c r="CK85" s="100">
        <v>750</v>
      </c>
      <c r="CL85" s="100">
        <v>10</v>
      </c>
      <c r="CM85" s="100">
        <v>1500</v>
      </c>
      <c r="CN85" s="100">
        <v>10</v>
      </c>
      <c r="CO85" s="100">
        <v>1500</v>
      </c>
      <c r="CP85" s="100">
        <v>10</v>
      </c>
      <c r="CQ85" s="100">
        <v>1500</v>
      </c>
      <c r="CR85" s="100">
        <v>9</v>
      </c>
      <c r="CS85" s="100">
        <v>1350</v>
      </c>
      <c r="CT85" s="100">
        <v>8</v>
      </c>
      <c r="CU85" s="100">
        <v>1200</v>
      </c>
    </row>
    <row r="86" spans="2:99">
      <c r="C86" s="99" t="s">
        <v>252</v>
      </c>
      <c r="D86" s="100">
        <v>8</v>
      </c>
      <c r="E86" s="100">
        <v>4320</v>
      </c>
      <c r="F86" s="100">
        <v>6</v>
      </c>
      <c r="G86" s="100">
        <v>3240</v>
      </c>
      <c r="H86" s="100">
        <v>9</v>
      </c>
      <c r="I86" s="100">
        <v>4860</v>
      </c>
      <c r="J86" s="100">
        <v>5</v>
      </c>
      <c r="K86" s="100">
        <v>2700</v>
      </c>
      <c r="L86" s="100">
        <v>7</v>
      </c>
      <c r="M86" s="100">
        <v>3780</v>
      </c>
      <c r="N86" s="100">
        <v>7</v>
      </c>
      <c r="O86" s="100">
        <v>3780</v>
      </c>
      <c r="P86" s="100">
        <v>8</v>
      </c>
      <c r="Q86" s="100">
        <v>4320</v>
      </c>
      <c r="R86" s="100">
        <v>5</v>
      </c>
      <c r="S86" s="100">
        <v>2700</v>
      </c>
      <c r="T86" s="100">
        <v>7</v>
      </c>
      <c r="U86" s="100">
        <v>3780</v>
      </c>
      <c r="V86" s="100">
        <v>8</v>
      </c>
      <c r="W86" s="100">
        <v>4320</v>
      </c>
      <c r="X86" s="100">
        <v>9</v>
      </c>
      <c r="Y86" s="100">
        <v>4860</v>
      </c>
      <c r="Z86" s="100">
        <v>7</v>
      </c>
      <c r="AA86" s="100">
        <v>3780</v>
      </c>
      <c r="AB86" s="100">
        <v>8</v>
      </c>
      <c r="AC86" s="100">
        <v>4320</v>
      </c>
      <c r="AD86" s="100">
        <v>8</v>
      </c>
      <c r="AE86" s="100">
        <v>4320</v>
      </c>
      <c r="AF86" s="100">
        <v>6</v>
      </c>
      <c r="AG86" s="100">
        <v>3240</v>
      </c>
      <c r="AH86" s="100">
        <v>9</v>
      </c>
      <c r="AI86" s="100">
        <v>4860</v>
      </c>
      <c r="AJ86" s="100">
        <v>6</v>
      </c>
      <c r="AK86" s="100">
        <v>3240</v>
      </c>
      <c r="AL86" s="100">
        <v>10</v>
      </c>
      <c r="AM86" s="100">
        <v>5400</v>
      </c>
      <c r="AN86" s="100">
        <v>5</v>
      </c>
      <c r="AO86" s="100">
        <v>2700</v>
      </c>
      <c r="AP86" s="100">
        <v>9</v>
      </c>
      <c r="AQ86" s="100">
        <v>4860</v>
      </c>
      <c r="AR86" s="100">
        <v>6</v>
      </c>
      <c r="AS86" s="100">
        <v>3240</v>
      </c>
      <c r="AT86" s="100">
        <v>6</v>
      </c>
      <c r="AU86" s="100">
        <v>3240</v>
      </c>
      <c r="AV86" s="100">
        <v>9</v>
      </c>
      <c r="AW86" s="100">
        <v>4860</v>
      </c>
      <c r="AX86" s="100">
        <v>6</v>
      </c>
      <c r="AY86" s="100">
        <v>3240</v>
      </c>
      <c r="AZ86" s="100">
        <v>5</v>
      </c>
      <c r="BA86" s="100">
        <v>2700</v>
      </c>
      <c r="BB86" s="100">
        <v>8</v>
      </c>
      <c r="BC86" s="100">
        <v>4320</v>
      </c>
      <c r="BD86" s="100">
        <v>5</v>
      </c>
      <c r="BE86" s="100">
        <v>2700</v>
      </c>
      <c r="BF86" s="100">
        <v>7</v>
      </c>
      <c r="BG86" s="100">
        <v>3780</v>
      </c>
      <c r="BH86" s="100">
        <v>7</v>
      </c>
      <c r="BI86" s="100">
        <v>3780</v>
      </c>
      <c r="BJ86" s="100">
        <v>8</v>
      </c>
      <c r="BK86" s="100">
        <v>4320</v>
      </c>
      <c r="BL86" s="100">
        <v>7</v>
      </c>
      <c r="BM86" s="100">
        <v>3780</v>
      </c>
      <c r="BN86" s="100">
        <v>7</v>
      </c>
      <c r="BO86" s="100">
        <v>3780</v>
      </c>
      <c r="BP86" s="100">
        <v>9</v>
      </c>
      <c r="BQ86" s="100">
        <v>4860</v>
      </c>
      <c r="BR86" s="100">
        <v>7</v>
      </c>
      <c r="BS86" s="100">
        <v>3780</v>
      </c>
      <c r="BT86" s="100">
        <v>9</v>
      </c>
      <c r="BU86" s="100">
        <v>4860</v>
      </c>
      <c r="BV86" s="100">
        <v>9</v>
      </c>
      <c r="BW86" s="100">
        <v>4860</v>
      </c>
      <c r="BX86" s="100">
        <v>7</v>
      </c>
      <c r="BY86" s="100">
        <v>3780</v>
      </c>
      <c r="BZ86" s="100">
        <v>9</v>
      </c>
      <c r="CA86" s="100">
        <v>4860</v>
      </c>
      <c r="CB86" s="100">
        <v>7</v>
      </c>
      <c r="CC86" s="100">
        <v>3780</v>
      </c>
      <c r="CD86" s="100">
        <v>6</v>
      </c>
      <c r="CE86" s="100">
        <v>3240</v>
      </c>
      <c r="CF86" s="100">
        <v>9</v>
      </c>
      <c r="CG86" s="100">
        <v>4860</v>
      </c>
      <c r="CH86" s="100">
        <v>5</v>
      </c>
      <c r="CI86" s="100">
        <v>2700</v>
      </c>
      <c r="CJ86" s="100">
        <v>6</v>
      </c>
      <c r="CK86" s="100">
        <v>3240</v>
      </c>
      <c r="CL86" s="100">
        <v>9</v>
      </c>
      <c r="CM86" s="100">
        <v>4860</v>
      </c>
      <c r="CN86" s="100">
        <v>11</v>
      </c>
      <c r="CO86" s="100">
        <v>5940</v>
      </c>
      <c r="CP86" s="100">
        <v>8</v>
      </c>
      <c r="CQ86" s="100">
        <v>4320</v>
      </c>
      <c r="CR86" s="100">
        <v>8</v>
      </c>
      <c r="CS86" s="100">
        <v>4320</v>
      </c>
      <c r="CT86" s="100">
        <v>7</v>
      </c>
      <c r="CU86" s="100">
        <v>3780</v>
      </c>
    </row>
    <row r="87" spans="2:99">
      <c r="B87" s="99" t="s">
        <v>131</v>
      </c>
      <c r="C87" s="99" t="s">
        <v>253</v>
      </c>
      <c r="D87" s="100">
        <v>8.0281690140845061</v>
      </c>
      <c r="E87" s="100">
        <v>8622.2535211267605</v>
      </c>
      <c r="F87" s="100">
        <v>9</v>
      </c>
      <c r="G87" s="100">
        <v>9666</v>
      </c>
      <c r="H87" s="100">
        <v>6</v>
      </c>
      <c r="I87" s="100">
        <v>6444</v>
      </c>
      <c r="J87" s="100">
        <v>8</v>
      </c>
      <c r="K87" s="100">
        <v>8592</v>
      </c>
      <c r="L87" s="100">
        <v>9</v>
      </c>
      <c r="M87" s="100">
        <v>9666</v>
      </c>
      <c r="N87" s="100">
        <v>11</v>
      </c>
      <c r="O87" s="100">
        <v>11814</v>
      </c>
      <c r="P87" s="100">
        <v>7</v>
      </c>
      <c r="Q87" s="100">
        <v>7518</v>
      </c>
      <c r="R87" s="100">
        <v>8</v>
      </c>
      <c r="S87" s="100">
        <v>8592</v>
      </c>
      <c r="T87" s="100">
        <v>10</v>
      </c>
      <c r="U87" s="100">
        <v>10740</v>
      </c>
      <c r="V87" s="100">
        <v>7</v>
      </c>
      <c r="W87" s="100">
        <v>7518</v>
      </c>
      <c r="X87" s="100">
        <v>12</v>
      </c>
      <c r="Y87" s="100">
        <v>12888</v>
      </c>
      <c r="Z87" s="100">
        <v>11</v>
      </c>
      <c r="AA87" s="100">
        <v>11814</v>
      </c>
      <c r="AB87" s="100">
        <v>9.7521008403361353</v>
      </c>
      <c r="AC87" s="100">
        <v>10473.756302521009</v>
      </c>
      <c r="AD87" s="100">
        <v>5.9067357512953365</v>
      </c>
      <c r="AE87" s="100">
        <v>6343.8341968911909</v>
      </c>
      <c r="AF87" s="100">
        <v>8.5972850678733028</v>
      </c>
      <c r="AG87" s="100">
        <v>9233.4841628959275</v>
      </c>
      <c r="AH87" s="100">
        <v>8</v>
      </c>
      <c r="AI87" s="100">
        <v>8592</v>
      </c>
      <c r="AJ87" s="100">
        <v>6</v>
      </c>
      <c r="AK87" s="100">
        <v>6444</v>
      </c>
      <c r="AL87" s="100">
        <v>10</v>
      </c>
      <c r="AM87" s="100">
        <v>10740</v>
      </c>
      <c r="AN87" s="100">
        <v>11</v>
      </c>
      <c r="AO87" s="100">
        <v>11814</v>
      </c>
      <c r="AP87" s="100">
        <v>7</v>
      </c>
      <c r="AQ87" s="100">
        <v>7518</v>
      </c>
      <c r="AR87" s="100">
        <v>6</v>
      </c>
      <c r="AS87" s="100">
        <v>6444</v>
      </c>
      <c r="AT87" s="100">
        <v>10</v>
      </c>
      <c r="AU87" s="100">
        <v>10740</v>
      </c>
      <c r="AV87" s="100">
        <v>10</v>
      </c>
      <c r="AW87" s="100">
        <v>10740</v>
      </c>
      <c r="AX87" s="100">
        <v>8.6818181818181817</v>
      </c>
      <c r="AY87" s="100">
        <v>9324.2727272727279</v>
      </c>
      <c r="AZ87" s="100">
        <v>8.90625</v>
      </c>
      <c r="BA87" s="100">
        <v>9565.3125</v>
      </c>
      <c r="BB87" s="100">
        <v>9.8958333333333339</v>
      </c>
      <c r="BC87" s="100">
        <v>10628.125</v>
      </c>
      <c r="BD87" s="100">
        <v>8</v>
      </c>
      <c r="BE87" s="100">
        <v>8592</v>
      </c>
      <c r="BF87" s="100">
        <v>11.158878504672897</v>
      </c>
      <c r="BG87" s="100">
        <v>11984.635514018692</v>
      </c>
      <c r="BH87" s="100">
        <v>8.228346456692913</v>
      </c>
      <c r="BI87" s="100">
        <v>8837.2440944881891</v>
      </c>
      <c r="BJ87" s="100">
        <v>9.0869565217391308</v>
      </c>
      <c r="BK87" s="100">
        <v>9759.391304347826</v>
      </c>
      <c r="BL87" s="100">
        <v>8</v>
      </c>
      <c r="BM87" s="100">
        <v>8592</v>
      </c>
      <c r="BN87" s="100">
        <v>9.6491228070175428</v>
      </c>
      <c r="BO87" s="100">
        <v>10363.157894736842</v>
      </c>
      <c r="BP87" s="100">
        <v>6.5841584158415847</v>
      </c>
      <c r="BQ87" s="100">
        <v>7071.3861386138624</v>
      </c>
      <c r="BR87" s="100">
        <v>11</v>
      </c>
      <c r="BS87" s="100">
        <v>11814</v>
      </c>
      <c r="BT87" s="100">
        <v>9.6666666666666661</v>
      </c>
      <c r="BU87" s="100">
        <v>10382</v>
      </c>
      <c r="BV87" s="100">
        <v>8.9622641509433976</v>
      </c>
      <c r="BW87" s="100">
        <v>9625.4716981132096</v>
      </c>
      <c r="BX87" s="100">
        <v>12</v>
      </c>
      <c r="BY87" s="100">
        <v>12888</v>
      </c>
      <c r="BZ87" s="100">
        <v>10.493975903614457</v>
      </c>
      <c r="CA87" s="100">
        <v>11270.530120481926</v>
      </c>
      <c r="CB87" s="100">
        <v>8</v>
      </c>
      <c r="CC87" s="100">
        <v>8592</v>
      </c>
      <c r="CD87" s="100">
        <v>9</v>
      </c>
      <c r="CE87" s="100">
        <v>9666</v>
      </c>
      <c r="CF87" s="100">
        <v>8</v>
      </c>
      <c r="CG87" s="100">
        <v>8592</v>
      </c>
      <c r="CH87" s="100">
        <v>6.7586206896551726</v>
      </c>
      <c r="CI87" s="100">
        <v>7258.7586206896558</v>
      </c>
      <c r="CJ87" s="100">
        <v>9.2477876106194685</v>
      </c>
      <c r="CK87" s="100">
        <v>9932.1238938053084</v>
      </c>
      <c r="CL87" s="100">
        <v>9</v>
      </c>
      <c r="CM87" s="100">
        <v>9666</v>
      </c>
      <c r="CN87" s="100">
        <v>14</v>
      </c>
      <c r="CO87" s="100">
        <v>15036</v>
      </c>
      <c r="CP87" s="100">
        <v>9.7777777777777786</v>
      </c>
      <c r="CQ87" s="100">
        <v>10501.333333333334</v>
      </c>
      <c r="CR87" s="100">
        <v>7</v>
      </c>
      <c r="CS87" s="100">
        <v>7518</v>
      </c>
      <c r="CT87" s="100">
        <v>9.9196787148594368</v>
      </c>
      <c r="CU87" s="100">
        <v>10653.734939759035</v>
      </c>
    </row>
    <row r="88" spans="2:99">
      <c r="C88" s="99" t="s">
        <v>254</v>
      </c>
      <c r="D88" s="100">
        <v>8.92018779342723</v>
      </c>
      <c r="E88" s="100">
        <v>8852.3943661971825</v>
      </c>
      <c r="F88" s="100">
        <v>9</v>
      </c>
      <c r="G88" s="100">
        <v>8931.6</v>
      </c>
      <c r="H88" s="100">
        <v>6</v>
      </c>
      <c r="I88" s="100">
        <v>5954.4</v>
      </c>
      <c r="J88" s="100">
        <v>8</v>
      </c>
      <c r="K88" s="100">
        <v>7939.2</v>
      </c>
      <c r="L88" s="100">
        <v>9</v>
      </c>
      <c r="M88" s="100">
        <v>8931.6</v>
      </c>
      <c r="N88" s="100">
        <v>10</v>
      </c>
      <c r="O88" s="100">
        <v>9924</v>
      </c>
      <c r="P88" s="100">
        <v>8</v>
      </c>
      <c r="Q88" s="100">
        <v>7939.2</v>
      </c>
      <c r="R88" s="100">
        <v>7</v>
      </c>
      <c r="S88" s="100">
        <v>6946.8</v>
      </c>
      <c r="T88" s="100">
        <v>9</v>
      </c>
      <c r="U88" s="100">
        <v>8931.6</v>
      </c>
      <c r="V88" s="100">
        <v>8</v>
      </c>
      <c r="W88" s="100">
        <v>7939.2</v>
      </c>
      <c r="X88" s="100">
        <v>12</v>
      </c>
      <c r="Y88" s="100">
        <v>11908.8</v>
      </c>
      <c r="Z88" s="100">
        <v>11</v>
      </c>
      <c r="AA88" s="100">
        <v>10916.4</v>
      </c>
      <c r="AB88" s="100">
        <v>10.638655462184873</v>
      </c>
      <c r="AC88" s="100">
        <v>10557.801680672268</v>
      </c>
      <c r="AD88" s="100">
        <v>6.8911917098445592</v>
      </c>
      <c r="AE88" s="100">
        <v>6838.8186528497408</v>
      </c>
      <c r="AF88" s="100">
        <v>9.4570135746606336</v>
      </c>
      <c r="AG88" s="100">
        <v>9385.1402714932119</v>
      </c>
      <c r="AH88" s="100">
        <v>7</v>
      </c>
      <c r="AI88" s="100">
        <v>6946.8</v>
      </c>
      <c r="AJ88" s="100">
        <v>6</v>
      </c>
      <c r="AK88" s="100">
        <v>5954.4</v>
      </c>
      <c r="AL88" s="100">
        <v>11</v>
      </c>
      <c r="AM88" s="100">
        <v>10916.4</v>
      </c>
      <c r="AN88" s="100">
        <v>13</v>
      </c>
      <c r="AO88" s="100">
        <v>12901.199999999999</v>
      </c>
      <c r="AP88" s="100">
        <v>6</v>
      </c>
      <c r="AQ88" s="100">
        <v>5954.4</v>
      </c>
      <c r="AR88" s="100">
        <v>6</v>
      </c>
      <c r="AS88" s="100">
        <v>5954.4</v>
      </c>
      <c r="AT88" s="100">
        <v>10</v>
      </c>
      <c r="AU88" s="100">
        <v>9924</v>
      </c>
      <c r="AV88" s="100">
        <v>10</v>
      </c>
      <c r="AW88" s="100">
        <v>9924</v>
      </c>
      <c r="AX88" s="100">
        <v>8.6818181818181817</v>
      </c>
      <c r="AY88" s="100">
        <v>8615.8363636363629</v>
      </c>
      <c r="AZ88" s="100">
        <v>8.90625</v>
      </c>
      <c r="BA88" s="100">
        <v>8838.5625</v>
      </c>
      <c r="BB88" s="100">
        <v>9.8958333333333339</v>
      </c>
      <c r="BC88" s="100">
        <v>9820.625</v>
      </c>
      <c r="BD88" s="100">
        <v>7</v>
      </c>
      <c r="BE88" s="100">
        <v>6946.8</v>
      </c>
      <c r="BF88" s="100">
        <v>12.088785046728972</v>
      </c>
      <c r="BG88" s="100">
        <v>11996.910280373831</v>
      </c>
      <c r="BH88" s="100">
        <v>8.9763779527559056</v>
      </c>
      <c r="BI88" s="100">
        <v>8908.1574803149597</v>
      </c>
      <c r="BJ88" s="100">
        <v>9.9130434782608692</v>
      </c>
      <c r="BK88" s="100">
        <v>9837.7043478260857</v>
      </c>
      <c r="BL88" s="100">
        <v>8</v>
      </c>
      <c r="BM88" s="100">
        <v>7939.2</v>
      </c>
      <c r="BN88" s="100">
        <v>10.614035087719298</v>
      </c>
      <c r="BO88" s="100">
        <v>10533.368421052632</v>
      </c>
      <c r="BP88" s="100">
        <v>7.5247524752475252</v>
      </c>
      <c r="BQ88" s="100">
        <v>7467.5643564356442</v>
      </c>
      <c r="BR88" s="100">
        <v>10</v>
      </c>
      <c r="BS88" s="100">
        <v>9924</v>
      </c>
      <c r="BT88" s="100">
        <v>10.472222222222221</v>
      </c>
      <c r="BU88" s="100">
        <v>10392.633333333333</v>
      </c>
      <c r="BV88" s="100">
        <v>8.9622641509433976</v>
      </c>
      <c r="BW88" s="100">
        <v>8894.1509433962274</v>
      </c>
      <c r="BX88" s="100">
        <v>12</v>
      </c>
      <c r="BY88" s="100">
        <v>11908.8</v>
      </c>
      <c r="BZ88" s="100">
        <v>10.493975903614457</v>
      </c>
      <c r="CA88" s="100">
        <v>10414.221686746987</v>
      </c>
      <c r="CB88" s="100">
        <v>8</v>
      </c>
      <c r="CC88" s="100">
        <v>7939.2</v>
      </c>
      <c r="CD88" s="100">
        <v>10</v>
      </c>
      <c r="CE88" s="100">
        <v>9924</v>
      </c>
      <c r="CF88" s="100">
        <v>9</v>
      </c>
      <c r="CG88" s="100">
        <v>8931.6</v>
      </c>
      <c r="CH88" s="100">
        <v>7.7241379310344831</v>
      </c>
      <c r="CI88" s="100">
        <v>7665.434482758621</v>
      </c>
      <c r="CJ88" s="100">
        <v>10.08849557522124</v>
      </c>
      <c r="CK88" s="100">
        <v>10011.823008849558</v>
      </c>
      <c r="CL88" s="100">
        <v>8</v>
      </c>
      <c r="CM88" s="100">
        <v>7939.2</v>
      </c>
      <c r="CN88" s="100">
        <v>14</v>
      </c>
      <c r="CO88" s="100">
        <v>13893.6</v>
      </c>
      <c r="CP88" s="100">
        <v>11.555555555555555</v>
      </c>
      <c r="CQ88" s="100">
        <v>11467.733333333334</v>
      </c>
      <c r="CR88" s="100">
        <v>8</v>
      </c>
      <c r="CS88" s="100">
        <v>7939.2</v>
      </c>
      <c r="CT88" s="100">
        <v>9.1566265060240966</v>
      </c>
      <c r="CU88" s="100">
        <v>9087.0361445783128</v>
      </c>
    </row>
    <row r="89" spans="2:99">
      <c r="C89" s="99" t="s">
        <v>255</v>
      </c>
      <c r="D89" s="100">
        <v>8.92018779342723</v>
      </c>
      <c r="E89" s="100">
        <v>9473.2394366197186</v>
      </c>
      <c r="F89" s="100">
        <v>9</v>
      </c>
      <c r="G89" s="100">
        <v>9558</v>
      </c>
      <c r="H89" s="100">
        <v>6</v>
      </c>
      <c r="I89" s="100">
        <v>6372</v>
      </c>
      <c r="J89" s="100">
        <v>8</v>
      </c>
      <c r="K89" s="100">
        <v>8496</v>
      </c>
      <c r="L89" s="100">
        <v>8</v>
      </c>
      <c r="M89" s="100">
        <v>8496</v>
      </c>
      <c r="N89" s="100">
        <v>10</v>
      </c>
      <c r="O89" s="100">
        <v>10620</v>
      </c>
      <c r="P89" s="100">
        <v>8</v>
      </c>
      <c r="Q89" s="100">
        <v>8496</v>
      </c>
      <c r="R89" s="100">
        <v>8</v>
      </c>
      <c r="S89" s="100">
        <v>8496</v>
      </c>
      <c r="T89" s="100">
        <v>10</v>
      </c>
      <c r="U89" s="100">
        <v>10620</v>
      </c>
      <c r="V89" s="100">
        <v>7</v>
      </c>
      <c r="W89" s="100">
        <v>7434</v>
      </c>
      <c r="X89" s="100">
        <v>10</v>
      </c>
      <c r="Y89" s="100">
        <v>10620</v>
      </c>
      <c r="Z89" s="100">
        <v>10</v>
      </c>
      <c r="AA89" s="100">
        <v>10620</v>
      </c>
      <c r="AB89" s="100">
        <v>10.638655462184873</v>
      </c>
      <c r="AC89" s="100">
        <v>11298.252100840336</v>
      </c>
      <c r="AD89" s="100">
        <v>6.8911917098445592</v>
      </c>
      <c r="AE89" s="100">
        <v>7318.4455958549215</v>
      </c>
      <c r="AF89" s="100">
        <v>9.4570135746606336</v>
      </c>
      <c r="AG89" s="100">
        <v>10043.348416289593</v>
      </c>
      <c r="AH89" s="100">
        <v>8</v>
      </c>
      <c r="AI89" s="100">
        <v>8496</v>
      </c>
      <c r="AJ89" s="100">
        <v>7</v>
      </c>
      <c r="AK89" s="100">
        <v>7434</v>
      </c>
      <c r="AL89" s="100">
        <v>11</v>
      </c>
      <c r="AM89" s="100">
        <v>11682</v>
      </c>
      <c r="AN89" s="100">
        <v>10</v>
      </c>
      <c r="AO89" s="100">
        <v>10620</v>
      </c>
      <c r="AP89" s="100">
        <v>6</v>
      </c>
      <c r="AQ89" s="100">
        <v>6372</v>
      </c>
      <c r="AR89" s="100">
        <v>6</v>
      </c>
      <c r="AS89" s="100">
        <v>6372</v>
      </c>
      <c r="AT89" s="100">
        <v>11</v>
      </c>
      <c r="AU89" s="100">
        <v>11682</v>
      </c>
      <c r="AV89" s="100">
        <v>10</v>
      </c>
      <c r="AW89" s="100">
        <v>10620</v>
      </c>
      <c r="AX89" s="100">
        <v>8.6818181818181817</v>
      </c>
      <c r="AY89" s="100">
        <v>9220.0909090909081</v>
      </c>
      <c r="AZ89" s="100">
        <v>8.90625</v>
      </c>
      <c r="BA89" s="100">
        <v>9458.4375</v>
      </c>
      <c r="BB89" s="100">
        <v>9.8958333333333339</v>
      </c>
      <c r="BC89" s="100">
        <v>10509.375</v>
      </c>
      <c r="BD89" s="100">
        <v>7</v>
      </c>
      <c r="BE89" s="100">
        <v>7434</v>
      </c>
      <c r="BF89" s="100">
        <v>10.228971962616821</v>
      </c>
      <c r="BG89" s="100">
        <v>10863.168224299065</v>
      </c>
      <c r="BH89" s="100">
        <v>8.228346456692913</v>
      </c>
      <c r="BI89" s="100">
        <v>8738.5039370078739</v>
      </c>
      <c r="BJ89" s="100">
        <v>10.739130434782609</v>
      </c>
      <c r="BK89" s="100">
        <v>11404.956521739132</v>
      </c>
      <c r="BL89" s="100">
        <v>6</v>
      </c>
      <c r="BM89" s="100">
        <v>6372</v>
      </c>
      <c r="BN89" s="100">
        <v>9.6491228070175428</v>
      </c>
      <c r="BO89" s="100">
        <v>10247.36842105263</v>
      </c>
      <c r="BP89" s="100">
        <v>7.5247524752475252</v>
      </c>
      <c r="BQ89" s="100">
        <v>7991.2871287128719</v>
      </c>
      <c r="BR89" s="100">
        <v>10</v>
      </c>
      <c r="BS89" s="100">
        <v>10620</v>
      </c>
      <c r="BT89" s="100">
        <v>9.6666666666666661</v>
      </c>
      <c r="BU89" s="100">
        <v>10266</v>
      </c>
      <c r="BV89" s="100">
        <v>8.9622641509433976</v>
      </c>
      <c r="BW89" s="100">
        <v>9517.9245283018881</v>
      </c>
      <c r="BX89" s="100">
        <v>12</v>
      </c>
      <c r="BY89" s="100">
        <v>12744</v>
      </c>
      <c r="BZ89" s="100">
        <v>8.8795180722891569</v>
      </c>
      <c r="CA89" s="100">
        <v>9430.0481927710844</v>
      </c>
      <c r="CB89" s="100">
        <v>8</v>
      </c>
      <c r="CC89" s="100">
        <v>8496</v>
      </c>
      <c r="CD89" s="100">
        <v>9</v>
      </c>
      <c r="CE89" s="100">
        <v>9558</v>
      </c>
      <c r="CF89" s="100">
        <v>9</v>
      </c>
      <c r="CG89" s="100">
        <v>9558</v>
      </c>
      <c r="CH89" s="100">
        <v>6.7586206896551726</v>
      </c>
      <c r="CI89" s="100">
        <v>7177.6551724137935</v>
      </c>
      <c r="CJ89" s="100">
        <v>8.4070796460176993</v>
      </c>
      <c r="CK89" s="100">
        <v>8928.3185840707974</v>
      </c>
      <c r="CL89" s="100">
        <v>9</v>
      </c>
      <c r="CM89" s="100">
        <v>9558</v>
      </c>
      <c r="CN89" s="100">
        <v>12</v>
      </c>
      <c r="CO89" s="100">
        <v>12744</v>
      </c>
      <c r="CP89" s="100">
        <v>10.666666666666668</v>
      </c>
      <c r="CQ89" s="100">
        <v>11328.000000000002</v>
      </c>
      <c r="CR89" s="100">
        <v>7</v>
      </c>
      <c r="CS89" s="100">
        <v>7434</v>
      </c>
      <c r="CT89" s="100">
        <v>9.1566265060240966</v>
      </c>
      <c r="CU89" s="100">
        <v>9724.3373493975905</v>
      </c>
    </row>
    <row r="90" spans="2:99">
      <c r="C90" s="99" t="s">
        <v>256</v>
      </c>
      <c r="D90" s="100">
        <v>9.8122065727699539</v>
      </c>
      <c r="E90" s="100">
        <v>10879.774647887325</v>
      </c>
      <c r="F90" s="100">
        <v>9</v>
      </c>
      <c r="G90" s="100">
        <v>9979.1999999999989</v>
      </c>
      <c r="H90" s="100">
        <v>6</v>
      </c>
      <c r="I90" s="100">
        <v>6652.7999999999993</v>
      </c>
      <c r="J90" s="100">
        <v>8</v>
      </c>
      <c r="K90" s="100">
        <v>8870.4</v>
      </c>
      <c r="L90" s="100">
        <v>9</v>
      </c>
      <c r="M90" s="100">
        <v>9979.1999999999989</v>
      </c>
      <c r="N90" s="100">
        <v>11</v>
      </c>
      <c r="O90" s="100">
        <v>12196.8</v>
      </c>
      <c r="P90" s="100">
        <v>7</v>
      </c>
      <c r="Q90" s="100">
        <v>7761.5999999999995</v>
      </c>
      <c r="R90" s="100">
        <v>8</v>
      </c>
      <c r="S90" s="100">
        <v>8870.4</v>
      </c>
      <c r="T90" s="100">
        <v>9</v>
      </c>
      <c r="U90" s="100">
        <v>9979.1999999999989</v>
      </c>
      <c r="V90" s="100">
        <v>7</v>
      </c>
      <c r="W90" s="100">
        <v>7761.5999999999995</v>
      </c>
      <c r="X90" s="100">
        <v>11</v>
      </c>
      <c r="Y90" s="100">
        <v>12196.8</v>
      </c>
      <c r="Z90" s="100">
        <v>10</v>
      </c>
      <c r="AA90" s="100">
        <v>11088</v>
      </c>
      <c r="AB90" s="100">
        <v>9.7521008403361353</v>
      </c>
      <c r="AC90" s="100">
        <v>10813.129411764707</v>
      </c>
      <c r="AD90" s="100">
        <v>6.8911917098445592</v>
      </c>
      <c r="AE90" s="100">
        <v>7640.953367875647</v>
      </c>
      <c r="AF90" s="100">
        <v>9.4570135746606336</v>
      </c>
      <c r="AG90" s="100">
        <v>10485.93665158371</v>
      </c>
      <c r="AH90" s="100">
        <v>8</v>
      </c>
      <c r="AI90" s="100">
        <v>8870.4</v>
      </c>
      <c r="AJ90" s="100">
        <v>6</v>
      </c>
      <c r="AK90" s="100">
        <v>6652.7999999999993</v>
      </c>
      <c r="AL90" s="100">
        <v>11</v>
      </c>
      <c r="AM90" s="100">
        <v>12196.8</v>
      </c>
      <c r="AN90" s="100">
        <v>12</v>
      </c>
      <c r="AO90" s="100">
        <v>13305.599999999999</v>
      </c>
      <c r="AP90" s="100">
        <v>7</v>
      </c>
      <c r="AQ90" s="100">
        <v>7761.5999999999995</v>
      </c>
      <c r="AR90" s="100">
        <v>6</v>
      </c>
      <c r="AS90" s="100">
        <v>6652.7999999999993</v>
      </c>
      <c r="AT90" s="100">
        <v>10</v>
      </c>
      <c r="AU90" s="100">
        <v>11088</v>
      </c>
      <c r="AV90" s="100">
        <v>10</v>
      </c>
      <c r="AW90" s="100">
        <v>11088</v>
      </c>
      <c r="AX90" s="100">
        <v>7.717171717171718</v>
      </c>
      <c r="AY90" s="100">
        <v>8556.8000000000011</v>
      </c>
      <c r="AZ90" s="100">
        <v>8.90625</v>
      </c>
      <c r="BA90" s="100">
        <v>9875.25</v>
      </c>
      <c r="BB90" s="100">
        <v>8.90625</v>
      </c>
      <c r="BC90" s="100">
        <v>9875.25</v>
      </c>
      <c r="BD90" s="100">
        <v>7</v>
      </c>
      <c r="BE90" s="100">
        <v>7761.5999999999995</v>
      </c>
      <c r="BF90" s="100">
        <v>12.088785046728972</v>
      </c>
      <c r="BG90" s="100">
        <v>13404.044859813084</v>
      </c>
      <c r="BH90" s="100">
        <v>9.7244094488188981</v>
      </c>
      <c r="BI90" s="100">
        <v>10782.425196850394</v>
      </c>
      <c r="BJ90" s="100">
        <v>9.0869565217391308</v>
      </c>
      <c r="BK90" s="100">
        <v>10075.617391304348</v>
      </c>
      <c r="BL90" s="100">
        <v>8</v>
      </c>
      <c r="BM90" s="100">
        <v>8870.4</v>
      </c>
      <c r="BN90" s="100">
        <v>9.6491228070175428</v>
      </c>
      <c r="BO90" s="100">
        <v>10698.947368421052</v>
      </c>
      <c r="BP90" s="100">
        <v>6.5841584158415847</v>
      </c>
      <c r="BQ90" s="100">
        <v>7300.5148514851489</v>
      </c>
      <c r="BR90" s="100">
        <v>9</v>
      </c>
      <c r="BS90" s="100">
        <v>9979.1999999999989</v>
      </c>
      <c r="BT90" s="100">
        <v>10.472222222222221</v>
      </c>
      <c r="BU90" s="100">
        <v>11611.599999999999</v>
      </c>
      <c r="BV90" s="100">
        <v>8.9622641509433976</v>
      </c>
      <c r="BW90" s="100">
        <v>9937.3584905660391</v>
      </c>
      <c r="BX90" s="100">
        <v>11</v>
      </c>
      <c r="BY90" s="100">
        <v>12196.8</v>
      </c>
      <c r="BZ90" s="100">
        <v>8.8795180722891569</v>
      </c>
      <c r="CA90" s="100">
        <v>9845.6096385542169</v>
      </c>
      <c r="CB90" s="100">
        <v>8</v>
      </c>
      <c r="CC90" s="100">
        <v>8870.4</v>
      </c>
      <c r="CD90" s="100">
        <v>9</v>
      </c>
      <c r="CE90" s="100">
        <v>9979.1999999999989</v>
      </c>
      <c r="CF90" s="100">
        <v>9</v>
      </c>
      <c r="CG90" s="100">
        <v>9979.1999999999989</v>
      </c>
      <c r="CH90" s="100">
        <v>6.7586206896551726</v>
      </c>
      <c r="CI90" s="100">
        <v>7493.9586206896547</v>
      </c>
      <c r="CJ90" s="100">
        <v>8.4070796460176993</v>
      </c>
      <c r="CK90" s="100">
        <v>9321.7699115044252</v>
      </c>
      <c r="CL90" s="100">
        <v>8</v>
      </c>
      <c r="CM90" s="100">
        <v>8870.4</v>
      </c>
      <c r="CN90" s="100">
        <v>13</v>
      </c>
      <c r="CO90" s="100">
        <v>14414.4</v>
      </c>
      <c r="CP90" s="100">
        <v>11.555555555555555</v>
      </c>
      <c r="CQ90" s="100">
        <v>12812.8</v>
      </c>
      <c r="CR90" s="100">
        <v>8</v>
      </c>
      <c r="CS90" s="100">
        <v>8870.4</v>
      </c>
      <c r="CT90" s="100">
        <v>9.9196787148594368</v>
      </c>
      <c r="CU90" s="100">
        <v>10998.939759036142</v>
      </c>
    </row>
    <row r="91" spans="2:99">
      <c r="C91" s="99" t="s">
        <v>257</v>
      </c>
      <c r="D91" s="100">
        <v>8.92018779342723</v>
      </c>
      <c r="E91" s="100">
        <v>10136.901408450703</v>
      </c>
      <c r="F91" s="100">
        <v>9</v>
      </c>
      <c r="G91" s="100">
        <v>10227.599999999999</v>
      </c>
      <c r="H91" s="100">
        <v>5</v>
      </c>
      <c r="I91" s="100">
        <v>5681.9999999999991</v>
      </c>
      <c r="J91" s="100">
        <v>8</v>
      </c>
      <c r="K91" s="100">
        <v>9091.1999999999989</v>
      </c>
      <c r="L91" s="100">
        <v>9</v>
      </c>
      <c r="M91" s="100">
        <v>10227.599999999999</v>
      </c>
      <c r="N91" s="100">
        <v>10</v>
      </c>
      <c r="O91" s="100">
        <v>11363.999999999998</v>
      </c>
      <c r="P91" s="100">
        <v>7</v>
      </c>
      <c r="Q91" s="100">
        <v>7954.7999999999993</v>
      </c>
      <c r="R91" s="100">
        <v>8</v>
      </c>
      <c r="S91" s="100">
        <v>9091.1999999999989</v>
      </c>
      <c r="T91" s="100">
        <v>10</v>
      </c>
      <c r="U91" s="100">
        <v>11363.999999999998</v>
      </c>
      <c r="V91" s="100">
        <v>7</v>
      </c>
      <c r="W91" s="100">
        <v>7954.7999999999993</v>
      </c>
      <c r="X91" s="100">
        <v>11</v>
      </c>
      <c r="Y91" s="100">
        <v>12500.399999999998</v>
      </c>
      <c r="Z91" s="100">
        <v>10</v>
      </c>
      <c r="AA91" s="100">
        <v>11363.999999999998</v>
      </c>
      <c r="AB91" s="100">
        <v>10.638655462184873</v>
      </c>
      <c r="AC91" s="100">
        <v>12089.768067226889</v>
      </c>
      <c r="AD91" s="100">
        <v>5.9067357512953365</v>
      </c>
      <c r="AE91" s="100">
        <v>6712.4145077720195</v>
      </c>
      <c r="AF91" s="100">
        <v>8.5972850678733028</v>
      </c>
      <c r="AG91" s="100">
        <v>9769.9547511312194</v>
      </c>
      <c r="AH91" s="100">
        <v>8</v>
      </c>
      <c r="AI91" s="100">
        <v>9091.1999999999989</v>
      </c>
      <c r="AJ91" s="100">
        <v>6</v>
      </c>
      <c r="AK91" s="100">
        <v>6818.4</v>
      </c>
      <c r="AL91" s="100">
        <v>10</v>
      </c>
      <c r="AM91" s="100">
        <v>11363.999999999998</v>
      </c>
      <c r="AN91" s="100">
        <v>11</v>
      </c>
      <c r="AO91" s="100">
        <v>12500.399999999998</v>
      </c>
      <c r="AP91" s="100">
        <v>6</v>
      </c>
      <c r="AQ91" s="100">
        <v>6818.4</v>
      </c>
      <c r="AR91" s="100">
        <v>6</v>
      </c>
      <c r="AS91" s="100">
        <v>6818.4</v>
      </c>
      <c r="AT91" s="100">
        <v>11</v>
      </c>
      <c r="AU91" s="100">
        <v>12500.399999999998</v>
      </c>
      <c r="AV91" s="100">
        <v>9</v>
      </c>
      <c r="AW91" s="100">
        <v>10227.599999999999</v>
      </c>
      <c r="AX91" s="100">
        <v>8.6818181818181817</v>
      </c>
      <c r="AY91" s="100">
        <v>9866.0181818181809</v>
      </c>
      <c r="AZ91" s="100">
        <v>8.90625</v>
      </c>
      <c r="BA91" s="100">
        <v>10121.062499999998</v>
      </c>
      <c r="BB91" s="100">
        <v>9.8958333333333339</v>
      </c>
      <c r="BC91" s="100">
        <v>11245.625</v>
      </c>
      <c r="BD91" s="100">
        <v>8</v>
      </c>
      <c r="BE91" s="100">
        <v>9091.1999999999989</v>
      </c>
      <c r="BF91" s="100">
        <v>12.088785046728972</v>
      </c>
      <c r="BG91" s="100">
        <v>13737.695327102803</v>
      </c>
      <c r="BH91" s="100">
        <v>8.9763779527559056</v>
      </c>
      <c r="BI91" s="100">
        <v>10200.755905511809</v>
      </c>
      <c r="BJ91" s="100">
        <v>9.0869565217391308</v>
      </c>
      <c r="BK91" s="100">
        <v>10326.417391304347</v>
      </c>
      <c r="BL91" s="100">
        <v>7</v>
      </c>
      <c r="BM91" s="100">
        <v>7954.7999999999993</v>
      </c>
      <c r="BN91" s="100">
        <v>10.614035087719298</v>
      </c>
      <c r="BO91" s="100">
        <v>12061.789473684208</v>
      </c>
      <c r="BP91" s="100">
        <v>6.5841584158415847</v>
      </c>
      <c r="BQ91" s="100">
        <v>7482.2376237623757</v>
      </c>
      <c r="BR91" s="100">
        <v>10</v>
      </c>
      <c r="BS91" s="100">
        <v>11363.999999999998</v>
      </c>
      <c r="BT91" s="100">
        <v>9.6666666666666661</v>
      </c>
      <c r="BU91" s="100">
        <v>10985.199999999999</v>
      </c>
      <c r="BV91" s="100">
        <v>9.8584905660377355</v>
      </c>
      <c r="BW91" s="100">
        <v>11203.188679245281</v>
      </c>
      <c r="BX91" s="100">
        <v>11</v>
      </c>
      <c r="BY91" s="100">
        <v>12500.399999999998</v>
      </c>
      <c r="BZ91" s="100">
        <v>8.8795180722891569</v>
      </c>
      <c r="CA91" s="100">
        <v>10090.684337349398</v>
      </c>
      <c r="CB91" s="100">
        <v>9</v>
      </c>
      <c r="CC91" s="100">
        <v>10227.599999999999</v>
      </c>
      <c r="CD91" s="100">
        <v>10</v>
      </c>
      <c r="CE91" s="100">
        <v>11363.999999999998</v>
      </c>
      <c r="CF91" s="100">
        <v>9</v>
      </c>
      <c r="CG91" s="100">
        <v>10227.599999999999</v>
      </c>
      <c r="CH91" s="100">
        <v>6.7586206896551726</v>
      </c>
      <c r="CI91" s="100">
        <v>7680.4965517241371</v>
      </c>
      <c r="CJ91" s="100">
        <v>10.08849557522124</v>
      </c>
      <c r="CK91" s="100">
        <v>11464.566371681416</v>
      </c>
      <c r="CL91" s="100">
        <v>8</v>
      </c>
      <c r="CM91" s="100">
        <v>9091.1999999999989</v>
      </c>
      <c r="CN91" s="100">
        <v>13</v>
      </c>
      <c r="CO91" s="100">
        <v>14773.199999999999</v>
      </c>
      <c r="CP91" s="100">
        <v>10.666666666666668</v>
      </c>
      <c r="CQ91" s="100">
        <v>12121.6</v>
      </c>
      <c r="CR91" s="100">
        <v>7</v>
      </c>
      <c r="CS91" s="100">
        <v>7954.7999999999993</v>
      </c>
      <c r="CT91" s="100">
        <v>9.9196787148594368</v>
      </c>
      <c r="CU91" s="100">
        <v>11272.722891566262</v>
      </c>
    </row>
    <row r="92" spans="2:99">
      <c r="C92" s="99" t="s">
        <v>258</v>
      </c>
      <c r="D92" s="100">
        <v>8.0281690140845061</v>
      </c>
      <c r="E92" s="100">
        <v>6300.50704225352</v>
      </c>
      <c r="F92" s="100">
        <v>9</v>
      </c>
      <c r="G92" s="100">
        <v>7063.2</v>
      </c>
      <c r="H92" s="100">
        <v>5</v>
      </c>
      <c r="I92" s="100">
        <v>3924</v>
      </c>
      <c r="J92" s="100">
        <v>8</v>
      </c>
      <c r="K92" s="100">
        <v>6278.4</v>
      </c>
      <c r="L92" s="100">
        <v>8</v>
      </c>
      <c r="M92" s="100">
        <v>6278.4</v>
      </c>
      <c r="N92" s="100">
        <v>12</v>
      </c>
      <c r="O92" s="100">
        <v>9417.5999999999985</v>
      </c>
      <c r="P92" s="100">
        <v>8</v>
      </c>
      <c r="Q92" s="100">
        <v>6278.4</v>
      </c>
      <c r="R92" s="100">
        <v>7</v>
      </c>
      <c r="S92" s="100">
        <v>5493.5999999999995</v>
      </c>
      <c r="T92" s="100">
        <v>10</v>
      </c>
      <c r="U92" s="100">
        <v>7848</v>
      </c>
      <c r="V92" s="100">
        <v>8</v>
      </c>
      <c r="W92" s="100">
        <v>6278.4</v>
      </c>
      <c r="X92" s="100">
        <v>12</v>
      </c>
      <c r="Y92" s="100">
        <v>9417.5999999999985</v>
      </c>
      <c r="Z92" s="100">
        <v>10</v>
      </c>
      <c r="AA92" s="100">
        <v>7848</v>
      </c>
      <c r="AB92" s="100">
        <v>9.7521008403361353</v>
      </c>
      <c r="AC92" s="100">
        <v>7653.4487394957987</v>
      </c>
      <c r="AD92" s="100">
        <v>5.9067357512953365</v>
      </c>
      <c r="AE92" s="100">
        <v>4635.6062176165797</v>
      </c>
      <c r="AF92" s="100">
        <v>9.4570135746606336</v>
      </c>
      <c r="AG92" s="100">
        <v>7421.8642533936645</v>
      </c>
      <c r="AH92" s="100">
        <v>8</v>
      </c>
      <c r="AI92" s="100">
        <v>6278.4</v>
      </c>
      <c r="AJ92" s="100">
        <v>7</v>
      </c>
      <c r="AK92" s="100">
        <v>5493.5999999999995</v>
      </c>
      <c r="AL92" s="100">
        <v>11</v>
      </c>
      <c r="AM92" s="100">
        <v>8632.7999999999993</v>
      </c>
      <c r="AN92" s="100">
        <v>11</v>
      </c>
      <c r="AO92" s="100">
        <v>8632.7999999999993</v>
      </c>
      <c r="AP92" s="100">
        <v>6</v>
      </c>
      <c r="AQ92" s="100">
        <v>4708.7999999999993</v>
      </c>
      <c r="AR92" s="100">
        <v>6</v>
      </c>
      <c r="AS92" s="100">
        <v>4708.7999999999993</v>
      </c>
      <c r="AT92" s="100">
        <v>11</v>
      </c>
      <c r="AU92" s="100">
        <v>8632.7999999999993</v>
      </c>
      <c r="AV92" s="100">
        <v>10</v>
      </c>
      <c r="AW92" s="100">
        <v>7848</v>
      </c>
      <c r="AX92" s="100">
        <v>9.6464646464646471</v>
      </c>
      <c r="AY92" s="100">
        <v>7570.545454545455</v>
      </c>
      <c r="AZ92" s="100">
        <v>7.9166666666666661</v>
      </c>
      <c r="BA92" s="100">
        <v>6212.9999999999991</v>
      </c>
      <c r="BB92" s="100">
        <v>10.885416666666666</v>
      </c>
      <c r="BC92" s="100">
        <v>8542.8749999999982</v>
      </c>
      <c r="BD92" s="100">
        <v>7</v>
      </c>
      <c r="BE92" s="100">
        <v>5493.5999999999995</v>
      </c>
      <c r="BF92" s="100">
        <v>11.158878504672897</v>
      </c>
      <c r="BG92" s="100">
        <v>8757.4878504672888</v>
      </c>
      <c r="BH92" s="100">
        <v>9.7244094488188981</v>
      </c>
      <c r="BI92" s="100">
        <v>7631.7165354330709</v>
      </c>
      <c r="BJ92" s="100">
        <v>10.739130434782609</v>
      </c>
      <c r="BK92" s="100">
        <v>8428.0695652173908</v>
      </c>
      <c r="BL92" s="100">
        <v>7</v>
      </c>
      <c r="BM92" s="100">
        <v>5493.5999999999995</v>
      </c>
      <c r="BN92" s="100">
        <v>8.6842105263157894</v>
      </c>
      <c r="BO92" s="100">
        <v>6815.3684210526308</v>
      </c>
      <c r="BP92" s="100">
        <v>7.5247524752475252</v>
      </c>
      <c r="BQ92" s="100">
        <v>5905.4257425742571</v>
      </c>
      <c r="BR92" s="100">
        <v>11</v>
      </c>
      <c r="BS92" s="100">
        <v>8632.7999999999993</v>
      </c>
      <c r="BT92" s="100">
        <v>9.6666666666666661</v>
      </c>
      <c r="BU92" s="100">
        <v>7586.3999999999987</v>
      </c>
      <c r="BV92" s="100">
        <v>9.8584905660377355</v>
      </c>
      <c r="BW92" s="100">
        <v>7736.9433962264147</v>
      </c>
      <c r="BX92" s="100">
        <v>13</v>
      </c>
      <c r="BY92" s="100">
        <v>10202.4</v>
      </c>
      <c r="BZ92" s="100">
        <v>8.8795180722891569</v>
      </c>
      <c r="CA92" s="100">
        <v>6968.6457831325297</v>
      </c>
      <c r="CB92" s="100">
        <v>8</v>
      </c>
      <c r="CC92" s="100">
        <v>6278.4</v>
      </c>
      <c r="CD92" s="100">
        <v>10</v>
      </c>
      <c r="CE92" s="100">
        <v>7848</v>
      </c>
      <c r="CF92" s="100">
        <v>9</v>
      </c>
      <c r="CG92" s="100">
        <v>7063.2</v>
      </c>
      <c r="CH92" s="100">
        <v>6.7586206896551726</v>
      </c>
      <c r="CI92" s="100">
        <v>5304.1655172413793</v>
      </c>
      <c r="CJ92" s="100">
        <v>10.08849557522124</v>
      </c>
      <c r="CK92" s="100">
        <v>7917.4513274336286</v>
      </c>
      <c r="CL92" s="100">
        <v>8</v>
      </c>
      <c r="CM92" s="100">
        <v>6278.4</v>
      </c>
      <c r="CN92" s="100">
        <v>12</v>
      </c>
      <c r="CO92" s="100">
        <v>9417.5999999999985</v>
      </c>
      <c r="CP92" s="100">
        <v>12.444444444444445</v>
      </c>
      <c r="CQ92" s="100">
        <v>9766.4</v>
      </c>
      <c r="CR92" s="100">
        <v>7</v>
      </c>
      <c r="CS92" s="100">
        <v>5493.5999999999995</v>
      </c>
      <c r="CT92" s="100">
        <v>10.682730923694779</v>
      </c>
      <c r="CU92" s="100">
        <v>8383.8072289156626</v>
      </c>
    </row>
    <row r="93" spans="2:99">
      <c r="C93" s="99" t="s">
        <v>259</v>
      </c>
      <c r="D93" s="100">
        <v>8.0281690140845061</v>
      </c>
      <c r="E93" s="100">
        <v>5568.3380281690133</v>
      </c>
      <c r="F93" s="100">
        <v>8</v>
      </c>
      <c r="G93" s="100">
        <v>5548.8</v>
      </c>
      <c r="H93" s="100">
        <v>6</v>
      </c>
      <c r="I93" s="100">
        <v>4161.6000000000004</v>
      </c>
      <c r="J93" s="100">
        <v>7</v>
      </c>
      <c r="K93" s="100">
        <v>4855.2</v>
      </c>
      <c r="L93" s="100">
        <v>9</v>
      </c>
      <c r="M93" s="100">
        <v>6242.4000000000005</v>
      </c>
      <c r="N93" s="100">
        <v>12</v>
      </c>
      <c r="O93" s="100">
        <v>8323.2000000000007</v>
      </c>
      <c r="P93" s="100">
        <v>8</v>
      </c>
      <c r="Q93" s="100">
        <v>5548.8</v>
      </c>
      <c r="R93" s="100">
        <v>8</v>
      </c>
      <c r="S93" s="100">
        <v>5548.8</v>
      </c>
      <c r="T93" s="100">
        <v>11</v>
      </c>
      <c r="U93" s="100">
        <v>7629.6</v>
      </c>
      <c r="V93" s="100">
        <v>8</v>
      </c>
      <c r="W93" s="100">
        <v>5548.8</v>
      </c>
      <c r="X93" s="100">
        <v>12</v>
      </c>
      <c r="Y93" s="100">
        <v>8323.2000000000007</v>
      </c>
      <c r="Z93" s="100">
        <v>10</v>
      </c>
      <c r="AA93" s="100">
        <v>6936</v>
      </c>
      <c r="AB93" s="100">
        <v>10.638655462184873</v>
      </c>
      <c r="AC93" s="100">
        <v>7378.9714285714281</v>
      </c>
      <c r="AD93" s="100">
        <v>6.8911917098445592</v>
      </c>
      <c r="AE93" s="100">
        <v>4779.7305699481867</v>
      </c>
      <c r="AF93" s="100">
        <v>9.4570135746606336</v>
      </c>
      <c r="AG93" s="100">
        <v>6559.3846153846162</v>
      </c>
      <c r="AH93" s="100">
        <v>8</v>
      </c>
      <c r="AI93" s="100">
        <v>5548.8</v>
      </c>
      <c r="AJ93" s="100">
        <v>7</v>
      </c>
      <c r="AK93" s="100">
        <v>4855.2</v>
      </c>
      <c r="AL93" s="100">
        <v>12</v>
      </c>
      <c r="AM93" s="100">
        <v>8323.2000000000007</v>
      </c>
      <c r="AN93" s="100">
        <v>11</v>
      </c>
      <c r="AO93" s="100">
        <v>7629.6</v>
      </c>
      <c r="AP93" s="100">
        <v>6</v>
      </c>
      <c r="AQ93" s="100">
        <v>4161.6000000000004</v>
      </c>
      <c r="AR93" s="100">
        <v>7</v>
      </c>
      <c r="AS93" s="100">
        <v>4855.2</v>
      </c>
      <c r="AT93" s="100">
        <v>10</v>
      </c>
      <c r="AU93" s="100">
        <v>6936</v>
      </c>
      <c r="AV93" s="100">
        <v>11</v>
      </c>
      <c r="AW93" s="100">
        <v>7629.6</v>
      </c>
      <c r="AX93" s="100">
        <v>9.6464646464646471</v>
      </c>
      <c r="AY93" s="100">
        <v>6690.787878787879</v>
      </c>
      <c r="AZ93" s="100">
        <v>8.90625</v>
      </c>
      <c r="BA93" s="100">
        <v>6177.375</v>
      </c>
      <c r="BB93" s="100">
        <v>9.8958333333333339</v>
      </c>
      <c r="BC93" s="100">
        <v>6863.7500000000009</v>
      </c>
      <c r="BD93" s="100">
        <v>8</v>
      </c>
      <c r="BE93" s="100">
        <v>5548.8</v>
      </c>
      <c r="BF93" s="100">
        <v>11.158878504672897</v>
      </c>
      <c r="BG93" s="100">
        <v>7739.7981308411217</v>
      </c>
      <c r="BH93" s="100">
        <v>8.228346456692913</v>
      </c>
      <c r="BI93" s="100">
        <v>5707.1811023622049</v>
      </c>
      <c r="BJ93" s="100">
        <v>9.9130434782608692</v>
      </c>
      <c r="BK93" s="100">
        <v>6875.6869565217394</v>
      </c>
      <c r="BL93" s="100">
        <v>7</v>
      </c>
      <c r="BM93" s="100">
        <v>4855.2</v>
      </c>
      <c r="BN93" s="100">
        <v>9.6491228070175428</v>
      </c>
      <c r="BO93" s="100">
        <v>6692.6315789473683</v>
      </c>
      <c r="BP93" s="100">
        <v>6.5841584158415847</v>
      </c>
      <c r="BQ93" s="100">
        <v>4566.772277227723</v>
      </c>
      <c r="BR93" s="100">
        <v>10</v>
      </c>
      <c r="BS93" s="100">
        <v>6936</v>
      </c>
      <c r="BT93" s="100">
        <v>10.472222222222221</v>
      </c>
      <c r="BU93" s="100">
        <v>7263.5333333333328</v>
      </c>
      <c r="BV93" s="100">
        <v>10.754716981132075</v>
      </c>
      <c r="BW93" s="100">
        <v>7459.4716981132078</v>
      </c>
      <c r="BX93" s="100">
        <v>12</v>
      </c>
      <c r="BY93" s="100">
        <v>8323.2000000000007</v>
      </c>
      <c r="BZ93" s="100">
        <v>10.493975903614457</v>
      </c>
      <c r="CA93" s="100">
        <v>7278.6216867469875</v>
      </c>
      <c r="CB93" s="100">
        <v>9</v>
      </c>
      <c r="CC93" s="100">
        <v>6242.4000000000005</v>
      </c>
      <c r="CD93" s="100">
        <v>10</v>
      </c>
      <c r="CE93" s="100">
        <v>6936</v>
      </c>
      <c r="CF93" s="100">
        <v>10</v>
      </c>
      <c r="CG93" s="100">
        <v>6936</v>
      </c>
      <c r="CH93" s="100">
        <v>7.7241379310344831</v>
      </c>
      <c r="CI93" s="100">
        <v>5357.4620689655176</v>
      </c>
      <c r="CJ93" s="100">
        <v>10.08849557522124</v>
      </c>
      <c r="CK93" s="100">
        <v>6997.3805309734516</v>
      </c>
      <c r="CL93" s="100">
        <v>9</v>
      </c>
      <c r="CM93" s="100">
        <v>6242.4000000000005</v>
      </c>
      <c r="CN93" s="100">
        <v>12</v>
      </c>
      <c r="CO93" s="100">
        <v>8323.2000000000007</v>
      </c>
      <c r="CP93" s="100">
        <v>11.555555555555555</v>
      </c>
      <c r="CQ93" s="100">
        <v>8014.9333333333334</v>
      </c>
      <c r="CR93" s="100">
        <v>8</v>
      </c>
      <c r="CS93" s="100">
        <v>5548.8</v>
      </c>
      <c r="CT93" s="100">
        <v>10.682730923694779</v>
      </c>
      <c r="CU93" s="100">
        <v>7409.5421686746986</v>
      </c>
    </row>
    <row r="94" spans="2:99">
      <c r="C94" s="99" t="s">
        <v>260</v>
      </c>
      <c r="D94" s="100">
        <v>8.0281690140845061</v>
      </c>
      <c r="E94" s="100">
        <v>9575.9999999999982</v>
      </c>
      <c r="F94" s="100">
        <v>9</v>
      </c>
      <c r="G94" s="100">
        <v>10735.199999999999</v>
      </c>
      <c r="H94" s="100">
        <v>6</v>
      </c>
      <c r="I94" s="100">
        <v>7156.7999999999993</v>
      </c>
      <c r="J94" s="100">
        <v>7</v>
      </c>
      <c r="K94" s="100">
        <v>8349.6</v>
      </c>
      <c r="L94" s="100">
        <v>8</v>
      </c>
      <c r="M94" s="100">
        <v>9542.4</v>
      </c>
      <c r="N94" s="100">
        <v>10</v>
      </c>
      <c r="O94" s="100">
        <v>11928</v>
      </c>
      <c r="P94" s="100">
        <v>7</v>
      </c>
      <c r="Q94" s="100">
        <v>8349.6</v>
      </c>
      <c r="R94" s="100">
        <v>8</v>
      </c>
      <c r="S94" s="100">
        <v>9542.4</v>
      </c>
      <c r="T94" s="100">
        <v>11</v>
      </c>
      <c r="U94" s="100">
        <v>13120.8</v>
      </c>
      <c r="V94" s="100">
        <v>7</v>
      </c>
      <c r="W94" s="100">
        <v>8349.6</v>
      </c>
      <c r="X94" s="100">
        <v>12</v>
      </c>
      <c r="Y94" s="100">
        <v>14313.599999999999</v>
      </c>
      <c r="Z94" s="100">
        <v>10</v>
      </c>
      <c r="AA94" s="100">
        <v>11928</v>
      </c>
      <c r="AB94" s="100">
        <v>10.638655462184873</v>
      </c>
      <c r="AC94" s="100">
        <v>12689.788235294116</v>
      </c>
      <c r="AD94" s="100">
        <v>6.8911917098445592</v>
      </c>
      <c r="AE94" s="100">
        <v>8219.8134715025899</v>
      </c>
      <c r="AF94" s="100">
        <v>8.5972850678733028</v>
      </c>
      <c r="AG94" s="100">
        <v>10254.841628959275</v>
      </c>
      <c r="AH94" s="100">
        <v>7</v>
      </c>
      <c r="AI94" s="100">
        <v>8349.6</v>
      </c>
      <c r="AJ94" s="100">
        <v>7</v>
      </c>
      <c r="AK94" s="100">
        <v>8349.6</v>
      </c>
      <c r="AL94" s="100">
        <v>9</v>
      </c>
      <c r="AM94" s="100">
        <v>10735.199999999999</v>
      </c>
      <c r="AN94" s="100">
        <v>11</v>
      </c>
      <c r="AO94" s="100">
        <v>13120.8</v>
      </c>
      <c r="AP94" s="100">
        <v>7</v>
      </c>
      <c r="AQ94" s="100">
        <v>8349.6</v>
      </c>
      <c r="AR94" s="100">
        <v>7</v>
      </c>
      <c r="AS94" s="100">
        <v>8349.6</v>
      </c>
      <c r="AT94" s="100">
        <v>11</v>
      </c>
      <c r="AU94" s="100">
        <v>13120.8</v>
      </c>
      <c r="AV94" s="100">
        <v>10</v>
      </c>
      <c r="AW94" s="100">
        <v>11928</v>
      </c>
      <c r="AX94" s="100">
        <v>7.717171717171718</v>
      </c>
      <c r="AY94" s="100">
        <v>9205.0424242424251</v>
      </c>
      <c r="AZ94" s="100">
        <v>8.90625</v>
      </c>
      <c r="BA94" s="100">
        <v>10623.375</v>
      </c>
      <c r="BB94" s="100">
        <v>8.90625</v>
      </c>
      <c r="BC94" s="100">
        <v>10623.375</v>
      </c>
      <c r="BD94" s="100">
        <v>7</v>
      </c>
      <c r="BE94" s="100">
        <v>8349.6</v>
      </c>
      <c r="BF94" s="100">
        <v>11.158878504672897</v>
      </c>
      <c r="BG94" s="100">
        <v>13310.310280373831</v>
      </c>
      <c r="BH94" s="100">
        <v>8.228346456692913</v>
      </c>
      <c r="BI94" s="100">
        <v>9814.7716535433065</v>
      </c>
      <c r="BJ94" s="100">
        <v>9.9130434782608692</v>
      </c>
      <c r="BK94" s="100">
        <v>11824.278260869565</v>
      </c>
      <c r="BL94" s="100">
        <v>7</v>
      </c>
      <c r="BM94" s="100">
        <v>8349.6</v>
      </c>
      <c r="BN94" s="100">
        <v>9.6491228070175428</v>
      </c>
      <c r="BO94" s="100">
        <v>11509.473684210525</v>
      </c>
      <c r="BP94" s="100">
        <v>5.6435643564356432</v>
      </c>
      <c r="BQ94" s="100">
        <v>6731.6435643564346</v>
      </c>
      <c r="BR94" s="100">
        <v>10</v>
      </c>
      <c r="BS94" s="100">
        <v>11928</v>
      </c>
      <c r="BT94" s="100">
        <v>8.8611111111111107</v>
      </c>
      <c r="BU94" s="100">
        <v>10569.533333333333</v>
      </c>
      <c r="BV94" s="100">
        <v>9.8584905660377355</v>
      </c>
      <c r="BW94" s="100">
        <v>11759.20754716981</v>
      </c>
      <c r="BX94" s="100">
        <v>11</v>
      </c>
      <c r="BY94" s="100">
        <v>13120.8</v>
      </c>
      <c r="BZ94" s="100">
        <v>9.6867469879518069</v>
      </c>
      <c r="CA94" s="100">
        <v>11554.351807228915</v>
      </c>
      <c r="CB94" s="100">
        <v>8</v>
      </c>
      <c r="CC94" s="100">
        <v>9542.4</v>
      </c>
      <c r="CD94" s="100">
        <v>9</v>
      </c>
      <c r="CE94" s="100">
        <v>10735.199999999999</v>
      </c>
      <c r="CF94" s="100">
        <v>9</v>
      </c>
      <c r="CG94" s="100">
        <v>10735.199999999999</v>
      </c>
      <c r="CH94" s="100">
        <v>7.7241379310344831</v>
      </c>
      <c r="CI94" s="100">
        <v>9213.3517241379304</v>
      </c>
      <c r="CJ94" s="100">
        <v>9.2477876106194685</v>
      </c>
      <c r="CK94" s="100">
        <v>11030.761061946901</v>
      </c>
      <c r="CL94" s="100">
        <v>8</v>
      </c>
      <c r="CM94" s="100">
        <v>9542.4</v>
      </c>
      <c r="CN94" s="100">
        <v>12</v>
      </c>
      <c r="CO94" s="100">
        <v>14313.599999999999</v>
      </c>
      <c r="CP94" s="100">
        <v>9.7777777777777786</v>
      </c>
      <c r="CQ94" s="100">
        <v>11662.933333333334</v>
      </c>
      <c r="CR94" s="100">
        <v>7</v>
      </c>
      <c r="CS94" s="100">
        <v>8349.6</v>
      </c>
      <c r="CT94" s="100">
        <v>9.9196787148594368</v>
      </c>
      <c r="CU94" s="100">
        <v>11832.192771084336</v>
      </c>
    </row>
    <row r="95" spans="2:99">
      <c r="B95" s="99" t="s">
        <v>132</v>
      </c>
      <c r="C95" s="99" t="s">
        <v>261</v>
      </c>
      <c r="D95" s="100">
        <v>8.92018779342723</v>
      </c>
      <c r="E95" s="100">
        <v>2932.9577464788731</v>
      </c>
      <c r="F95" s="100">
        <v>9</v>
      </c>
      <c r="G95" s="100">
        <v>2959.2000000000003</v>
      </c>
      <c r="H95" s="100">
        <v>7</v>
      </c>
      <c r="I95" s="100">
        <v>2301.6</v>
      </c>
      <c r="J95" s="100">
        <v>9</v>
      </c>
      <c r="K95" s="100">
        <v>2959.2000000000003</v>
      </c>
      <c r="L95" s="100">
        <v>8</v>
      </c>
      <c r="M95" s="100">
        <v>2630.4</v>
      </c>
      <c r="N95" s="100">
        <v>9</v>
      </c>
      <c r="O95" s="100">
        <v>2959.2000000000003</v>
      </c>
      <c r="P95" s="100">
        <v>7</v>
      </c>
      <c r="Q95" s="100">
        <v>2301.6</v>
      </c>
      <c r="R95" s="100">
        <v>9</v>
      </c>
      <c r="S95" s="100">
        <v>2959.2000000000003</v>
      </c>
      <c r="T95" s="100">
        <v>9</v>
      </c>
      <c r="U95" s="100">
        <v>2959.2000000000003</v>
      </c>
      <c r="V95" s="100">
        <v>8</v>
      </c>
      <c r="W95" s="100">
        <v>2630.4</v>
      </c>
      <c r="X95" s="100">
        <v>11</v>
      </c>
      <c r="Y95" s="100">
        <v>3616.8</v>
      </c>
      <c r="Z95" s="100">
        <v>12</v>
      </c>
      <c r="AA95" s="100">
        <v>3945.6000000000004</v>
      </c>
      <c r="AB95" s="100">
        <v>10.638655462184873</v>
      </c>
      <c r="AC95" s="100">
        <v>3497.9899159663864</v>
      </c>
      <c r="AD95" s="100">
        <v>10.82901554404145</v>
      </c>
      <c r="AE95" s="100">
        <v>3560.5803108808291</v>
      </c>
      <c r="AF95" s="100">
        <v>9.4570135746606336</v>
      </c>
      <c r="AG95" s="100">
        <v>3109.4660633484164</v>
      </c>
      <c r="AH95" s="100">
        <v>8</v>
      </c>
      <c r="AI95" s="100">
        <v>2630.4</v>
      </c>
      <c r="AJ95" s="100">
        <v>7</v>
      </c>
      <c r="AK95" s="100">
        <v>2301.6</v>
      </c>
      <c r="AL95" s="100">
        <v>10</v>
      </c>
      <c r="AM95" s="100">
        <v>3288</v>
      </c>
      <c r="AN95" s="100">
        <v>7</v>
      </c>
      <c r="AO95" s="100">
        <v>2301.6</v>
      </c>
      <c r="AP95" s="100">
        <v>11</v>
      </c>
      <c r="AQ95" s="100">
        <v>3616.8</v>
      </c>
      <c r="AR95" s="100">
        <v>9</v>
      </c>
      <c r="AS95" s="100">
        <v>2959.2000000000003</v>
      </c>
      <c r="AT95" s="100">
        <v>13</v>
      </c>
      <c r="AU95" s="100">
        <v>4274.4000000000005</v>
      </c>
      <c r="AV95" s="100">
        <v>9</v>
      </c>
      <c r="AW95" s="100">
        <v>2959.2000000000003</v>
      </c>
      <c r="AX95" s="100">
        <v>9.6464646464646471</v>
      </c>
      <c r="AY95" s="100">
        <v>3171.757575757576</v>
      </c>
      <c r="AZ95" s="100">
        <v>7.9166666666666661</v>
      </c>
      <c r="BA95" s="100">
        <v>2603</v>
      </c>
      <c r="BB95" s="100">
        <v>7.9166666666666661</v>
      </c>
      <c r="BC95" s="100">
        <v>2603</v>
      </c>
      <c r="BD95" s="100">
        <v>9</v>
      </c>
      <c r="BE95" s="100">
        <v>2959.2000000000003</v>
      </c>
      <c r="BF95" s="100">
        <v>9.2990654205607477</v>
      </c>
      <c r="BG95" s="100">
        <v>3057.532710280374</v>
      </c>
      <c r="BH95" s="100">
        <v>8.9763779527559056</v>
      </c>
      <c r="BI95" s="100">
        <v>2951.4330708661419</v>
      </c>
      <c r="BJ95" s="100">
        <v>9.9130434782608692</v>
      </c>
      <c r="BK95" s="100">
        <v>3259.4086956521737</v>
      </c>
      <c r="BL95" s="100">
        <v>7</v>
      </c>
      <c r="BM95" s="100">
        <v>2301.6</v>
      </c>
      <c r="BN95" s="100">
        <v>11.578947368421051</v>
      </c>
      <c r="BO95" s="100">
        <v>3807.1578947368416</v>
      </c>
      <c r="BP95" s="100">
        <v>9.4059405940594072</v>
      </c>
      <c r="BQ95" s="100">
        <v>3092.6732673267334</v>
      </c>
      <c r="BR95" s="100">
        <v>7</v>
      </c>
      <c r="BS95" s="100">
        <v>2301.6</v>
      </c>
      <c r="BT95" s="100">
        <v>9.6666666666666661</v>
      </c>
      <c r="BU95" s="100">
        <v>3178.4</v>
      </c>
      <c r="BV95" s="100">
        <v>8.066037735849056</v>
      </c>
      <c r="BW95" s="100">
        <v>2652.1132075471696</v>
      </c>
      <c r="BX95" s="100">
        <v>6</v>
      </c>
      <c r="BY95" s="100">
        <v>1972.8000000000002</v>
      </c>
      <c r="BZ95" s="100">
        <v>9.6867469879518069</v>
      </c>
      <c r="CA95" s="100">
        <v>3185.0024096385541</v>
      </c>
      <c r="CB95" s="100">
        <v>6</v>
      </c>
      <c r="CC95" s="100">
        <v>1972.8000000000002</v>
      </c>
      <c r="CD95" s="100">
        <v>10</v>
      </c>
      <c r="CE95" s="100">
        <v>3288</v>
      </c>
      <c r="CF95" s="100">
        <v>11</v>
      </c>
      <c r="CG95" s="100">
        <v>3616.8</v>
      </c>
      <c r="CH95" s="100">
        <v>10.620689655172415</v>
      </c>
      <c r="CI95" s="100">
        <v>3492.0827586206901</v>
      </c>
      <c r="CJ95" s="100">
        <v>7.5663716814159292</v>
      </c>
      <c r="CK95" s="100">
        <v>2487.8230088495575</v>
      </c>
      <c r="CL95" s="100">
        <v>7</v>
      </c>
      <c r="CM95" s="100">
        <v>2301.6</v>
      </c>
      <c r="CN95" s="100">
        <v>8</v>
      </c>
      <c r="CO95" s="100">
        <v>2630.4</v>
      </c>
      <c r="CP95" s="100">
        <v>8</v>
      </c>
      <c r="CQ95" s="100">
        <v>2630.4</v>
      </c>
      <c r="CR95" s="100">
        <v>11</v>
      </c>
      <c r="CS95" s="100">
        <v>3616.8</v>
      </c>
      <c r="CT95" s="100">
        <v>9.1566265060240966</v>
      </c>
      <c r="CU95" s="100">
        <v>3010.6987951807232</v>
      </c>
    </row>
    <row r="96" spans="2:99">
      <c r="C96" s="99" t="s">
        <v>262</v>
      </c>
      <c r="D96" s="100">
        <v>10.704225352112676</v>
      </c>
      <c r="E96" s="100">
        <v>7437.2957746478869</v>
      </c>
      <c r="F96" s="100">
        <v>9</v>
      </c>
      <c r="G96" s="100">
        <v>6253.2</v>
      </c>
      <c r="H96" s="100">
        <v>7</v>
      </c>
      <c r="I96" s="100">
        <v>4863.5999999999995</v>
      </c>
      <c r="J96" s="100">
        <v>8</v>
      </c>
      <c r="K96" s="100">
        <v>5558.4</v>
      </c>
      <c r="L96" s="100">
        <v>7</v>
      </c>
      <c r="M96" s="100">
        <v>4863.5999999999995</v>
      </c>
      <c r="N96" s="100">
        <v>10</v>
      </c>
      <c r="O96" s="100">
        <v>6948</v>
      </c>
      <c r="P96" s="100">
        <v>6</v>
      </c>
      <c r="Q96" s="100">
        <v>4168.7999999999993</v>
      </c>
      <c r="R96" s="100">
        <v>9</v>
      </c>
      <c r="S96" s="100">
        <v>6253.2</v>
      </c>
      <c r="T96" s="100">
        <v>10</v>
      </c>
      <c r="U96" s="100">
        <v>6948</v>
      </c>
      <c r="V96" s="100">
        <v>7</v>
      </c>
      <c r="W96" s="100">
        <v>4863.5999999999995</v>
      </c>
      <c r="X96" s="100">
        <v>10</v>
      </c>
      <c r="Y96" s="100">
        <v>6948</v>
      </c>
      <c r="Z96" s="100">
        <v>12</v>
      </c>
      <c r="AA96" s="100">
        <v>8337.5999999999985</v>
      </c>
      <c r="AB96" s="100">
        <v>8.8655462184873954</v>
      </c>
      <c r="AC96" s="100">
        <v>6159.7815126050418</v>
      </c>
      <c r="AD96" s="100">
        <v>10.82901554404145</v>
      </c>
      <c r="AE96" s="100">
        <v>7523.9999999999991</v>
      </c>
      <c r="AF96" s="100">
        <v>8.5972850678733028</v>
      </c>
      <c r="AG96" s="100">
        <v>5973.3936651583708</v>
      </c>
      <c r="AH96" s="100">
        <v>8</v>
      </c>
      <c r="AI96" s="100">
        <v>5558.4</v>
      </c>
      <c r="AJ96" s="100">
        <v>7</v>
      </c>
      <c r="AK96" s="100">
        <v>4863.5999999999995</v>
      </c>
      <c r="AL96" s="100">
        <v>11</v>
      </c>
      <c r="AM96" s="100">
        <v>7642.7999999999993</v>
      </c>
      <c r="AN96" s="100">
        <v>6</v>
      </c>
      <c r="AO96" s="100">
        <v>4168.7999999999993</v>
      </c>
      <c r="AP96" s="100">
        <v>9</v>
      </c>
      <c r="AQ96" s="100">
        <v>6253.2</v>
      </c>
      <c r="AR96" s="100">
        <v>10</v>
      </c>
      <c r="AS96" s="100">
        <v>6948</v>
      </c>
      <c r="AT96" s="100">
        <v>11</v>
      </c>
      <c r="AU96" s="100">
        <v>7642.7999999999993</v>
      </c>
      <c r="AV96" s="100">
        <v>10</v>
      </c>
      <c r="AW96" s="100">
        <v>6948</v>
      </c>
      <c r="AX96" s="100">
        <v>8.6818181818181817</v>
      </c>
      <c r="AY96" s="100">
        <v>6032.1272727272726</v>
      </c>
      <c r="AZ96" s="100">
        <v>8.90625</v>
      </c>
      <c r="BA96" s="100">
        <v>6188.0625</v>
      </c>
      <c r="BB96" s="100">
        <v>6.9270833333333339</v>
      </c>
      <c r="BC96" s="100">
        <v>4812.9375</v>
      </c>
      <c r="BD96" s="100">
        <v>9</v>
      </c>
      <c r="BE96" s="100">
        <v>6253.2</v>
      </c>
      <c r="BF96" s="100">
        <v>8.3691588785046722</v>
      </c>
      <c r="BG96" s="100">
        <v>5814.8915887850462</v>
      </c>
      <c r="BH96" s="100">
        <v>8.9763779527559056</v>
      </c>
      <c r="BI96" s="100">
        <v>6236.787401574803</v>
      </c>
      <c r="BJ96" s="100">
        <v>9.0869565217391308</v>
      </c>
      <c r="BK96" s="100">
        <v>6313.6173913043476</v>
      </c>
      <c r="BL96" s="100">
        <v>7</v>
      </c>
      <c r="BM96" s="100">
        <v>4863.5999999999995</v>
      </c>
      <c r="BN96" s="100">
        <v>9.6491228070175428</v>
      </c>
      <c r="BO96" s="100">
        <v>6704.2105263157882</v>
      </c>
      <c r="BP96" s="100">
        <v>9.4059405940594072</v>
      </c>
      <c r="BQ96" s="100">
        <v>6535.2475247524753</v>
      </c>
      <c r="BR96" s="100">
        <v>7</v>
      </c>
      <c r="BS96" s="100">
        <v>4863.5999999999995</v>
      </c>
      <c r="BT96" s="100">
        <v>8.0555555555555554</v>
      </c>
      <c r="BU96" s="100">
        <v>5596.9999999999991</v>
      </c>
      <c r="BV96" s="100">
        <v>8.066037735849056</v>
      </c>
      <c r="BW96" s="100">
        <v>5604.2830188679236</v>
      </c>
      <c r="BX96" s="100">
        <v>6</v>
      </c>
      <c r="BY96" s="100">
        <v>4168.7999999999993</v>
      </c>
      <c r="BZ96" s="100">
        <v>8.0722891566265051</v>
      </c>
      <c r="CA96" s="100">
        <v>5608.6265060240958</v>
      </c>
      <c r="CB96" s="100">
        <v>6</v>
      </c>
      <c r="CC96" s="100">
        <v>4168.7999999999993</v>
      </c>
      <c r="CD96" s="100">
        <v>9</v>
      </c>
      <c r="CE96" s="100">
        <v>6253.2</v>
      </c>
      <c r="CF96" s="100">
        <v>11</v>
      </c>
      <c r="CG96" s="100">
        <v>7642.7999999999993</v>
      </c>
      <c r="CH96" s="100">
        <v>10.620689655172415</v>
      </c>
      <c r="CI96" s="100">
        <v>7379.2551724137929</v>
      </c>
      <c r="CJ96" s="100">
        <v>8.4070796460176993</v>
      </c>
      <c r="CK96" s="100">
        <v>5841.2389380530967</v>
      </c>
      <c r="CL96" s="100">
        <v>7</v>
      </c>
      <c r="CM96" s="100">
        <v>4863.5999999999995</v>
      </c>
      <c r="CN96" s="100">
        <v>8</v>
      </c>
      <c r="CO96" s="100">
        <v>5558.4</v>
      </c>
      <c r="CP96" s="100">
        <v>8.8888888888888893</v>
      </c>
      <c r="CQ96" s="100">
        <v>6176</v>
      </c>
      <c r="CR96" s="100">
        <v>11</v>
      </c>
      <c r="CS96" s="100">
        <v>7642.7999999999993</v>
      </c>
      <c r="CT96" s="100">
        <v>9.1566265060240966</v>
      </c>
      <c r="CU96" s="100">
        <v>6362.0240963855422</v>
      </c>
    </row>
    <row r="97" spans="2:99">
      <c r="C97" s="99" t="s">
        <v>263</v>
      </c>
      <c r="D97" s="100">
        <v>9.8122065727699539</v>
      </c>
      <c r="E97" s="100">
        <v>3850.3098591549297</v>
      </c>
      <c r="F97" s="100">
        <v>8</v>
      </c>
      <c r="G97" s="100">
        <v>3139.2</v>
      </c>
      <c r="H97" s="100">
        <v>8</v>
      </c>
      <c r="I97" s="100">
        <v>3139.2</v>
      </c>
      <c r="J97" s="100">
        <v>9</v>
      </c>
      <c r="K97" s="100">
        <v>3531.6</v>
      </c>
      <c r="L97" s="100">
        <v>8</v>
      </c>
      <c r="M97" s="100">
        <v>3139.2</v>
      </c>
      <c r="N97" s="100">
        <v>10</v>
      </c>
      <c r="O97" s="100">
        <v>3924</v>
      </c>
      <c r="P97" s="100">
        <v>7</v>
      </c>
      <c r="Q97" s="100">
        <v>2746.7999999999997</v>
      </c>
      <c r="R97" s="100">
        <v>8</v>
      </c>
      <c r="S97" s="100">
        <v>3139.2</v>
      </c>
      <c r="T97" s="100">
        <v>9</v>
      </c>
      <c r="U97" s="100">
        <v>3531.6</v>
      </c>
      <c r="V97" s="100">
        <v>8</v>
      </c>
      <c r="W97" s="100">
        <v>3139.2</v>
      </c>
      <c r="X97" s="100">
        <v>10</v>
      </c>
      <c r="Y97" s="100">
        <v>3924</v>
      </c>
      <c r="Z97" s="100">
        <v>10</v>
      </c>
      <c r="AA97" s="100">
        <v>3924</v>
      </c>
      <c r="AB97" s="100">
        <v>9.7521008403361353</v>
      </c>
      <c r="AC97" s="100">
        <v>3826.7243697478993</v>
      </c>
      <c r="AD97" s="100">
        <v>11.813471502590673</v>
      </c>
      <c r="AE97" s="100">
        <v>4635.6062176165797</v>
      </c>
      <c r="AF97" s="100">
        <v>8.5972850678733028</v>
      </c>
      <c r="AG97" s="100">
        <v>3373.5746606334837</v>
      </c>
      <c r="AH97" s="100">
        <v>7</v>
      </c>
      <c r="AI97" s="100">
        <v>2746.7999999999997</v>
      </c>
      <c r="AJ97" s="100">
        <v>7</v>
      </c>
      <c r="AK97" s="100">
        <v>2746.7999999999997</v>
      </c>
      <c r="AL97" s="100">
        <v>11</v>
      </c>
      <c r="AM97" s="100">
        <v>4316.3999999999996</v>
      </c>
      <c r="AN97" s="100">
        <v>6</v>
      </c>
      <c r="AO97" s="100">
        <v>2354.3999999999996</v>
      </c>
      <c r="AP97" s="100">
        <v>9</v>
      </c>
      <c r="AQ97" s="100">
        <v>3531.6</v>
      </c>
      <c r="AR97" s="100">
        <v>9</v>
      </c>
      <c r="AS97" s="100">
        <v>3531.6</v>
      </c>
      <c r="AT97" s="100">
        <v>11</v>
      </c>
      <c r="AU97" s="100">
        <v>4316.3999999999996</v>
      </c>
      <c r="AV97" s="100">
        <v>10</v>
      </c>
      <c r="AW97" s="100">
        <v>3924</v>
      </c>
      <c r="AX97" s="100">
        <v>9.6464646464646471</v>
      </c>
      <c r="AY97" s="100">
        <v>3785.2727272727275</v>
      </c>
      <c r="AZ97" s="100">
        <v>7.9166666666666661</v>
      </c>
      <c r="BA97" s="100">
        <v>3106.4999999999995</v>
      </c>
      <c r="BB97" s="100">
        <v>7.9166666666666661</v>
      </c>
      <c r="BC97" s="100">
        <v>3106.4999999999995</v>
      </c>
      <c r="BD97" s="100">
        <v>8</v>
      </c>
      <c r="BE97" s="100">
        <v>3139.2</v>
      </c>
      <c r="BF97" s="100">
        <v>8.3691588785046722</v>
      </c>
      <c r="BG97" s="100">
        <v>3284.0579439252333</v>
      </c>
      <c r="BH97" s="100">
        <v>8.228346456692913</v>
      </c>
      <c r="BI97" s="100">
        <v>3228.803149606299</v>
      </c>
      <c r="BJ97" s="100">
        <v>8.2608695652173907</v>
      </c>
      <c r="BK97" s="100">
        <v>3241.565217391304</v>
      </c>
      <c r="BL97" s="100">
        <v>7</v>
      </c>
      <c r="BM97" s="100">
        <v>2746.7999999999997</v>
      </c>
      <c r="BN97" s="100">
        <v>10.614035087719298</v>
      </c>
      <c r="BO97" s="100">
        <v>4164.9473684210525</v>
      </c>
      <c r="BP97" s="100">
        <v>10.346534653465346</v>
      </c>
      <c r="BQ97" s="100">
        <v>4059.9801980198017</v>
      </c>
      <c r="BR97" s="100">
        <v>7</v>
      </c>
      <c r="BS97" s="100">
        <v>2746.7999999999997</v>
      </c>
      <c r="BT97" s="100">
        <v>9.6666666666666661</v>
      </c>
      <c r="BU97" s="100">
        <v>3793.1999999999994</v>
      </c>
      <c r="BV97" s="100">
        <v>8.9622641509433976</v>
      </c>
      <c r="BW97" s="100">
        <v>3516.7924528301892</v>
      </c>
      <c r="BX97" s="100">
        <v>6</v>
      </c>
      <c r="BY97" s="100">
        <v>2354.3999999999996</v>
      </c>
      <c r="BZ97" s="100">
        <v>9.6867469879518069</v>
      </c>
      <c r="CA97" s="100">
        <v>3801.0795180722889</v>
      </c>
      <c r="CB97" s="100">
        <v>7</v>
      </c>
      <c r="CC97" s="100">
        <v>2746.7999999999997</v>
      </c>
      <c r="CD97" s="100">
        <v>10</v>
      </c>
      <c r="CE97" s="100">
        <v>3924</v>
      </c>
      <c r="CF97" s="100">
        <v>10</v>
      </c>
      <c r="CG97" s="100">
        <v>3924</v>
      </c>
      <c r="CH97" s="100">
        <v>10.620689655172415</v>
      </c>
      <c r="CI97" s="100">
        <v>4167.5586206896551</v>
      </c>
      <c r="CJ97" s="100">
        <v>8.4070796460176993</v>
      </c>
      <c r="CK97" s="100">
        <v>3298.9380530973449</v>
      </c>
      <c r="CL97" s="100">
        <v>7</v>
      </c>
      <c r="CM97" s="100">
        <v>2746.7999999999997</v>
      </c>
      <c r="CN97" s="100">
        <v>8</v>
      </c>
      <c r="CO97" s="100">
        <v>3139.2</v>
      </c>
      <c r="CP97" s="100">
        <v>8</v>
      </c>
      <c r="CQ97" s="100">
        <v>3139.2</v>
      </c>
      <c r="CR97" s="100">
        <v>10</v>
      </c>
      <c r="CS97" s="100">
        <v>3924</v>
      </c>
      <c r="CT97" s="100">
        <v>8.3935742971887546</v>
      </c>
      <c r="CU97" s="100">
        <v>3293.6385542168673</v>
      </c>
    </row>
    <row r="98" spans="2:99">
      <c r="C98" s="99" t="s">
        <v>264</v>
      </c>
      <c r="D98" s="100">
        <v>9.8122065727699539</v>
      </c>
      <c r="E98" s="100">
        <v>5157.2957746478878</v>
      </c>
      <c r="F98" s="100">
        <v>9</v>
      </c>
      <c r="G98" s="100">
        <v>4730.4000000000005</v>
      </c>
      <c r="H98" s="100">
        <v>7</v>
      </c>
      <c r="I98" s="100">
        <v>3679.2000000000003</v>
      </c>
      <c r="J98" s="100">
        <v>9</v>
      </c>
      <c r="K98" s="100">
        <v>4730.4000000000005</v>
      </c>
      <c r="L98" s="100">
        <v>7</v>
      </c>
      <c r="M98" s="100">
        <v>3679.2000000000003</v>
      </c>
      <c r="N98" s="100">
        <v>10</v>
      </c>
      <c r="O98" s="100">
        <v>5256</v>
      </c>
      <c r="P98" s="100">
        <v>7</v>
      </c>
      <c r="Q98" s="100">
        <v>3679.2000000000003</v>
      </c>
      <c r="R98" s="100">
        <v>7</v>
      </c>
      <c r="S98" s="100">
        <v>3679.2000000000003</v>
      </c>
      <c r="T98" s="100">
        <v>11</v>
      </c>
      <c r="U98" s="100">
        <v>5781.6</v>
      </c>
      <c r="V98" s="100">
        <v>8</v>
      </c>
      <c r="W98" s="100">
        <v>4204.8</v>
      </c>
      <c r="X98" s="100">
        <v>9</v>
      </c>
      <c r="Y98" s="100">
        <v>4730.4000000000005</v>
      </c>
      <c r="Z98" s="100">
        <v>11</v>
      </c>
      <c r="AA98" s="100">
        <v>5781.6</v>
      </c>
      <c r="AB98" s="100">
        <v>9.7521008403361353</v>
      </c>
      <c r="AC98" s="100">
        <v>5125.7042016806727</v>
      </c>
      <c r="AD98" s="100">
        <v>9.8445595854922274</v>
      </c>
      <c r="AE98" s="100">
        <v>5174.3005181347153</v>
      </c>
      <c r="AF98" s="100">
        <v>8.5972850678733028</v>
      </c>
      <c r="AG98" s="100">
        <v>4518.7330316742082</v>
      </c>
      <c r="AH98" s="100">
        <v>7</v>
      </c>
      <c r="AI98" s="100">
        <v>3679.2000000000003</v>
      </c>
      <c r="AJ98" s="100">
        <v>7</v>
      </c>
      <c r="AK98" s="100">
        <v>3679.2000000000003</v>
      </c>
      <c r="AL98" s="100">
        <v>11</v>
      </c>
      <c r="AM98" s="100">
        <v>5781.6</v>
      </c>
      <c r="AN98" s="100">
        <v>6</v>
      </c>
      <c r="AO98" s="100">
        <v>3153.6000000000004</v>
      </c>
      <c r="AP98" s="100">
        <v>9</v>
      </c>
      <c r="AQ98" s="100">
        <v>4730.4000000000005</v>
      </c>
      <c r="AR98" s="100">
        <v>10</v>
      </c>
      <c r="AS98" s="100">
        <v>5256</v>
      </c>
      <c r="AT98" s="100">
        <v>11</v>
      </c>
      <c r="AU98" s="100">
        <v>5781.6</v>
      </c>
      <c r="AV98" s="100">
        <v>11</v>
      </c>
      <c r="AW98" s="100">
        <v>5781.6</v>
      </c>
      <c r="AX98" s="100">
        <v>8.6818181818181817</v>
      </c>
      <c r="AY98" s="100">
        <v>4563.1636363636362</v>
      </c>
      <c r="AZ98" s="100">
        <v>8.90625</v>
      </c>
      <c r="BA98" s="100">
        <v>4681.125</v>
      </c>
      <c r="BB98" s="100">
        <v>7.9166666666666661</v>
      </c>
      <c r="BC98" s="100">
        <v>4161</v>
      </c>
      <c r="BD98" s="100">
        <v>9</v>
      </c>
      <c r="BE98" s="100">
        <v>4730.4000000000005</v>
      </c>
      <c r="BF98" s="100">
        <v>7.4392523364485976</v>
      </c>
      <c r="BG98" s="100">
        <v>3910.0710280373833</v>
      </c>
      <c r="BH98" s="100">
        <v>8.9763779527559056</v>
      </c>
      <c r="BI98" s="100">
        <v>4717.9842519685044</v>
      </c>
      <c r="BJ98" s="100">
        <v>8.2608695652173907</v>
      </c>
      <c r="BK98" s="100">
        <v>4341.913043478261</v>
      </c>
      <c r="BL98" s="100">
        <v>7</v>
      </c>
      <c r="BM98" s="100">
        <v>3679.2000000000003</v>
      </c>
      <c r="BN98" s="100">
        <v>10.614035087719298</v>
      </c>
      <c r="BO98" s="100">
        <v>5578.7368421052633</v>
      </c>
      <c r="BP98" s="100">
        <v>9.4059405940594072</v>
      </c>
      <c r="BQ98" s="100">
        <v>4943.7623762376243</v>
      </c>
      <c r="BR98" s="100">
        <v>7</v>
      </c>
      <c r="BS98" s="100">
        <v>3679.2000000000003</v>
      </c>
      <c r="BT98" s="100">
        <v>8.8611111111111107</v>
      </c>
      <c r="BU98" s="100">
        <v>4657.3999999999996</v>
      </c>
      <c r="BV98" s="100">
        <v>8.066037735849056</v>
      </c>
      <c r="BW98" s="100">
        <v>4239.5094339622638</v>
      </c>
      <c r="BX98" s="100">
        <v>6</v>
      </c>
      <c r="BY98" s="100">
        <v>3153.6000000000004</v>
      </c>
      <c r="BZ98" s="100">
        <v>9.6867469879518069</v>
      </c>
      <c r="CA98" s="100">
        <v>5091.3542168674703</v>
      </c>
      <c r="CB98" s="100">
        <v>6</v>
      </c>
      <c r="CC98" s="100">
        <v>3153.6000000000004</v>
      </c>
      <c r="CD98" s="100">
        <v>9</v>
      </c>
      <c r="CE98" s="100">
        <v>4730.4000000000005</v>
      </c>
      <c r="CF98" s="100">
        <v>10</v>
      </c>
      <c r="CG98" s="100">
        <v>5256</v>
      </c>
      <c r="CH98" s="100">
        <v>11.586206896551724</v>
      </c>
      <c r="CI98" s="100">
        <v>6089.7103448275866</v>
      </c>
      <c r="CJ98" s="100">
        <v>9.2477876106194685</v>
      </c>
      <c r="CK98" s="100">
        <v>4860.6371681415931</v>
      </c>
      <c r="CL98" s="100">
        <v>7</v>
      </c>
      <c r="CM98" s="100">
        <v>3679.2000000000003</v>
      </c>
      <c r="CN98" s="100">
        <v>8</v>
      </c>
      <c r="CO98" s="100">
        <v>4204.8</v>
      </c>
      <c r="CP98" s="100">
        <v>8</v>
      </c>
      <c r="CQ98" s="100">
        <v>4204.8</v>
      </c>
      <c r="CR98" s="100">
        <v>10</v>
      </c>
      <c r="CS98" s="100">
        <v>5256</v>
      </c>
      <c r="CT98" s="100">
        <v>7.6305220883534135</v>
      </c>
      <c r="CU98" s="100">
        <v>4010.6024096385545</v>
      </c>
    </row>
    <row r="99" spans="2:99">
      <c r="C99" s="99" t="s">
        <v>265</v>
      </c>
      <c r="D99" s="100">
        <v>7.136150234741784</v>
      </c>
      <c r="E99" s="100">
        <v>30031.77464788732</v>
      </c>
      <c r="F99" s="100">
        <v>6</v>
      </c>
      <c r="G99" s="100">
        <v>25250.399999999998</v>
      </c>
      <c r="H99" s="100">
        <v>6</v>
      </c>
      <c r="I99" s="100">
        <v>25250.399999999998</v>
      </c>
      <c r="J99" s="100">
        <v>6</v>
      </c>
      <c r="K99" s="100">
        <v>25250.399999999998</v>
      </c>
      <c r="L99" s="100">
        <v>5</v>
      </c>
      <c r="M99" s="100">
        <v>21042</v>
      </c>
      <c r="N99" s="100">
        <v>8</v>
      </c>
      <c r="O99" s="100">
        <v>33667.199999999997</v>
      </c>
      <c r="P99" s="100">
        <v>5</v>
      </c>
      <c r="Q99" s="100">
        <v>21042</v>
      </c>
      <c r="R99" s="100">
        <v>6</v>
      </c>
      <c r="S99" s="100">
        <v>25250.399999999998</v>
      </c>
      <c r="T99" s="100">
        <v>8</v>
      </c>
      <c r="U99" s="100">
        <v>33667.199999999997</v>
      </c>
      <c r="V99" s="100">
        <v>6</v>
      </c>
      <c r="W99" s="100">
        <v>25250.399999999998</v>
      </c>
      <c r="X99" s="100">
        <v>7</v>
      </c>
      <c r="Y99" s="100">
        <v>29458.799999999996</v>
      </c>
      <c r="Z99" s="100">
        <v>8</v>
      </c>
      <c r="AA99" s="100">
        <v>33667.199999999997</v>
      </c>
      <c r="AB99" s="100">
        <v>7.0924369747899156</v>
      </c>
      <c r="AC99" s="100">
        <v>29847.811764705879</v>
      </c>
      <c r="AD99" s="100">
        <v>7.8756476683937828</v>
      </c>
      <c r="AE99" s="100">
        <v>33143.875647668392</v>
      </c>
      <c r="AF99" s="100">
        <v>6.877828054298643</v>
      </c>
      <c r="AG99" s="100">
        <v>28944.651583710405</v>
      </c>
      <c r="AH99" s="100">
        <v>6</v>
      </c>
      <c r="AI99" s="100">
        <v>25250.399999999998</v>
      </c>
      <c r="AJ99" s="100">
        <v>6</v>
      </c>
      <c r="AK99" s="100">
        <v>25250.399999999998</v>
      </c>
      <c r="AL99" s="100">
        <v>7</v>
      </c>
      <c r="AM99" s="100">
        <v>29458.799999999996</v>
      </c>
      <c r="AN99" s="100">
        <v>4</v>
      </c>
      <c r="AO99" s="100">
        <v>16833.599999999999</v>
      </c>
      <c r="AP99" s="100">
        <v>8</v>
      </c>
      <c r="AQ99" s="100">
        <v>33667.199999999997</v>
      </c>
      <c r="AR99" s="100">
        <v>7</v>
      </c>
      <c r="AS99" s="100">
        <v>29458.799999999996</v>
      </c>
      <c r="AT99" s="100">
        <v>8</v>
      </c>
      <c r="AU99" s="100">
        <v>33667.199999999997</v>
      </c>
      <c r="AV99" s="100">
        <v>7</v>
      </c>
      <c r="AW99" s="100">
        <v>29458.799999999996</v>
      </c>
      <c r="AX99" s="100">
        <v>7.717171717171718</v>
      </c>
      <c r="AY99" s="100">
        <v>32476.945454545454</v>
      </c>
      <c r="AZ99" s="100">
        <v>6.9270833333333339</v>
      </c>
      <c r="BA99" s="100">
        <v>29151.9375</v>
      </c>
      <c r="BB99" s="100">
        <v>5.9375</v>
      </c>
      <c r="BC99" s="100">
        <v>24987.374999999996</v>
      </c>
      <c r="BD99" s="100">
        <v>7</v>
      </c>
      <c r="BE99" s="100">
        <v>29458.799999999996</v>
      </c>
      <c r="BF99" s="100">
        <v>6.509345794392523</v>
      </c>
      <c r="BG99" s="100">
        <v>27393.930841121492</v>
      </c>
      <c r="BH99" s="100">
        <v>6.7322834645669287</v>
      </c>
      <c r="BI99" s="100">
        <v>28332.14173228346</v>
      </c>
      <c r="BJ99" s="100">
        <v>6.6086956521739131</v>
      </c>
      <c r="BK99" s="100">
        <v>27812.034782608695</v>
      </c>
      <c r="BL99" s="100">
        <v>6</v>
      </c>
      <c r="BM99" s="100">
        <v>25250.399999999998</v>
      </c>
      <c r="BN99" s="100">
        <v>7.7192982456140342</v>
      </c>
      <c r="BO99" s="100">
        <v>32485.8947368421</v>
      </c>
      <c r="BP99" s="100">
        <v>8.4653465346534649</v>
      </c>
      <c r="BQ99" s="100">
        <v>35625.564356435636</v>
      </c>
      <c r="BR99" s="100">
        <v>5</v>
      </c>
      <c r="BS99" s="100">
        <v>21042</v>
      </c>
      <c r="BT99" s="100">
        <v>7.25</v>
      </c>
      <c r="BU99" s="100">
        <v>30510.899999999998</v>
      </c>
      <c r="BV99" s="100">
        <v>6.2735849056603774</v>
      </c>
      <c r="BW99" s="100">
        <v>26401.75471698113</v>
      </c>
      <c r="BX99" s="100">
        <v>5</v>
      </c>
      <c r="BY99" s="100">
        <v>21042</v>
      </c>
      <c r="BZ99" s="100">
        <v>7.2650602409638552</v>
      </c>
      <c r="CA99" s="100">
        <v>30574.279518072286</v>
      </c>
      <c r="CB99" s="100">
        <v>6</v>
      </c>
      <c r="CC99" s="100">
        <v>25250.399999999998</v>
      </c>
      <c r="CD99" s="100">
        <v>7</v>
      </c>
      <c r="CE99" s="100">
        <v>29458.799999999996</v>
      </c>
      <c r="CF99" s="100">
        <v>8</v>
      </c>
      <c r="CG99" s="100">
        <v>33667.199999999997</v>
      </c>
      <c r="CH99" s="100">
        <v>8.6896551724137936</v>
      </c>
      <c r="CI99" s="100">
        <v>36569.544827586207</v>
      </c>
      <c r="CJ99" s="100">
        <v>6.7256637168141591</v>
      </c>
      <c r="CK99" s="100">
        <v>28304.283185840704</v>
      </c>
      <c r="CL99" s="100">
        <v>5</v>
      </c>
      <c r="CM99" s="100">
        <v>21042</v>
      </c>
      <c r="CN99" s="100">
        <v>5</v>
      </c>
      <c r="CO99" s="100">
        <v>21042</v>
      </c>
      <c r="CP99" s="100">
        <v>5.3333333333333339</v>
      </c>
      <c r="CQ99" s="100">
        <v>22444.799999999999</v>
      </c>
      <c r="CR99" s="100">
        <v>7</v>
      </c>
      <c r="CS99" s="100">
        <v>29458.799999999996</v>
      </c>
      <c r="CT99" s="100">
        <v>6.1044176706827304</v>
      </c>
      <c r="CU99" s="100">
        <v>25689.831325301202</v>
      </c>
    </row>
    <row r="100" spans="2:99">
      <c r="C100" s="99" t="s">
        <v>266</v>
      </c>
      <c r="D100" s="100">
        <v>8.92018779342723</v>
      </c>
      <c r="E100" s="100">
        <v>2890.1408450704225</v>
      </c>
      <c r="F100" s="100">
        <v>8</v>
      </c>
      <c r="G100" s="100">
        <v>2592</v>
      </c>
      <c r="H100" s="100">
        <v>7</v>
      </c>
      <c r="I100" s="100">
        <v>2268</v>
      </c>
      <c r="J100" s="100">
        <v>9</v>
      </c>
      <c r="K100" s="100">
        <v>2916</v>
      </c>
      <c r="L100" s="100">
        <v>8</v>
      </c>
      <c r="M100" s="100">
        <v>2592</v>
      </c>
      <c r="N100" s="100">
        <v>10</v>
      </c>
      <c r="O100" s="100">
        <v>3240</v>
      </c>
      <c r="P100" s="100">
        <v>7</v>
      </c>
      <c r="Q100" s="100">
        <v>2268</v>
      </c>
      <c r="R100" s="100">
        <v>8</v>
      </c>
      <c r="S100" s="100">
        <v>2592</v>
      </c>
      <c r="T100" s="100">
        <v>10</v>
      </c>
      <c r="U100" s="100">
        <v>3240</v>
      </c>
      <c r="V100" s="100">
        <v>8</v>
      </c>
      <c r="W100" s="100">
        <v>2592</v>
      </c>
      <c r="X100" s="100">
        <v>9</v>
      </c>
      <c r="Y100" s="100">
        <v>2916</v>
      </c>
      <c r="Z100" s="100">
        <v>12</v>
      </c>
      <c r="AA100" s="100">
        <v>3888</v>
      </c>
      <c r="AB100" s="100">
        <v>8.8655462184873954</v>
      </c>
      <c r="AC100" s="100">
        <v>2872.4369747899163</v>
      </c>
      <c r="AD100" s="100">
        <v>10.82901554404145</v>
      </c>
      <c r="AE100" s="100">
        <v>3508.6010362694296</v>
      </c>
      <c r="AF100" s="100">
        <v>9.4570135746606336</v>
      </c>
      <c r="AG100" s="100">
        <v>3064.0723981900451</v>
      </c>
      <c r="AH100" s="100">
        <v>7</v>
      </c>
      <c r="AI100" s="100">
        <v>2268</v>
      </c>
      <c r="AJ100" s="100">
        <v>7</v>
      </c>
      <c r="AK100" s="100">
        <v>2268</v>
      </c>
      <c r="AL100" s="100">
        <v>10</v>
      </c>
      <c r="AM100" s="100">
        <v>3240</v>
      </c>
      <c r="AN100" s="100">
        <v>6</v>
      </c>
      <c r="AO100" s="100">
        <v>1944</v>
      </c>
      <c r="AP100" s="100">
        <v>9</v>
      </c>
      <c r="AQ100" s="100">
        <v>2916</v>
      </c>
      <c r="AR100" s="100">
        <v>9</v>
      </c>
      <c r="AS100" s="100">
        <v>2916</v>
      </c>
      <c r="AT100" s="100">
        <v>11</v>
      </c>
      <c r="AU100" s="100">
        <v>3564</v>
      </c>
      <c r="AV100" s="100">
        <v>10</v>
      </c>
      <c r="AW100" s="100">
        <v>3240</v>
      </c>
      <c r="AX100" s="100">
        <v>10.611111111111111</v>
      </c>
      <c r="AY100" s="100">
        <v>3438</v>
      </c>
      <c r="AZ100" s="100">
        <v>7.9166666666666661</v>
      </c>
      <c r="BA100" s="100">
        <v>2565</v>
      </c>
      <c r="BB100" s="100">
        <v>8.90625</v>
      </c>
      <c r="BC100" s="100">
        <v>2885.625</v>
      </c>
      <c r="BD100" s="100">
        <v>9</v>
      </c>
      <c r="BE100" s="100">
        <v>2916</v>
      </c>
      <c r="BF100" s="100">
        <v>9.2990654205607477</v>
      </c>
      <c r="BG100" s="100">
        <v>3012.8971962616824</v>
      </c>
      <c r="BH100" s="100">
        <v>9.7244094488188981</v>
      </c>
      <c r="BI100" s="100">
        <v>3150.7086614173231</v>
      </c>
      <c r="BJ100" s="100">
        <v>9.0869565217391308</v>
      </c>
      <c r="BK100" s="100">
        <v>2944.1739130434785</v>
      </c>
      <c r="BL100" s="100">
        <v>7</v>
      </c>
      <c r="BM100" s="100">
        <v>2268</v>
      </c>
      <c r="BN100" s="100">
        <v>9.6491228070175428</v>
      </c>
      <c r="BO100" s="100">
        <v>3126.3157894736837</v>
      </c>
      <c r="BP100" s="100">
        <v>11.287128712871286</v>
      </c>
      <c r="BQ100" s="100">
        <v>3657.029702970297</v>
      </c>
      <c r="BR100" s="100">
        <v>8</v>
      </c>
      <c r="BS100" s="100">
        <v>2592</v>
      </c>
      <c r="BT100" s="100">
        <v>9.6666666666666661</v>
      </c>
      <c r="BU100" s="100">
        <v>3132</v>
      </c>
      <c r="BV100" s="100">
        <v>8.066037735849056</v>
      </c>
      <c r="BW100" s="100">
        <v>2613.3962264150941</v>
      </c>
      <c r="BX100" s="100">
        <v>6</v>
      </c>
      <c r="BY100" s="100">
        <v>1944</v>
      </c>
      <c r="BZ100" s="100">
        <v>8.8795180722891569</v>
      </c>
      <c r="CA100" s="100">
        <v>2876.9638554216867</v>
      </c>
      <c r="CB100" s="100">
        <v>8</v>
      </c>
      <c r="CC100" s="100">
        <v>2592</v>
      </c>
      <c r="CD100" s="100">
        <v>10</v>
      </c>
      <c r="CE100" s="100">
        <v>3240</v>
      </c>
      <c r="CF100" s="100">
        <v>10</v>
      </c>
      <c r="CG100" s="100">
        <v>3240</v>
      </c>
      <c r="CH100" s="100">
        <v>11.586206896551724</v>
      </c>
      <c r="CI100" s="100">
        <v>3753.9310344827586</v>
      </c>
      <c r="CJ100" s="100">
        <v>7.5663716814159292</v>
      </c>
      <c r="CK100" s="100">
        <v>2451.5044247787609</v>
      </c>
      <c r="CL100" s="100">
        <v>8</v>
      </c>
      <c r="CM100" s="100">
        <v>2592</v>
      </c>
      <c r="CN100" s="100">
        <v>8</v>
      </c>
      <c r="CO100" s="100">
        <v>2592</v>
      </c>
      <c r="CP100" s="100">
        <v>8.8888888888888893</v>
      </c>
      <c r="CQ100" s="100">
        <v>2880</v>
      </c>
      <c r="CR100" s="100">
        <v>10</v>
      </c>
      <c r="CS100" s="100">
        <v>3240</v>
      </c>
      <c r="CT100" s="100">
        <v>9.1566265060240966</v>
      </c>
      <c r="CU100" s="100">
        <v>2966.7469879518071</v>
      </c>
    </row>
    <row r="101" spans="2:99">
      <c r="C101" s="99" t="s">
        <v>267</v>
      </c>
      <c r="D101" s="100">
        <v>9.8122065727699539</v>
      </c>
      <c r="E101" s="100">
        <v>7100.1126760563393</v>
      </c>
      <c r="F101" s="100">
        <v>9</v>
      </c>
      <c r="G101" s="100">
        <v>6512.4000000000005</v>
      </c>
      <c r="H101" s="100">
        <v>7</v>
      </c>
      <c r="I101" s="100">
        <v>5065.2</v>
      </c>
      <c r="J101" s="100">
        <v>9</v>
      </c>
      <c r="K101" s="100">
        <v>6512.4000000000005</v>
      </c>
      <c r="L101" s="100">
        <v>7</v>
      </c>
      <c r="M101" s="100">
        <v>5065.2</v>
      </c>
      <c r="N101" s="100">
        <v>9</v>
      </c>
      <c r="O101" s="100">
        <v>6512.4000000000005</v>
      </c>
      <c r="P101" s="100">
        <v>7</v>
      </c>
      <c r="Q101" s="100">
        <v>5065.2</v>
      </c>
      <c r="R101" s="100">
        <v>8</v>
      </c>
      <c r="S101" s="100">
        <v>5788.8</v>
      </c>
      <c r="T101" s="100">
        <v>10</v>
      </c>
      <c r="U101" s="100">
        <v>7236</v>
      </c>
      <c r="V101" s="100">
        <v>8</v>
      </c>
      <c r="W101" s="100">
        <v>5788.8</v>
      </c>
      <c r="X101" s="100">
        <v>10</v>
      </c>
      <c r="Y101" s="100">
        <v>7236</v>
      </c>
      <c r="Z101" s="100">
        <v>10</v>
      </c>
      <c r="AA101" s="100">
        <v>7236</v>
      </c>
      <c r="AB101" s="100">
        <v>10.638655462184873</v>
      </c>
      <c r="AC101" s="100">
        <v>7698.1310924369745</v>
      </c>
      <c r="AD101" s="100">
        <v>10.82901554404145</v>
      </c>
      <c r="AE101" s="100">
        <v>7835.8756476683939</v>
      </c>
      <c r="AF101" s="100">
        <v>9.4570135746606336</v>
      </c>
      <c r="AG101" s="100">
        <v>6843.0950226244349</v>
      </c>
      <c r="AH101" s="100">
        <v>7</v>
      </c>
      <c r="AI101" s="100">
        <v>5065.2</v>
      </c>
      <c r="AJ101" s="100">
        <v>7</v>
      </c>
      <c r="AK101" s="100">
        <v>5065.2</v>
      </c>
      <c r="AL101" s="100">
        <v>10</v>
      </c>
      <c r="AM101" s="100">
        <v>7236</v>
      </c>
      <c r="AN101" s="100">
        <v>6</v>
      </c>
      <c r="AO101" s="100">
        <v>4341.6000000000004</v>
      </c>
      <c r="AP101" s="100">
        <v>10</v>
      </c>
      <c r="AQ101" s="100">
        <v>7236</v>
      </c>
      <c r="AR101" s="100">
        <v>10</v>
      </c>
      <c r="AS101" s="100">
        <v>7236</v>
      </c>
      <c r="AT101" s="100">
        <v>11</v>
      </c>
      <c r="AU101" s="100">
        <v>7959.6</v>
      </c>
      <c r="AV101" s="100">
        <v>10</v>
      </c>
      <c r="AW101" s="100">
        <v>7236</v>
      </c>
      <c r="AX101" s="100">
        <v>8.6818181818181817</v>
      </c>
      <c r="AY101" s="100">
        <v>6282.1636363636362</v>
      </c>
      <c r="AZ101" s="100">
        <v>8.90625</v>
      </c>
      <c r="BA101" s="100">
        <v>6444.5625</v>
      </c>
      <c r="BB101" s="100">
        <v>7.9166666666666661</v>
      </c>
      <c r="BC101" s="100">
        <v>5728.5</v>
      </c>
      <c r="BD101" s="100">
        <v>8</v>
      </c>
      <c r="BE101" s="100">
        <v>5788.8</v>
      </c>
      <c r="BF101" s="100">
        <v>9.2990654205607477</v>
      </c>
      <c r="BG101" s="100">
        <v>6728.8037383177571</v>
      </c>
      <c r="BH101" s="100">
        <v>8.9763779527559056</v>
      </c>
      <c r="BI101" s="100">
        <v>6495.3070866141734</v>
      </c>
      <c r="BJ101" s="100">
        <v>9.0869565217391308</v>
      </c>
      <c r="BK101" s="100">
        <v>6575.3217391304352</v>
      </c>
      <c r="BL101" s="100">
        <v>6</v>
      </c>
      <c r="BM101" s="100">
        <v>4341.6000000000004</v>
      </c>
      <c r="BN101" s="100">
        <v>10.614035087719298</v>
      </c>
      <c r="BO101" s="100">
        <v>7680.3157894736842</v>
      </c>
      <c r="BP101" s="100">
        <v>9.4059405940594072</v>
      </c>
      <c r="BQ101" s="100">
        <v>6806.1386138613871</v>
      </c>
      <c r="BR101" s="100">
        <v>8</v>
      </c>
      <c r="BS101" s="100">
        <v>5788.8</v>
      </c>
      <c r="BT101" s="100">
        <v>8.8611111111111107</v>
      </c>
      <c r="BU101" s="100">
        <v>6411.9</v>
      </c>
      <c r="BV101" s="100">
        <v>8.066037735849056</v>
      </c>
      <c r="BW101" s="100">
        <v>5836.5849056603774</v>
      </c>
      <c r="BX101" s="100">
        <v>7</v>
      </c>
      <c r="BY101" s="100">
        <v>5065.2</v>
      </c>
      <c r="BZ101" s="100">
        <v>9.6867469879518069</v>
      </c>
      <c r="CA101" s="100">
        <v>7009.3301204819281</v>
      </c>
      <c r="CB101" s="100">
        <v>6</v>
      </c>
      <c r="CC101" s="100">
        <v>4341.6000000000004</v>
      </c>
      <c r="CD101" s="100">
        <v>8</v>
      </c>
      <c r="CE101" s="100">
        <v>5788.8</v>
      </c>
      <c r="CF101" s="100">
        <v>9</v>
      </c>
      <c r="CG101" s="100">
        <v>6512.4000000000005</v>
      </c>
      <c r="CH101" s="100">
        <v>10.620689655172415</v>
      </c>
      <c r="CI101" s="100">
        <v>7685.1310344827598</v>
      </c>
      <c r="CJ101" s="100">
        <v>8.4070796460176993</v>
      </c>
      <c r="CK101" s="100">
        <v>6083.3628318584078</v>
      </c>
      <c r="CL101" s="100">
        <v>6</v>
      </c>
      <c r="CM101" s="100">
        <v>4341.6000000000004</v>
      </c>
      <c r="CN101" s="100">
        <v>8</v>
      </c>
      <c r="CO101" s="100">
        <v>5788.8</v>
      </c>
      <c r="CP101" s="100">
        <v>8</v>
      </c>
      <c r="CQ101" s="100">
        <v>5788.8</v>
      </c>
      <c r="CR101" s="100">
        <v>10</v>
      </c>
      <c r="CS101" s="100">
        <v>7236</v>
      </c>
      <c r="CT101" s="100">
        <v>9.1566265060240966</v>
      </c>
      <c r="CU101" s="100">
        <v>6625.734939759036</v>
      </c>
    </row>
    <row r="102" spans="2:99">
      <c r="C102" s="99" t="s">
        <v>268</v>
      </c>
      <c r="D102" s="100">
        <v>9.8122065727699539</v>
      </c>
      <c r="E102" s="100">
        <v>5216.1690140845076</v>
      </c>
      <c r="F102" s="100">
        <v>9</v>
      </c>
      <c r="G102" s="100">
        <v>4784.4000000000005</v>
      </c>
      <c r="H102" s="100">
        <v>7</v>
      </c>
      <c r="I102" s="100">
        <v>3721.2000000000003</v>
      </c>
      <c r="J102" s="100">
        <v>8</v>
      </c>
      <c r="K102" s="100">
        <v>4252.8</v>
      </c>
      <c r="L102" s="100">
        <v>7</v>
      </c>
      <c r="M102" s="100">
        <v>3721.2000000000003</v>
      </c>
      <c r="N102" s="100">
        <v>9</v>
      </c>
      <c r="O102" s="100">
        <v>4784.4000000000005</v>
      </c>
      <c r="P102" s="100">
        <v>7</v>
      </c>
      <c r="Q102" s="100">
        <v>3721.2000000000003</v>
      </c>
      <c r="R102" s="100">
        <v>7</v>
      </c>
      <c r="S102" s="100">
        <v>3721.2000000000003</v>
      </c>
      <c r="T102" s="100">
        <v>11</v>
      </c>
      <c r="U102" s="100">
        <v>5847.6</v>
      </c>
      <c r="V102" s="100">
        <v>7</v>
      </c>
      <c r="W102" s="100">
        <v>3721.2000000000003</v>
      </c>
      <c r="X102" s="100">
        <v>9</v>
      </c>
      <c r="Y102" s="100">
        <v>4784.4000000000005</v>
      </c>
      <c r="Z102" s="100">
        <v>11</v>
      </c>
      <c r="AA102" s="100">
        <v>5847.6</v>
      </c>
      <c r="AB102" s="100">
        <v>10.638655462184873</v>
      </c>
      <c r="AC102" s="100">
        <v>5655.5092436974792</v>
      </c>
      <c r="AD102" s="100">
        <v>9.8445595854922274</v>
      </c>
      <c r="AE102" s="100">
        <v>5233.3678756476684</v>
      </c>
      <c r="AF102" s="100">
        <v>9.4570135746606336</v>
      </c>
      <c r="AG102" s="100">
        <v>5027.3484162895929</v>
      </c>
      <c r="AH102" s="100">
        <v>7</v>
      </c>
      <c r="AI102" s="100">
        <v>3721.2000000000003</v>
      </c>
      <c r="AJ102" s="100">
        <v>7</v>
      </c>
      <c r="AK102" s="100">
        <v>3721.2000000000003</v>
      </c>
      <c r="AL102" s="100">
        <v>11</v>
      </c>
      <c r="AM102" s="100">
        <v>5847.6</v>
      </c>
      <c r="AN102" s="100">
        <v>7</v>
      </c>
      <c r="AO102" s="100">
        <v>3721.2000000000003</v>
      </c>
      <c r="AP102" s="100">
        <v>10</v>
      </c>
      <c r="AQ102" s="100">
        <v>5316</v>
      </c>
      <c r="AR102" s="100">
        <v>10</v>
      </c>
      <c r="AS102" s="100">
        <v>5316</v>
      </c>
      <c r="AT102" s="100">
        <v>11</v>
      </c>
      <c r="AU102" s="100">
        <v>5847.6</v>
      </c>
      <c r="AV102" s="100">
        <v>9</v>
      </c>
      <c r="AW102" s="100">
        <v>4784.4000000000005</v>
      </c>
      <c r="AX102" s="100">
        <v>10.611111111111111</v>
      </c>
      <c r="AY102" s="100">
        <v>5640.8666666666668</v>
      </c>
      <c r="AZ102" s="100">
        <v>8.90625</v>
      </c>
      <c r="BA102" s="100">
        <v>4734.5625</v>
      </c>
      <c r="BB102" s="100">
        <v>7.9166666666666661</v>
      </c>
      <c r="BC102" s="100">
        <v>4208.5</v>
      </c>
      <c r="BD102" s="100">
        <v>9</v>
      </c>
      <c r="BE102" s="100">
        <v>4784.4000000000005</v>
      </c>
      <c r="BF102" s="100">
        <v>9.2990654205607477</v>
      </c>
      <c r="BG102" s="100">
        <v>4943.3831775700937</v>
      </c>
      <c r="BH102" s="100">
        <v>8.9763779527559056</v>
      </c>
      <c r="BI102" s="100">
        <v>4771.8425196850394</v>
      </c>
      <c r="BJ102" s="100">
        <v>8.2608695652173907</v>
      </c>
      <c r="BK102" s="100">
        <v>4391.478260869565</v>
      </c>
      <c r="BL102" s="100">
        <v>7</v>
      </c>
      <c r="BM102" s="100">
        <v>3721.2000000000003</v>
      </c>
      <c r="BN102" s="100">
        <v>11.578947368421051</v>
      </c>
      <c r="BO102" s="100">
        <v>6155.3684210526308</v>
      </c>
      <c r="BP102" s="100">
        <v>10.346534653465346</v>
      </c>
      <c r="BQ102" s="100">
        <v>5500.2178217821784</v>
      </c>
      <c r="BR102" s="100">
        <v>8</v>
      </c>
      <c r="BS102" s="100">
        <v>4252.8</v>
      </c>
      <c r="BT102" s="100">
        <v>8.8611111111111107</v>
      </c>
      <c r="BU102" s="100">
        <v>4710.5666666666666</v>
      </c>
      <c r="BV102" s="100">
        <v>8.9622641509433976</v>
      </c>
      <c r="BW102" s="100">
        <v>4764.3396226415107</v>
      </c>
      <c r="BX102" s="100">
        <v>6</v>
      </c>
      <c r="BY102" s="100">
        <v>3189.6000000000004</v>
      </c>
      <c r="BZ102" s="100">
        <v>8.8795180722891569</v>
      </c>
      <c r="CA102" s="100">
        <v>4720.3518072289162</v>
      </c>
      <c r="CB102" s="100">
        <v>6</v>
      </c>
      <c r="CC102" s="100">
        <v>3189.6000000000004</v>
      </c>
      <c r="CD102" s="100">
        <v>8</v>
      </c>
      <c r="CE102" s="100">
        <v>4252.8</v>
      </c>
      <c r="CF102" s="100">
        <v>11</v>
      </c>
      <c r="CG102" s="100">
        <v>5847.6</v>
      </c>
      <c r="CH102" s="100">
        <v>11.586206896551724</v>
      </c>
      <c r="CI102" s="100">
        <v>6159.2275862068973</v>
      </c>
      <c r="CJ102" s="100">
        <v>7.5663716814159292</v>
      </c>
      <c r="CK102" s="100">
        <v>4022.283185840708</v>
      </c>
      <c r="CL102" s="100">
        <v>7</v>
      </c>
      <c r="CM102" s="100">
        <v>3721.2000000000003</v>
      </c>
      <c r="CN102" s="100">
        <v>7</v>
      </c>
      <c r="CO102" s="100">
        <v>3721.2000000000003</v>
      </c>
      <c r="CP102" s="100">
        <v>8</v>
      </c>
      <c r="CQ102" s="100">
        <v>4252.8</v>
      </c>
      <c r="CR102" s="100">
        <v>10</v>
      </c>
      <c r="CS102" s="100">
        <v>5316</v>
      </c>
      <c r="CT102" s="100">
        <v>9.1566265060240966</v>
      </c>
      <c r="CU102" s="100">
        <v>4867.6626506024095</v>
      </c>
    </row>
    <row r="103" spans="2:99">
      <c r="C103" s="99" t="s">
        <v>269</v>
      </c>
      <c r="D103" s="100">
        <v>9.8122065727699539</v>
      </c>
      <c r="E103" s="100">
        <v>5781.3521126760561</v>
      </c>
      <c r="F103" s="100">
        <v>9</v>
      </c>
      <c r="G103" s="100">
        <v>5302.7999999999993</v>
      </c>
      <c r="H103" s="100">
        <v>7</v>
      </c>
      <c r="I103" s="100">
        <v>4124.3999999999996</v>
      </c>
      <c r="J103" s="100">
        <v>8</v>
      </c>
      <c r="K103" s="100">
        <v>4713.5999999999995</v>
      </c>
      <c r="L103" s="100">
        <v>8</v>
      </c>
      <c r="M103" s="100">
        <v>4713.5999999999995</v>
      </c>
      <c r="N103" s="100">
        <v>10</v>
      </c>
      <c r="O103" s="100">
        <v>5891.9999999999991</v>
      </c>
      <c r="P103" s="100">
        <v>7</v>
      </c>
      <c r="Q103" s="100">
        <v>4124.3999999999996</v>
      </c>
      <c r="R103" s="100">
        <v>8</v>
      </c>
      <c r="S103" s="100">
        <v>4713.5999999999995</v>
      </c>
      <c r="T103" s="100">
        <v>10</v>
      </c>
      <c r="U103" s="100">
        <v>5891.9999999999991</v>
      </c>
      <c r="V103" s="100">
        <v>8</v>
      </c>
      <c r="W103" s="100">
        <v>4713.5999999999995</v>
      </c>
      <c r="X103" s="100">
        <v>10</v>
      </c>
      <c r="Y103" s="100">
        <v>5891.9999999999991</v>
      </c>
      <c r="Z103" s="100">
        <v>11</v>
      </c>
      <c r="AA103" s="100">
        <v>6481.1999999999989</v>
      </c>
      <c r="AB103" s="100">
        <v>9.7521008403361353</v>
      </c>
      <c r="AC103" s="100">
        <v>5745.9378151260498</v>
      </c>
      <c r="AD103" s="100">
        <v>11.813471502590673</v>
      </c>
      <c r="AE103" s="100">
        <v>6960.4974093264236</v>
      </c>
      <c r="AF103" s="100">
        <v>8.5972850678733028</v>
      </c>
      <c r="AG103" s="100">
        <v>5065.5203619909498</v>
      </c>
      <c r="AH103" s="100">
        <v>8</v>
      </c>
      <c r="AI103" s="100">
        <v>4713.5999999999995</v>
      </c>
      <c r="AJ103" s="100">
        <v>7</v>
      </c>
      <c r="AK103" s="100">
        <v>4124.3999999999996</v>
      </c>
      <c r="AL103" s="100">
        <v>10</v>
      </c>
      <c r="AM103" s="100">
        <v>5891.9999999999991</v>
      </c>
      <c r="AN103" s="100">
        <v>6</v>
      </c>
      <c r="AO103" s="100">
        <v>3535.2</v>
      </c>
      <c r="AP103" s="100">
        <v>9</v>
      </c>
      <c r="AQ103" s="100">
        <v>5302.7999999999993</v>
      </c>
      <c r="AR103" s="100">
        <v>10</v>
      </c>
      <c r="AS103" s="100">
        <v>5891.9999999999991</v>
      </c>
      <c r="AT103" s="100">
        <v>11</v>
      </c>
      <c r="AU103" s="100">
        <v>6481.1999999999989</v>
      </c>
      <c r="AV103" s="100">
        <v>11</v>
      </c>
      <c r="AW103" s="100">
        <v>6481.1999999999989</v>
      </c>
      <c r="AX103" s="100">
        <v>9.6464646464646471</v>
      </c>
      <c r="AY103" s="100">
        <v>5683.6969696969691</v>
      </c>
      <c r="AZ103" s="100">
        <v>7.9166666666666661</v>
      </c>
      <c r="BA103" s="100">
        <v>4664.4999999999991</v>
      </c>
      <c r="BB103" s="100">
        <v>7.9166666666666661</v>
      </c>
      <c r="BC103" s="100">
        <v>4664.4999999999991</v>
      </c>
      <c r="BD103" s="100">
        <v>8</v>
      </c>
      <c r="BE103" s="100">
        <v>4713.5999999999995</v>
      </c>
      <c r="BF103" s="100">
        <v>7.4392523364485976</v>
      </c>
      <c r="BG103" s="100">
        <v>4383.2074766355136</v>
      </c>
      <c r="BH103" s="100">
        <v>8.9763779527559056</v>
      </c>
      <c r="BI103" s="100">
        <v>5288.8818897637793</v>
      </c>
      <c r="BJ103" s="100">
        <v>9.0869565217391308</v>
      </c>
      <c r="BK103" s="100">
        <v>5354.0347826086954</v>
      </c>
      <c r="BL103" s="100">
        <v>7</v>
      </c>
      <c r="BM103" s="100">
        <v>4124.3999999999996</v>
      </c>
      <c r="BN103" s="100">
        <v>10.614035087719298</v>
      </c>
      <c r="BO103" s="100">
        <v>6253.78947368421</v>
      </c>
      <c r="BP103" s="100">
        <v>11.287128712871286</v>
      </c>
      <c r="BQ103" s="100">
        <v>6650.376237623761</v>
      </c>
      <c r="BR103" s="100">
        <v>7</v>
      </c>
      <c r="BS103" s="100">
        <v>4124.3999999999996</v>
      </c>
      <c r="BT103" s="100">
        <v>8.0555555555555554</v>
      </c>
      <c r="BU103" s="100">
        <v>4746.333333333333</v>
      </c>
      <c r="BV103" s="100">
        <v>8.9622641509433976</v>
      </c>
      <c r="BW103" s="100">
        <v>5280.566037735849</v>
      </c>
      <c r="BX103" s="100">
        <v>6</v>
      </c>
      <c r="BY103" s="100">
        <v>3535.2</v>
      </c>
      <c r="BZ103" s="100">
        <v>9.6867469879518069</v>
      </c>
      <c r="CA103" s="100">
        <v>5707.4313253012042</v>
      </c>
      <c r="CB103" s="100">
        <v>6</v>
      </c>
      <c r="CC103" s="100">
        <v>3535.2</v>
      </c>
      <c r="CD103" s="100">
        <v>9</v>
      </c>
      <c r="CE103" s="100">
        <v>5302.7999999999993</v>
      </c>
      <c r="CF103" s="100">
        <v>10</v>
      </c>
      <c r="CG103" s="100">
        <v>5891.9999999999991</v>
      </c>
      <c r="CH103" s="100">
        <v>11.586206896551724</v>
      </c>
      <c r="CI103" s="100">
        <v>6826.5931034482755</v>
      </c>
      <c r="CJ103" s="100">
        <v>7.5663716814159292</v>
      </c>
      <c r="CK103" s="100">
        <v>4458.1061946902646</v>
      </c>
      <c r="CL103" s="100">
        <v>7</v>
      </c>
      <c r="CM103" s="100">
        <v>4124.3999999999996</v>
      </c>
      <c r="CN103" s="100">
        <v>7</v>
      </c>
      <c r="CO103" s="100">
        <v>4124.3999999999996</v>
      </c>
      <c r="CP103" s="100">
        <v>8</v>
      </c>
      <c r="CQ103" s="100">
        <v>4713.5999999999995</v>
      </c>
      <c r="CR103" s="100">
        <v>10</v>
      </c>
      <c r="CS103" s="100">
        <v>5891.9999999999991</v>
      </c>
      <c r="CT103" s="100">
        <v>9.1566265060240966</v>
      </c>
      <c r="CU103" s="100">
        <v>5395.0843373493972</v>
      </c>
    </row>
    <row r="104" spans="2:99">
      <c r="C104" s="99" t="s">
        <v>270</v>
      </c>
      <c r="D104" s="100">
        <v>8.92018779342723</v>
      </c>
      <c r="E104" s="100">
        <v>5641.1267605633802</v>
      </c>
      <c r="F104" s="100">
        <v>8</v>
      </c>
      <c r="G104" s="100">
        <v>5059.2</v>
      </c>
      <c r="H104" s="100">
        <v>7</v>
      </c>
      <c r="I104" s="100">
        <v>4426.8</v>
      </c>
      <c r="J104" s="100">
        <v>8</v>
      </c>
      <c r="K104" s="100">
        <v>5059.2</v>
      </c>
      <c r="L104" s="100">
        <v>7</v>
      </c>
      <c r="M104" s="100">
        <v>4426.8</v>
      </c>
      <c r="N104" s="100">
        <v>9</v>
      </c>
      <c r="O104" s="100">
        <v>5691.5999999999995</v>
      </c>
      <c r="P104" s="100">
        <v>7</v>
      </c>
      <c r="Q104" s="100">
        <v>4426.8</v>
      </c>
      <c r="R104" s="100">
        <v>8</v>
      </c>
      <c r="S104" s="100">
        <v>5059.2</v>
      </c>
      <c r="T104" s="100">
        <v>10</v>
      </c>
      <c r="U104" s="100">
        <v>6324</v>
      </c>
      <c r="V104" s="100">
        <v>8</v>
      </c>
      <c r="W104" s="100">
        <v>5059.2</v>
      </c>
      <c r="X104" s="100">
        <v>10</v>
      </c>
      <c r="Y104" s="100">
        <v>6324</v>
      </c>
      <c r="Z104" s="100">
        <v>11</v>
      </c>
      <c r="AA104" s="100">
        <v>6956.4</v>
      </c>
      <c r="AB104" s="100">
        <v>9.7521008403361353</v>
      </c>
      <c r="AC104" s="100">
        <v>6167.2285714285717</v>
      </c>
      <c r="AD104" s="100">
        <v>11.813471502590673</v>
      </c>
      <c r="AE104" s="100">
        <v>7470.8393782383409</v>
      </c>
      <c r="AF104" s="100">
        <v>8.5972850678733028</v>
      </c>
      <c r="AG104" s="100">
        <v>5436.9230769230762</v>
      </c>
      <c r="AH104" s="100">
        <v>7</v>
      </c>
      <c r="AI104" s="100">
        <v>4426.8</v>
      </c>
      <c r="AJ104" s="100">
        <v>7</v>
      </c>
      <c r="AK104" s="100">
        <v>4426.8</v>
      </c>
      <c r="AL104" s="100">
        <v>10</v>
      </c>
      <c r="AM104" s="100">
        <v>6324</v>
      </c>
      <c r="AN104" s="100">
        <v>7</v>
      </c>
      <c r="AO104" s="100">
        <v>4426.8</v>
      </c>
      <c r="AP104" s="100">
        <v>10</v>
      </c>
      <c r="AQ104" s="100">
        <v>6324</v>
      </c>
      <c r="AR104" s="100">
        <v>9</v>
      </c>
      <c r="AS104" s="100">
        <v>5691.5999999999995</v>
      </c>
      <c r="AT104" s="100">
        <v>10</v>
      </c>
      <c r="AU104" s="100">
        <v>6324</v>
      </c>
      <c r="AV104" s="100">
        <v>9</v>
      </c>
      <c r="AW104" s="100">
        <v>5691.5999999999995</v>
      </c>
      <c r="AX104" s="100">
        <v>9.6464646464646471</v>
      </c>
      <c r="AY104" s="100">
        <v>6100.4242424242429</v>
      </c>
      <c r="AZ104" s="100">
        <v>7.9166666666666661</v>
      </c>
      <c r="BA104" s="100">
        <v>5006.4999999999991</v>
      </c>
      <c r="BB104" s="100">
        <v>6.9270833333333339</v>
      </c>
      <c r="BC104" s="100">
        <v>4380.6875</v>
      </c>
      <c r="BD104" s="100">
        <v>9</v>
      </c>
      <c r="BE104" s="100">
        <v>5691.5999999999995</v>
      </c>
      <c r="BF104" s="100">
        <v>8.3691588785046722</v>
      </c>
      <c r="BG104" s="100">
        <v>5292.6560747663543</v>
      </c>
      <c r="BH104" s="100">
        <v>8.9763779527559056</v>
      </c>
      <c r="BI104" s="100">
        <v>5676.6614173228345</v>
      </c>
      <c r="BJ104" s="100">
        <v>8.2608695652173907</v>
      </c>
      <c r="BK104" s="100">
        <v>5224.173913043478</v>
      </c>
      <c r="BL104" s="100">
        <v>7</v>
      </c>
      <c r="BM104" s="100">
        <v>4426.8</v>
      </c>
      <c r="BN104" s="100">
        <v>9.6491228070175428</v>
      </c>
      <c r="BO104" s="100">
        <v>6102.1052631578941</v>
      </c>
      <c r="BP104" s="100">
        <v>10.346534653465346</v>
      </c>
      <c r="BQ104" s="100">
        <v>6543.1485148514848</v>
      </c>
      <c r="BR104" s="100">
        <v>7</v>
      </c>
      <c r="BS104" s="100">
        <v>4426.8</v>
      </c>
      <c r="BT104" s="100">
        <v>9.6666666666666661</v>
      </c>
      <c r="BU104" s="100">
        <v>6113.2</v>
      </c>
      <c r="BV104" s="100">
        <v>8.066037735849056</v>
      </c>
      <c r="BW104" s="100">
        <v>5100.9622641509432</v>
      </c>
      <c r="BX104" s="100">
        <v>7</v>
      </c>
      <c r="BY104" s="100">
        <v>4426.8</v>
      </c>
      <c r="BZ104" s="100">
        <v>8.8795180722891569</v>
      </c>
      <c r="CA104" s="100">
        <v>5615.4072289156629</v>
      </c>
      <c r="CB104" s="100">
        <v>7</v>
      </c>
      <c r="CC104" s="100">
        <v>4426.8</v>
      </c>
      <c r="CD104" s="100">
        <v>9</v>
      </c>
      <c r="CE104" s="100">
        <v>5691.5999999999995</v>
      </c>
      <c r="CF104" s="100">
        <v>11</v>
      </c>
      <c r="CG104" s="100">
        <v>6956.4</v>
      </c>
      <c r="CH104" s="100">
        <v>11.586206896551724</v>
      </c>
      <c r="CI104" s="100">
        <v>7327.1172413793101</v>
      </c>
      <c r="CJ104" s="100">
        <v>7.5663716814159292</v>
      </c>
      <c r="CK104" s="100">
        <v>4784.9734513274334</v>
      </c>
      <c r="CL104" s="100">
        <v>7</v>
      </c>
      <c r="CM104" s="100">
        <v>4426.8</v>
      </c>
      <c r="CN104" s="100">
        <v>7</v>
      </c>
      <c r="CO104" s="100">
        <v>4426.8</v>
      </c>
      <c r="CP104" s="100">
        <v>8</v>
      </c>
      <c r="CQ104" s="100">
        <v>5059.2</v>
      </c>
      <c r="CR104" s="100">
        <v>11</v>
      </c>
      <c r="CS104" s="100">
        <v>6956.4</v>
      </c>
      <c r="CT104" s="100">
        <v>8.3935742971887546</v>
      </c>
      <c r="CU104" s="100">
        <v>5308.0963855421678</v>
      </c>
    </row>
    <row r="105" spans="2:99">
      <c r="C105" s="99" t="s">
        <v>271</v>
      </c>
      <c r="D105" s="100">
        <v>8.92018779342723</v>
      </c>
      <c r="E105" s="100">
        <v>4966.7605633802814</v>
      </c>
      <c r="F105" s="100">
        <v>8</v>
      </c>
      <c r="G105" s="100">
        <v>4454.3999999999996</v>
      </c>
      <c r="H105" s="100">
        <v>7</v>
      </c>
      <c r="I105" s="100">
        <v>3897.5999999999995</v>
      </c>
      <c r="J105" s="100">
        <v>9</v>
      </c>
      <c r="K105" s="100">
        <v>5011.2</v>
      </c>
      <c r="L105" s="100">
        <v>7</v>
      </c>
      <c r="M105" s="100">
        <v>3897.5999999999995</v>
      </c>
      <c r="N105" s="100">
        <v>9</v>
      </c>
      <c r="O105" s="100">
        <v>5011.2</v>
      </c>
      <c r="P105" s="100">
        <v>6</v>
      </c>
      <c r="Q105" s="100">
        <v>3340.7999999999997</v>
      </c>
      <c r="R105" s="100">
        <v>8</v>
      </c>
      <c r="S105" s="100">
        <v>4454.3999999999996</v>
      </c>
      <c r="T105" s="100">
        <v>10</v>
      </c>
      <c r="U105" s="100">
        <v>5568</v>
      </c>
      <c r="V105" s="100">
        <v>7</v>
      </c>
      <c r="W105" s="100">
        <v>3897.5999999999995</v>
      </c>
      <c r="X105" s="100">
        <v>9</v>
      </c>
      <c r="Y105" s="100">
        <v>5011.2</v>
      </c>
      <c r="Z105" s="100">
        <v>12</v>
      </c>
      <c r="AA105" s="100">
        <v>6681.5999999999995</v>
      </c>
      <c r="AB105" s="100">
        <v>10.638655462184873</v>
      </c>
      <c r="AC105" s="100">
        <v>5923.603361344537</v>
      </c>
      <c r="AD105" s="100">
        <v>9.8445595854922274</v>
      </c>
      <c r="AE105" s="100">
        <v>5481.4507772020715</v>
      </c>
      <c r="AF105" s="100">
        <v>9.4570135746606336</v>
      </c>
      <c r="AG105" s="100">
        <v>5265.66515837104</v>
      </c>
      <c r="AH105" s="100">
        <v>7</v>
      </c>
      <c r="AI105" s="100">
        <v>3897.5999999999995</v>
      </c>
      <c r="AJ105" s="100">
        <v>8</v>
      </c>
      <c r="AK105" s="100">
        <v>4454.3999999999996</v>
      </c>
      <c r="AL105" s="100">
        <v>11</v>
      </c>
      <c r="AM105" s="100">
        <v>6124.7999999999993</v>
      </c>
      <c r="AN105" s="100">
        <v>6</v>
      </c>
      <c r="AO105" s="100">
        <v>3340.7999999999997</v>
      </c>
      <c r="AP105" s="100">
        <v>10</v>
      </c>
      <c r="AQ105" s="100">
        <v>5568</v>
      </c>
      <c r="AR105" s="100">
        <v>9</v>
      </c>
      <c r="AS105" s="100">
        <v>5011.2</v>
      </c>
      <c r="AT105" s="100">
        <v>12</v>
      </c>
      <c r="AU105" s="100">
        <v>6681.5999999999995</v>
      </c>
      <c r="AV105" s="100">
        <v>11</v>
      </c>
      <c r="AW105" s="100">
        <v>6124.7999999999993</v>
      </c>
      <c r="AX105" s="100">
        <v>10.611111111111111</v>
      </c>
      <c r="AY105" s="100">
        <v>5908.2666666666655</v>
      </c>
      <c r="AZ105" s="100">
        <v>8.90625</v>
      </c>
      <c r="BA105" s="100">
        <v>4959</v>
      </c>
      <c r="BB105" s="100">
        <v>7.9166666666666661</v>
      </c>
      <c r="BC105" s="100">
        <v>4407.9999999999991</v>
      </c>
      <c r="BD105" s="100">
        <v>9</v>
      </c>
      <c r="BE105" s="100">
        <v>5011.2</v>
      </c>
      <c r="BF105" s="100">
        <v>9.2990654205607477</v>
      </c>
      <c r="BG105" s="100">
        <v>5177.7196261682238</v>
      </c>
      <c r="BH105" s="100">
        <v>9.7244094488188981</v>
      </c>
      <c r="BI105" s="100">
        <v>5414.5511811023616</v>
      </c>
      <c r="BJ105" s="100">
        <v>8.2608695652173907</v>
      </c>
      <c r="BK105" s="100">
        <v>4599.652173913043</v>
      </c>
      <c r="BL105" s="100">
        <v>6</v>
      </c>
      <c r="BM105" s="100">
        <v>3340.7999999999997</v>
      </c>
      <c r="BN105" s="100">
        <v>11.578947368421051</v>
      </c>
      <c r="BO105" s="100">
        <v>6447.1578947368407</v>
      </c>
      <c r="BP105" s="100">
        <v>10.346534653465346</v>
      </c>
      <c r="BQ105" s="100">
        <v>5760.9504950495038</v>
      </c>
      <c r="BR105" s="100">
        <v>8</v>
      </c>
      <c r="BS105" s="100">
        <v>4454.3999999999996</v>
      </c>
      <c r="BT105" s="100">
        <v>9.6666666666666661</v>
      </c>
      <c r="BU105" s="100">
        <v>5382.4</v>
      </c>
      <c r="BV105" s="100">
        <v>8.066037735849056</v>
      </c>
      <c r="BW105" s="100">
        <v>4491.169811320754</v>
      </c>
      <c r="BX105" s="100">
        <v>6</v>
      </c>
      <c r="BY105" s="100">
        <v>3340.7999999999997</v>
      </c>
      <c r="BZ105" s="100">
        <v>9.6867469879518069</v>
      </c>
      <c r="CA105" s="100">
        <v>5393.5807228915655</v>
      </c>
      <c r="CB105" s="100">
        <v>7</v>
      </c>
      <c r="CC105" s="100">
        <v>3897.5999999999995</v>
      </c>
      <c r="CD105" s="100">
        <v>9</v>
      </c>
      <c r="CE105" s="100">
        <v>5011.2</v>
      </c>
      <c r="CF105" s="100">
        <v>10</v>
      </c>
      <c r="CG105" s="100">
        <v>5568</v>
      </c>
      <c r="CH105" s="100">
        <v>11.586206896551724</v>
      </c>
      <c r="CI105" s="100">
        <v>6451.2</v>
      </c>
      <c r="CJ105" s="100">
        <v>8.4070796460176993</v>
      </c>
      <c r="CK105" s="100">
        <v>4681.0619469026542</v>
      </c>
      <c r="CL105" s="100">
        <v>7</v>
      </c>
      <c r="CM105" s="100">
        <v>3897.5999999999995</v>
      </c>
      <c r="CN105" s="100">
        <v>8</v>
      </c>
      <c r="CO105" s="100">
        <v>4454.3999999999996</v>
      </c>
      <c r="CP105" s="100">
        <v>8.8888888888888893</v>
      </c>
      <c r="CQ105" s="100">
        <v>4949.333333333333</v>
      </c>
      <c r="CR105" s="100">
        <v>11</v>
      </c>
      <c r="CS105" s="100">
        <v>6124.7999999999993</v>
      </c>
      <c r="CT105" s="100">
        <v>8.3935742971887546</v>
      </c>
      <c r="CU105" s="100">
        <v>4673.5421686746986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1066</v>
      </c>
      <c r="E109" s="100">
        <f>SUM(L$6:L$19)+SUM(N$6:N$19)+SUM(P$6:P$19)+SUM(R$6:R$19)</f>
        <v>1041</v>
      </c>
      <c r="F109" s="100">
        <f>SUM(T$6:T$19)+SUM(V$6:V$19)+SUM(X$6:X$19)+SUM(Z$6:Z$19)</f>
        <v>1108.2613212063975</v>
      </c>
      <c r="G109" s="100">
        <f>SUM(AB$6:AB$19)+SUM(AD$6:AD$19)+SUM(AF$6:AF$19)+SUM(AH$6:AH$19)</f>
        <v>974.15933773913252</v>
      </c>
      <c r="H109" s="100">
        <f>SUM(AJ$6:AJ$19)+SUM(AL$6:AL$19)+SUM(AN$6:AN$19)+SUM(AP$6:AP$19)</f>
        <v>1147</v>
      </c>
      <c r="I109" s="100">
        <f>SUM(AR$6:AR$19)+SUM(AT$6:AT$19)+SUM(AV$6:AV$19)+SUM(AX$6:AX$19)</f>
        <v>1251.900125459576</v>
      </c>
      <c r="J109" s="100">
        <f>SUM(AZ$6:AZ$19)+SUM(BB$6:BB$19)+SUM(BD$6:BD$19)+SUM(BF$6:BF$19)</f>
        <v>1269.8505154773106</v>
      </c>
      <c r="K109" s="100">
        <f>SUM(BH$6:BH$19)+SUM(BJ$6:BJ$19)+SUM(BL$6:BL$19)+SUM(BN$6:BN$19)</f>
        <v>995.84099251602197</v>
      </c>
      <c r="L109" s="100">
        <f>SUM(BP$6:BP$19)+SUM(BR$6:BR$19)+SUM(BT$6:BT$19)+SUM(BV$6:BV$19)</f>
        <v>1213.974874375479</v>
      </c>
      <c r="M109" s="100">
        <f>SUM(BX$6:BX$19)+SUM(BZ$6:BZ$19)+SUM(CB$6:CB$19)+SUM(CD$6:CD$19)</f>
        <v>1117.833721745915</v>
      </c>
      <c r="N109" s="100">
        <f>SUM(CF$6:CF$19)+SUM(CH$6:CH$19)+SUM(CJ$6:CJ$19)+SUM(CL$6:CL$19)</f>
        <v>1086.3998870690061</v>
      </c>
      <c r="O109" s="100">
        <f>SUM(CN$6:CN$19)+SUM(CP$6:CP$19)+SUM(CR$6:CR$19)+SUM(CT$6:CT$19)</f>
        <v>1298.6084094089213</v>
      </c>
    </row>
    <row r="110" spans="2:99">
      <c r="C110" s="99" t="s">
        <v>127</v>
      </c>
      <c r="D110" s="100">
        <f>SUM(D$20:D$36)+SUM(F$20:F$36)+SUM(H$20:H$36)+SUM(J$20:J$36)</f>
        <v>1497</v>
      </c>
      <c r="E110" s="100">
        <f>SUM(L$20:L$36)+SUM(N$20:N$36)+SUM(P$20:P$36)+SUM(R$20:R$36)</f>
        <v>1717</v>
      </c>
      <c r="F110" s="100">
        <f>SUM(T$20:T$36)+SUM(V$20:V$36)+SUM(X$20:X$36)+SUM(Z$20:Z$36)</f>
        <v>1505.9353779538874</v>
      </c>
      <c r="G110" s="100">
        <f>SUM(AB$20:AB$36)+SUM(AD$20:AD$36)+SUM(AF$20:AF$36)+SUM(AH$20:AH$36)</f>
        <v>1127.5048459968593</v>
      </c>
      <c r="H110" s="100">
        <f>SUM(AJ$20:AJ$36)+SUM(AL$20:AL$36)+SUM(AN$20:AN$36)+SUM(AP$20:AP$36)</f>
        <v>1300</v>
      </c>
      <c r="I110" s="100">
        <f>SUM(AR$20:AR$36)+SUM(AT$20:AT$36)+SUM(AV$20:AV$36)+SUM(AX$20:AX$36)</f>
        <v>1583.9972833128759</v>
      </c>
      <c r="J110" s="100">
        <f>SUM(AZ$20:AZ$36)+SUM(BB$20:BB$36)+SUM(BD$20:BD$36)+SUM(BF$20:BF$36)</f>
        <v>1199.2737718318135</v>
      </c>
      <c r="K110" s="100">
        <f>SUM(BH$20:BH$36)+SUM(BJ$20:BJ$36)+SUM(BL$20:BL$36)+SUM(BN$20:BN$36)</f>
        <v>1602.7994800049833</v>
      </c>
      <c r="L110" s="100">
        <f>SUM(BP$20:BP$36)+SUM(BR$20:BR$36)+SUM(BT$20:BT$36)+SUM(BV$20:BV$36)</f>
        <v>1373.9748743754787</v>
      </c>
      <c r="M110" s="100">
        <f>SUM(BX$20:BX$36)+SUM(BZ$20:BZ$36)+SUM(CB$20:CB$36)+SUM(CD$20:CD$36)</f>
        <v>1420.8509394043672</v>
      </c>
      <c r="N110" s="100">
        <f>SUM(CF$20:CF$36)+SUM(CH$20:CH$36)+SUM(CJ$20:CJ$36)+SUM(CL$20:CL$36)</f>
        <v>1638.2720798029977</v>
      </c>
      <c r="O110" s="100">
        <f>SUM(CN$20:CN$36)+SUM(CP$20:CP$36)+SUM(CR$20:CR$36)+SUM(CT$20:CT$36)</f>
        <v>1664.7195962259493</v>
      </c>
    </row>
    <row r="111" spans="2:99">
      <c r="C111" s="99" t="s">
        <v>128</v>
      </c>
      <c r="D111" s="100">
        <f>SUM(D$37:D$48)+SUM(F$37:F$48)+SUM(H$37:H$48)+SUM(J$37:J$48)</f>
        <v>664</v>
      </c>
      <c r="E111" s="100">
        <f>SUM(L$37:L$48)+SUM(N$37:N$48)+SUM(P$37:P$48)+SUM(R$37:R$48)</f>
        <v>639</v>
      </c>
      <c r="F111" s="100">
        <f>SUM(T$37:T$48)+SUM(V$37:V$48)+SUM(X$37:X$48)+SUM(Z$37:Z$48)</f>
        <v>559.45549414687343</v>
      </c>
      <c r="G111" s="100">
        <f>SUM(AB$37:AB$48)+SUM(AD$37:AD$48)+SUM(AF$37:AF$48)+SUM(AH$37:AH$48)</f>
        <v>588.8271866233639</v>
      </c>
      <c r="H111" s="100">
        <f>SUM(AJ$37:AJ$48)+SUM(AL$37:AL$48)+SUM(AN$37:AN$48)+SUM(AP$37:AP$48)</f>
        <v>662</v>
      </c>
      <c r="I111" s="100">
        <f>SUM(AR$37:AR$48)+SUM(AT$37:AT$48)+SUM(AV$37:AV$48)+SUM(AX$37:AX$48)</f>
        <v>675.24719626275964</v>
      </c>
      <c r="J111" s="100">
        <f>SUM(AZ$37:AZ$48)+SUM(BB$37:BB$48)+SUM(BD$37:BD$48)+SUM(BF$37:BF$48)</f>
        <v>635.69285822744632</v>
      </c>
      <c r="K111" s="100">
        <f>SUM(BH$37:BH$48)+SUM(BJ$37:BJ$48)+SUM(BL$37:BL$48)+SUM(BN$37:BN$48)</f>
        <v>758.97905803197455</v>
      </c>
      <c r="L111" s="100">
        <f>SUM(BP$37:BP$48)+SUM(BR$37:BR$48)+SUM(BT$37:BT$48)+SUM(BV$37:BV$48)</f>
        <v>577.19235144362096</v>
      </c>
      <c r="M111" s="100">
        <f>SUM(BX$37:BX$48)+SUM(BZ$37:BZ$48)+SUM(CB$37:CB$48)+SUM(CD$37:CD$48)</f>
        <v>671.88018380925837</v>
      </c>
      <c r="N111" s="100">
        <f>SUM(CF$37:CF$48)+SUM(CH$37:CH$48)+SUM(CJ$37:CJ$48)+SUM(CL$37:CL$48)</f>
        <v>632.9570428174884</v>
      </c>
      <c r="O111" s="100">
        <f>SUM(CN$37:CN$48)+SUM(CP$37:CP$48)+SUM(CR$37:CR$48)+SUM(CT$37:CT$48)</f>
        <v>493.77646453750913</v>
      </c>
    </row>
    <row r="112" spans="2:99">
      <c r="C112" s="99" t="s">
        <v>129</v>
      </c>
      <c r="D112" s="100">
        <f>SUM(D$49:D$70)+SUM(F$49:F$70)+SUM(H$49:H$70)+SUM(J$49:J$70)</f>
        <v>968.73239436619724</v>
      </c>
      <c r="E112" s="100">
        <f>SUM(L$49:L$70)+SUM(N$49:N$70)+SUM(P$49:P$70)+SUM(R$49:R$70)</f>
        <v>1211</v>
      </c>
      <c r="F112" s="100">
        <f>SUM(T$49:T$70)+SUM(V$49:V$70)+SUM(X$49:X$70)+SUM(Z$49:Z$70)</f>
        <v>1249.3085186475189</v>
      </c>
      <c r="G112" s="100">
        <f>SUM(AB$49:AB$70)+SUM(AD$49:AD$70)+SUM(AF$49:AF$70)+SUM(AH$49:AH$70)</f>
        <v>972.48926913692776</v>
      </c>
      <c r="H112" s="100">
        <f>SUM(AJ$49:AJ$70)+SUM(AL$49:AL$70)+SUM(AN$49:AN$70)+SUM(AP$49:AP$70)</f>
        <v>1013</v>
      </c>
      <c r="I112" s="100">
        <f>SUM(AR$49:AR$70)+SUM(AT$49:AT$70)+SUM(AV$49:AV$70)+SUM(AX$49:AX$70)</f>
        <v>1107.4808219021168</v>
      </c>
      <c r="J112" s="100">
        <f>SUM(AZ$49:AZ$70)+SUM(BB$49:BB$70)+SUM(BD$49:BD$70)+SUM(BF$49:BF$70)</f>
        <v>1111.2915137954171</v>
      </c>
      <c r="K112" s="100">
        <f>SUM(BH$49:BH$70)+SUM(BJ$49:BJ$70)+SUM(BL$49:BL$70)+SUM(BN$49:BN$70)</f>
        <v>1246.191537654702</v>
      </c>
      <c r="L112" s="100">
        <f>SUM(BP$49:BP$70)+SUM(BR$49:BR$70)+SUM(BT$49:BT$70)+SUM(BV$49:BV$70)</f>
        <v>1213.8377986144037</v>
      </c>
      <c r="M112" s="100">
        <f>SUM(BX$49:BX$70)+SUM(BZ$49:BZ$70)+SUM(CB$49:CB$70)+SUM(CD$49:CD$70)</f>
        <v>939.39094534806941</v>
      </c>
      <c r="N112" s="100">
        <f>SUM(CF$49:CF$70)+SUM(CH$49:CH$70)+SUM(CJ$49:CJ$70)+SUM(CL$49:CL$70)</f>
        <v>1041.0503456427584</v>
      </c>
      <c r="O112" s="100">
        <f>SUM(CN$49:CN$70)+SUM(CP$49:CP$70)+SUM(CR$49:CR$70)+SUM(CT$49:CT$70)</f>
        <v>923.11455130078525</v>
      </c>
    </row>
    <row r="113" spans="2:15">
      <c r="C113" s="99" t="s">
        <v>130</v>
      </c>
      <c r="D113" s="100">
        <f>SUM(D$71:D$86)+SUM(F$71:F$86)+SUM(H$71:H$86)+SUM(J$71:J$86)</f>
        <v>455</v>
      </c>
      <c r="E113" s="100">
        <f>SUM(L$71:L$86)+SUM(N$71:N$86)+SUM(P$71:P$86)+SUM(R$71:R$86)</f>
        <v>425</v>
      </c>
      <c r="F113" s="100">
        <f>SUM(T$71:T$86)+SUM(V$71:V$86)+SUM(X$71:X$86)+SUM(Z$71:Z$86)</f>
        <v>517</v>
      </c>
      <c r="G113" s="100">
        <f>SUM(AB$71:AB$86)+SUM(AD$71:AD$86)+SUM(AF$71:AF$86)+SUM(AH$71:AH$86)</f>
        <v>523</v>
      </c>
      <c r="H113" s="100">
        <f>SUM(AJ$71:AJ$86)+SUM(AL$71:AL$86)+SUM(AN$71:AN$86)+SUM(AP$71:AP$86)</f>
        <v>494</v>
      </c>
      <c r="I113" s="100">
        <f>SUM(AR$71:AR$86)+SUM(AT$71:AT$86)+SUM(AV$71:AV$86)+SUM(AX$71:AX$86)</f>
        <v>435</v>
      </c>
      <c r="J113" s="100">
        <f>SUM(AZ$71:AZ$86)+SUM(BB$71:BB$86)+SUM(BD$71:BD$86)+SUM(BF$71:BF$86)</f>
        <v>419</v>
      </c>
      <c r="K113" s="100">
        <f>SUM(BH$71:BH$86)+SUM(BJ$71:BJ$86)+SUM(BL$71:BL$86)+SUM(BN$71:BN$86)</f>
        <v>476</v>
      </c>
      <c r="L113" s="100">
        <f>SUM(BP$71:BP$86)+SUM(BR$71:BR$86)+SUM(BT$71:BT$86)+SUM(BV$71:BV$86)</f>
        <v>539</v>
      </c>
      <c r="M113" s="100">
        <f>SUM(BX$71:BX$86)+SUM(BZ$71:BZ$86)+SUM(CB$71:CB$86)+SUM(CD$71:CD$86)</f>
        <v>476</v>
      </c>
      <c r="N113" s="100">
        <f>SUM(CF$71:CF$86)+SUM(CH$71:CH$86)+SUM(CJ$71:CJ$86)+SUM(CL$71:CL$86)</f>
        <v>484</v>
      </c>
      <c r="O113" s="100">
        <f>SUM(CN$71:CN$86)+SUM(CP$71:CP$86)+SUM(CR$71:CR$86)+SUM(CT$71:CT$86)</f>
        <v>559</v>
      </c>
    </row>
    <row r="114" spans="2:15">
      <c r="C114" s="99" t="s">
        <v>131</v>
      </c>
      <c r="D114" s="100">
        <f>SUM(D$87:D$94)+SUM(F$87:F$94)+SUM(H$87:H$94)+SUM(J$87:J$94)</f>
        <v>247.68544600938966</v>
      </c>
      <c r="E114" s="100">
        <f>SUM(L$87:L$94)+SUM(N$87:N$94)+SUM(P$87:P$94)+SUM(R$87:R$94)</f>
        <v>277</v>
      </c>
      <c r="F114" s="100">
        <f>SUM(T$87:T$94)+SUM(V$87:V$94)+SUM(X$87:X$94)+SUM(Z$87:Z$94)</f>
        <v>313</v>
      </c>
      <c r="G114" s="100">
        <f>SUM(AB$87:AB$94)+SUM(AD$87:AD$94)+SUM(AF$87:AF$94)+SUM(AH$87:AH$94)</f>
        <v>269.70266871196463</v>
      </c>
      <c r="H114" s="100">
        <f>SUM(AJ$87:AJ$94)+SUM(AL$87:AL$94)+SUM(AN$87:AN$94)+SUM(AP$87:AP$94)</f>
        <v>278</v>
      </c>
      <c r="I114" s="100">
        <f>SUM(AR$87:AR$94)+SUM(AT$87:AT$94)+SUM(AV$87:AV$94)+SUM(AX$87:AX$94)</f>
        <v>283.4545454545455</v>
      </c>
      <c r="J114" s="100">
        <f>SUM(AZ$87:AZ$94)+SUM(BB$87:BB$94)+SUM(BD$87:BD$94)+SUM(BF$87:BF$94)</f>
        <v>298.56834112149534</v>
      </c>
      <c r="K114" s="100">
        <f>SUM(BH$87:BH$94)+SUM(BJ$87:BJ$94)+SUM(BL$87:BL$94)+SUM(BN$87:BN$94)</f>
        <v>284.95111623632857</v>
      </c>
      <c r="L114" s="100">
        <f>SUM(BP$87:BP$94)+SUM(BR$87:BR$94)+SUM(BT$87:BT$94)+SUM(BV$87:BV$94)</f>
        <v>290.67814517300786</v>
      </c>
      <c r="M114" s="100">
        <f>SUM(BX$87:BX$94)+SUM(BZ$87:BZ$94)+SUM(CB$87:CB$94)+SUM(CD$87:CD$94)</f>
        <v>312.68674698795178</v>
      </c>
      <c r="N114" s="100">
        <f>SUM(CF$87:CF$94)+SUM(CH$87:CH$94)+SUM(CJ$87:CJ$94)+SUM(CL$87:CL$94)</f>
        <v>271.62923405553857</v>
      </c>
      <c r="O114" s="100">
        <f>SUM(CN$87:CN$94)+SUM(CP$87:CP$94)+SUM(CR$87:CR$94)+SUM(CT$87:CT$94)</f>
        <v>328.35742971887549</v>
      </c>
    </row>
    <row r="115" spans="2:15">
      <c r="C115" s="99" t="s">
        <v>132</v>
      </c>
      <c r="D115" s="100">
        <f>SUM(D$95:D$105)+SUM(F$95:F$105)+SUM(H$95:H$105)+SUM(J$95:J$105)</f>
        <v>363.58215962441318</v>
      </c>
      <c r="E115" s="100">
        <f>SUM(L$95:L$105)+SUM(N$95:N$105)+SUM(P$95:P$105)+SUM(R$95:R$105)</f>
        <v>341</v>
      </c>
      <c r="F115" s="100">
        <f>SUM(T$95:T$105)+SUM(V$95:V$105)+SUM(X$95:X$105)+SUM(Z$95:Z$105)</f>
        <v>415</v>
      </c>
      <c r="G115" s="100">
        <f>SUM(AB$95:AB$105)+SUM(AD$95:AD$105)+SUM(AF$95:AF$105)+SUM(AH$95:AH$105)</f>
        <v>398.70167899762538</v>
      </c>
      <c r="H115" s="100">
        <f>SUM(AJ$95:AJ$105)+SUM(AL$95:AL$105)+SUM(AN$95:AN$105)+SUM(AP$95:AP$105)</f>
        <v>360</v>
      </c>
      <c r="I115" s="100">
        <f>SUM(AR$95:AR$105)+SUM(AT$95:AT$105)+SUM(AV$95:AV$105)+SUM(AX$95:AX$105)</f>
        <v>433.18181818181819</v>
      </c>
      <c r="J115" s="100">
        <f>SUM(AZ$95:AZ$105)+SUM(BB$95:BB$105)+SUM(BD$95:BD$105)+SUM(BF$95:BF$105)</f>
        <v>362.14690420560748</v>
      </c>
      <c r="K115" s="100">
        <f>SUM(BH$95:BH$105)+SUM(BJ$95:BJ$105)+SUM(BL$95:BL$105)+SUM(BN$95:BN$105)</f>
        <v>379.27765665447424</v>
      </c>
      <c r="L115" s="100">
        <f>SUM(BP$95:BP$105)+SUM(BR$95:BR$105)+SUM(BT$95:BT$105)+SUM(BV$95:BV$105)</f>
        <v>376.94992423770674</v>
      </c>
      <c r="M115" s="100">
        <f>SUM(BX$95:BX$105)+SUM(BZ$95:BZ$105)+SUM(CB$95:CB$105)+SUM(CD$95:CD$105)</f>
        <v>336.09638554216866</v>
      </c>
      <c r="N115" s="100">
        <f>SUM(CF$95:CF$105)+SUM(CH$95:CH$105)+SUM(CJ$95:CJ$105)+SUM(CL$95:CL$105)</f>
        <v>394.12328349099789</v>
      </c>
      <c r="O115" s="100">
        <f>SUM(CN$95:CN$105)+SUM(CP$95:CP$105)+SUM(CR$95:CR$105)+SUM(CT$95:CT$105)</f>
        <v>374.85542168674698</v>
      </c>
    </row>
    <row r="116" spans="2:15">
      <c r="C116" s="99" t="s">
        <v>278</v>
      </c>
      <c r="D116" s="100">
        <f t="shared" ref="D116:O116" si="0">SUM(D$109:D$115)</f>
        <v>5262.0000000000009</v>
      </c>
      <c r="E116" s="100">
        <f t="shared" si="0"/>
        <v>5651</v>
      </c>
      <c r="F116" s="100">
        <f t="shared" si="0"/>
        <v>5667.9607119546772</v>
      </c>
      <c r="G116" s="100">
        <f t="shared" si="0"/>
        <v>4854.3849872058736</v>
      </c>
      <c r="H116" s="100">
        <f t="shared" si="0"/>
        <v>5254</v>
      </c>
      <c r="I116" s="100">
        <f t="shared" si="0"/>
        <v>5770.2617905736915</v>
      </c>
      <c r="J116" s="100">
        <f t="shared" si="0"/>
        <v>5295.8239046590907</v>
      </c>
      <c r="K116" s="100">
        <f t="shared" si="0"/>
        <v>5744.0398410984844</v>
      </c>
      <c r="L116" s="100">
        <f t="shared" si="0"/>
        <v>5585.6079682196969</v>
      </c>
      <c r="M116" s="100">
        <f t="shared" si="0"/>
        <v>5274.7389228377306</v>
      </c>
      <c r="N116" s="100">
        <f t="shared" si="0"/>
        <v>5548.4318728787866</v>
      </c>
      <c r="O116" s="100">
        <f t="shared" si="0"/>
        <v>5642.4318728787866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3624400</v>
      </c>
      <c r="E120" s="100">
        <f>E109*pricing!E6*2000</f>
        <v>3539400</v>
      </c>
      <c r="F120" s="100">
        <f>F109*pricing!F6*2000</f>
        <v>3768088.4921017513</v>
      </c>
      <c r="G120" s="100">
        <f>G109*pricing!G6*2000</f>
        <v>3312141.7483130503</v>
      </c>
      <c r="H120" s="100">
        <f>H109*pricing!H6*2000</f>
        <v>3899799.9999999995</v>
      </c>
      <c r="I120" s="100">
        <f>I109*pricing!I6*2000</f>
        <v>4256460.4265625589</v>
      </c>
      <c r="J120" s="100">
        <f>J109*pricing!J6*2000</f>
        <v>4317491.7526228568</v>
      </c>
      <c r="K120" s="100">
        <f>K109*pricing!K6*2000</f>
        <v>3385859.3745544744</v>
      </c>
      <c r="L120" s="100">
        <f>L109*pricing!L6*2000</f>
        <v>4127514.5728766285</v>
      </c>
      <c r="M120" s="100">
        <f>M109*pricing!M6*2000</f>
        <v>3800634.6539361109</v>
      </c>
      <c r="N120" s="100">
        <f>N109*pricing!N6*2000</f>
        <v>3693759.6160346204</v>
      </c>
      <c r="O120" s="100">
        <f>O109*pricing!O6*2000</f>
        <v>4415268.5919903321</v>
      </c>
    </row>
    <row r="121" spans="2:15">
      <c r="C121" s="99" t="s">
        <v>127</v>
      </c>
      <c r="D121" s="100">
        <f>D110*pricing!D7*2000</f>
        <v>5988000</v>
      </c>
      <c r="E121" s="100">
        <f>E110*pricing!E7*2000</f>
        <v>6868000</v>
      </c>
      <c r="F121" s="100">
        <f>F110*pricing!F7*2000</f>
        <v>6023741.5118155498</v>
      </c>
      <c r="G121" s="100">
        <f>G110*pricing!G7*2000</f>
        <v>4510019.383987437</v>
      </c>
      <c r="H121" s="100">
        <f>H110*pricing!H7*2000</f>
        <v>5200000</v>
      </c>
      <c r="I121" s="100">
        <f>I110*pricing!I7*2000</f>
        <v>6335989.1332515031</v>
      </c>
      <c r="J121" s="100">
        <f>J110*pricing!J7*2000</f>
        <v>4797095.087327254</v>
      </c>
      <c r="K121" s="100">
        <f>K110*pricing!K7*2000</f>
        <v>6411197.920019933</v>
      </c>
      <c r="L121" s="100">
        <f>L110*pricing!L7*2000</f>
        <v>5495899.4975019153</v>
      </c>
      <c r="M121" s="100">
        <f>M110*pricing!M7*2000</f>
        <v>5683403.7576174689</v>
      </c>
      <c r="N121" s="100">
        <f>N110*pricing!N7*2000</f>
        <v>6553088.3192119906</v>
      </c>
      <c r="O121" s="100">
        <f>O110*pricing!O7*2000</f>
        <v>6658878.3849037969</v>
      </c>
    </row>
    <row r="122" spans="2:15">
      <c r="C122" s="99" t="s">
        <v>128</v>
      </c>
      <c r="D122" s="100">
        <f>D111*pricing!D8*2000</f>
        <v>2988000</v>
      </c>
      <c r="E122" s="100">
        <f>E111*pricing!E8*2000</f>
        <v>2875500</v>
      </c>
      <c r="F122" s="100">
        <f>F111*pricing!F8*2000</f>
        <v>2517549.7236609305</v>
      </c>
      <c r="G122" s="100">
        <f>G111*pricing!G8*2000</f>
        <v>2649722.3398051374</v>
      </c>
      <c r="H122" s="100">
        <f>H111*pricing!H8*2000</f>
        <v>2979000</v>
      </c>
      <c r="I122" s="100">
        <f>I111*pricing!I8*2000</f>
        <v>3038612.3831824185</v>
      </c>
      <c r="J122" s="100">
        <f>J111*pricing!J8*2000</f>
        <v>2860617.8620235086</v>
      </c>
      <c r="K122" s="100">
        <f>K111*pricing!K8*2000</f>
        <v>3415405.7611438856</v>
      </c>
      <c r="L122" s="100">
        <f>L111*pricing!L8*2000</f>
        <v>2597365.5814962946</v>
      </c>
      <c r="M122" s="100">
        <f>M111*pricing!M8*2000</f>
        <v>3023460.8271416626</v>
      </c>
      <c r="N122" s="100">
        <f>N111*pricing!N8*2000</f>
        <v>2848306.6926786979</v>
      </c>
      <c r="O122" s="100">
        <f>O111*pricing!O8*2000</f>
        <v>2221994.0904187909</v>
      </c>
    </row>
    <row r="123" spans="2:15">
      <c r="C123" s="99" t="s">
        <v>129</v>
      </c>
      <c r="D123" s="100">
        <f>D112*pricing!D9*2000</f>
        <v>4359295.7746478878</v>
      </c>
      <c r="E123" s="100">
        <f>E112*pricing!E9*2000</f>
        <v>5449500</v>
      </c>
      <c r="F123" s="100">
        <f>F112*pricing!F9*2000</f>
        <v>5621888.3339138348</v>
      </c>
      <c r="G123" s="100">
        <f>G112*pricing!G9*2000</f>
        <v>4376201.7111161752</v>
      </c>
      <c r="H123" s="100">
        <f>H112*pricing!H9*2000</f>
        <v>4558500</v>
      </c>
      <c r="I123" s="100">
        <f>I112*pricing!I9*2000</f>
        <v>4983663.6985595254</v>
      </c>
      <c r="J123" s="100">
        <f>J112*pricing!J9*2000</f>
        <v>5000811.8120793765</v>
      </c>
      <c r="K123" s="100">
        <f>K112*pricing!K9*2000</f>
        <v>5607861.9194461592</v>
      </c>
      <c r="L123" s="100">
        <f>L112*pricing!L9*2000</f>
        <v>5462270.0937648173</v>
      </c>
      <c r="M123" s="100">
        <f>M112*pricing!M9*2000</f>
        <v>4227259.2540663127</v>
      </c>
      <c r="N123" s="100">
        <f>N112*pricing!N9*2000</f>
        <v>4684726.5553924125</v>
      </c>
      <c r="O123" s="100">
        <f>O112*pricing!O9*2000</f>
        <v>4154015.4808535334</v>
      </c>
    </row>
    <row r="124" spans="2:15">
      <c r="C124" s="99" t="s">
        <v>130</v>
      </c>
      <c r="D124" s="100">
        <f>D113*pricing!D10*2000</f>
        <v>2275000</v>
      </c>
      <c r="E124" s="100">
        <f>E113*pricing!E10*2000</f>
        <v>2125000</v>
      </c>
      <c r="F124" s="100">
        <f>F113*pricing!F10*2000</f>
        <v>2585000</v>
      </c>
      <c r="G124" s="100">
        <f>G113*pricing!G10*2000</f>
        <v>2615000</v>
      </c>
      <c r="H124" s="100">
        <f>H113*pricing!H10*2000</f>
        <v>2470000</v>
      </c>
      <c r="I124" s="100">
        <f>I113*pricing!I10*2000</f>
        <v>2175000</v>
      </c>
      <c r="J124" s="100">
        <f>J113*pricing!J10*2000</f>
        <v>2095000</v>
      </c>
      <c r="K124" s="100">
        <f>K113*pricing!K10*2000</f>
        <v>2380000</v>
      </c>
      <c r="L124" s="100">
        <f>L113*pricing!L10*2000</f>
        <v>2695000</v>
      </c>
      <c r="M124" s="100">
        <f>M113*pricing!M10*2000</f>
        <v>2380000</v>
      </c>
      <c r="N124" s="100">
        <f>N113*pricing!N10*2000</f>
        <v>2420000</v>
      </c>
      <c r="O124" s="100">
        <f>O113*pricing!O10*2000</f>
        <v>2795000</v>
      </c>
    </row>
    <row r="125" spans="2:15">
      <c r="C125" s="99" t="s">
        <v>131</v>
      </c>
      <c r="D125" s="100">
        <f>D114*pricing!D11*2000</f>
        <v>1287964.3192488262</v>
      </c>
      <c r="E125" s="100">
        <f>E114*pricing!E11*2000</f>
        <v>1440400</v>
      </c>
      <c r="F125" s="100">
        <f>F114*pricing!F11*2000</f>
        <v>1627600.0000000002</v>
      </c>
      <c r="G125" s="100">
        <f>G114*pricing!G11*2000</f>
        <v>1402453.8773022161</v>
      </c>
      <c r="H125" s="100">
        <f>H114*pricing!H11*2000</f>
        <v>1445600.0000000002</v>
      </c>
      <c r="I125" s="100">
        <f>I114*pricing!I11*2000</f>
        <v>1473963.6363636367</v>
      </c>
      <c r="J125" s="100">
        <f>J114*pricing!J11*2000</f>
        <v>1552555.3738317757</v>
      </c>
      <c r="K125" s="100">
        <f>K114*pricing!K11*2000</f>
        <v>1481745.8044289087</v>
      </c>
      <c r="L125" s="100">
        <f>L114*pricing!L11*2000</f>
        <v>1511526.3548996409</v>
      </c>
      <c r="M125" s="100">
        <f>M114*pricing!M11*2000</f>
        <v>1625971.0843373493</v>
      </c>
      <c r="N125" s="100">
        <f>N114*pricing!N11*2000</f>
        <v>1412472.0170888007</v>
      </c>
      <c r="O125" s="100">
        <f>O114*pricing!O11*2000</f>
        <v>1707458.6345381527</v>
      </c>
    </row>
    <row r="126" spans="2:15">
      <c r="C126" s="99" t="s">
        <v>132</v>
      </c>
      <c r="D126" s="100">
        <f>D115*pricing!D12*2000</f>
        <v>1963343.6619718315</v>
      </c>
      <c r="E126" s="100">
        <f>E115*pricing!E12*2000</f>
        <v>1841400</v>
      </c>
      <c r="F126" s="100">
        <f>F115*pricing!F12*2000</f>
        <v>2241000</v>
      </c>
      <c r="G126" s="100">
        <f>G115*pricing!G12*2000</f>
        <v>2152989.0665871771</v>
      </c>
      <c r="H126" s="100">
        <f>H115*pricing!H12*2000</f>
        <v>1944000.0000000002</v>
      </c>
      <c r="I126" s="100">
        <f>I115*pricing!I12*2000</f>
        <v>2339181.8181818184</v>
      </c>
      <c r="J126" s="100">
        <f>J115*pricing!J12*2000</f>
        <v>1955593.2827102807</v>
      </c>
      <c r="K126" s="100">
        <f>K115*pricing!K12*2000</f>
        <v>2048099.3459341612</v>
      </c>
      <c r="L126" s="100">
        <f>L115*pricing!L12*2000</f>
        <v>2035529.5908836166</v>
      </c>
      <c r="M126" s="100">
        <f>M115*pricing!M12*2000</f>
        <v>1814920.4819277108</v>
      </c>
      <c r="N126" s="100">
        <f>N115*pricing!N12*2000</f>
        <v>2128265.730851389</v>
      </c>
      <c r="O126" s="100">
        <f>O115*pricing!O12*2000</f>
        <v>2024219.2771084337</v>
      </c>
    </row>
    <row r="127" spans="2:15">
      <c r="C127" s="99" t="s">
        <v>278</v>
      </c>
      <c r="D127" s="100">
        <f t="shared" ref="D127:O127" si="1">SUM(D$120:D$126)</f>
        <v>22486003.755868543</v>
      </c>
      <c r="E127" s="100">
        <f t="shared" si="1"/>
        <v>24139200</v>
      </c>
      <c r="F127" s="100">
        <f t="shared" si="1"/>
        <v>24384868.061492067</v>
      </c>
      <c r="G127" s="100">
        <f t="shared" si="1"/>
        <v>21018528.127111189</v>
      </c>
      <c r="H127" s="100">
        <f t="shared" si="1"/>
        <v>22496900</v>
      </c>
      <c r="I127" s="100">
        <f t="shared" si="1"/>
        <v>24602871.096101463</v>
      </c>
      <c r="J127" s="100">
        <f t="shared" si="1"/>
        <v>22579165.17059505</v>
      </c>
      <c r="K127" s="100">
        <f t="shared" si="1"/>
        <v>24730170.12552752</v>
      </c>
      <c r="L127" s="100">
        <f t="shared" si="1"/>
        <v>23925105.691422913</v>
      </c>
      <c r="M127" s="100">
        <f t="shared" si="1"/>
        <v>22555650.059026618</v>
      </c>
      <c r="N127" s="100">
        <f t="shared" si="1"/>
        <v>23740618.931257911</v>
      </c>
      <c r="O127" s="100">
        <f t="shared" si="1"/>
        <v>23976834.45981304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537028.79999999993</v>
      </c>
      <c r="E131" s="106">
        <f>SUM(M$6:M$19)+SUM(O$6:O$19)+SUM(Q$6:Q$19)+SUM(S$6:S$19)</f>
        <v>523509.6</v>
      </c>
      <c r="F131" s="106">
        <f>SUM(U$6:U$19)+SUM(W$6:W$19)+SUM(Y$6:Y$19)+SUM(AA$6:AA$19)</f>
        <v>554205.21049222769</v>
      </c>
      <c r="G131" s="106">
        <f>SUM(AC$6:AC$19)+SUM(AE$6:AE$19)+SUM(AG$6:AG$19)+SUM(AI$6:AI$19)</f>
        <v>487920.83118517953</v>
      </c>
      <c r="H131" s="106">
        <f>SUM(AK$6:AK$19)+SUM(AM$6:AM$19)+SUM(AO$6:AO$19)+SUM(AQ$6:AQ$19)</f>
        <v>576138</v>
      </c>
      <c r="I131" s="106">
        <f>SUM(AS$6:AS$19)+SUM(AU$6:AU$19)+SUM(AW$6:AW$19)+SUM(AY$6:AY$19)</f>
        <v>627633.38362148474</v>
      </c>
      <c r="J131" s="106">
        <f>SUM(BA$6:BA$19)+SUM(BC$6:BC$19)+SUM(BE$6:BE$19)+SUM(BG$6:BG$19)</f>
        <v>637827.38693982456</v>
      </c>
      <c r="K131" s="106">
        <f>SUM(BI$6:BI$19)+SUM(BK$6:BK$19)+SUM(BM$6:BM$19)+SUM(BO$6:BO$19)</f>
        <v>500774.27149617136</v>
      </c>
      <c r="L131" s="106">
        <f>SUM(BQ$6:BQ$19)+SUM(BS$6:BS$19)+SUM(BU$6:BU$19)+SUM(BW$6:BW$19)</f>
        <v>611587.45916006865</v>
      </c>
      <c r="M131" s="106">
        <f>SUM(BY$6:BY$19)+SUM(CA$6:CA$19)+SUM(CC$6:CC$19)+SUM(CE$6:CE$19)</f>
        <v>563917.90481721889</v>
      </c>
      <c r="N131" s="106">
        <f>SUM(CG$6:CG$19)+SUM(CI$6:CI$19)+SUM(CK$6:CK$19)+SUM(CM$6:CM$19)</f>
        <v>546689.48224628274</v>
      </c>
      <c r="O131" s="106">
        <f>SUM(CO$6:CO$19)+SUM(CQ$6:CQ$19)+SUM(CS$6:CS$19)+SUM(CU$6:CU$19)</f>
        <v>651627.03891673125</v>
      </c>
    </row>
    <row r="132" spans="2:15">
      <c r="C132" s="105" t="s">
        <v>127</v>
      </c>
      <c r="D132" s="106">
        <f>SUM(E$20:E$36)+SUM(G$20:G$36)+SUM(I$20:I$36)+SUM(K$20:K$36)</f>
        <v>635474.39999999991</v>
      </c>
      <c r="E132" s="106">
        <f>SUM(M$20:M$36)+SUM(O$20:O$36)+SUM(Q$20:Q$36)+SUM(S$20:S$36)</f>
        <v>732385.2</v>
      </c>
      <c r="F132" s="106">
        <f>SUM(U$20:U$36)+SUM(W$20:W$36)+SUM(Y$20:Y$36)+SUM(AA$20:AA$36)</f>
        <v>638197.08285134321</v>
      </c>
      <c r="G132" s="106">
        <f>SUM(AC$20:AC$36)+SUM(AE$20:AE$36)+SUM(AG$20:AG$36)+SUM(AI$20:AI$36)</f>
        <v>476982.36028169486</v>
      </c>
      <c r="H132" s="106">
        <f>SUM(AK$20:AK$36)+SUM(AM$20:AM$36)+SUM(AO$20:AO$36)+SUM(AQ$20:AQ$36)</f>
        <v>554946</v>
      </c>
      <c r="I132" s="106">
        <f>SUM(AS$20:AS$36)+SUM(AU$20:AU$36)+SUM(AW$20:AW$36)+SUM(AY$20:AY$36)</f>
        <v>674057.78633253416</v>
      </c>
      <c r="J132" s="106">
        <f>SUM(BA$20:BA$36)+SUM(BC$20:BC$36)+SUM(BE$20:BE$36)+SUM(BG$20:BG$36)</f>
        <v>512455.35482061934</v>
      </c>
      <c r="K132" s="106">
        <f>SUM(BI$20:BI$36)+SUM(BK$20:BK$36)+SUM(BM$20:BM$36)+SUM(BO$20:BO$36)</f>
        <v>682266.92822139943</v>
      </c>
      <c r="L132" s="106">
        <f>SUM(BQ$20:BQ$36)+SUM(BS$20:BS$36)+SUM(BU$20:BU$36)+SUM(BW$20:BW$36)</f>
        <v>585826.04417656234</v>
      </c>
      <c r="M132" s="106">
        <f>SUM(BY$20:BY$36)+SUM(CA$20:CA$36)+SUM(CC$20:CC$36)+SUM(CE$20:CE$36)</f>
        <v>605984.47371260764</v>
      </c>
      <c r="N132" s="106">
        <f>SUM(CG$20:CG$36)+SUM(CI$20:CI$36)+SUM(CK$20:CK$36)+SUM(CM$20:CM$36)</f>
        <v>700022.06787488912</v>
      </c>
      <c r="O132" s="106">
        <f>SUM(CO$20:CO$36)+SUM(CQ$20:CQ$36)+SUM(CS$20:CS$36)+SUM(CU$20:CU$36)</f>
        <v>705971.68233754276</v>
      </c>
    </row>
    <row r="133" spans="2:15">
      <c r="C133" s="105" t="s">
        <v>128</v>
      </c>
      <c r="D133" s="106">
        <f>SUM(E$37:E$48)+SUM(G$37:G$48)+SUM(I$37:I$48)+SUM(K$37:K$48)</f>
        <v>694605.60000000009</v>
      </c>
      <c r="E133" s="106">
        <f>SUM(M$37:M$48)+SUM(O$37:O$48)+SUM(Q$37:Q$48)+SUM(S$37:S$48)</f>
        <v>670464</v>
      </c>
      <c r="F133" s="106">
        <f>SUM(U$37:U$48)+SUM(W$37:W$48)+SUM(Y$37:Y$48)+SUM(AA$37:AA$48)</f>
        <v>586850.1926959859</v>
      </c>
      <c r="G133" s="106">
        <f>SUM(AC$37:AC$48)+SUM(AE$37:AE$48)+SUM(AG$37:AG$48)+SUM(AI$37:AI$48)</f>
        <v>616400.32524503733</v>
      </c>
      <c r="H133" s="106">
        <f>SUM(AK$37:AK$48)+SUM(AM$37:AM$48)+SUM(AO$37:AO$48)+SUM(AQ$37:AQ$48)</f>
        <v>694924.79999999993</v>
      </c>
      <c r="I133" s="106">
        <f>SUM(AS$37:AS$48)+SUM(AU$37:AU$48)+SUM(AW$37:AW$48)+SUM(AY$37:AY$48)</f>
        <v>708102.84114336991</v>
      </c>
      <c r="J133" s="106">
        <f>SUM(BA$37:BA$48)+SUM(BC$37:BC$48)+SUM(BE$37:BE$48)+SUM(BG$37:BG$48)</f>
        <v>665372.10311912792</v>
      </c>
      <c r="K133" s="106">
        <f>SUM(BI$37:BI$48)+SUM(BK$37:BK$48)+SUM(BM$37:BM$48)+SUM(BO$37:BO$48)</f>
        <v>797334.32990844024</v>
      </c>
      <c r="L133" s="106">
        <f>SUM(BQ$37:BQ$48)+SUM(BS$37:BS$48)+SUM(BU$37:BU$48)+SUM(BW$37:BW$48)</f>
        <v>604044.97394877044</v>
      </c>
      <c r="M133" s="106">
        <f>SUM(BY$37:BY$48)+SUM(CA$37:CA$48)+SUM(CC$37:CC$48)+SUM(CE$37:CE$48)</f>
        <v>702103.30523602292</v>
      </c>
      <c r="N133" s="106">
        <f>SUM(CG$37:CG$48)+SUM(CI$37:CI$48)+SUM(CK$37:CK$48)+SUM(CM$37:CM$48)</f>
        <v>663423.9871677286</v>
      </c>
      <c r="O133" s="106">
        <f>SUM(CO$37:CO$48)+SUM(CQ$37:CQ$48)+SUM(CS$37:CS$48)+SUM(CU$37:CU$48)</f>
        <v>519274.91312307469</v>
      </c>
    </row>
    <row r="134" spans="2:15">
      <c r="C134" s="105" t="s">
        <v>129</v>
      </c>
      <c r="D134" s="106">
        <f>SUM(E$49:E$70)+SUM(G$49:G$70)+SUM(I$49:I$70)+SUM(K$49:K$70)</f>
        <v>808012.03943661973</v>
      </c>
      <c r="E134" s="106">
        <f>SUM(M$49:M$70)+SUM(O$49:O$70)+SUM(Q$49:Q$70)+SUM(S$49:S$70)</f>
        <v>1012209.6</v>
      </c>
      <c r="F134" s="106">
        <f>SUM(U$49:U$70)+SUM(W$49:W$70)+SUM(Y$49:Y$70)+SUM(AA$49:AA$70)</f>
        <v>1050167.5760938693</v>
      </c>
      <c r="G134" s="106">
        <f>SUM(AC$49:AC$70)+SUM(AE$49:AE$70)+SUM(AG$49:AG$70)+SUM(AI$49:AI$70)</f>
        <v>815707.05484042247</v>
      </c>
      <c r="H134" s="106">
        <f>SUM(AK$49:AK$70)+SUM(AM$49:AM$70)+SUM(AO$49:AO$70)+SUM(AQ$49:AQ$70)</f>
        <v>852806.39999999991</v>
      </c>
      <c r="I134" s="106">
        <f>SUM(AS$49:AS$70)+SUM(AU$49:AU$70)+SUM(AW$49:AW$70)+SUM(AY$49:AY$70)</f>
        <v>932390.65826904692</v>
      </c>
      <c r="J134" s="106">
        <f>SUM(BA$49:BA$70)+SUM(BC$49:BC$70)+SUM(BE$49:BE$70)+SUM(BG$49:BG$70)</f>
        <v>934042.37611299485</v>
      </c>
      <c r="K134" s="106">
        <f>SUM(BI$49:BI$70)+SUM(BK$49:BK$70)+SUM(BM$49:BM$70)+SUM(BO$49:BO$70)</f>
        <v>1037101.4220295608</v>
      </c>
      <c r="L134" s="106">
        <f>SUM(BQ$49:BQ$70)+SUM(BS$49:BS$70)+SUM(BU$49:BU$70)+SUM(BW$49:BW$70)</f>
        <v>1011373.3308049435</v>
      </c>
      <c r="M134" s="106">
        <f>SUM(BY$49:BY$70)+SUM(CA$49:CA$70)+SUM(CC$49:CC$70)+SUM(CE$49:CE$70)</f>
        <v>791074.65209061734</v>
      </c>
      <c r="N134" s="106">
        <f>SUM(CG$49:CG$70)+SUM(CI$49:CI$70)+SUM(CK$49:CK$70)+SUM(CM$49:CM$70)</f>
        <v>872431.82572116889</v>
      </c>
      <c r="O134" s="106">
        <f>SUM(CO$49:CO$70)+SUM(CQ$49:CQ$70)+SUM(CS$49:CS$70)+SUM(CU$49:CU$70)</f>
        <v>775341.12086974224</v>
      </c>
    </row>
    <row r="135" spans="2:15">
      <c r="C135" s="105" t="s">
        <v>130</v>
      </c>
      <c r="D135" s="106">
        <f>SUM(E$71:E$86)+SUM(G$71:G$86)+SUM(I$71:I$86)+SUM(K$71:K$86)</f>
        <v>253148.39999999997</v>
      </c>
      <c r="E135" s="106">
        <f>SUM(M$71:M$86)+SUM(O$71:O$86)+SUM(Q$71:Q$86)+SUM(S$71:S$86)</f>
        <v>237031.19999999998</v>
      </c>
      <c r="F135" s="106">
        <f>SUM(U$71:U$86)+SUM(W$71:W$86)+SUM(Y$71:Y$86)+SUM(AA$71:AA$86)</f>
        <v>287545.19999999995</v>
      </c>
      <c r="G135" s="106">
        <f>SUM(AC$71:AC$86)+SUM(AE$71:AE$86)+SUM(AG$71:AG$86)+SUM(AI$71:AI$86)</f>
        <v>292866</v>
      </c>
      <c r="H135" s="106">
        <f>SUM(AK$71:AK$86)+SUM(AM$71:AM$86)+SUM(AO$71:AO$86)+SUM(AQ$71:AQ$86)</f>
        <v>274578</v>
      </c>
      <c r="I135" s="106">
        <f>SUM(AS$71:AS$86)+SUM(AU$71:AU$86)+SUM(AW$71:AW$86)+SUM(AY$71:AY$86)</f>
        <v>242970</v>
      </c>
      <c r="J135" s="106">
        <f>SUM(BA$71:BA$86)+SUM(BC$71:BC$86)+SUM(BE$71:BE$86)+SUM(BG$71:BG$86)</f>
        <v>234093.60000000003</v>
      </c>
      <c r="K135" s="106">
        <f>SUM(BI$71:BI$86)+SUM(BK$71:BK$86)+SUM(BM$71:BM$86)+SUM(BO$71:BO$86)</f>
        <v>263986.8</v>
      </c>
      <c r="L135" s="106">
        <f>SUM(BQ$71:BQ$86)+SUM(BS$71:BS$86)+SUM(BU$71:BU$86)+SUM(BW$71:BW$86)</f>
        <v>301917.59999999998</v>
      </c>
      <c r="M135" s="106">
        <f>SUM(BY$71:BY$86)+SUM(CA$71:CA$86)+SUM(CC$71:CC$86)+SUM(CE$71:CE$86)</f>
        <v>265983.59999999998</v>
      </c>
      <c r="N135" s="106">
        <f>SUM(CG$71:CG$86)+SUM(CI$71:CI$86)+SUM(CK$71:CK$86)+SUM(CM$71:CM$86)</f>
        <v>270117.59999999998</v>
      </c>
      <c r="O135" s="106">
        <f>SUM(CO$71:CO$86)+SUM(CQ$71:CQ$86)+SUM(CS$71:CS$86)+SUM(CU$71:CU$86)</f>
        <v>311910.00000000006</v>
      </c>
    </row>
    <row r="136" spans="2:15">
      <c r="C136" s="105" t="s">
        <v>131</v>
      </c>
      <c r="D136" s="106">
        <f>SUM(E$87:E$94)+SUM(G$87:G$94)+SUM(I$87:I$94)+SUM(K$87:K$94)</f>
        <v>249938.6084507042</v>
      </c>
      <c r="E136" s="106">
        <f>SUM(M$87:M$94)+SUM(O$87:O$94)+SUM(Q$87:Q$94)+SUM(S$87:S$94)</f>
        <v>277378.8</v>
      </c>
      <c r="F136" s="106">
        <f>SUM(U$87:U$94)+SUM(W$87:W$94)+SUM(Y$87:Y$94)+SUM(AA$87:AA$94)</f>
        <v>313700.40000000002</v>
      </c>
      <c r="G136" s="106">
        <f>SUM(AC$87:AC$94)+SUM(AE$87:AE$94)+SUM(AG$87:AG$94)+SUM(AI$87:AI$94)</f>
        <v>270771.68729782861</v>
      </c>
      <c r="H136" s="106">
        <f>SUM(AK$87:AK$94)+SUM(AM$87:AM$94)+SUM(AO$87:AO$94)+SUM(AQ$87:AQ$94)</f>
        <v>278761.19999999995</v>
      </c>
      <c r="I136" s="106">
        <f>SUM(AS$87:AS$94)+SUM(AU$87:AU$94)+SUM(AW$87:AW$94)+SUM(AY$87:AY$94)</f>
        <v>283833.79393939389</v>
      </c>
      <c r="J136" s="106">
        <f>SUM(BA$87:BA$94)+SUM(BC$87:BC$94)+SUM(BE$87:BE$94)+SUM(BG$87:BG$94)</f>
        <v>299993.02546728973</v>
      </c>
      <c r="K136" s="106">
        <f>SUM(BI$87:BI$94)+SUM(BK$87:BK$94)+SUM(BM$87:BM$94)+SUM(BO$87:BO$94)</f>
        <v>286501.78290780011</v>
      </c>
      <c r="L136" s="106">
        <f>SUM(BQ$87:BQ$94)+SUM(BS$87:BS$94)+SUM(BU$87:BU$94)+SUM(BW$87:BW$94)</f>
        <v>290905.44866430038</v>
      </c>
      <c r="M136" s="106">
        <f>SUM(BY$87:BY$94)+SUM(CA$87:CA$94)+SUM(CC$87:CC$94)+SUM(CE$87:CE$94)</f>
        <v>312935.913253012</v>
      </c>
      <c r="N136" s="106">
        <f>SUM(CG$87:CG$94)+SUM(CI$87:CI$94)+SUM(CK$87:CK$94)+SUM(CM$87:CM$94)</f>
        <v>271966.27744888619</v>
      </c>
      <c r="O136" s="106">
        <f>SUM(CO$87:CO$94)+SUM(CQ$87:CQ$94)+SUM(CS$87:CS$94)+SUM(CU$87:CU$94)</f>
        <v>329062.04658634536</v>
      </c>
    </row>
    <row r="137" spans="2:15">
      <c r="C137" s="105" t="s">
        <v>132</v>
      </c>
      <c r="D137" s="106">
        <f>SUM(E$95:E$105)+SUM(G$95:G$105)+SUM(I$95:I$105)+SUM(K$95:K$105)</f>
        <v>285275.29577464791</v>
      </c>
      <c r="E137" s="106">
        <f>SUM(M$95:M$105)+SUM(O$95:O$105)+SUM(Q$95:Q$105)+SUM(S$95:S$105)</f>
        <v>268152</v>
      </c>
      <c r="F137" s="106">
        <f>SUM(U$95:U$105)+SUM(W$95:W$105)+SUM(Y$95:Y$105)+SUM(AA$95:AA$105)</f>
        <v>326444.39999999997</v>
      </c>
      <c r="G137" s="106">
        <f>SUM(AC$95:AC$105)+SUM(AE$95:AE$105)+SUM(AG$95:AG$105)+SUM(AI$95:AI$105)</f>
        <v>313629.89708109625</v>
      </c>
      <c r="H137" s="106">
        <f>SUM(AK$95:AK$105)+SUM(AM$95:AM$105)+SUM(AO$95:AO$105)+SUM(AQ$95:AQ$105)</f>
        <v>282637.2</v>
      </c>
      <c r="I137" s="106">
        <f>SUM(AS$95:AS$105)+SUM(AU$95:AU$105)+SUM(AW$95:AW$105)+SUM(AY$95:AY$105)</f>
        <v>338469.08484848484</v>
      </c>
      <c r="J137" s="106">
        <f>SUM(BA$95:BA$105)+SUM(BC$95:BC$105)+SUM(BE$95:BE$105)+SUM(BG$95:BG$105)</f>
        <v>288496.92640186916</v>
      </c>
      <c r="K137" s="106">
        <f>SUM(BI$95:BI$105)+SUM(BK$95:BK$105)+SUM(BM$95:BM$105)+SUM(BO$95:BO$105)</f>
        <v>299892.87627524813</v>
      </c>
      <c r="L137" s="106">
        <f>SUM(BQ$95:BQ$105)+SUM(BS$95:BS$105)+SUM(BU$95:BU$105)+SUM(BW$95:BW$105)</f>
        <v>298182.26080702408</v>
      </c>
      <c r="M137" s="106">
        <f>SUM(BY$95:BY$105)+SUM(CA$95:CA$105)+SUM(CC$95:CC$105)+SUM(CE$95:CE$105)</f>
        <v>269993.40722891566</v>
      </c>
      <c r="N137" s="106">
        <f>SUM(CG$95:CG$105)+SUM(CI$95:CI$105)+SUM(CK$95:CK$105)+SUM(CM$95:CM$105)</f>
        <v>313035.56411351846</v>
      </c>
      <c r="O137" s="106">
        <f>SUM(CO$95:CO$105)+SUM(CQ$95:CQ$105)+SUM(CS$95:CS$105)+SUM(CU$95:CU$105)</f>
        <v>284788.59598393575</v>
      </c>
    </row>
    <row r="138" spans="2:15">
      <c r="C138" s="105" t="s">
        <v>278</v>
      </c>
      <c r="D138" s="100">
        <f t="shared" ref="D138:O138" si="2">SUM(D$131:D$137)</f>
        <v>3463483.1436619717</v>
      </c>
      <c r="E138" s="100">
        <f t="shared" si="2"/>
        <v>3721130.4</v>
      </c>
      <c r="F138" s="100">
        <f t="shared" si="2"/>
        <v>3757110.0621334258</v>
      </c>
      <c r="G138" s="100">
        <f t="shared" si="2"/>
        <v>3274278.155931259</v>
      </c>
      <c r="H138" s="100">
        <f t="shared" si="2"/>
        <v>3514791.5999999996</v>
      </c>
      <c r="I138" s="100">
        <f t="shared" si="2"/>
        <v>3807457.5481543145</v>
      </c>
      <c r="J138" s="100">
        <f t="shared" si="2"/>
        <v>3572280.7728617257</v>
      </c>
      <c r="K138" s="100">
        <f t="shared" si="2"/>
        <v>3867858.4108386198</v>
      </c>
      <c r="L138" s="100">
        <f t="shared" si="2"/>
        <v>3703837.11756167</v>
      </c>
      <c r="M138" s="100">
        <f t="shared" si="2"/>
        <v>3511993.2563383947</v>
      </c>
      <c r="N138" s="100">
        <f t="shared" si="2"/>
        <v>3637686.8045724742</v>
      </c>
      <c r="O138" s="100">
        <f t="shared" si="2"/>
        <v>3577975.3978173723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6.5201152978215822</v>
      </c>
      <c r="E6" s="100">
        <v>3771.2346882600032</v>
      </c>
      <c r="F6" s="100">
        <v>2.519440078089235</v>
      </c>
      <c r="G6" s="100">
        <v>1457.2441411668135</v>
      </c>
      <c r="H6" s="100">
        <v>9</v>
      </c>
      <c r="I6" s="100">
        <v>5205.5999999999995</v>
      </c>
      <c r="J6" s="100">
        <v>8</v>
      </c>
      <c r="K6" s="100">
        <v>4627.2</v>
      </c>
      <c r="L6" s="100">
        <v>6</v>
      </c>
      <c r="M6" s="100">
        <v>3470.3999999999996</v>
      </c>
      <c r="N6" s="100">
        <v>7</v>
      </c>
      <c r="O6" s="100">
        <v>4048.7999999999997</v>
      </c>
      <c r="P6" s="100">
        <v>9</v>
      </c>
      <c r="Q6" s="100">
        <v>5205.5999999999995</v>
      </c>
      <c r="R6" s="100">
        <v>10</v>
      </c>
      <c r="S6" s="100">
        <v>5784</v>
      </c>
      <c r="T6" s="100">
        <v>10</v>
      </c>
      <c r="U6" s="100">
        <v>5784</v>
      </c>
      <c r="V6" s="100">
        <v>9</v>
      </c>
      <c r="W6" s="100">
        <v>5205.5999999999995</v>
      </c>
      <c r="X6" s="100">
        <v>3.1841635775793327</v>
      </c>
      <c r="Y6" s="100">
        <v>1841.720213271886</v>
      </c>
      <c r="Z6" s="100">
        <v>10</v>
      </c>
      <c r="AA6" s="100">
        <v>5784</v>
      </c>
      <c r="AB6" s="100">
        <v>11</v>
      </c>
      <c r="AC6" s="100">
        <v>6362.4</v>
      </c>
      <c r="AD6" s="100">
        <v>7.0853252187749733</v>
      </c>
      <c r="AE6" s="100">
        <v>4098.1521065394445</v>
      </c>
      <c r="AF6" s="100">
        <v>6.9786892560953735</v>
      </c>
      <c r="AG6" s="100">
        <v>4036.4738657255639</v>
      </c>
      <c r="AH6" s="100">
        <v>10</v>
      </c>
      <c r="AI6" s="100">
        <v>5784</v>
      </c>
      <c r="AJ6" s="100">
        <v>4.5782903052599639</v>
      </c>
      <c r="AK6" s="100">
        <v>2648.0831125623631</v>
      </c>
      <c r="AL6" s="100">
        <v>8</v>
      </c>
      <c r="AM6" s="100">
        <v>4627.2</v>
      </c>
      <c r="AN6" s="100">
        <v>10</v>
      </c>
      <c r="AO6" s="100">
        <v>5784</v>
      </c>
      <c r="AP6" s="100">
        <v>7.101776074003463</v>
      </c>
      <c r="AQ6" s="100">
        <v>4107.6672812036031</v>
      </c>
      <c r="AR6" s="100">
        <v>6.3472800216783141E-16</v>
      </c>
      <c r="AS6" s="100">
        <v>3.6712667645387365E-13</v>
      </c>
      <c r="AT6" s="100">
        <v>7</v>
      </c>
      <c r="AU6" s="100">
        <v>4048.7999999999997</v>
      </c>
      <c r="AV6" s="100">
        <v>8</v>
      </c>
      <c r="AW6" s="100">
        <v>4627.2</v>
      </c>
      <c r="AX6" s="100">
        <v>8</v>
      </c>
      <c r="AY6" s="100">
        <v>4627.2</v>
      </c>
      <c r="AZ6" s="100">
        <v>8</v>
      </c>
      <c r="BA6" s="100">
        <v>4627.2</v>
      </c>
      <c r="BB6" s="100">
        <v>10</v>
      </c>
      <c r="BC6" s="100">
        <v>5784</v>
      </c>
      <c r="BD6" s="100">
        <v>10.012481441213556</v>
      </c>
      <c r="BE6" s="100">
        <v>5791.2192655979206</v>
      </c>
      <c r="BF6" s="100">
        <v>9</v>
      </c>
      <c r="BG6" s="100">
        <v>5205.5999999999995</v>
      </c>
      <c r="BH6" s="100">
        <v>5.2840289893669938</v>
      </c>
      <c r="BI6" s="100">
        <v>3056.2823674498691</v>
      </c>
      <c r="BJ6" s="100">
        <v>11</v>
      </c>
      <c r="BK6" s="100">
        <v>6362.4</v>
      </c>
      <c r="BL6" s="100">
        <v>7</v>
      </c>
      <c r="BM6" s="100">
        <v>4048.7999999999997</v>
      </c>
      <c r="BN6" s="100">
        <v>8</v>
      </c>
      <c r="BO6" s="100">
        <v>4627.2</v>
      </c>
      <c r="BP6" s="100">
        <v>11</v>
      </c>
      <c r="BQ6" s="100">
        <v>6362.4</v>
      </c>
      <c r="BR6" s="100">
        <v>11</v>
      </c>
      <c r="BS6" s="100">
        <v>6362.4</v>
      </c>
      <c r="BT6" s="100">
        <v>10</v>
      </c>
      <c r="BU6" s="100">
        <v>5784</v>
      </c>
      <c r="BV6" s="100">
        <v>9.5784672775129565</v>
      </c>
      <c r="BW6" s="100">
        <v>5540.1854733134942</v>
      </c>
      <c r="BX6" s="100">
        <v>0</v>
      </c>
      <c r="BY6" s="100">
        <v>0</v>
      </c>
      <c r="BZ6" s="100">
        <v>1.646517530169971</v>
      </c>
      <c r="CA6" s="100">
        <v>952.34573945031127</v>
      </c>
      <c r="CB6" s="100">
        <v>9.5989123383660004</v>
      </c>
      <c r="CC6" s="100">
        <v>5552.0108965108948</v>
      </c>
      <c r="CD6" s="100">
        <v>12</v>
      </c>
      <c r="CE6" s="100">
        <v>6940.7999999999993</v>
      </c>
      <c r="CF6" s="100">
        <v>11</v>
      </c>
      <c r="CG6" s="100">
        <v>6362.4</v>
      </c>
      <c r="CH6" s="100">
        <v>8</v>
      </c>
      <c r="CI6" s="100">
        <v>4627.2</v>
      </c>
      <c r="CJ6" s="100">
        <v>9</v>
      </c>
      <c r="CK6" s="100">
        <v>5205.5999999999995</v>
      </c>
      <c r="CL6" s="100">
        <v>12</v>
      </c>
      <c r="CM6" s="100">
        <v>6940.7999999999993</v>
      </c>
      <c r="CN6" s="100">
        <v>1.3166331140481782</v>
      </c>
      <c r="CO6" s="100">
        <v>761.54059316546625</v>
      </c>
      <c r="CP6" s="100">
        <v>10</v>
      </c>
      <c r="CQ6" s="100">
        <v>5784</v>
      </c>
      <c r="CR6" s="100">
        <v>14</v>
      </c>
      <c r="CS6" s="100">
        <v>8097.5999999999995</v>
      </c>
      <c r="CT6" s="100">
        <v>11.235213194976465</v>
      </c>
      <c r="CU6" s="100">
        <v>6498.447311974387</v>
      </c>
    </row>
    <row r="7" spans="1:99">
      <c r="C7" s="99" t="s">
        <v>173</v>
      </c>
      <c r="D7" s="100">
        <v>6.5201152978215822</v>
      </c>
      <c r="E7" s="100">
        <v>5140.458900802535</v>
      </c>
      <c r="F7" s="100">
        <v>2.7713840858981582</v>
      </c>
      <c r="G7" s="100">
        <v>2184.9592133221076</v>
      </c>
      <c r="H7" s="100">
        <v>11</v>
      </c>
      <c r="I7" s="100">
        <v>8672.4</v>
      </c>
      <c r="J7" s="100">
        <v>8</v>
      </c>
      <c r="K7" s="100">
        <v>6307.2</v>
      </c>
      <c r="L7" s="100">
        <v>6</v>
      </c>
      <c r="M7" s="100">
        <v>4730.3999999999996</v>
      </c>
      <c r="N7" s="100">
        <v>7</v>
      </c>
      <c r="O7" s="100">
        <v>5518.8</v>
      </c>
      <c r="P7" s="100">
        <v>8</v>
      </c>
      <c r="Q7" s="100">
        <v>6307.2</v>
      </c>
      <c r="R7" s="100">
        <v>10</v>
      </c>
      <c r="S7" s="100">
        <v>7884</v>
      </c>
      <c r="T7" s="100">
        <v>10</v>
      </c>
      <c r="U7" s="100">
        <v>7884</v>
      </c>
      <c r="V7" s="100">
        <v>9</v>
      </c>
      <c r="W7" s="100">
        <v>7095.5999999999995</v>
      </c>
      <c r="X7" s="100">
        <v>3.6390440886620947</v>
      </c>
      <c r="Y7" s="100">
        <v>2869.0223595011953</v>
      </c>
      <c r="Z7" s="100">
        <v>11</v>
      </c>
      <c r="AA7" s="100">
        <v>8672.4</v>
      </c>
      <c r="AB7" s="100">
        <v>11</v>
      </c>
      <c r="AC7" s="100">
        <v>8672.4</v>
      </c>
      <c r="AD7" s="100">
        <v>7.9709908711218453</v>
      </c>
      <c r="AE7" s="100">
        <v>6284.3292027924626</v>
      </c>
      <c r="AF7" s="100">
        <v>6.2808203304858363</v>
      </c>
      <c r="AG7" s="100">
        <v>4951.7987485550329</v>
      </c>
      <c r="AH7" s="100">
        <v>10</v>
      </c>
      <c r="AI7" s="100">
        <v>7884</v>
      </c>
      <c r="AJ7" s="100">
        <v>4.5782903052599639</v>
      </c>
      <c r="AK7" s="100">
        <v>3609.5240766669554</v>
      </c>
      <c r="AL7" s="100">
        <v>6</v>
      </c>
      <c r="AM7" s="100">
        <v>4730.3999999999996</v>
      </c>
      <c r="AN7" s="100">
        <v>9</v>
      </c>
      <c r="AO7" s="100">
        <v>7095.5999999999995</v>
      </c>
      <c r="AP7" s="100">
        <v>6.3915984666031171</v>
      </c>
      <c r="AQ7" s="100">
        <v>5039.1362310698978</v>
      </c>
      <c r="AR7" s="100">
        <v>5.6420266859362794E-16</v>
      </c>
      <c r="AS7" s="100">
        <v>4.4481738391921623E-13</v>
      </c>
      <c r="AT7" s="100">
        <v>7</v>
      </c>
      <c r="AU7" s="100">
        <v>5518.8</v>
      </c>
      <c r="AV7" s="100">
        <v>9</v>
      </c>
      <c r="AW7" s="100">
        <v>7095.5999999999995</v>
      </c>
      <c r="AX7" s="100">
        <v>9</v>
      </c>
      <c r="AY7" s="100">
        <v>7095.5999999999995</v>
      </c>
      <c r="AZ7" s="100">
        <v>8</v>
      </c>
      <c r="BA7" s="100">
        <v>6307.2</v>
      </c>
      <c r="BB7" s="100">
        <v>12</v>
      </c>
      <c r="BC7" s="100">
        <v>9460.7999999999993</v>
      </c>
      <c r="BD7" s="100">
        <v>10.012481441213556</v>
      </c>
      <c r="BE7" s="100">
        <v>7893.8403682527669</v>
      </c>
      <c r="BF7" s="100">
        <v>9</v>
      </c>
      <c r="BG7" s="100">
        <v>7095.5999999999995</v>
      </c>
      <c r="BH7" s="100">
        <v>6.1647004875948266</v>
      </c>
      <c r="BI7" s="100">
        <v>4860.2498644197613</v>
      </c>
      <c r="BJ7" s="100">
        <v>13</v>
      </c>
      <c r="BK7" s="100">
        <v>10249.199999999999</v>
      </c>
      <c r="BL7" s="100">
        <v>7</v>
      </c>
      <c r="BM7" s="100">
        <v>5518.8</v>
      </c>
      <c r="BN7" s="100">
        <v>8</v>
      </c>
      <c r="BO7" s="100">
        <v>6307.2</v>
      </c>
      <c r="BP7" s="100">
        <v>10</v>
      </c>
      <c r="BQ7" s="100">
        <v>7884</v>
      </c>
      <c r="BR7" s="100">
        <v>11</v>
      </c>
      <c r="BS7" s="100">
        <v>8672.4</v>
      </c>
      <c r="BT7" s="100">
        <v>11</v>
      </c>
      <c r="BU7" s="100">
        <v>8672.4</v>
      </c>
      <c r="BV7" s="100">
        <v>9.5784672775129565</v>
      </c>
      <c r="BW7" s="100">
        <v>7551.6636015912145</v>
      </c>
      <c r="BX7" s="100">
        <v>0</v>
      </c>
      <c r="BY7" s="100">
        <v>0</v>
      </c>
      <c r="BZ7" s="100">
        <v>1.646517530169971</v>
      </c>
      <c r="CA7" s="100">
        <v>1298.1144207860052</v>
      </c>
      <c r="CB7" s="100">
        <v>9.5989123383660004</v>
      </c>
      <c r="CC7" s="100">
        <v>7567.7824875677543</v>
      </c>
      <c r="CD7" s="100">
        <v>13</v>
      </c>
      <c r="CE7" s="100">
        <v>10249.199999999999</v>
      </c>
      <c r="CF7" s="100">
        <v>12</v>
      </c>
      <c r="CG7" s="100">
        <v>9460.7999999999993</v>
      </c>
      <c r="CH7" s="100">
        <v>8</v>
      </c>
      <c r="CI7" s="100">
        <v>6307.2</v>
      </c>
      <c r="CJ7" s="100">
        <v>10</v>
      </c>
      <c r="CK7" s="100">
        <v>7884</v>
      </c>
      <c r="CL7" s="100">
        <v>12</v>
      </c>
      <c r="CM7" s="100">
        <v>9460.7999999999993</v>
      </c>
      <c r="CN7" s="100">
        <v>1.3166331140481782</v>
      </c>
      <c r="CO7" s="100">
        <v>1038.0335471155836</v>
      </c>
      <c r="CP7" s="100">
        <v>8</v>
      </c>
      <c r="CQ7" s="100">
        <v>6307.2</v>
      </c>
      <c r="CR7" s="100">
        <v>12</v>
      </c>
      <c r="CS7" s="100">
        <v>9460.7999999999993</v>
      </c>
      <c r="CT7" s="100">
        <v>11.235213194976465</v>
      </c>
      <c r="CU7" s="100">
        <v>8857.8420829194456</v>
      </c>
    </row>
    <row r="8" spans="1:99">
      <c r="C8" s="99" t="s">
        <v>174</v>
      </c>
      <c r="D8" s="100">
        <v>7.4515603403675232</v>
      </c>
      <c r="E8" s="100">
        <v>2307.0030813777848</v>
      </c>
      <c r="F8" s="100">
        <v>2.519440078089235</v>
      </c>
      <c r="G8" s="100">
        <v>780.01864817642706</v>
      </c>
      <c r="H8" s="100">
        <v>10</v>
      </c>
      <c r="I8" s="100">
        <v>3095.9999999999995</v>
      </c>
      <c r="J8" s="100">
        <v>9</v>
      </c>
      <c r="K8" s="100">
        <v>2786.3999999999996</v>
      </c>
      <c r="L8" s="100">
        <v>7</v>
      </c>
      <c r="M8" s="100">
        <v>2167.1999999999998</v>
      </c>
      <c r="N8" s="100">
        <v>7</v>
      </c>
      <c r="O8" s="100">
        <v>2167.1999999999998</v>
      </c>
      <c r="P8" s="100">
        <v>9</v>
      </c>
      <c r="Q8" s="100">
        <v>2786.3999999999996</v>
      </c>
      <c r="R8" s="100">
        <v>10</v>
      </c>
      <c r="S8" s="100">
        <v>3095.9999999999995</v>
      </c>
      <c r="T8" s="100">
        <v>10</v>
      </c>
      <c r="U8" s="100">
        <v>3095.9999999999995</v>
      </c>
      <c r="V8" s="100">
        <v>10</v>
      </c>
      <c r="W8" s="100">
        <v>3095.9999999999995</v>
      </c>
      <c r="X8" s="100">
        <v>3.6390440886620947</v>
      </c>
      <c r="Y8" s="100">
        <v>1126.6480498497845</v>
      </c>
      <c r="Z8" s="100">
        <v>10</v>
      </c>
      <c r="AA8" s="100">
        <v>3095.9999999999995</v>
      </c>
      <c r="AB8" s="100">
        <v>11</v>
      </c>
      <c r="AC8" s="100">
        <v>3405.5999999999995</v>
      </c>
      <c r="AD8" s="100">
        <v>7.9709908711218453</v>
      </c>
      <c r="AE8" s="100">
        <v>2467.8187736993232</v>
      </c>
      <c r="AF8" s="100">
        <v>6.9786892560953735</v>
      </c>
      <c r="AG8" s="100">
        <v>2160.6021936871275</v>
      </c>
      <c r="AH8" s="100">
        <v>10</v>
      </c>
      <c r="AI8" s="100">
        <v>3095.9999999999995</v>
      </c>
      <c r="AJ8" s="100">
        <v>4.5782903052599639</v>
      </c>
      <c r="AK8" s="100">
        <v>1417.4386785084846</v>
      </c>
      <c r="AL8" s="100">
        <v>7</v>
      </c>
      <c r="AM8" s="100">
        <v>2167.1999999999998</v>
      </c>
      <c r="AN8" s="100">
        <v>9</v>
      </c>
      <c r="AO8" s="100">
        <v>2786.3999999999996</v>
      </c>
      <c r="AP8" s="100">
        <v>7.101776074003463</v>
      </c>
      <c r="AQ8" s="100">
        <v>2198.709872511472</v>
      </c>
      <c r="AR8" s="100">
        <v>6.3472800216783141E-16</v>
      </c>
      <c r="AS8" s="100">
        <v>1.9651178947116058E-13</v>
      </c>
      <c r="AT8" s="100">
        <v>7</v>
      </c>
      <c r="AU8" s="100">
        <v>2167.1999999999998</v>
      </c>
      <c r="AV8" s="100">
        <v>9</v>
      </c>
      <c r="AW8" s="100">
        <v>2786.3999999999996</v>
      </c>
      <c r="AX8" s="100">
        <v>8</v>
      </c>
      <c r="AY8" s="100">
        <v>2476.7999999999997</v>
      </c>
      <c r="AZ8" s="100">
        <v>8</v>
      </c>
      <c r="BA8" s="100">
        <v>2476.7999999999997</v>
      </c>
      <c r="BB8" s="100">
        <v>12</v>
      </c>
      <c r="BC8" s="100">
        <v>3715.2</v>
      </c>
      <c r="BD8" s="100">
        <v>10.012481441213556</v>
      </c>
      <c r="BE8" s="100">
        <v>3099.8642541997165</v>
      </c>
      <c r="BF8" s="100">
        <v>9</v>
      </c>
      <c r="BG8" s="100">
        <v>2786.3999999999996</v>
      </c>
      <c r="BH8" s="100">
        <v>6.1647004875948266</v>
      </c>
      <c r="BI8" s="100">
        <v>1908.5912709593581</v>
      </c>
      <c r="BJ8" s="100">
        <v>12</v>
      </c>
      <c r="BK8" s="100">
        <v>3715.2</v>
      </c>
      <c r="BL8" s="100">
        <v>7</v>
      </c>
      <c r="BM8" s="100">
        <v>2167.1999999999998</v>
      </c>
      <c r="BN8" s="100">
        <v>8</v>
      </c>
      <c r="BO8" s="100">
        <v>2476.7999999999997</v>
      </c>
      <c r="BP8" s="100">
        <v>12</v>
      </c>
      <c r="BQ8" s="100">
        <v>3715.2</v>
      </c>
      <c r="BR8" s="100">
        <v>11</v>
      </c>
      <c r="BS8" s="100">
        <v>3405.5999999999995</v>
      </c>
      <c r="BT8" s="100">
        <v>10</v>
      </c>
      <c r="BU8" s="100">
        <v>3095.9999999999995</v>
      </c>
      <c r="BV8" s="100">
        <v>9.5784672775129565</v>
      </c>
      <c r="BW8" s="100">
        <v>2965.493469118011</v>
      </c>
      <c r="BX8" s="100">
        <v>0</v>
      </c>
      <c r="BY8" s="100">
        <v>0</v>
      </c>
      <c r="BZ8" s="100">
        <v>1.646517530169971</v>
      </c>
      <c r="CA8" s="100">
        <v>509.76182734062297</v>
      </c>
      <c r="CB8" s="100">
        <v>9.5989123383660004</v>
      </c>
      <c r="CC8" s="100">
        <v>2971.8232599581133</v>
      </c>
      <c r="CD8" s="100">
        <v>12</v>
      </c>
      <c r="CE8" s="100">
        <v>3715.2</v>
      </c>
      <c r="CF8" s="100">
        <v>11</v>
      </c>
      <c r="CG8" s="100">
        <v>3405.5999999999995</v>
      </c>
      <c r="CH8" s="100">
        <v>8</v>
      </c>
      <c r="CI8" s="100">
        <v>2476.7999999999997</v>
      </c>
      <c r="CJ8" s="100">
        <v>10</v>
      </c>
      <c r="CK8" s="100">
        <v>3095.9999999999995</v>
      </c>
      <c r="CL8" s="100">
        <v>13</v>
      </c>
      <c r="CM8" s="100">
        <v>4024.7999999999997</v>
      </c>
      <c r="CN8" s="100">
        <v>1.3166331140481782</v>
      </c>
      <c r="CO8" s="100">
        <v>407.62961210931593</v>
      </c>
      <c r="CP8" s="100">
        <v>10</v>
      </c>
      <c r="CQ8" s="100">
        <v>3095.9999999999995</v>
      </c>
      <c r="CR8" s="100">
        <v>14</v>
      </c>
      <c r="CS8" s="100">
        <v>4334.3999999999996</v>
      </c>
      <c r="CT8" s="100">
        <v>10.298945428728429</v>
      </c>
      <c r="CU8" s="100">
        <v>3188.553504734321</v>
      </c>
    </row>
    <row r="9" spans="1:99">
      <c r="C9" s="99" t="s">
        <v>175</v>
      </c>
      <c r="D9" s="100">
        <v>6.5201152978215822</v>
      </c>
      <c r="E9" s="100">
        <v>4577.1209390707509</v>
      </c>
      <c r="F9" s="100">
        <v>2.2674960702803113</v>
      </c>
      <c r="G9" s="100">
        <v>1591.7822413367785</v>
      </c>
      <c r="H9" s="100">
        <v>9</v>
      </c>
      <c r="I9" s="100">
        <v>6318</v>
      </c>
      <c r="J9" s="100">
        <v>7</v>
      </c>
      <c r="K9" s="100">
        <v>4914</v>
      </c>
      <c r="L9" s="100">
        <v>6</v>
      </c>
      <c r="M9" s="100">
        <v>4212</v>
      </c>
      <c r="N9" s="100">
        <v>7</v>
      </c>
      <c r="O9" s="100">
        <v>4914</v>
      </c>
      <c r="P9" s="100">
        <v>8</v>
      </c>
      <c r="Q9" s="100">
        <v>5616</v>
      </c>
      <c r="R9" s="100">
        <v>10</v>
      </c>
      <c r="S9" s="100">
        <v>7020</v>
      </c>
      <c r="T9" s="100">
        <v>9</v>
      </c>
      <c r="U9" s="100">
        <v>6318</v>
      </c>
      <c r="V9" s="100">
        <v>10</v>
      </c>
      <c r="W9" s="100">
        <v>7020</v>
      </c>
      <c r="X9" s="100">
        <v>3.1841635775793327</v>
      </c>
      <c r="Y9" s="100">
        <v>2235.2828314606913</v>
      </c>
      <c r="Z9" s="100">
        <v>10</v>
      </c>
      <c r="AA9" s="100">
        <v>7020</v>
      </c>
      <c r="AB9" s="100">
        <v>11</v>
      </c>
      <c r="AC9" s="100">
        <v>7722</v>
      </c>
      <c r="AD9" s="100">
        <v>7.0853252187749733</v>
      </c>
      <c r="AE9" s="100">
        <v>4973.8983035800311</v>
      </c>
      <c r="AF9" s="100">
        <v>6.2808203304858363</v>
      </c>
      <c r="AG9" s="100">
        <v>4409.1358720010567</v>
      </c>
      <c r="AH9" s="100">
        <v>9</v>
      </c>
      <c r="AI9" s="100">
        <v>6318</v>
      </c>
      <c r="AJ9" s="100">
        <v>4.5782903052599639</v>
      </c>
      <c r="AK9" s="100">
        <v>3213.9597942924947</v>
      </c>
      <c r="AL9" s="100">
        <v>7</v>
      </c>
      <c r="AM9" s="100">
        <v>4914</v>
      </c>
      <c r="AN9" s="100">
        <v>9</v>
      </c>
      <c r="AO9" s="100">
        <v>6318</v>
      </c>
      <c r="AP9" s="100">
        <v>7.8119536814038089</v>
      </c>
      <c r="AQ9" s="100">
        <v>5483.9914843454735</v>
      </c>
      <c r="AR9" s="100">
        <v>6.3472800216783141E-16</v>
      </c>
      <c r="AS9" s="100">
        <v>4.4557905752181762E-13</v>
      </c>
      <c r="AT9" s="100">
        <v>7</v>
      </c>
      <c r="AU9" s="100">
        <v>4914</v>
      </c>
      <c r="AV9" s="100">
        <v>8</v>
      </c>
      <c r="AW9" s="100">
        <v>5616</v>
      </c>
      <c r="AX9" s="100">
        <v>9</v>
      </c>
      <c r="AY9" s="100">
        <v>6318</v>
      </c>
      <c r="AZ9" s="100">
        <v>8</v>
      </c>
      <c r="BA9" s="100">
        <v>5616</v>
      </c>
      <c r="BB9" s="100">
        <v>10</v>
      </c>
      <c r="BC9" s="100">
        <v>7020</v>
      </c>
      <c r="BD9" s="100">
        <v>9.1022558556486857</v>
      </c>
      <c r="BE9" s="100">
        <v>6389.7836106653776</v>
      </c>
      <c r="BF9" s="100">
        <v>9</v>
      </c>
      <c r="BG9" s="100">
        <v>6318</v>
      </c>
      <c r="BH9" s="100">
        <v>5.2840289893669938</v>
      </c>
      <c r="BI9" s="100">
        <v>3709.3883505356298</v>
      </c>
      <c r="BJ9" s="100">
        <v>12</v>
      </c>
      <c r="BK9" s="100">
        <v>8424</v>
      </c>
      <c r="BL9" s="100">
        <v>8</v>
      </c>
      <c r="BM9" s="100">
        <v>5616</v>
      </c>
      <c r="BN9" s="100">
        <v>8</v>
      </c>
      <c r="BO9" s="100">
        <v>5616</v>
      </c>
      <c r="BP9" s="100">
        <v>10</v>
      </c>
      <c r="BQ9" s="100">
        <v>7020</v>
      </c>
      <c r="BR9" s="100">
        <v>10</v>
      </c>
      <c r="BS9" s="100">
        <v>7020</v>
      </c>
      <c r="BT9" s="100">
        <v>11</v>
      </c>
      <c r="BU9" s="100">
        <v>7722</v>
      </c>
      <c r="BV9" s="100">
        <v>8.6206205497616608</v>
      </c>
      <c r="BW9" s="100">
        <v>6051.6756259326858</v>
      </c>
      <c r="BX9" s="100">
        <v>0</v>
      </c>
      <c r="BY9" s="100">
        <v>0</v>
      </c>
      <c r="BZ9" s="100">
        <v>1.9209371185316326</v>
      </c>
      <c r="CA9" s="100">
        <v>1348.4978572092061</v>
      </c>
      <c r="CB9" s="100">
        <v>8.72628394396909</v>
      </c>
      <c r="CC9" s="100">
        <v>6125.851328666301</v>
      </c>
      <c r="CD9" s="100">
        <v>12</v>
      </c>
      <c r="CE9" s="100">
        <v>8424</v>
      </c>
      <c r="CF9" s="100">
        <v>11</v>
      </c>
      <c r="CG9" s="100">
        <v>7722</v>
      </c>
      <c r="CH9" s="100">
        <v>8</v>
      </c>
      <c r="CI9" s="100">
        <v>5616</v>
      </c>
      <c r="CJ9" s="100">
        <v>11</v>
      </c>
      <c r="CK9" s="100">
        <v>7722</v>
      </c>
      <c r="CL9" s="100">
        <v>11</v>
      </c>
      <c r="CM9" s="100">
        <v>7722</v>
      </c>
      <c r="CN9" s="100">
        <v>1.3166331140481782</v>
      </c>
      <c r="CO9" s="100">
        <v>924.27644606182105</v>
      </c>
      <c r="CP9" s="100">
        <v>10</v>
      </c>
      <c r="CQ9" s="100">
        <v>7020</v>
      </c>
      <c r="CR9" s="100">
        <v>13</v>
      </c>
      <c r="CS9" s="100">
        <v>9126</v>
      </c>
      <c r="CT9" s="100">
        <v>10.298945428728429</v>
      </c>
      <c r="CU9" s="100">
        <v>7229.859690967357</v>
      </c>
    </row>
    <row r="10" spans="1:99">
      <c r="C10" s="99" t="s">
        <v>176</v>
      </c>
      <c r="D10" s="100">
        <v>6.5201152978215822</v>
      </c>
      <c r="E10" s="100">
        <v>3552.1588142531978</v>
      </c>
      <c r="F10" s="100">
        <v>2.2674960702803113</v>
      </c>
      <c r="G10" s="100">
        <v>1235.3318590887136</v>
      </c>
      <c r="H10" s="100">
        <v>11</v>
      </c>
      <c r="I10" s="100">
        <v>5992.7999999999993</v>
      </c>
      <c r="J10" s="100">
        <v>7</v>
      </c>
      <c r="K10" s="100">
        <v>3813.5999999999995</v>
      </c>
      <c r="L10" s="100">
        <v>7</v>
      </c>
      <c r="M10" s="100">
        <v>3813.5999999999995</v>
      </c>
      <c r="N10" s="100">
        <v>7</v>
      </c>
      <c r="O10" s="100">
        <v>3813.5999999999995</v>
      </c>
      <c r="P10" s="100">
        <v>8</v>
      </c>
      <c r="Q10" s="100">
        <v>4358.3999999999996</v>
      </c>
      <c r="R10" s="100">
        <v>10</v>
      </c>
      <c r="S10" s="100">
        <v>5448</v>
      </c>
      <c r="T10" s="100">
        <v>10</v>
      </c>
      <c r="U10" s="100">
        <v>5448</v>
      </c>
      <c r="V10" s="100">
        <v>10</v>
      </c>
      <c r="W10" s="100">
        <v>5448</v>
      </c>
      <c r="X10" s="100">
        <v>3.6390440886620947</v>
      </c>
      <c r="Y10" s="100">
        <v>1982.551219503109</v>
      </c>
      <c r="Z10" s="100">
        <v>10</v>
      </c>
      <c r="AA10" s="100">
        <v>5448</v>
      </c>
      <c r="AB10" s="100">
        <v>11</v>
      </c>
      <c r="AC10" s="100">
        <v>5992.7999999999993</v>
      </c>
      <c r="AD10" s="100">
        <v>7.9709908711218453</v>
      </c>
      <c r="AE10" s="100">
        <v>4342.5958265871814</v>
      </c>
      <c r="AF10" s="100">
        <v>6.9786892560953735</v>
      </c>
      <c r="AG10" s="100">
        <v>3801.9899067207593</v>
      </c>
      <c r="AH10" s="100">
        <v>10</v>
      </c>
      <c r="AI10" s="100">
        <v>5448</v>
      </c>
      <c r="AJ10" s="100">
        <v>4.5782903052599639</v>
      </c>
      <c r="AK10" s="100">
        <v>2494.2525583056281</v>
      </c>
      <c r="AL10" s="100">
        <v>7</v>
      </c>
      <c r="AM10" s="100">
        <v>3813.5999999999995</v>
      </c>
      <c r="AN10" s="100">
        <v>9</v>
      </c>
      <c r="AO10" s="100">
        <v>4903.2</v>
      </c>
      <c r="AP10" s="100">
        <v>7.8119536814038089</v>
      </c>
      <c r="AQ10" s="100">
        <v>4255.9523656287947</v>
      </c>
      <c r="AR10" s="100">
        <v>7.0525333574203497E-16</v>
      </c>
      <c r="AS10" s="100">
        <v>3.8422201731226064E-13</v>
      </c>
      <c r="AT10" s="100">
        <v>7</v>
      </c>
      <c r="AU10" s="100">
        <v>3813.5999999999995</v>
      </c>
      <c r="AV10" s="100">
        <v>9</v>
      </c>
      <c r="AW10" s="100">
        <v>4903.2</v>
      </c>
      <c r="AX10" s="100">
        <v>8</v>
      </c>
      <c r="AY10" s="100">
        <v>4358.3999999999996</v>
      </c>
      <c r="AZ10" s="100">
        <v>8</v>
      </c>
      <c r="BA10" s="100">
        <v>4358.3999999999996</v>
      </c>
      <c r="BB10" s="100">
        <v>10</v>
      </c>
      <c r="BC10" s="100">
        <v>5448</v>
      </c>
      <c r="BD10" s="100">
        <v>10.922707026778426</v>
      </c>
      <c r="BE10" s="100">
        <v>5950.6907881888856</v>
      </c>
      <c r="BF10" s="100">
        <v>10</v>
      </c>
      <c r="BG10" s="100">
        <v>5448</v>
      </c>
      <c r="BH10" s="100">
        <v>5.2840289893669938</v>
      </c>
      <c r="BI10" s="100">
        <v>2878.738993407138</v>
      </c>
      <c r="BJ10" s="100">
        <v>12</v>
      </c>
      <c r="BK10" s="100">
        <v>6537.5999999999995</v>
      </c>
      <c r="BL10" s="100">
        <v>8</v>
      </c>
      <c r="BM10" s="100">
        <v>4358.3999999999996</v>
      </c>
      <c r="BN10" s="100">
        <v>9</v>
      </c>
      <c r="BO10" s="100">
        <v>4903.2</v>
      </c>
      <c r="BP10" s="100">
        <v>12</v>
      </c>
      <c r="BQ10" s="100">
        <v>6537.5999999999995</v>
      </c>
      <c r="BR10" s="100">
        <v>10</v>
      </c>
      <c r="BS10" s="100">
        <v>5448</v>
      </c>
      <c r="BT10" s="100">
        <v>10</v>
      </c>
      <c r="BU10" s="100">
        <v>5448</v>
      </c>
      <c r="BV10" s="100">
        <v>8.6206205497616608</v>
      </c>
      <c r="BW10" s="100">
        <v>4696.514075510152</v>
      </c>
      <c r="BX10" s="100">
        <v>0</v>
      </c>
      <c r="BY10" s="100">
        <v>0</v>
      </c>
      <c r="BZ10" s="100">
        <v>1.646517530169971</v>
      </c>
      <c r="CA10" s="100">
        <v>897.02275043660018</v>
      </c>
      <c r="CB10" s="100">
        <v>8.72628394396909</v>
      </c>
      <c r="CC10" s="100">
        <v>4754.0794926743602</v>
      </c>
      <c r="CD10" s="100">
        <v>12</v>
      </c>
      <c r="CE10" s="100">
        <v>6537.5999999999995</v>
      </c>
      <c r="CF10" s="100">
        <v>11</v>
      </c>
      <c r="CG10" s="100">
        <v>5992.7999999999993</v>
      </c>
      <c r="CH10" s="100">
        <v>9</v>
      </c>
      <c r="CI10" s="100">
        <v>4903.2</v>
      </c>
      <c r="CJ10" s="100">
        <v>10</v>
      </c>
      <c r="CK10" s="100">
        <v>5448</v>
      </c>
      <c r="CL10" s="100">
        <v>13</v>
      </c>
      <c r="CM10" s="100">
        <v>7082.4</v>
      </c>
      <c r="CN10" s="100">
        <v>1.3166331140481782</v>
      </c>
      <c r="CO10" s="100">
        <v>717.30172053344745</v>
      </c>
      <c r="CP10" s="100">
        <v>10</v>
      </c>
      <c r="CQ10" s="100">
        <v>5448</v>
      </c>
      <c r="CR10" s="100">
        <v>14</v>
      </c>
      <c r="CS10" s="100">
        <v>7627.1999999999989</v>
      </c>
      <c r="CT10" s="100">
        <v>10.298945428728429</v>
      </c>
      <c r="CU10" s="100">
        <v>5610.8654695712476</v>
      </c>
    </row>
    <row r="11" spans="1:99">
      <c r="C11" s="99" t="s">
        <v>177</v>
      </c>
      <c r="D11" s="100">
        <v>6.5201152978215822</v>
      </c>
      <c r="E11" s="100">
        <v>3473.9174306793388</v>
      </c>
      <c r="F11" s="100">
        <v>2.7713840858981582</v>
      </c>
      <c r="G11" s="100">
        <v>1476.5934409665385</v>
      </c>
      <c r="H11" s="100">
        <v>11</v>
      </c>
      <c r="I11" s="100">
        <v>5860.7999999999993</v>
      </c>
      <c r="J11" s="100">
        <v>8</v>
      </c>
      <c r="K11" s="100">
        <v>4262.3999999999996</v>
      </c>
      <c r="L11" s="100">
        <v>6</v>
      </c>
      <c r="M11" s="100">
        <v>3196.7999999999997</v>
      </c>
      <c r="N11" s="100">
        <v>7</v>
      </c>
      <c r="O11" s="100">
        <v>3729.5999999999995</v>
      </c>
      <c r="P11" s="100">
        <v>9</v>
      </c>
      <c r="Q11" s="100">
        <v>4795.2</v>
      </c>
      <c r="R11" s="100">
        <v>10</v>
      </c>
      <c r="S11" s="100">
        <v>5328</v>
      </c>
      <c r="T11" s="100">
        <v>11</v>
      </c>
      <c r="U11" s="100">
        <v>5860.7999999999993</v>
      </c>
      <c r="V11" s="100">
        <v>10</v>
      </c>
      <c r="W11" s="100">
        <v>5328</v>
      </c>
      <c r="X11" s="100">
        <v>3.1841635775793327</v>
      </c>
      <c r="Y11" s="100">
        <v>1696.5223541342682</v>
      </c>
      <c r="Z11" s="100">
        <v>10</v>
      </c>
      <c r="AA11" s="100">
        <v>5328</v>
      </c>
      <c r="AB11" s="100">
        <v>10</v>
      </c>
      <c r="AC11" s="100">
        <v>5328</v>
      </c>
      <c r="AD11" s="100">
        <v>7.9709908711218453</v>
      </c>
      <c r="AE11" s="100">
        <v>4246.943936133719</v>
      </c>
      <c r="AF11" s="100">
        <v>6.9786892560953735</v>
      </c>
      <c r="AG11" s="100">
        <v>3718.2456356476146</v>
      </c>
      <c r="AH11" s="100">
        <v>9</v>
      </c>
      <c r="AI11" s="100">
        <v>4795.2</v>
      </c>
      <c r="AJ11" s="100">
        <v>4.5782903052599639</v>
      </c>
      <c r="AK11" s="100">
        <v>2439.3130746425086</v>
      </c>
      <c r="AL11" s="100">
        <v>7</v>
      </c>
      <c r="AM11" s="100">
        <v>3729.5999999999995</v>
      </c>
      <c r="AN11" s="100">
        <v>9</v>
      </c>
      <c r="AO11" s="100">
        <v>4795.2</v>
      </c>
      <c r="AP11" s="100">
        <v>7.8119536814038089</v>
      </c>
      <c r="AQ11" s="100">
        <v>4162.2089214519492</v>
      </c>
      <c r="AR11" s="100">
        <v>6.3472800216783141E-16</v>
      </c>
      <c r="AS11" s="100">
        <v>3.3818307955502053E-13</v>
      </c>
      <c r="AT11" s="100">
        <v>8</v>
      </c>
      <c r="AU11" s="100">
        <v>4262.3999999999996</v>
      </c>
      <c r="AV11" s="100">
        <v>9</v>
      </c>
      <c r="AW11" s="100">
        <v>4795.2</v>
      </c>
      <c r="AX11" s="100">
        <v>8</v>
      </c>
      <c r="AY11" s="100">
        <v>4262.3999999999996</v>
      </c>
      <c r="AZ11" s="100">
        <v>7</v>
      </c>
      <c r="BA11" s="100">
        <v>3729.5999999999995</v>
      </c>
      <c r="BB11" s="100">
        <v>11</v>
      </c>
      <c r="BC11" s="100">
        <v>5860.7999999999993</v>
      </c>
      <c r="BD11" s="100">
        <v>10.922707026778426</v>
      </c>
      <c r="BE11" s="100">
        <v>5819.6183038675445</v>
      </c>
      <c r="BF11" s="100">
        <v>8</v>
      </c>
      <c r="BG11" s="100">
        <v>4262.3999999999996</v>
      </c>
      <c r="BH11" s="100">
        <v>5.2840289893669938</v>
      </c>
      <c r="BI11" s="100">
        <v>2815.3306455347342</v>
      </c>
      <c r="BJ11" s="100">
        <v>11</v>
      </c>
      <c r="BK11" s="100">
        <v>5860.7999999999993</v>
      </c>
      <c r="BL11" s="100">
        <v>8</v>
      </c>
      <c r="BM11" s="100">
        <v>4262.3999999999996</v>
      </c>
      <c r="BN11" s="100">
        <v>9</v>
      </c>
      <c r="BO11" s="100">
        <v>4795.2</v>
      </c>
      <c r="BP11" s="100">
        <v>11</v>
      </c>
      <c r="BQ11" s="100">
        <v>5860.7999999999993</v>
      </c>
      <c r="BR11" s="100">
        <v>10</v>
      </c>
      <c r="BS11" s="100">
        <v>5328</v>
      </c>
      <c r="BT11" s="100">
        <v>9</v>
      </c>
      <c r="BU11" s="100">
        <v>4795.2</v>
      </c>
      <c r="BV11" s="100">
        <v>8.6206205497616608</v>
      </c>
      <c r="BW11" s="100">
        <v>4593.0666289130122</v>
      </c>
      <c r="BX11" s="100">
        <v>0</v>
      </c>
      <c r="BY11" s="100">
        <v>0</v>
      </c>
      <c r="BZ11" s="100">
        <v>1.646517530169971</v>
      </c>
      <c r="CA11" s="100">
        <v>877.2645400745605</v>
      </c>
      <c r="CB11" s="100">
        <v>8.72628394396909</v>
      </c>
      <c r="CC11" s="100">
        <v>4649.3640853467305</v>
      </c>
      <c r="CD11" s="100">
        <v>11</v>
      </c>
      <c r="CE11" s="100">
        <v>5860.7999999999993</v>
      </c>
      <c r="CF11" s="100">
        <v>12</v>
      </c>
      <c r="CG11" s="100">
        <v>6393.5999999999995</v>
      </c>
      <c r="CH11" s="100">
        <v>8</v>
      </c>
      <c r="CI11" s="100">
        <v>4262.3999999999996</v>
      </c>
      <c r="CJ11" s="100">
        <v>11</v>
      </c>
      <c r="CK11" s="100">
        <v>5860.7999999999993</v>
      </c>
      <c r="CL11" s="100">
        <v>12</v>
      </c>
      <c r="CM11" s="100">
        <v>6393.5999999999995</v>
      </c>
      <c r="CN11" s="100">
        <v>1.5047235589122037</v>
      </c>
      <c r="CO11" s="100">
        <v>801.71671218842209</v>
      </c>
      <c r="CP11" s="100">
        <v>10</v>
      </c>
      <c r="CQ11" s="100">
        <v>5328</v>
      </c>
      <c r="CR11" s="100">
        <v>13</v>
      </c>
      <c r="CS11" s="100">
        <v>6926.4</v>
      </c>
      <c r="CT11" s="100">
        <v>10.298945428728429</v>
      </c>
      <c r="CU11" s="100">
        <v>5487.2781244265061</v>
      </c>
    </row>
    <row r="12" spans="1:99">
      <c r="C12" s="99" t="s">
        <v>178</v>
      </c>
      <c r="D12" s="100">
        <v>6.5201152978215822</v>
      </c>
      <c r="E12" s="100">
        <v>3669.5208896139861</v>
      </c>
      <c r="F12" s="100">
        <v>2.2674960702803113</v>
      </c>
      <c r="G12" s="100">
        <v>1276.1467883537591</v>
      </c>
      <c r="H12" s="100">
        <v>10</v>
      </c>
      <c r="I12" s="100">
        <v>5628</v>
      </c>
      <c r="J12" s="100">
        <v>8</v>
      </c>
      <c r="K12" s="100">
        <v>4502.3999999999996</v>
      </c>
      <c r="L12" s="100">
        <v>6</v>
      </c>
      <c r="M12" s="100">
        <v>3376.7999999999997</v>
      </c>
      <c r="N12" s="100">
        <v>8</v>
      </c>
      <c r="O12" s="100">
        <v>4502.3999999999996</v>
      </c>
      <c r="P12" s="100">
        <v>8</v>
      </c>
      <c r="Q12" s="100">
        <v>4502.3999999999996</v>
      </c>
      <c r="R12" s="100">
        <v>9</v>
      </c>
      <c r="S12" s="100">
        <v>5065.2</v>
      </c>
      <c r="T12" s="100">
        <v>11</v>
      </c>
      <c r="U12" s="100">
        <v>6190.7999999999993</v>
      </c>
      <c r="V12" s="100">
        <v>10</v>
      </c>
      <c r="W12" s="100">
        <v>5628</v>
      </c>
      <c r="X12" s="100">
        <v>3.6390440886620947</v>
      </c>
      <c r="Y12" s="100">
        <v>2048.0540130990266</v>
      </c>
      <c r="Z12" s="100">
        <v>9</v>
      </c>
      <c r="AA12" s="100">
        <v>5065.2</v>
      </c>
      <c r="AB12" s="100">
        <v>10</v>
      </c>
      <c r="AC12" s="100">
        <v>5628</v>
      </c>
      <c r="AD12" s="100">
        <v>8.8566565234687165</v>
      </c>
      <c r="AE12" s="100">
        <v>4984.5262914081932</v>
      </c>
      <c r="AF12" s="100">
        <v>6.9786892560953735</v>
      </c>
      <c r="AG12" s="100">
        <v>3927.606313330476</v>
      </c>
      <c r="AH12" s="100">
        <v>9</v>
      </c>
      <c r="AI12" s="100">
        <v>5065.2</v>
      </c>
      <c r="AJ12" s="100">
        <v>4.1967661131549674</v>
      </c>
      <c r="AK12" s="100">
        <v>2361.9399684836153</v>
      </c>
      <c r="AL12" s="100">
        <v>7</v>
      </c>
      <c r="AM12" s="100">
        <v>3939.5999999999995</v>
      </c>
      <c r="AN12" s="100">
        <v>9</v>
      </c>
      <c r="AO12" s="100">
        <v>5065.2</v>
      </c>
      <c r="AP12" s="100">
        <v>7.101776074003463</v>
      </c>
      <c r="AQ12" s="100">
        <v>3996.8795744491485</v>
      </c>
      <c r="AR12" s="100">
        <v>6.3472800216783141E-16</v>
      </c>
      <c r="AS12" s="100">
        <v>3.572249196200555E-13</v>
      </c>
      <c r="AT12" s="100">
        <v>7</v>
      </c>
      <c r="AU12" s="100">
        <v>3939.5999999999995</v>
      </c>
      <c r="AV12" s="100">
        <v>10</v>
      </c>
      <c r="AW12" s="100">
        <v>5628</v>
      </c>
      <c r="AX12" s="100">
        <v>9</v>
      </c>
      <c r="AY12" s="100">
        <v>5065.2</v>
      </c>
      <c r="AZ12" s="100">
        <v>7</v>
      </c>
      <c r="BA12" s="100">
        <v>3939.5999999999995</v>
      </c>
      <c r="BB12" s="100">
        <v>10</v>
      </c>
      <c r="BC12" s="100">
        <v>5628</v>
      </c>
      <c r="BD12" s="100">
        <v>10.922707026778426</v>
      </c>
      <c r="BE12" s="100">
        <v>6147.2995146708972</v>
      </c>
      <c r="BF12" s="100">
        <v>8</v>
      </c>
      <c r="BG12" s="100">
        <v>4502.3999999999996</v>
      </c>
      <c r="BH12" s="100">
        <v>5.2840289893669938</v>
      </c>
      <c r="BI12" s="100">
        <v>2973.8515152157438</v>
      </c>
      <c r="BJ12" s="100">
        <v>12</v>
      </c>
      <c r="BK12" s="100">
        <v>6753.5999999999995</v>
      </c>
      <c r="BL12" s="100">
        <v>7</v>
      </c>
      <c r="BM12" s="100">
        <v>3939.5999999999995</v>
      </c>
      <c r="BN12" s="100">
        <v>8</v>
      </c>
      <c r="BO12" s="100">
        <v>4502.3999999999996</v>
      </c>
      <c r="BP12" s="100">
        <v>11</v>
      </c>
      <c r="BQ12" s="100">
        <v>6190.7999999999993</v>
      </c>
      <c r="BR12" s="100">
        <v>10</v>
      </c>
      <c r="BS12" s="100">
        <v>5628</v>
      </c>
      <c r="BT12" s="100">
        <v>10</v>
      </c>
      <c r="BU12" s="100">
        <v>5628</v>
      </c>
      <c r="BV12" s="100">
        <v>8.6206205497616608</v>
      </c>
      <c r="BW12" s="100">
        <v>4851.6852454058626</v>
      </c>
      <c r="BX12" s="100">
        <v>0</v>
      </c>
      <c r="BY12" s="100">
        <v>0</v>
      </c>
      <c r="BZ12" s="100">
        <v>1.9209371185316326</v>
      </c>
      <c r="CA12" s="100">
        <v>1081.1034103096029</v>
      </c>
      <c r="CB12" s="100">
        <v>8.72628394396909</v>
      </c>
      <c r="CC12" s="100">
        <v>4911.1526036658033</v>
      </c>
      <c r="CD12" s="100">
        <v>12</v>
      </c>
      <c r="CE12" s="100">
        <v>6753.5999999999995</v>
      </c>
      <c r="CF12" s="100">
        <v>11</v>
      </c>
      <c r="CG12" s="100">
        <v>6190.7999999999993</v>
      </c>
      <c r="CH12" s="100">
        <v>7</v>
      </c>
      <c r="CI12" s="100">
        <v>3939.5999999999995</v>
      </c>
      <c r="CJ12" s="100">
        <v>10</v>
      </c>
      <c r="CK12" s="100">
        <v>5628</v>
      </c>
      <c r="CL12" s="100">
        <v>12</v>
      </c>
      <c r="CM12" s="100">
        <v>6753.5999999999995</v>
      </c>
      <c r="CN12" s="100">
        <v>1.3166331140481782</v>
      </c>
      <c r="CO12" s="100">
        <v>741.00111658631465</v>
      </c>
      <c r="CP12" s="100">
        <v>8</v>
      </c>
      <c r="CQ12" s="100">
        <v>4502.3999999999996</v>
      </c>
      <c r="CR12" s="100">
        <v>14</v>
      </c>
      <c r="CS12" s="100">
        <v>7879.1999999999989</v>
      </c>
      <c r="CT12" s="100">
        <v>11.235213194976465</v>
      </c>
      <c r="CU12" s="100">
        <v>6323.1779861327541</v>
      </c>
    </row>
    <row r="13" spans="1:99">
      <c r="C13" s="99" t="s">
        <v>179</v>
      </c>
      <c r="D13" s="100">
        <v>7.4515603403675232</v>
      </c>
      <c r="E13" s="100">
        <v>634.87294099931296</v>
      </c>
      <c r="F13" s="100">
        <v>2.519440078089235</v>
      </c>
      <c r="G13" s="100">
        <v>214.65629465320282</v>
      </c>
      <c r="H13" s="100">
        <v>10</v>
      </c>
      <c r="I13" s="100">
        <v>852</v>
      </c>
      <c r="J13" s="100">
        <v>9</v>
      </c>
      <c r="K13" s="100">
        <v>766.80000000000007</v>
      </c>
      <c r="L13" s="100">
        <v>7</v>
      </c>
      <c r="M13" s="100">
        <v>596.4</v>
      </c>
      <c r="N13" s="100">
        <v>8</v>
      </c>
      <c r="O13" s="100">
        <v>681.6</v>
      </c>
      <c r="P13" s="100">
        <v>9</v>
      </c>
      <c r="Q13" s="100">
        <v>766.80000000000007</v>
      </c>
      <c r="R13" s="100">
        <v>9</v>
      </c>
      <c r="S13" s="100">
        <v>766.80000000000007</v>
      </c>
      <c r="T13" s="100">
        <v>9</v>
      </c>
      <c r="U13" s="100">
        <v>766.80000000000007</v>
      </c>
      <c r="V13" s="100">
        <v>11</v>
      </c>
      <c r="W13" s="100">
        <v>937.2</v>
      </c>
      <c r="X13" s="100">
        <v>3.6390440886620947</v>
      </c>
      <c r="Y13" s="100">
        <v>310.04655635401048</v>
      </c>
      <c r="Z13" s="100">
        <v>10</v>
      </c>
      <c r="AA13" s="100">
        <v>852</v>
      </c>
      <c r="AB13" s="100">
        <v>10</v>
      </c>
      <c r="AC13" s="100">
        <v>852</v>
      </c>
      <c r="AD13" s="100">
        <v>7.9709908711218453</v>
      </c>
      <c r="AE13" s="100">
        <v>679.12842221958124</v>
      </c>
      <c r="AF13" s="100">
        <v>6.2808203304858363</v>
      </c>
      <c r="AG13" s="100">
        <v>535.12589215739331</v>
      </c>
      <c r="AH13" s="100">
        <v>9</v>
      </c>
      <c r="AI13" s="100">
        <v>766.80000000000007</v>
      </c>
      <c r="AJ13" s="100">
        <v>4.9598144973649623</v>
      </c>
      <c r="AK13" s="100">
        <v>422.57619517549477</v>
      </c>
      <c r="AL13" s="100">
        <v>7</v>
      </c>
      <c r="AM13" s="100">
        <v>596.4</v>
      </c>
      <c r="AN13" s="100">
        <v>10</v>
      </c>
      <c r="AO13" s="100">
        <v>852</v>
      </c>
      <c r="AP13" s="100">
        <v>7.101776074003463</v>
      </c>
      <c r="AQ13" s="100">
        <v>605.07132150509506</v>
      </c>
      <c r="AR13" s="100">
        <v>6.3472800216783141E-16</v>
      </c>
      <c r="AS13" s="100">
        <v>5.407882578469924E-14</v>
      </c>
      <c r="AT13" s="100">
        <v>8</v>
      </c>
      <c r="AU13" s="100">
        <v>681.6</v>
      </c>
      <c r="AV13" s="100">
        <v>10</v>
      </c>
      <c r="AW13" s="100">
        <v>852</v>
      </c>
      <c r="AX13" s="100">
        <v>8</v>
      </c>
      <c r="AY13" s="100">
        <v>681.6</v>
      </c>
      <c r="AZ13" s="100">
        <v>7</v>
      </c>
      <c r="BA13" s="100">
        <v>596.4</v>
      </c>
      <c r="BB13" s="100">
        <v>10</v>
      </c>
      <c r="BC13" s="100">
        <v>852</v>
      </c>
      <c r="BD13" s="100">
        <v>10.922707026778426</v>
      </c>
      <c r="BE13" s="100">
        <v>930.61463868152191</v>
      </c>
      <c r="BF13" s="100">
        <v>8</v>
      </c>
      <c r="BG13" s="100">
        <v>681.6</v>
      </c>
      <c r="BH13" s="100">
        <v>5.2840289893669938</v>
      </c>
      <c r="BI13" s="100">
        <v>450.19926989406787</v>
      </c>
      <c r="BJ13" s="100">
        <v>13</v>
      </c>
      <c r="BK13" s="100">
        <v>1107.6000000000001</v>
      </c>
      <c r="BL13" s="100">
        <v>7</v>
      </c>
      <c r="BM13" s="100">
        <v>596.4</v>
      </c>
      <c r="BN13" s="100">
        <v>9</v>
      </c>
      <c r="BO13" s="100">
        <v>766.80000000000007</v>
      </c>
      <c r="BP13" s="100">
        <v>12</v>
      </c>
      <c r="BQ13" s="100">
        <v>1022.4000000000001</v>
      </c>
      <c r="BR13" s="100">
        <v>11</v>
      </c>
      <c r="BS13" s="100">
        <v>937.2</v>
      </c>
      <c r="BT13" s="100">
        <v>10</v>
      </c>
      <c r="BU13" s="100">
        <v>852</v>
      </c>
      <c r="BV13" s="100">
        <v>9.5784672775129565</v>
      </c>
      <c r="BW13" s="100">
        <v>816.08541204410392</v>
      </c>
      <c r="BX13" s="100">
        <v>0</v>
      </c>
      <c r="BY13" s="100">
        <v>0</v>
      </c>
      <c r="BZ13" s="100">
        <v>1.646517530169971</v>
      </c>
      <c r="CA13" s="100">
        <v>140.28329357048153</v>
      </c>
      <c r="CB13" s="100">
        <v>10.471540732762909</v>
      </c>
      <c r="CC13" s="100">
        <v>892.17527043139989</v>
      </c>
      <c r="CD13" s="100">
        <v>14</v>
      </c>
      <c r="CE13" s="100">
        <v>1192.8</v>
      </c>
      <c r="CF13" s="100">
        <v>12</v>
      </c>
      <c r="CG13" s="100">
        <v>1022.4000000000001</v>
      </c>
      <c r="CH13" s="100">
        <v>7</v>
      </c>
      <c r="CI13" s="100">
        <v>596.4</v>
      </c>
      <c r="CJ13" s="100">
        <v>11</v>
      </c>
      <c r="CK13" s="100">
        <v>937.2</v>
      </c>
      <c r="CL13" s="100">
        <v>13</v>
      </c>
      <c r="CM13" s="100">
        <v>1107.6000000000001</v>
      </c>
      <c r="CN13" s="100">
        <v>1.3166331140481782</v>
      </c>
      <c r="CO13" s="100">
        <v>112.17714131690478</v>
      </c>
      <c r="CP13" s="100">
        <v>8</v>
      </c>
      <c r="CQ13" s="100">
        <v>681.6</v>
      </c>
      <c r="CR13" s="100">
        <v>13</v>
      </c>
      <c r="CS13" s="100">
        <v>1107.6000000000001</v>
      </c>
      <c r="CT13" s="100">
        <v>10.298945428728429</v>
      </c>
      <c r="CU13" s="100">
        <v>877.4701505276621</v>
      </c>
    </row>
    <row r="14" spans="1:99">
      <c r="C14" s="99" t="s">
        <v>180</v>
      </c>
      <c r="D14" s="100">
        <v>6.5201152978215822</v>
      </c>
      <c r="E14" s="100">
        <v>3184.4243114560604</v>
      </c>
      <c r="F14" s="100">
        <v>2.7713840858981582</v>
      </c>
      <c r="G14" s="100">
        <v>1353.5439875526604</v>
      </c>
      <c r="H14" s="100">
        <v>10</v>
      </c>
      <c r="I14" s="100">
        <v>4884</v>
      </c>
      <c r="J14" s="100">
        <v>7</v>
      </c>
      <c r="K14" s="100">
        <v>3418.7999999999997</v>
      </c>
      <c r="L14" s="100">
        <v>6</v>
      </c>
      <c r="M14" s="100">
        <v>2930.3999999999996</v>
      </c>
      <c r="N14" s="100">
        <v>8</v>
      </c>
      <c r="O14" s="100">
        <v>3907.2</v>
      </c>
      <c r="P14" s="100">
        <v>8</v>
      </c>
      <c r="Q14" s="100">
        <v>3907.2</v>
      </c>
      <c r="R14" s="100">
        <v>11</v>
      </c>
      <c r="S14" s="100">
        <v>5372.4</v>
      </c>
      <c r="T14" s="100">
        <v>10</v>
      </c>
      <c r="U14" s="100">
        <v>4884</v>
      </c>
      <c r="V14" s="100">
        <v>9</v>
      </c>
      <c r="W14" s="100">
        <v>4395.5999999999995</v>
      </c>
      <c r="X14" s="100">
        <v>3.6390440886620947</v>
      </c>
      <c r="Y14" s="100">
        <v>1777.3091329025669</v>
      </c>
      <c r="Z14" s="100">
        <v>10</v>
      </c>
      <c r="AA14" s="100">
        <v>4884</v>
      </c>
      <c r="AB14" s="100">
        <v>11</v>
      </c>
      <c r="AC14" s="100">
        <v>5372.4</v>
      </c>
      <c r="AD14" s="100">
        <v>7.9709908711218453</v>
      </c>
      <c r="AE14" s="100">
        <v>3893.031941455909</v>
      </c>
      <c r="AF14" s="100">
        <v>6.9786892560953735</v>
      </c>
      <c r="AG14" s="100">
        <v>3408.3918326769804</v>
      </c>
      <c r="AH14" s="100">
        <v>9</v>
      </c>
      <c r="AI14" s="100">
        <v>4395.5999999999995</v>
      </c>
      <c r="AJ14" s="100">
        <v>4.5782903052599639</v>
      </c>
      <c r="AK14" s="100">
        <v>2236.0369850889665</v>
      </c>
      <c r="AL14" s="100">
        <v>7</v>
      </c>
      <c r="AM14" s="100">
        <v>3418.7999999999997</v>
      </c>
      <c r="AN14" s="100">
        <v>8</v>
      </c>
      <c r="AO14" s="100">
        <v>3907.2</v>
      </c>
      <c r="AP14" s="100">
        <v>7.8119536814038089</v>
      </c>
      <c r="AQ14" s="100">
        <v>3815.3581779976203</v>
      </c>
      <c r="AR14" s="100">
        <v>6.3472800216783141E-16</v>
      </c>
      <c r="AS14" s="100">
        <v>3.1000115625876885E-13</v>
      </c>
      <c r="AT14" s="100">
        <v>8</v>
      </c>
      <c r="AU14" s="100">
        <v>3907.2</v>
      </c>
      <c r="AV14" s="100">
        <v>9</v>
      </c>
      <c r="AW14" s="100">
        <v>4395.5999999999995</v>
      </c>
      <c r="AX14" s="100">
        <v>8</v>
      </c>
      <c r="AY14" s="100">
        <v>3907.2</v>
      </c>
      <c r="AZ14" s="100">
        <v>7</v>
      </c>
      <c r="BA14" s="100">
        <v>3418.7999999999997</v>
      </c>
      <c r="BB14" s="100">
        <v>10</v>
      </c>
      <c r="BC14" s="100">
        <v>4884</v>
      </c>
      <c r="BD14" s="100">
        <v>10.012481441213556</v>
      </c>
      <c r="BE14" s="100">
        <v>4890.0959358887003</v>
      </c>
      <c r="BF14" s="100">
        <v>9</v>
      </c>
      <c r="BG14" s="100">
        <v>4395.5999999999995</v>
      </c>
      <c r="BH14" s="100">
        <v>5.2840289893669938</v>
      </c>
      <c r="BI14" s="100">
        <v>2580.7197584068394</v>
      </c>
      <c r="BJ14" s="100">
        <v>12</v>
      </c>
      <c r="BK14" s="100">
        <v>5860.7999999999993</v>
      </c>
      <c r="BL14" s="100">
        <v>8</v>
      </c>
      <c r="BM14" s="100">
        <v>3907.2</v>
      </c>
      <c r="BN14" s="100">
        <v>9</v>
      </c>
      <c r="BO14" s="100">
        <v>4395.5999999999995</v>
      </c>
      <c r="BP14" s="100">
        <v>12</v>
      </c>
      <c r="BQ14" s="100">
        <v>5860.7999999999993</v>
      </c>
      <c r="BR14" s="100">
        <v>11</v>
      </c>
      <c r="BS14" s="100">
        <v>5372.4</v>
      </c>
      <c r="BT14" s="100">
        <v>11</v>
      </c>
      <c r="BU14" s="100">
        <v>5372.4</v>
      </c>
      <c r="BV14" s="100">
        <v>9.5784672775129565</v>
      </c>
      <c r="BW14" s="100">
        <v>4678.1234183373281</v>
      </c>
      <c r="BX14" s="100">
        <v>0</v>
      </c>
      <c r="BY14" s="100">
        <v>0</v>
      </c>
      <c r="BZ14" s="100">
        <v>1.9209371185316326</v>
      </c>
      <c r="CA14" s="100">
        <v>938.18568869084936</v>
      </c>
      <c r="CB14" s="100">
        <v>8.72628394396909</v>
      </c>
      <c r="CC14" s="100">
        <v>4261.9170782345036</v>
      </c>
      <c r="CD14" s="100">
        <v>14</v>
      </c>
      <c r="CE14" s="100">
        <v>6837.5999999999995</v>
      </c>
      <c r="CF14" s="100">
        <v>12</v>
      </c>
      <c r="CG14" s="100">
        <v>5860.7999999999993</v>
      </c>
      <c r="CH14" s="100">
        <v>8</v>
      </c>
      <c r="CI14" s="100">
        <v>3907.2</v>
      </c>
      <c r="CJ14" s="100">
        <v>11</v>
      </c>
      <c r="CK14" s="100">
        <v>5372.4</v>
      </c>
      <c r="CL14" s="100">
        <v>12</v>
      </c>
      <c r="CM14" s="100">
        <v>5860.7999999999993</v>
      </c>
      <c r="CN14" s="100">
        <v>1.3166331140481782</v>
      </c>
      <c r="CO14" s="100">
        <v>643.04361290113025</v>
      </c>
      <c r="CP14" s="100">
        <v>10</v>
      </c>
      <c r="CQ14" s="100">
        <v>4884</v>
      </c>
      <c r="CR14" s="100">
        <v>13</v>
      </c>
      <c r="CS14" s="100">
        <v>6349.2</v>
      </c>
      <c r="CT14" s="100">
        <v>11.235213194976465</v>
      </c>
      <c r="CU14" s="100">
        <v>5487.2781244265052</v>
      </c>
    </row>
    <row r="15" spans="1:99">
      <c r="C15" s="99" t="s">
        <v>181</v>
      </c>
      <c r="D15" s="100">
        <v>7.4515603403675232</v>
      </c>
      <c r="E15" s="100">
        <v>5687.0308517684934</v>
      </c>
      <c r="F15" s="100">
        <v>2.2674960702803113</v>
      </c>
      <c r="G15" s="100">
        <v>1730.5530008379335</v>
      </c>
      <c r="H15" s="100">
        <v>10</v>
      </c>
      <c r="I15" s="100">
        <v>7631.9999999999991</v>
      </c>
      <c r="J15" s="100">
        <v>8</v>
      </c>
      <c r="K15" s="100">
        <v>6105.5999999999995</v>
      </c>
      <c r="L15" s="100">
        <v>6</v>
      </c>
      <c r="M15" s="100">
        <v>4579.2</v>
      </c>
      <c r="N15" s="100">
        <v>8</v>
      </c>
      <c r="O15" s="100">
        <v>6105.5999999999995</v>
      </c>
      <c r="P15" s="100">
        <v>9</v>
      </c>
      <c r="Q15" s="100">
        <v>6868.7999999999993</v>
      </c>
      <c r="R15" s="100">
        <v>11</v>
      </c>
      <c r="S15" s="100">
        <v>8395.1999999999989</v>
      </c>
      <c r="T15" s="100">
        <v>10</v>
      </c>
      <c r="U15" s="100">
        <v>7631.9999999999991</v>
      </c>
      <c r="V15" s="100">
        <v>10</v>
      </c>
      <c r="W15" s="100">
        <v>7631.9999999999991</v>
      </c>
      <c r="X15" s="100">
        <v>3.1841635775793327</v>
      </c>
      <c r="Y15" s="100">
        <v>2430.1536424085466</v>
      </c>
      <c r="Z15" s="100">
        <v>10</v>
      </c>
      <c r="AA15" s="100">
        <v>7631.9999999999991</v>
      </c>
      <c r="AB15" s="100">
        <v>10</v>
      </c>
      <c r="AC15" s="100">
        <v>7631.9999999999991</v>
      </c>
      <c r="AD15" s="100">
        <v>7.9709908711218453</v>
      </c>
      <c r="AE15" s="100">
        <v>6083.4602328401916</v>
      </c>
      <c r="AF15" s="100">
        <v>6.9786892560953735</v>
      </c>
      <c r="AG15" s="100">
        <v>5326.1356402519887</v>
      </c>
      <c r="AH15" s="100">
        <v>9</v>
      </c>
      <c r="AI15" s="100">
        <v>6868.7999999999993</v>
      </c>
      <c r="AJ15" s="100">
        <v>4.5782903052599639</v>
      </c>
      <c r="AK15" s="100">
        <v>3494.1511609744043</v>
      </c>
      <c r="AL15" s="100">
        <v>6</v>
      </c>
      <c r="AM15" s="100">
        <v>4579.2</v>
      </c>
      <c r="AN15" s="100">
        <v>8</v>
      </c>
      <c r="AO15" s="100">
        <v>6105.5999999999995</v>
      </c>
      <c r="AP15" s="100">
        <v>7.101776074003463</v>
      </c>
      <c r="AQ15" s="100">
        <v>5420.0754996794421</v>
      </c>
      <c r="AR15" s="100">
        <v>6.3472800216783141E-16</v>
      </c>
      <c r="AS15" s="100">
        <v>4.8442441125448884E-13</v>
      </c>
      <c r="AT15" s="100">
        <v>7</v>
      </c>
      <c r="AU15" s="100">
        <v>5342.4</v>
      </c>
      <c r="AV15" s="100">
        <v>9</v>
      </c>
      <c r="AW15" s="100">
        <v>6868.7999999999993</v>
      </c>
      <c r="AX15" s="100">
        <v>9</v>
      </c>
      <c r="AY15" s="100">
        <v>6868.7999999999993</v>
      </c>
      <c r="AZ15" s="100">
        <v>8</v>
      </c>
      <c r="BA15" s="100">
        <v>6105.5999999999995</v>
      </c>
      <c r="BB15" s="100">
        <v>11</v>
      </c>
      <c r="BC15" s="100">
        <v>8395.1999999999989</v>
      </c>
      <c r="BD15" s="100">
        <v>9.1022558556486857</v>
      </c>
      <c r="BE15" s="100">
        <v>6946.841669031076</v>
      </c>
      <c r="BF15" s="100">
        <v>8</v>
      </c>
      <c r="BG15" s="100">
        <v>6105.5999999999995</v>
      </c>
      <c r="BH15" s="100">
        <v>6.1647004875948266</v>
      </c>
      <c r="BI15" s="100">
        <v>4704.8994121323713</v>
      </c>
      <c r="BJ15" s="100">
        <v>12</v>
      </c>
      <c r="BK15" s="100">
        <v>9158.4</v>
      </c>
      <c r="BL15" s="100">
        <v>7</v>
      </c>
      <c r="BM15" s="100">
        <v>5342.4</v>
      </c>
      <c r="BN15" s="100">
        <v>8</v>
      </c>
      <c r="BO15" s="100">
        <v>6105.5999999999995</v>
      </c>
      <c r="BP15" s="100">
        <v>11</v>
      </c>
      <c r="BQ15" s="100">
        <v>8395.1999999999989</v>
      </c>
      <c r="BR15" s="100">
        <v>11</v>
      </c>
      <c r="BS15" s="100">
        <v>8395.1999999999989</v>
      </c>
      <c r="BT15" s="100">
        <v>10</v>
      </c>
      <c r="BU15" s="100">
        <v>7631.9999999999991</v>
      </c>
      <c r="BV15" s="100">
        <v>9.5784672775129565</v>
      </c>
      <c r="BW15" s="100">
        <v>7310.286226197888</v>
      </c>
      <c r="BX15" s="100">
        <v>0</v>
      </c>
      <c r="BY15" s="100">
        <v>0</v>
      </c>
      <c r="BZ15" s="100">
        <v>1.646517530169971</v>
      </c>
      <c r="CA15" s="100">
        <v>1256.6221790257218</v>
      </c>
      <c r="CB15" s="100">
        <v>9.5989123383660004</v>
      </c>
      <c r="CC15" s="100">
        <v>7325.8898966409306</v>
      </c>
      <c r="CD15" s="100">
        <v>12</v>
      </c>
      <c r="CE15" s="100">
        <v>9158.4</v>
      </c>
      <c r="CF15" s="100">
        <v>10</v>
      </c>
      <c r="CG15" s="100">
        <v>7631.9999999999991</v>
      </c>
      <c r="CH15" s="100">
        <v>8</v>
      </c>
      <c r="CI15" s="100">
        <v>6105.5999999999995</v>
      </c>
      <c r="CJ15" s="100">
        <v>11</v>
      </c>
      <c r="CK15" s="100">
        <v>8395.1999999999989</v>
      </c>
      <c r="CL15" s="100">
        <v>12</v>
      </c>
      <c r="CM15" s="100">
        <v>9158.4</v>
      </c>
      <c r="CN15" s="100">
        <v>1.3166331140481782</v>
      </c>
      <c r="CO15" s="100">
        <v>1004.8543926415695</v>
      </c>
      <c r="CP15" s="100">
        <v>9</v>
      </c>
      <c r="CQ15" s="100">
        <v>6868.7999999999993</v>
      </c>
      <c r="CR15" s="100">
        <v>14</v>
      </c>
      <c r="CS15" s="100">
        <v>10684.8</v>
      </c>
      <c r="CT15" s="100">
        <v>11.235213194976465</v>
      </c>
      <c r="CU15" s="100">
        <v>8574.7147104060368</v>
      </c>
    </row>
    <row r="16" spans="1:99">
      <c r="C16" s="99" t="s">
        <v>182</v>
      </c>
      <c r="D16" s="100">
        <v>7.4515603403675232</v>
      </c>
      <c r="E16" s="100">
        <v>2539.4917639972518</v>
      </c>
      <c r="F16" s="100">
        <v>2.2674960702803113</v>
      </c>
      <c r="G16" s="100">
        <v>772.76266075153012</v>
      </c>
      <c r="H16" s="100">
        <v>10</v>
      </c>
      <c r="I16" s="100">
        <v>3408</v>
      </c>
      <c r="J16" s="100">
        <v>7</v>
      </c>
      <c r="K16" s="100">
        <v>2385.6</v>
      </c>
      <c r="L16" s="100">
        <v>7</v>
      </c>
      <c r="M16" s="100">
        <v>2385.6</v>
      </c>
      <c r="N16" s="100">
        <v>8</v>
      </c>
      <c r="O16" s="100">
        <v>2726.4</v>
      </c>
      <c r="P16" s="100">
        <v>9</v>
      </c>
      <c r="Q16" s="100">
        <v>3067.2000000000003</v>
      </c>
      <c r="R16" s="100">
        <v>10</v>
      </c>
      <c r="S16" s="100">
        <v>3408</v>
      </c>
      <c r="T16" s="100">
        <v>11</v>
      </c>
      <c r="U16" s="100">
        <v>3748.8</v>
      </c>
      <c r="V16" s="100">
        <v>9</v>
      </c>
      <c r="W16" s="100">
        <v>3067.2000000000003</v>
      </c>
      <c r="X16" s="100">
        <v>3.1841635775793327</v>
      </c>
      <c r="Y16" s="100">
        <v>1085.1629472390366</v>
      </c>
      <c r="Z16" s="100">
        <v>10</v>
      </c>
      <c r="AA16" s="100">
        <v>3408</v>
      </c>
      <c r="AB16" s="100">
        <v>11</v>
      </c>
      <c r="AC16" s="100">
        <v>3748.8</v>
      </c>
      <c r="AD16" s="100">
        <v>8.8566565234687165</v>
      </c>
      <c r="AE16" s="100">
        <v>3018.3485431981385</v>
      </c>
      <c r="AF16" s="100">
        <v>6.2808203304858363</v>
      </c>
      <c r="AG16" s="100">
        <v>2140.5035686295732</v>
      </c>
      <c r="AH16" s="100">
        <v>10</v>
      </c>
      <c r="AI16" s="100">
        <v>3408</v>
      </c>
      <c r="AJ16" s="100">
        <v>4.1967661131549674</v>
      </c>
      <c r="AK16" s="100">
        <v>1430.257891363213</v>
      </c>
      <c r="AL16" s="100">
        <v>7</v>
      </c>
      <c r="AM16" s="100">
        <v>2385.6</v>
      </c>
      <c r="AN16" s="100">
        <v>9</v>
      </c>
      <c r="AO16" s="100">
        <v>3067.2000000000003</v>
      </c>
      <c r="AP16" s="100">
        <v>7.101776074003463</v>
      </c>
      <c r="AQ16" s="100">
        <v>2420.2852860203802</v>
      </c>
      <c r="AR16" s="100">
        <v>6.3472800216783141E-16</v>
      </c>
      <c r="AS16" s="100">
        <v>2.1631530313879696E-13</v>
      </c>
      <c r="AT16" s="100">
        <v>8</v>
      </c>
      <c r="AU16" s="100">
        <v>2726.4</v>
      </c>
      <c r="AV16" s="100">
        <v>8</v>
      </c>
      <c r="AW16" s="100">
        <v>2726.4</v>
      </c>
      <c r="AX16" s="100">
        <v>8</v>
      </c>
      <c r="AY16" s="100">
        <v>2726.4</v>
      </c>
      <c r="AZ16" s="100">
        <v>8</v>
      </c>
      <c r="BA16" s="100">
        <v>2726.4</v>
      </c>
      <c r="BB16" s="100">
        <v>11</v>
      </c>
      <c r="BC16" s="100">
        <v>3748.8</v>
      </c>
      <c r="BD16" s="100">
        <v>10.922707026778426</v>
      </c>
      <c r="BE16" s="100">
        <v>3722.4585547260876</v>
      </c>
      <c r="BF16" s="100">
        <v>8</v>
      </c>
      <c r="BG16" s="100">
        <v>2726.4</v>
      </c>
      <c r="BH16" s="100">
        <v>6.1647004875948266</v>
      </c>
      <c r="BI16" s="100">
        <v>2100.9299261723168</v>
      </c>
      <c r="BJ16" s="100">
        <v>12</v>
      </c>
      <c r="BK16" s="100">
        <v>4089.6000000000004</v>
      </c>
      <c r="BL16" s="100">
        <v>8</v>
      </c>
      <c r="BM16" s="100">
        <v>2726.4</v>
      </c>
      <c r="BN16" s="100">
        <v>9</v>
      </c>
      <c r="BO16" s="100">
        <v>3067.2000000000003</v>
      </c>
      <c r="BP16" s="100">
        <v>12</v>
      </c>
      <c r="BQ16" s="100">
        <v>4089.6000000000004</v>
      </c>
      <c r="BR16" s="100">
        <v>10</v>
      </c>
      <c r="BS16" s="100">
        <v>3408</v>
      </c>
      <c r="BT16" s="100">
        <v>10</v>
      </c>
      <c r="BU16" s="100">
        <v>3408</v>
      </c>
      <c r="BV16" s="100">
        <v>9.5784672775129565</v>
      </c>
      <c r="BW16" s="100">
        <v>3264.3416481764157</v>
      </c>
      <c r="BX16" s="100">
        <v>0</v>
      </c>
      <c r="BY16" s="100">
        <v>0</v>
      </c>
      <c r="BZ16" s="100">
        <v>1.646517530169971</v>
      </c>
      <c r="CA16" s="100">
        <v>561.13317428192613</v>
      </c>
      <c r="CB16" s="100">
        <v>9.5989123383660004</v>
      </c>
      <c r="CC16" s="100">
        <v>3271.3093249151329</v>
      </c>
      <c r="CD16" s="100">
        <v>14</v>
      </c>
      <c r="CE16" s="100">
        <v>4771.2</v>
      </c>
      <c r="CF16" s="100">
        <v>11</v>
      </c>
      <c r="CG16" s="100">
        <v>3748.8</v>
      </c>
      <c r="CH16" s="100">
        <v>9</v>
      </c>
      <c r="CI16" s="100">
        <v>3067.2000000000003</v>
      </c>
      <c r="CJ16" s="100">
        <v>10</v>
      </c>
      <c r="CK16" s="100">
        <v>3408</v>
      </c>
      <c r="CL16" s="100">
        <v>12</v>
      </c>
      <c r="CM16" s="100">
        <v>4089.6000000000004</v>
      </c>
      <c r="CN16" s="100">
        <v>1.5047235589122037</v>
      </c>
      <c r="CO16" s="100">
        <v>512.80978887727906</v>
      </c>
      <c r="CP16" s="100">
        <v>10</v>
      </c>
      <c r="CQ16" s="100">
        <v>3408</v>
      </c>
      <c r="CR16" s="100">
        <v>12</v>
      </c>
      <c r="CS16" s="100">
        <v>4089.6000000000004</v>
      </c>
      <c r="CT16" s="100">
        <v>11.235213194976465</v>
      </c>
      <c r="CU16" s="100">
        <v>3828.9606568479794</v>
      </c>
    </row>
    <row r="17" spans="2:99">
      <c r="C17" s="99" t="s">
        <v>183</v>
      </c>
      <c r="D17" s="100">
        <v>7.4515603403675232</v>
      </c>
      <c r="E17" s="100">
        <v>3147.5390877712416</v>
      </c>
      <c r="F17" s="100">
        <v>2.519440078089235</v>
      </c>
      <c r="G17" s="100">
        <v>1064.2114889848929</v>
      </c>
      <c r="H17" s="100">
        <v>10</v>
      </c>
      <c r="I17" s="100">
        <v>4224</v>
      </c>
      <c r="J17" s="100">
        <v>8</v>
      </c>
      <c r="K17" s="100">
        <v>3379.2</v>
      </c>
      <c r="L17" s="100">
        <v>7</v>
      </c>
      <c r="M17" s="100">
        <v>2956.7999999999997</v>
      </c>
      <c r="N17" s="100">
        <v>8</v>
      </c>
      <c r="O17" s="100">
        <v>3379.2</v>
      </c>
      <c r="P17" s="100">
        <v>8</v>
      </c>
      <c r="Q17" s="100">
        <v>3379.2</v>
      </c>
      <c r="R17" s="100">
        <v>11</v>
      </c>
      <c r="S17" s="100">
        <v>4646.3999999999996</v>
      </c>
      <c r="T17" s="100">
        <v>10</v>
      </c>
      <c r="U17" s="100">
        <v>4224</v>
      </c>
      <c r="V17" s="100">
        <v>10</v>
      </c>
      <c r="W17" s="100">
        <v>4224</v>
      </c>
      <c r="X17" s="100">
        <v>3.1841635775793327</v>
      </c>
      <c r="Y17" s="100">
        <v>1344.99069516951</v>
      </c>
      <c r="Z17" s="100">
        <v>10</v>
      </c>
      <c r="AA17" s="100">
        <v>4224</v>
      </c>
      <c r="AB17" s="100">
        <v>11</v>
      </c>
      <c r="AC17" s="100">
        <v>4646.3999999999996</v>
      </c>
      <c r="AD17" s="100">
        <v>7.9709908711218453</v>
      </c>
      <c r="AE17" s="100">
        <v>3366.9465439618675</v>
      </c>
      <c r="AF17" s="100">
        <v>6.2808203304858363</v>
      </c>
      <c r="AG17" s="100">
        <v>2653.0185075972172</v>
      </c>
      <c r="AH17" s="100">
        <v>9</v>
      </c>
      <c r="AI17" s="100">
        <v>3801.6</v>
      </c>
      <c r="AJ17" s="100">
        <v>4.1967661131549674</v>
      </c>
      <c r="AK17" s="100">
        <v>1772.7140061966581</v>
      </c>
      <c r="AL17" s="100">
        <v>7</v>
      </c>
      <c r="AM17" s="100">
        <v>2956.7999999999997</v>
      </c>
      <c r="AN17" s="100">
        <v>9</v>
      </c>
      <c r="AO17" s="100">
        <v>3801.6</v>
      </c>
      <c r="AP17" s="100">
        <v>7.101776074003463</v>
      </c>
      <c r="AQ17" s="100">
        <v>2999.7902136590628</v>
      </c>
      <c r="AR17" s="100">
        <v>6.3472800216783141E-16</v>
      </c>
      <c r="AS17" s="100">
        <v>2.6810910811569198E-13</v>
      </c>
      <c r="AT17" s="100">
        <v>7</v>
      </c>
      <c r="AU17" s="100">
        <v>2956.7999999999997</v>
      </c>
      <c r="AV17" s="100">
        <v>9</v>
      </c>
      <c r="AW17" s="100">
        <v>3801.6</v>
      </c>
      <c r="AX17" s="100">
        <v>9</v>
      </c>
      <c r="AY17" s="100">
        <v>3801.6</v>
      </c>
      <c r="AZ17" s="100">
        <v>7</v>
      </c>
      <c r="BA17" s="100">
        <v>2956.7999999999997</v>
      </c>
      <c r="BB17" s="100">
        <v>10</v>
      </c>
      <c r="BC17" s="100">
        <v>4224</v>
      </c>
      <c r="BD17" s="100">
        <v>10.922707026778426</v>
      </c>
      <c r="BE17" s="100">
        <v>4613.7514481112066</v>
      </c>
      <c r="BF17" s="100">
        <v>9</v>
      </c>
      <c r="BG17" s="100">
        <v>3801.6</v>
      </c>
      <c r="BH17" s="100">
        <v>6.1647004875948266</v>
      </c>
      <c r="BI17" s="100">
        <v>2603.9694859600545</v>
      </c>
      <c r="BJ17" s="100">
        <v>11</v>
      </c>
      <c r="BK17" s="100">
        <v>4646.3999999999996</v>
      </c>
      <c r="BL17" s="100">
        <v>7</v>
      </c>
      <c r="BM17" s="100">
        <v>2956.7999999999997</v>
      </c>
      <c r="BN17" s="100">
        <v>8</v>
      </c>
      <c r="BO17" s="100">
        <v>3379.2</v>
      </c>
      <c r="BP17" s="100">
        <v>12</v>
      </c>
      <c r="BQ17" s="100">
        <v>5068.7999999999993</v>
      </c>
      <c r="BR17" s="100">
        <v>9</v>
      </c>
      <c r="BS17" s="100">
        <v>3801.6</v>
      </c>
      <c r="BT17" s="100">
        <v>10</v>
      </c>
      <c r="BU17" s="100">
        <v>4224</v>
      </c>
      <c r="BV17" s="100">
        <v>9.5784672775129565</v>
      </c>
      <c r="BW17" s="100">
        <v>4045.9445780214728</v>
      </c>
      <c r="BX17" s="100">
        <v>0</v>
      </c>
      <c r="BY17" s="100">
        <v>0</v>
      </c>
      <c r="BZ17" s="100">
        <v>1.646517530169971</v>
      </c>
      <c r="CA17" s="100">
        <v>695.4890047437957</v>
      </c>
      <c r="CB17" s="100">
        <v>9.5989123383660004</v>
      </c>
      <c r="CC17" s="100">
        <v>4054.5805717257986</v>
      </c>
      <c r="CD17" s="100">
        <v>12</v>
      </c>
      <c r="CE17" s="100">
        <v>5068.7999999999993</v>
      </c>
      <c r="CF17" s="100">
        <v>12</v>
      </c>
      <c r="CG17" s="100">
        <v>5068.7999999999993</v>
      </c>
      <c r="CH17" s="100">
        <v>8</v>
      </c>
      <c r="CI17" s="100">
        <v>3379.2</v>
      </c>
      <c r="CJ17" s="100">
        <v>10</v>
      </c>
      <c r="CK17" s="100">
        <v>4224</v>
      </c>
      <c r="CL17" s="100">
        <v>12</v>
      </c>
      <c r="CM17" s="100">
        <v>5068.7999999999993</v>
      </c>
      <c r="CN17" s="100">
        <v>1.3166331140481782</v>
      </c>
      <c r="CO17" s="100">
        <v>556.1458273739504</v>
      </c>
      <c r="CP17" s="100">
        <v>8</v>
      </c>
      <c r="CQ17" s="100">
        <v>3379.2</v>
      </c>
      <c r="CR17" s="100">
        <v>13</v>
      </c>
      <c r="CS17" s="100">
        <v>5491.2</v>
      </c>
      <c r="CT17" s="100">
        <v>10.298945428728429</v>
      </c>
      <c r="CU17" s="100">
        <v>4350.2745490948882</v>
      </c>
    </row>
    <row r="18" spans="2:99">
      <c r="C18" s="99" t="s">
        <v>184</v>
      </c>
      <c r="D18" s="100">
        <v>7.4515603403675232</v>
      </c>
      <c r="E18" s="100">
        <v>4864.3785901919191</v>
      </c>
      <c r="F18" s="100">
        <v>2.519440078089235</v>
      </c>
      <c r="G18" s="100">
        <v>1644.6904829766524</v>
      </c>
      <c r="H18" s="100">
        <v>10</v>
      </c>
      <c r="I18" s="100">
        <v>6528</v>
      </c>
      <c r="J18" s="100">
        <v>7</v>
      </c>
      <c r="K18" s="100">
        <v>4569.5999999999995</v>
      </c>
      <c r="L18" s="100">
        <v>6</v>
      </c>
      <c r="M18" s="100">
        <v>3916.7999999999997</v>
      </c>
      <c r="N18" s="100">
        <v>7</v>
      </c>
      <c r="O18" s="100">
        <v>4569.5999999999995</v>
      </c>
      <c r="P18" s="100">
        <v>9</v>
      </c>
      <c r="Q18" s="100">
        <v>5875.2</v>
      </c>
      <c r="R18" s="100">
        <v>9</v>
      </c>
      <c r="S18" s="100">
        <v>5875.2</v>
      </c>
      <c r="T18" s="100">
        <v>11</v>
      </c>
      <c r="U18" s="100">
        <v>7180.7999999999993</v>
      </c>
      <c r="V18" s="100">
        <v>10</v>
      </c>
      <c r="W18" s="100">
        <v>6528</v>
      </c>
      <c r="X18" s="100">
        <v>3.1841635775793327</v>
      </c>
      <c r="Y18" s="100">
        <v>2078.6219834437884</v>
      </c>
      <c r="Z18" s="100">
        <v>11</v>
      </c>
      <c r="AA18" s="100">
        <v>7180.7999999999993</v>
      </c>
      <c r="AB18" s="100">
        <v>12</v>
      </c>
      <c r="AC18" s="100">
        <v>7833.5999999999995</v>
      </c>
      <c r="AD18" s="100">
        <v>7.9709908711218453</v>
      </c>
      <c r="AE18" s="100">
        <v>5203.4628406683405</v>
      </c>
      <c r="AF18" s="100">
        <v>6.2808203304858363</v>
      </c>
      <c r="AG18" s="100">
        <v>4100.1195117411535</v>
      </c>
      <c r="AH18" s="100">
        <v>10</v>
      </c>
      <c r="AI18" s="100">
        <v>6528</v>
      </c>
      <c r="AJ18" s="100">
        <v>4.1967661131549674</v>
      </c>
      <c r="AK18" s="100">
        <v>2739.6489186675626</v>
      </c>
      <c r="AL18" s="100">
        <v>7</v>
      </c>
      <c r="AM18" s="100">
        <v>4569.5999999999995</v>
      </c>
      <c r="AN18" s="100">
        <v>8</v>
      </c>
      <c r="AO18" s="100">
        <v>5222.3999999999996</v>
      </c>
      <c r="AP18" s="100">
        <v>7.101776074003463</v>
      </c>
      <c r="AQ18" s="100">
        <v>4636.0394211094599</v>
      </c>
      <c r="AR18" s="100">
        <v>7.0525333574203497E-16</v>
      </c>
      <c r="AS18" s="100">
        <v>4.603893775724004E-13</v>
      </c>
      <c r="AT18" s="100">
        <v>6</v>
      </c>
      <c r="AU18" s="100">
        <v>3916.7999999999997</v>
      </c>
      <c r="AV18" s="100">
        <v>8</v>
      </c>
      <c r="AW18" s="100">
        <v>5222.3999999999996</v>
      </c>
      <c r="AX18" s="100">
        <v>8</v>
      </c>
      <c r="AY18" s="100">
        <v>5222.3999999999996</v>
      </c>
      <c r="AZ18" s="100">
        <v>7</v>
      </c>
      <c r="BA18" s="100">
        <v>4569.5999999999995</v>
      </c>
      <c r="BB18" s="100">
        <v>11</v>
      </c>
      <c r="BC18" s="100">
        <v>7180.7999999999993</v>
      </c>
      <c r="BD18" s="100">
        <v>10.012481441213556</v>
      </c>
      <c r="BE18" s="100">
        <v>6536.1478848242086</v>
      </c>
      <c r="BF18" s="100">
        <v>8</v>
      </c>
      <c r="BG18" s="100">
        <v>5222.3999999999996</v>
      </c>
      <c r="BH18" s="100">
        <v>5.2840289893669938</v>
      </c>
      <c r="BI18" s="100">
        <v>3449.4141242587734</v>
      </c>
      <c r="BJ18" s="100">
        <v>13</v>
      </c>
      <c r="BK18" s="100">
        <v>8486.4</v>
      </c>
      <c r="BL18" s="100">
        <v>7</v>
      </c>
      <c r="BM18" s="100">
        <v>4569.5999999999995</v>
      </c>
      <c r="BN18" s="100">
        <v>8</v>
      </c>
      <c r="BO18" s="100">
        <v>5222.3999999999996</v>
      </c>
      <c r="BP18" s="100">
        <v>10</v>
      </c>
      <c r="BQ18" s="100">
        <v>6528</v>
      </c>
      <c r="BR18" s="100">
        <v>10</v>
      </c>
      <c r="BS18" s="100">
        <v>6528</v>
      </c>
      <c r="BT18" s="100">
        <v>9</v>
      </c>
      <c r="BU18" s="100">
        <v>5875.2</v>
      </c>
      <c r="BV18" s="100">
        <v>8.6206205497616608</v>
      </c>
      <c r="BW18" s="100">
        <v>5627.5410948844119</v>
      </c>
      <c r="BX18" s="100">
        <v>0</v>
      </c>
      <c r="BY18" s="100">
        <v>0</v>
      </c>
      <c r="BZ18" s="100">
        <v>1.9209371185316326</v>
      </c>
      <c r="CA18" s="100">
        <v>1253.9877509774497</v>
      </c>
      <c r="CB18" s="100">
        <v>8.72628394396909</v>
      </c>
      <c r="CC18" s="100">
        <v>5696.5181586230219</v>
      </c>
      <c r="CD18" s="100">
        <v>12</v>
      </c>
      <c r="CE18" s="100">
        <v>7833.5999999999995</v>
      </c>
      <c r="CF18" s="100">
        <v>11</v>
      </c>
      <c r="CG18" s="100">
        <v>7180.7999999999993</v>
      </c>
      <c r="CH18" s="100">
        <v>8</v>
      </c>
      <c r="CI18" s="100">
        <v>5222.3999999999996</v>
      </c>
      <c r="CJ18" s="100">
        <v>11</v>
      </c>
      <c r="CK18" s="100">
        <v>7180.7999999999993</v>
      </c>
      <c r="CL18" s="100">
        <v>12</v>
      </c>
      <c r="CM18" s="100">
        <v>7833.5999999999995</v>
      </c>
      <c r="CN18" s="100">
        <v>1.3166331140481782</v>
      </c>
      <c r="CO18" s="100">
        <v>859.49809685065065</v>
      </c>
      <c r="CP18" s="100">
        <v>9</v>
      </c>
      <c r="CQ18" s="100">
        <v>5875.2</v>
      </c>
      <c r="CR18" s="100">
        <v>13</v>
      </c>
      <c r="CS18" s="100">
        <v>8486.4</v>
      </c>
      <c r="CT18" s="100">
        <v>11.235213194976465</v>
      </c>
      <c r="CU18" s="100">
        <v>7334.3471736806359</v>
      </c>
    </row>
    <row r="19" spans="2:99">
      <c r="C19" s="99" t="s">
        <v>185</v>
      </c>
      <c r="D19" s="100">
        <v>6.5201152978215822</v>
      </c>
      <c r="E19" s="100">
        <v>2151.6380482811223</v>
      </c>
      <c r="F19" s="100">
        <v>2.7713840858981582</v>
      </c>
      <c r="G19" s="100">
        <v>914.55674834639217</v>
      </c>
      <c r="H19" s="100">
        <v>11</v>
      </c>
      <c r="I19" s="100">
        <v>3630</v>
      </c>
      <c r="J19" s="100">
        <v>7</v>
      </c>
      <c r="K19" s="100">
        <v>2310</v>
      </c>
      <c r="L19" s="100">
        <v>7</v>
      </c>
      <c r="M19" s="100">
        <v>2310</v>
      </c>
      <c r="N19" s="100">
        <v>8</v>
      </c>
      <c r="O19" s="100">
        <v>2640</v>
      </c>
      <c r="P19" s="100">
        <v>8</v>
      </c>
      <c r="Q19" s="100">
        <v>2640</v>
      </c>
      <c r="R19" s="100">
        <v>9</v>
      </c>
      <c r="S19" s="100">
        <v>2970</v>
      </c>
      <c r="T19" s="100">
        <v>10</v>
      </c>
      <c r="U19" s="100">
        <v>3300</v>
      </c>
      <c r="V19" s="100">
        <v>11</v>
      </c>
      <c r="W19" s="100">
        <v>3630</v>
      </c>
      <c r="X19" s="100">
        <v>3.1841635775793327</v>
      </c>
      <c r="Y19" s="100">
        <v>1050.7739806011798</v>
      </c>
      <c r="Z19" s="100">
        <v>10</v>
      </c>
      <c r="AA19" s="100">
        <v>3300</v>
      </c>
      <c r="AB19" s="100">
        <v>11</v>
      </c>
      <c r="AC19" s="100">
        <v>3630</v>
      </c>
      <c r="AD19" s="100">
        <v>7.0853252187749733</v>
      </c>
      <c r="AE19" s="100">
        <v>2338.157322195741</v>
      </c>
      <c r="AF19" s="100">
        <v>6.2808203304858363</v>
      </c>
      <c r="AG19" s="100">
        <v>2072.6707090603259</v>
      </c>
      <c r="AH19" s="100">
        <v>10</v>
      </c>
      <c r="AI19" s="100">
        <v>3300</v>
      </c>
      <c r="AJ19" s="100">
        <v>4.1967661131549674</v>
      </c>
      <c r="AK19" s="100">
        <v>1384.9328173411393</v>
      </c>
      <c r="AL19" s="100">
        <v>7</v>
      </c>
      <c r="AM19" s="100">
        <v>2310</v>
      </c>
      <c r="AN19" s="100">
        <v>9</v>
      </c>
      <c r="AO19" s="100">
        <v>2970</v>
      </c>
      <c r="AP19" s="100">
        <v>7.101776074003463</v>
      </c>
      <c r="AQ19" s="100">
        <v>2343.5861044211429</v>
      </c>
      <c r="AR19" s="100">
        <v>7.0525333574203497E-16</v>
      </c>
      <c r="AS19" s="100">
        <v>2.3273360079487156E-13</v>
      </c>
      <c r="AT19" s="100">
        <v>7</v>
      </c>
      <c r="AU19" s="100">
        <v>2310</v>
      </c>
      <c r="AV19" s="100">
        <v>9</v>
      </c>
      <c r="AW19" s="100">
        <v>2970</v>
      </c>
      <c r="AX19" s="100">
        <v>8</v>
      </c>
      <c r="AY19" s="100">
        <v>2640</v>
      </c>
      <c r="AZ19" s="100">
        <v>7</v>
      </c>
      <c r="BA19" s="100">
        <v>2310</v>
      </c>
      <c r="BB19" s="100">
        <v>10</v>
      </c>
      <c r="BC19" s="100">
        <v>3300</v>
      </c>
      <c r="BD19" s="100">
        <v>10.012481441213556</v>
      </c>
      <c r="BE19" s="100">
        <v>3304.1188756004735</v>
      </c>
      <c r="BF19" s="100">
        <v>8</v>
      </c>
      <c r="BG19" s="100">
        <v>2640</v>
      </c>
      <c r="BH19" s="100">
        <v>5.2840289893669938</v>
      </c>
      <c r="BI19" s="100">
        <v>1743.729566491108</v>
      </c>
      <c r="BJ19" s="100">
        <v>11</v>
      </c>
      <c r="BK19" s="100">
        <v>3630</v>
      </c>
      <c r="BL19" s="100">
        <v>7</v>
      </c>
      <c r="BM19" s="100">
        <v>2310</v>
      </c>
      <c r="BN19" s="100">
        <v>8</v>
      </c>
      <c r="BO19" s="100">
        <v>2640</v>
      </c>
      <c r="BP19" s="100">
        <v>11</v>
      </c>
      <c r="BQ19" s="100">
        <v>3630</v>
      </c>
      <c r="BR19" s="100">
        <v>10</v>
      </c>
      <c r="BS19" s="100">
        <v>3300</v>
      </c>
      <c r="BT19" s="100">
        <v>9</v>
      </c>
      <c r="BU19" s="100">
        <v>2970</v>
      </c>
      <c r="BV19" s="100">
        <v>9.5784672775129565</v>
      </c>
      <c r="BW19" s="100">
        <v>3160.8942015792754</v>
      </c>
      <c r="BX19" s="100">
        <v>0</v>
      </c>
      <c r="BY19" s="100">
        <v>0</v>
      </c>
      <c r="BZ19" s="100">
        <v>1.646517530169971</v>
      </c>
      <c r="CA19" s="100">
        <v>543.35078495609048</v>
      </c>
      <c r="CB19" s="100">
        <v>9.5989123383660004</v>
      </c>
      <c r="CC19" s="100">
        <v>3167.6410716607802</v>
      </c>
      <c r="CD19" s="100">
        <v>12</v>
      </c>
      <c r="CE19" s="100">
        <v>3960</v>
      </c>
      <c r="CF19" s="100">
        <v>11</v>
      </c>
      <c r="CG19" s="100">
        <v>3630</v>
      </c>
      <c r="CH19" s="100">
        <v>8</v>
      </c>
      <c r="CI19" s="100">
        <v>2640</v>
      </c>
      <c r="CJ19" s="100">
        <v>10</v>
      </c>
      <c r="CK19" s="100">
        <v>3300</v>
      </c>
      <c r="CL19" s="100">
        <v>12</v>
      </c>
      <c r="CM19" s="100">
        <v>3960</v>
      </c>
      <c r="CN19" s="100">
        <v>1.3166331140481782</v>
      </c>
      <c r="CO19" s="100">
        <v>434.48892763589879</v>
      </c>
      <c r="CP19" s="100">
        <v>10</v>
      </c>
      <c r="CQ19" s="100">
        <v>3300</v>
      </c>
      <c r="CR19" s="100">
        <v>13</v>
      </c>
      <c r="CS19" s="100">
        <v>4290</v>
      </c>
      <c r="CT19" s="100">
        <v>12.171480961224503</v>
      </c>
      <c r="CU19" s="100">
        <v>4016.5887172040862</v>
      </c>
    </row>
    <row r="20" spans="2:99">
      <c r="B20" s="99" t="s">
        <v>127</v>
      </c>
      <c r="C20" s="99" t="s">
        <v>186</v>
      </c>
      <c r="D20" s="100">
        <v>16.766010765826927</v>
      </c>
      <c r="E20" s="100">
        <v>4808.491887639163</v>
      </c>
      <c r="F20" s="100">
        <v>4.2830481327516994</v>
      </c>
      <c r="G20" s="100">
        <v>1228.3782044731875</v>
      </c>
      <c r="H20" s="100">
        <v>15</v>
      </c>
      <c r="I20" s="100">
        <v>4302</v>
      </c>
      <c r="J20" s="100">
        <v>10</v>
      </c>
      <c r="K20" s="100">
        <v>2868</v>
      </c>
      <c r="L20" s="100">
        <v>17</v>
      </c>
      <c r="M20" s="100">
        <v>4875.6000000000004</v>
      </c>
      <c r="N20" s="100">
        <v>18</v>
      </c>
      <c r="O20" s="100">
        <v>5162.4000000000005</v>
      </c>
      <c r="P20" s="100">
        <v>18</v>
      </c>
      <c r="Q20" s="100">
        <v>5162.4000000000005</v>
      </c>
      <c r="R20" s="100">
        <v>15</v>
      </c>
      <c r="S20" s="100">
        <v>4302</v>
      </c>
      <c r="T20" s="100">
        <v>20</v>
      </c>
      <c r="U20" s="100">
        <v>5736</v>
      </c>
      <c r="V20" s="100">
        <v>14</v>
      </c>
      <c r="W20" s="100">
        <v>4015.2000000000003</v>
      </c>
      <c r="X20" s="100">
        <v>6.3683271551586653</v>
      </c>
      <c r="Y20" s="100">
        <v>1826.4362280995053</v>
      </c>
      <c r="Z20" s="100">
        <v>21</v>
      </c>
      <c r="AA20" s="100">
        <v>6022.8</v>
      </c>
      <c r="AB20" s="100">
        <v>18</v>
      </c>
      <c r="AC20" s="100">
        <v>5162.4000000000005</v>
      </c>
      <c r="AD20" s="100">
        <v>11.513653480509333</v>
      </c>
      <c r="AE20" s="100">
        <v>3302.1158182100771</v>
      </c>
      <c r="AF20" s="100">
        <v>8.3744271073144496</v>
      </c>
      <c r="AG20" s="100">
        <v>2401.7856943777842</v>
      </c>
      <c r="AH20" s="100">
        <v>19</v>
      </c>
      <c r="AI20" s="100">
        <v>5449.2</v>
      </c>
      <c r="AJ20" s="100">
        <v>4.1967661131549674</v>
      </c>
      <c r="AK20" s="100">
        <v>1203.6325212528448</v>
      </c>
      <c r="AL20" s="100">
        <v>13</v>
      </c>
      <c r="AM20" s="100">
        <v>3728.4</v>
      </c>
      <c r="AN20" s="100">
        <v>17</v>
      </c>
      <c r="AO20" s="100">
        <v>4875.6000000000004</v>
      </c>
      <c r="AP20" s="100">
        <v>14.913729755407271</v>
      </c>
      <c r="AQ20" s="100">
        <v>4277.2576938508055</v>
      </c>
      <c r="AR20" s="100">
        <v>1.4810320050582733E-15</v>
      </c>
      <c r="AS20" s="100">
        <v>4.2475997905071278E-13</v>
      </c>
      <c r="AT20" s="100">
        <v>18</v>
      </c>
      <c r="AU20" s="100">
        <v>5162.4000000000005</v>
      </c>
      <c r="AV20" s="100">
        <v>20</v>
      </c>
      <c r="AW20" s="100">
        <v>5736</v>
      </c>
      <c r="AX20" s="100">
        <v>18</v>
      </c>
      <c r="AY20" s="100">
        <v>5162.4000000000005</v>
      </c>
      <c r="AZ20" s="100">
        <v>12</v>
      </c>
      <c r="BA20" s="100">
        <v>3441.6000000000004</v>
      </c>
      <c r="BB20" s="100">
        <v>18</v>
      </c>
      <c r="BC20" s="100">
        <v>5162.4000000000005</v>
      </c>
      <c r="BD20" s="100">
        <v>10.012481441213556</v>
      </c>
      <c r="BE20" s="100">
        <v>2871.579677340048</v>
      </c>
      <c r="BF20" s="100">
        <v>18</v>
      </c>
      <c r="BG20" s="100">
        <v>5162.4000000000005</v>
      </c>
      <c r="BH20" s="100">
        <v>14.090743971645317</v>
      </c>
      <c r="BI20" s="100">
        <v>4041.2253710678769</v>
      </c>
      <c r="BJ20" s="100">
        <v>16</v>
      </c>
      <c r="BK20" s="100">
        <v>4588.8</v>
      </c>
      <c r="BL20" s="100">
        <v>21</v>
      </c>
      <c r="BM20" s="100">
        <v>6022.8</v>
      </c>
      <c r="BN20" s="100">
        <v>18</v>
      </c>
      <c r="BO20" s="100">
        <v>5162.4000000000005</v>
      </c>
      <c r="BP20" s="100">
        <v>20</v>
      </c>
      <c r="BQ20" s="100">
        <v>5736</v>
      </c>
      <c r="BR20" s="100">
        <v>18</v>
      </c>
      <c r="BS20" s="100">
        <v>5162.4000000000005</v>
      </c>
      <c r="BT20" s="100">
        <v>13</v>
      </c>
      <c r="BU20" s="100">
        <v>3728.4</v>
      </c>
      <c r="BV20" s="100">
        <v>22.0304747382798</v>
      </c>
      <c r="BW20" s="100">
        <v>6318.3401549386472</v>
      </c>
      <c r="BX20" s="100">
        <v>0</v>
      </c>
      <c r="BY20" s="100">
        <v>0</v>
      </c>
      <c r="BZ20" s="100">
        <v>5.2139721788715745</v>
      </c>
      <c r="CA20" s="100">
        <v>1495.3672209003676</v>
      </c>
      <c r="CB20" s="100">
        <v>17.45256788793818</v>
      </c>
      <c r="CC20" s="100">
        <v>5005.39647026067</v>
      </c>
      <c r="CD20" s="100">
        <v>12</v>
      </c>
      <c r="CE20" s="100">
        <v>3441.6000000000004</v>
      </c>
      <c r="CF20" s="100">
        <v>14</v>
      </c>
      <c r="CG20" s="100">
        <v>4015.2000000000003</v>
      </c>
      <c r="CH20" s="100">
        <v>23</v>
      </c>
      <c r="CI20" s="100">
        <v>6596.4000000000005</v>
      </c>
      <c r="CJ20" s="100">
        <v>16</v>
      </c>
      <c r="CK20" s="100">
        <v>4588.8</v>
      </c>
      <c r="CL20" s="100">
        <v>22</v>
      </c>
      <c r="CM20" s="100">
        <v>6309.6</v>
      </c>
      <c r="CN20" s="100">
        <v>4.7022611216006363</v>
      </c>
      <c r="CO20" s="100">
        <v>1348.6084896750626</v>
      </c>
      <c r="CP20" s="100">
        <v>20</v>
      </c>
      <c r="CQ20" s="100">
        <v>5736</v>
      </c>
      <c r="CR20" s="100">
        <v>17</v>
      </c>
      <c r="CS20" s="100">
        <v>4875.6000000000004</v>
      </c>
      <c r="CT20" s="100">
        <v>20.597890857456857</v>
      </c>
      <c r="CU20" s="100">
        <v>5907.4750979186265</v>
      </c>
    </row>
    <row r="21" spans="2:99">
      <c r="C21" s="99" t="s">
        <v>187</v>
      </c>
      <c r="D21" s="100">
        <v>18.628900850918807</v>
      </c>
      <c r="E21" s="100">
        <v>1162.4434130973336</v>
      </c>
      <c r="F21" s="100">
        <v>4.7869361483695458</v>
      </c>
      <c r="G21" s="100">
        <v>298.70481565825963</v>
      </c>
      <c r="H21" s="100">
        <v>16</v>
      </c>
      <c r="I21" s="100">
        <v>998.4</v>
      </c>
      <c r="J21" s="100">
        <v>11</v>
      </c>
      <c r="K21" s="100">
        <v>686.4</v>
      </c>
      <c r="L21" s="100">
        <v>17</v>
      </c>
      <c r="M21" s="100">
        <v>1060.8</v>
      </c>
      <c r="N21" s="100">
        <v>18</v>
      </c>
      <c r="O21" s="100">
        <v>1123.2</v>
      </c>
      <c r="P21" s="100">
        <v>20</v>
      </c>
      <c r="Q21" s="100">
        <v>1248</v>
      </c>
      <c r="R21" s="100">
        <v>16</v>
      </c>
      <c r="S21" s="100">
        <v>998.4</v>
      </c>
      <c r="T21" s="100">
        <v>18</v>
      </c>
      <c r="U21" s="100">
        <v>1123.2</v>
      </c>
      <c r="V21" s="100">
        <v>12</v>
      </c>
      <c r="W21" s="100">
        <v>748.8</v>
      </c>
      <c r="X21" s="100">
        <v>5.9134466440759041</v>
      </c>
      <c r="Y21" s="100">
        <v>368.99907059033643</v>
      </c>
      <c r="Z21" s="100">
        <v>18</v>
      </c>
      <c r="AA21" s="100">
        <v>1123.2</v>
      </c>
      <c r="AB21" s="100">
        <v>20</v>
      </c>
      <c r="AC21" s="100">
        <v>1248</v>
      </c>
      <c r="AD21" s="100">
        <v>12.399319132856204</v>
      </c>
      <c r="AE21" s="100">
        <v>773.71751389022711</v>
      </c>
      <c r="AF21" s="100">
        <v>9.770164958533524</v>
      </c>
      <c r="AG21" s="100">
        <v>609.65829341249184</v>
      </c>
      <c r="AH21" s="100">
        <v>18</v>
      </c>
      <c r="AI21" s="100">
        <v>1123.2</v>
      </c>
      <c r="AJ21" s="100">
        <v>4.5782903052599639</v>
      </c>
      <c r="AK21" s="100">
        <v>285.68531504822175</v>
      </c>
      <c r="AL21" s="100">
        <v>14</v>
      </c>
      <c r="AM21" s="100">
        <v>873.6</v>
      </c>
      <c r="AN21" s="100">
        <v>17</v>
      </c>
      <c r="AO21" s="100">
        <v>1060.8</v>
      </c>
      <c r="AP21" s="100">
        <v>15.623907362807618</v>
      </c>
      <c r="AQ21" s="100">
        <v>974.93181943919535</v>
      </c>
      <c r="AR21" s="100">
        <v>1.3399813379098664E-15</v>
      </c>
      <c r="AS21" s="100">
        <v>8.361483548557566E-14</v>
      </c>
      <c r="AT21" s="100">
        <v>16</v>
      </c>
      <c r="AU21" s="100">
        <v>998.4</v>
      </c>
      <c r="AV21" s="100">
        <v>21</v>
      </c>
      <c r="AW21" s="100">
        <v>1310.3999999999999</v>
      </c>
      <c r="AX21" s="100">
        <v>18</v>
      </c>
      <c r="AY21" s="100">
        <v>1123.2</v>
      </c>
      <c r="AZ21" s="100">
        <v>11</v>
      </c>
      <c r="BA21" s="100">
        <v>686.4</v>
      </c>
      <c r="BB21" s="100">
        <v>20</v>
      </c>
      <c r="BC21" s="100">
        <v>1248</v>
      </c>
      <c r="BD21" s="100">
        <v>10.012481441213556</v>
      </c>
      <c r="BE21" s="100">
        <v>624.77884193172588</v>
      </c>
      <c r="BF21" s="100">
        <v>19</v>
      </c>
      <c r="BG21" s="100">
        <v>1185.5999999999999</v>
      </c>
      <c r="BH21" s="100">
        <v>13.210072473417485</v>
      </c>
      <c r="BI21" s="100">
        <v>824.30852234125109</v>
      </c>
      <c r="BJ21" s="100">
        <v>15</v>
      </c>
      <c r="BK21" s="100">
        <v>936</v>
      </c>
      <c r="BL21" s="100">
        <v>23</v>
      </c>
      <c r="BM21" s="100">
        <v>1435.2</v>
      </c>
      <c r="BN21" s="100">
        <v>16</v>
      </c>
      <c r="BO21" s="100">
        <v>998.4</v>
      </c>
      <c r="BP21" s="100">
        <v>22</v>
      </c>
      <c r="BQ21" s="100">
        <v>1372.8</v>
      </c>
      <c r="BR21" s="100">
        <v>18</v>
      </c>
      <c r="BS21" s="100">
        <v>1123.2</v>
      </c>
      <c r="BT21" s="100">
        <v>13</v>
      </c>
      <c r="BU21" s="100">
        <v>811.19999999999993</v>
      </c>
      <c r="BV21" s="100">
        <v>20.114781282777209</v>
      </c>
      <c r="BW21" s="100">
        <v>1255.1623520452979</v>
      </c>
      <c r="BX21" s="100">
        <v>0</v>
      </c>
      <c r="BY21" s="100">
        <v>0</v>
      </c>
      <c r="BZ21" s="100">
        <v>6.0372309439565601</v>
      </c>
      <c r="CA21" s="100">
        <v>376.72321090288932</v>
      </c>
      <c r="CB21" s="100">
        <v>18.325196282335092</v>
      </c>
      <c r="CC21" s="100">
        <v>1143.4922480177097</v>
      </c>
      <c r="CD21" s="100">
        <v>11</v>
      </c>
      <c r="CE21" s="100">
        <v>686.4</v>
      </c>
      <c r="CF21" s="100">
        <v>14</v>
      </c>
      <c r="CG21" s="100">
        <v>873.6</v>
      </c>
      <c r="CH21" s="100">
        <v>23</v>
      </c>
      <c r="CI21" s="100">
        <v>1435.2</v>
      </c>
      <c r="CJ21" s="100">
        <v>15</v>
      </c>
      <c r="CK21" s="100">
        <v>936</v>
      </c>
      <c r="CL21" s="100">
        <v>21</v>
      </c>
      <c r="CM21" s="100">
        <v>1310.3999999999999</v>
      </c>
      <c r="CN21" s="100">
        <v>4.3260802318725853</v>
      </c>
      <c r="CO21" s="100">
        <v>269.94740646884929</v>
      </c>
      <c r="CP21" s="100">
        <v>18</v>
      </c>
      <c r="CQ21" s="100">
        <v>1123.2</v>
      </c>
      <c r="CR21" s="100">
        <v>15</v>
      </c>
      <c r="CS21" s="100">
        <v>936</v>
      </c>
      <c r="CT21" s="100">
        <v>21.534158623704894</v>
      </c>
      <c r="CU21" s="100">
        <v>1343.7314981191853</v>
      </c>
    </row>
    <row r="22" spans="2:99">
      <c r="C22" s="99" t="s">
        <v>188</v>
      </c>
      <c r="D22" s="100">
        <v>18.628900850918807</v>
      </c>
      <c r="E22" s="100">
        <v>3487.3302392920004</v>
      </c>
      <c r="F22" s="100">
        <v>4.2830481327516994</v>
      </c>
      <c r="G22" s="100">
        <v>801.78661045111812</v>
      </c>
      <c r="H22" s="100">
        <v>15</v>
      </c>
      <c r="I22" s="100">
        <v>2808</v>
      </c>
      <c r="J22" s="100">
        <v>11</v>
      </c>
      <c r="K22" s="100">
        <v>2059.1999999999998</v>
      </c>
      <c r="L22" s="100">
        <v>15</v>
      </c>
      <c r="M22" s="100">
        <v>2808</v>
      </c>
      <c r="N22" s="100">
        <v>17</v>
      </c>
      <c r="O22" s="100">
        <v>3182.3999999999996</v>
      </c>
      <c r="P22" s="100">
        <v>19</v>
      </c>
      <c r="Q22" s="100">
        <v>3556.7999999999997</v>
      </c>
      <c r="R22" s="100">
        <v>16</v>
      </c>
      <c r="S22" s="100">
        <v>2995.2</v>
      </c>
      <c r="T22" s="100">
        <v>18</v>
      </c>
      <c r="U22" s="100">
        <v>3369.6</v>
      </c>
      <c r="V22" s="100">
        <v>14</v>
      </c>
      <c r="W22" s="100">
        <v>2620.7999999999997</v>
      </c>
      <c r="X22" s="100">
        <v>6.8232076662414274</v>
      </c>
      <c r="Y22" s="100">
        <v>1277.3044751203952</v>
      </c>
      <c r="Z22" s="100">
        <v>21</v>
      </c>
      <c r="AA22" s="100">
        <v>3931.2</v>
      </c>
      <c r="AB22" s="100">
        <v>20</v>
      </c>
      <c r="AC22" s="100">
        <v>3744</v>
      </c>
      <c r="AD22" s="100">
        <v>10.62798782816246</v>
      </c>
      <c r="AE22" s="100">
        <v>1989.5593214320124</v>
      </c>
      <c r="AF22" s="100">
        <v>9.0722960329239868</v>
      </c>
      <c r="AG22" s="100">
        <v>1698.3338173633701</v>
      </c>
      <c r="AH22" s="100">
        <v>17</v>
      </c>
      <c r="AI22" s="100">
        <v>3182.3999999999996</v>
      </c>
      <c r="AJ22" s="100">
        <v>4.1967661131549674</v>
      </c>
      <c r="AK22" s="100">
        <v>785.63461638260981</v>
      </c>
      <c r="AL22" s="100">
        <v>14</v>
      </c>
      <c r="AM22" s="100">
        <v>2620.7999999999997</v>
      </c>
      <c r="AN22" s="100">
        <v>15</v>
      </c>
      <c r="AO22" s="100">
        <v>2808</v>
      </c>
      <c r="AP22" s="100">
        <v>14.203552148006926</v>
      </c>
      <c r="AQ22" s="100">
        <v>2658.9049621068962</v>
      </c>
      <c r="AR22" s="100">
        <v>1.4105066714840699E-15</v>
      </c>
      <c r="AS22" s="100">
        <v>2.6404684890181789E-13</v>
      </c>
      <c r="AT22" s="100">
        <v>16</v>
      </c>
      <c r="AU22" s="100">
        <v>2995.2</v>
      </c>
      <c r="AV22" s="100">
        <v>18</v>
      </c>
      <c r="AW22" s="100">
        <v>3369.6</v>
      </c>
      <c r="AX22" s="100">
        <v>18</v>
      </c>
      <c r="AY22" s="100">
        <v>3369.6</v>
      </c>
      <c r="AZ22" s="100">
        <v>12</v>
      </c>
      <c r="BA22" s="100">
        <v>2246.3999999999996</v>
      </c>
      <c r="BB22" s="100">
        <v>20</v>
      </c>
      <c r="BC22" s="100">
        <v>3744</v>
      </c>
      <c r="BD22" s="100">
        <v>10.012481441213556</v>
      </c>
      <c r="BE22" s="100">
        <v>1874.3365257951775</v>
      </c>
      <c r="BF22" s="100">
        <v>21</v>
      </c>
      <c r="BG22" s="100">
        <v>3931.2</v>
      </c>
      <c r="BH22" s="100">
        <v>14.090743971645317</v>
      </c>
      <c r="BI22" s="100">
        <v>2637.7872714920031</v>
      </c>
      <c r="BJ22" s="100">
        <v>16</v>
      </c>
      <c r="BK22" s="100">
        <v>2995.2</v>
      </c>
      <c r="BL22" s="100">
        <v>22</v>
      </c>
      <c r="BM22" s="100">
        <v>4118.3999999999996</v>
      </c>
      <c r="BN22" s="100">
        <v>16</v>
      </c>
      <c r="BO22" s="100">
        <v>2995.2</v>
      </c>
      <c r="BP22" s="100">
        <v>19</v>
      </c>
      <c r="BQ22" s="100">
        <v>3556.7999999999997</v>
      </c>
      <c r="BR22" s="100">
        <v>17</v>
      </c>
      <c r="BS22" s="100">
        <v>3182.3999999999996</v>
      </c>
      <c r="BT22" s="100">
        <v>13</v>
      </c>
      <c r="BU22" s="100">
        <v>2433.6</v>
      </c>
      <c r="BV22" s="100">
        <v>22.988321466031092</v>
      </c>
      <c r="BW22" s="100">
        <v>4303.4137784410204</v>
      </c>
      <c r="BX22" s="100">
        <v>0</v>
      </c>
      <c r="BY22" s="100">
        <v>0</v>
      </c>
      <c r="BZ22" s="100">
        <v>5.2139721788715745</v>
      </c>
      <c r="CA22" s="100">
        <v>976.05559188475866</v>
      </c>
      <c r="CB22" s="100">
        <v>18.325196282335092</v>
      </c>
      <c r="CC22" s="100">
        <v>3430.4767440531291</v>
      </c>
      <c r="CD22" s="100">
        <v>11</v>
      </c>
      <c r="CE22" s="100">
        <v>2059.1999999999998</v>
      </c>
      <c r="CF22" s="100">
        <v>16</v>
      </c>
      <c r="CG22" s="100">
        <v>2995.2</v>
      </c>
      <c r="CH22" s="100">
        <v>21</v>
      </c>
      <c r="CI22" s="100">
        <v>3931.2</v>
      </c>
      <c r="CJ22" s="100">
        <v>15</v>
      </c>
      <c r="CK22" s="100">
        <v>2808</v>
      </c>
      <c r="CL22" s="100">
        <v>20</v>
      </c>
      <c r="CM22" s="100">
        <v>3744</v>
      </c>
      <c r="CN22" s="100">
        <v>4.5141706767366108</v>
      </c>
      <c r="CO22" s="100">
        <v>845.05275068509343</v>
      </c>
      <c r="CP22" s="100">
        <v>19</v>
      </c>
      <c r="CQ22" s="100">
        <v>3556.7999999999997</v>
      </c>
      <c r="CR22" s="100">
        <v>15</v>
      </c>
      <c r="CS22" s="100">
        <v>2808</v>
      </c>
      <c r="CT22" s="100">
        <v>21.534158623704894</v>
      </c>
      <c r="CU22" s="100">
        <v>4031.1944943575559</v>
      </c>
    </row>
    <row r="23" spans="2:99">
      <c r="C23" s="99" t="s">
        <v>189</v>
      </c>
      <c r="D23" s="100">
        <v>17.697455808372869</v>
      </c>
      <c r="E23" s="100">
        <v>5203.0520076616231</v>
      </c>
      <c r="F23" s="100">
        <v>4.2830481327516994</v>
      </c>
      <c r="G23" s="100">
        <v>1259.2161510289995</v>
      </c>
      <c r="H23" s="100">
        <v>16</v>
      </c>
      <c r="I23" s="100">
        <v>4704</v>
      </c>
      <c r="J23" s="100">
        <v>11</v>
      </c>
      <c r="K23" s="100">
        <v>3234</v>
      </c>
      <c r="L23" s="100">
        <v>15</v>
      </c>
      <c r="M23" s="100">
        <v>4410</v>
      </c>
      <c r="N23" s="100">
        <v>18</v>
      </c>
      <c r="O23" s="100">
        <v>5292</v>
      </c>
      <c r="P23" s="100">
        <v>18</v>
      </c>
      <c r="Q23" s="100">
        <v>5292</v>
      </c>
      <c r="R23" s="100">
        <v>15</v>
      </c>
      <c r="S23" s="100">
        <v>4410</v>
      </c>
      <c r="T23" s="100">
        <v>21</v>
      </c>
      <c r="U23" s="100">
        <v>6174</v>
      </c>
      <c r="V23" s="100">
        <v>14</v>
      </c>
      <c r="W23" s="100">
        <v>4116</v>
      </c>
      <c r="X23" s="100">
        <v>6.3683271551586653</v>
      </c>
      <c r="Y23" s="100">
        <v>1872.2881836166475</v>
      </c>
      <c r="Z23" s="100">
        <v>20</v>
      </c>
      <c r="AA23" s="100">
        <v>5880</v>
      </c>
      <c r="AB23" s="100">
        <v>21</v>
      </c>
      <c r="AC23" s="100">
        <v>6174</v>
      </c>
      <c r="AD23" s="100">
        <v>10.62798782816246</v>
      </c>
      <c r="AE23" s="100">
        <v>3124.6284214797633</v>
      </c>
      <c r="AF23" s="100">
        <v>8.3744271073144496</v>
      </c>
      <c r="AG23" s="100">
        <v>2462.081569550448</v>
      </c>
      <c r="AH23" s="100">
        <v>19</v>
      </c>
      <c r="AI23" s="100">
        <v>5586</v>
      </c>
      <c r="AJ23" s="100">
        <v>4.1967661131549674</v>
      </c>
      <c r="AK23" s="100">
        <v>1233.8492372675605</v>
      </c>
      <c r="AL23" s="100">
        <v>13</v>
      </c>
      <c r="AM23" s="100">
        <v>3822</v>
      </c>
      <c r="AN23" s="100">
        <v>17</v>
      </c>
      <c r="AO23" s="100">
        <v>4998</v>
      </c>
      <c r="AP23" s="100">
        <v>14.203552148006926</v>
      </c>
      <c r="AQ23" s="100">
        <v>4175.8443315140366</v>
      </c>
      <c r="AR23" s="100">
        <v>1.4105066714840699E-15</v>
      </c>
      <c r="AS23" s="100">
        <v>4.1468896141631659E-13</v>
      </c>
      <c r="AT23" s="100">
        <v>16</v>
      </c>
      <c r="AU23" s="100">
        <v>4704</v>
      </c>
      <c r="AV23" s="100">
        <v>20</v>
      </c>
      <c r="AW23" s="100">
        <v>5880</v>
      </c>
      <c r="AX23" s="100">
        <v>18</v>
      </c>
      <c r="AY23" s="100">
        <v>5292</v>
      </c>
      <c r="AZ23" s="100">
        <v>11</v>
      </c>
      <c r="BA23" s="100">
        <v>3234</v>
      </c>
      <c r="BB23" s="100">
        <v>20</v>
      </c>
      <c r="BC23" s="100">
        <v>5880</v>
      </c>
      <c r="BD23" s="100">
        <v>10.012481441213556</v>
      </c>
      <c r="BE23" s="100">
        <v>2943.6695437167855</v>
      </c>
      <c r="BF23" s="100">
        <v>20</v>
      </c>
      <c r="BG23" s="100">
        <v>5880</v>
      </c>
      <c r="BH23" s="100">
        <v>13.210072473417485</v>
      </c>
      <c r="BI23" s="100">
        <v>3883.7613071847404</v>
      </c>
      <c r="BJ23" s="100">
        <v>15</v>
      </c>
      <c r="BK23" s="100">
        <v>4410</v>
      </c>
      <c r="BL23" s="100">
        <v>21</v>
      </c>
      <c r="BM23" s="100">
        <v>6174</v>
      </c>
      <c r="BN23" s="100">
        <v>17</v>
      </c>
      <c r="BO23" s="100">
        <v>4998</v>
      </c>
      <c r="BP23" s="100">
        <v>20</v>
      </c>
      <c r="BQ23" s="100">
        <v>5880</v>
      </c>
      <c r="BR23" s="100">
        <v>17</v>
      </c>
      <c r="BS23" s="100">
        <v>4998</v>
      </c>
      <c r="BT23" s="100">
        <v>12</v>
      </c>
      <c r="BU23" s="100">
        <v>3528</v>
      </c>
      <c r="BV23" s="100">
        <v>19.156934555025913</v>
      </c>
      <c r="BW23" s="100">
        <v>5632.1387591776183</v>
      </c>
      <c r="BX23" s="100">
        <v>0</v>
      </c>
      <c r="BY23" s="100">
        <v>0</v>
      </c>
      <c r="BZ23" s="100">
        <v>5.7628113555948985</v>
      </c>
      <c r="CA23" s="100">
        <v>1694.2665385449002</v>
      </c>
      <c r="CB23" s="100">
        <v>16.579939493541275</v>
      </c>
      <c r="CC23" s="100">
        <v>4874.5022111011349</v>
      </c>
      <c r="CD23" s="100">
        <v>13</v>
      </c>
      <c r="CE23" s="100">
        <v>3822</v>
      </c>
      <c r="CF23" s="100">
        <v>15</v>
      </c>
      <c r="CG23" s="100">
        <v>4410</v>
      </c>
      <c r="CH23" s="100">
        <v>22</v>
      </c>
      <c r="CI23" s="100">
        <v>6468</v>
      </c>
      <c r="CJ23" s="100">
        <v>16</v>
      </c>
      <c r="CK23" s="100">
        <v>4704</v>
      </c>
      <c r="CL23" s="100">
        <v>20</v>
      </c>
      <c r="CM23" s="100">
        <v>5880</v>
      </c>
      <c r="CN23" s="100">
        <v>3.9498993421445348</v>
      </c>
      <c r="CO23" s="100">
        <v>1161.2704065904932</v>
      </c>
      <c r="CP23" s="100">
        <v>19</v>
      </c>
      <c r="CQ23" s="100">
        <v>5586</v>
      </c>
      <c r="CR23" s="100">
        <v>16</v>
      </c>
      <c r="CS23" s="100">
        <v>4704</v>
      </c>
      <c r="CT23" s="100">
        <v>22.47042638995293</v>
      </c>
      <c r="CU23" s="100">
        <v>6606.305358646161</v>
      </c>
    </row>
    <row r="24" spans="2:99">
      <c r="C24" s="99" t="s">
        <v>190</v>
      </c>
      <c r="D24" s="100">
        <v>18.628900850918807</v>
      </c>
      <c r="E24" s="100">
        <v>6840.5323924573859</v>
      </c>
      <c r="F24" s="100">
        <v>4.0311041249427753</v>
      </c>
      <c r="G24" s="100">
        <v>1480.221434678987</v>
      </c>
      <c r="H24" s="100">
        <v>15</v>
      </c>
      <c r="I24" s="100">
        <v>5508</v>
      </c>
      <c r="J24" s="100">
        <v>12</v>
      </c>
      <c r="K24" s="100">
        <v>4406.3999999999996</v>
      </c>
      <c r="L24" s="100">
        <v>17</v>
      </c>
      <c r="M24" s="100">
        <v>6242.4</v>
      </c>
      <c r="N24" s="100">
        <v>19</v>
      </c>
      <c r="O24" s="100">
        <v>6976.8</v>
      </c>
      <c r="P24" s="100">
        <v>16</v>
      </c>
      <c r="Q24" s="100">
        <v>5875.2</v>
      </c>
      <c r="R24" s="100">
        <v>15</v>
      </c>
      <c r="S24" s="100">
        <v>5508</v>
      </c>
      <c r="T24" s="100">
        <v>20</v>
      </c>
      <c r="U24" s="100">
        <v>7344</v>
      </c>
      <c r="V24" s="100">
        <v>14</v>
      </c>
      <c r="W24" s="100">
        <v>5140.8</v>
      </c>
      <c r="X24" s="100">
        <v>6.3683271551586653</v>
      </c>
      <c r="Y24" s="100">
        <v>2338.4497313742618</v>
      </c>
      <c r="Z24" s="100">
        <v>20</v>
      </c>
      <c r="AA24" s="100">
        <v>7344</v>
      </c>
      <c r="AB24" s="100">
        <v>19</v>
      </c>
      <c r="AC24" s="100">
        <v>6976.8</v>
      </c>
      <c r="AD24" s="100">
        <v>12.399319132856204</v>
      </c>
      <c r="AE24" s="100">
        <v>4553.0299855847979</v>
      </c>
      <c r="AF24" s="100">
        <v>8.3744271073144496</v>
      </c>
      <c r="AG24" s="100">
        <v>3075.089633805866</v>
      </c>
      <c r="AH24" s="100">
        <v>17</v>
      </c>
      <c r="AI24" s="100">
        <v>6242.4</v>
      </c>
      <c r="AJ24" s="100">
        <v>4.9598144973649623</v>
      </c>
      <c r="AK24" s="100">
        <v>1821.2438834324141</v>
      </c>
      <c r="AL24" s="100">
        <v>14</v>
      </c>
      <c r="AM24" s="100">
        <v>5140.8</v>
      </c>
      <c r="AN24" s="100">
        <v>16</v>
      </c>
      <c r="AO24" s="100">
        <v>5875.2</v>
      </c>
      <c r="AP24" s="100">
        <v>13.493374540606579</v>
      </c>
      <c r="AQ24" s="100">
        <v>4954.7671313107357</v>
      </c>
      <c r="AR24" s="100">
        <v>1.5515573386324769E-15</v>
      </c>
      <c r="AS24" s="100">
        <v>5.6973185474584546E-13</v>
      </c>
      <c r="AT24" s="100">
        <v>17</v>
      </c>
      <c r="AU24" s="100">
        <v>6242.4</v>
      </c>
      <c r="AV24" s="100">
        <v>19</v>
      </c>
      <c r="AW24" s="100">
        <v>6976.8</v>
      </c>
      <c r="AX24" s="100">
        <v>18</v>
      </c>
      <c r="AY24" s="100">
        <v>6609.5999999999995</v>
      </c>
      <c r="AZ24" s="100">
        <v>13</v>
      </c>
      <c r="BA24" s="100">
        <v>4773.5999999999995</v>
      </c>
      <c r="BB24" s="100">
        <v>19</v>
      </c>
      <c r="BC24" s="100">
        <v>6976.8</v>
      </c>
      <c r="BD24" s="100">
        <v>10.012481441213556</v>
      </c>
      <c r="BE24" s="100">
        <v>3676.5831852136175</v>
      </c>
      <c r="BF24" s="100">
        <v>21</v>
      </c>
      <c r="BG24" s="100">
        <v>7711.2</v>
      </c>
      <c r="BH24" s="100">
        <v>14.090743971645317</v>
      </c>
      <c r="BI24" s="100">
        <v>5174.1211863881599</v>
      </c>
      <c r="BJ24" s="100">
        <v>16</v>
      </c>
      <c r="BK24" s="100">
        <v>5875.2</v>
      </c>
      <c r="BL24" s="100">
        <v>20</v>
      </c>
      <c r="BM24" s="100">
        <v>7344</v>
      </c>
      <c r="BN24" s="100">
        <v>16</v>
      </c>
      <c r="BO24" s="100">
        <v>5875.2</v>
      </c>
      <c r="BP24" s="100">
        <v>22</v>
      </c>
      <c r="BQ24" s="100">
        <v>8078.4</v>
      </c>
      <c r="BR24" s="100">
        <v>19</v>
      </c>
      <c r="BS24" s="100">
        <v>6976.8</v>
      </c>
      <c r="BT24" s="100">
        <v>13</v>
      </c>
      <c r="BU24" s="100">
        <v>4773.5999999999995</v>
      </c>
      <c r="BV24" s="100">
        <v>21.072628010528504</v>
      </c>
      <c r="BW24" s="100">
        <v>7737.8690054660665</v>
      </c>
      <c r="BX24" s="100">
        <v>0</v>
      </c>
      <c r="BY24" s="100">
        <v>0</v>
      </c>
      <c r="BZ24" s="100">
        <v>4.9395525905099129</v>
      </c>
      <c r="CA24" s="100">
        <v>1813.8037112352399</v>
      </c>
      <c r="CB24" s="100">
        <v>19.197824676732001</v>
      </c>
      <c r="CC24" s="100">
        <v>7049.4412212959905</v>
      </c>
      <c r="CD24" s="100">
        <v>12</v>
      </c>
      <c r="CE24" s="100">
        <v>4406.3999999999996</v>
      </c>
      <c r="CF24" s="100">
        <v>15</v>
      </c>
      <c r="CG24" s="100">
        <v>5508</v>
      </c>
      <c r="CH24" s="100">
        <v>21</v>
      </c>
      <c r="CI24" s="100">
        <v>7711.2</v>
      </c>
      <c r="CJ24" s="100">
        <v>16</v>
      </c>
      <c r="CK24" s="100">
        <v>5875.2</v>
      </c>
      <c r="CL24" s="100">
        <v>20</v>
      </c>
      <c r="CM24" s="100">
        <v>7344</v>
      </c>
      <c r="CN24" s="100">
        <v>4.5141706767366108</v>
      </c>
      <c r="CO24" s="100">
        <v>1657.6034724976835</v>
      </c>
      <c r="CP24" s="100">
        <v>20</v>
      </c>
      <c r="CQ24" s="100">
        <v>7344</v>
      </c>
      <c r="CR24" s="100">
        <v>15</v>
      </c>
      <c r="CS24" s="100">
        <v>5508</v>
      </c>
      <c r="CT24" s="100">
        <v>21.534158623704894</v>
      </c>
      <c r="CU24" s="100">
        <v>7907.3430466244363</v>
      </c>
    </row>
    <row r="25" spans="2:99">
      <c r="C25" s="99" t="s">
        <v>191</v>
      </c>
      <c r="D25" s="100">
        <v>15.834565723280987</v>
      </c>
      <c r="E25" s="100">
        <v>8398.6536596282349</v>
      </c>
      <c r="F25" s="100">
        <v>4.5349921405606226</v>
      </c>
      <c r="G25" s="100">
        <v>2405.3598313533539</v>
      </c>
      <c r="H25" s="100">
        <v>15</v>
      </c>
      <c r="I25" s="100">
        <v>7956</v>
      </c>
      <c r="J25" s="100">
        <v>11</v>
      </c>
      <c r="K25" s="100">
        <v>5834.4</v>
      </c>
      <c r="L25" s="100">
        <v>15</v>
      </c>
      <c r="M25" s="100">
        <v>7956</v>
      </c>
      <c r="N25" s="100">
        <v>17</v>
      </c>
      <c r="O25" s="100">
        <v>9016.7999999999993</v>
      </c>
      <c r="P25" s="100">
        <v>18</v>
      </c>
      <c r="Q25" s="100">
        <v>9547.1999999999989</v>
      </c>
      <c r="R25" s="100">
        <v>14</v>
      </c>
      <c r="S25" s="100">
        <v>7425.5999999999995</v>
      </c>
      <c r="T25" s="100">
        <v>20</v>
      </c>
      <c r="U25" s="100">
        <v>10608</v>
      </c>
      <c r="V25" s="100">
        <v>12</v>
      </c>
      <c r="W25" s="100">
        <v>6364.7999999999993</v>
      </c>
      <c r="X25" s="100">
        <v>7.2780881773241894</v>
      </c>
      <c r="Y25" s="100">
        <v>3860.2979692527501</v>
      </c>
      <c r="Z25" s="100">
        <v>19</v>
      </c>
      <c r="AA25" s="100">
        <v>10077.6</v>
      </c>
      <c r="AB25" s="100">
        <v>21</v>
      </c>
      <c r="AC25" s="100">
        <v>11138.4</v>
      </c>
      <c r="AD25" s="100">
        <v>11.513653480509333</v>
      </c>
      <c r="AE25" s="100">
        <v>6106.8418060621498</v>
      </c>
      <c r="AF25" s="100">
        <v>9.0722960329239868</v>
      </c>
      <c r="AG25" s="100">
        <v>4811.9458158628822</v>
      </c>
      <c r="AH25" s="100">
        <v>20</v>
      </c>
      <c r="AI25" s="100">
        <v>10608</v>
      </c>
      <c r="AJ25" s="100">
        <v>4.1967661131549674</v>
      </c>
      <c r="AK25" s="100">
        <v>2225.9647464173945</v>
      </c>
      <c r="AL25" s="100">
        <v>12</v>
      </c>
      <c r="AM25" s="100">
        <v>6364.7999999999993</v>
      </c>
      <c r="AN25" s="100">
        <v>16</v>
      </c>
      <c r="AO25" s="100">
        <v>8486.4</v>
      </c>
      <c r="AP25" s="100">
        <v>14.913729755407271</v>
      </c>
      <c r="AQ25" s="100">
        <v>7910.242262268016</v>
      </c>
      <c r="AR25" s="100">
        <v>1.4810320050582733E-15</v>
      </c>
      <c r="AS25" s="100">
        <v>7.8553937548290813E-13</v>
      </c>
      <c r="AT25" s="100">
        <v>16</v>
      </c>
      <c r="AU25" s="100">
        <v>8486.4</v>
      </c>
      <c r="AV25" s="100">
        <v>18</v>
      </c>
      <c r="AW25" s="100">
        <v>9547.1999999999989</v>
      </c>
      <c r="AX25" s="100">
        <v>16</v>
      </c>
      <c r="AY25" s="100">
        <v>8486.4</v>
      </c>
      <c r="AZ25" s="100">
        <v>12</v>
      </c>
      <c r="BA25" s="100">
        <v>6364.7999999999993</v>
      </c>
      <c r="BB25" s="100">
        <v>18</v>
      </c>
      <c r="BC25" s="100">
        <v>9547.1999999999989</v>
      </c>
      <c r="BD25" s="100">
        <v>10.922707026778426</v>
      </c>
      <c r="BE25" s="100">
        <v>5793.4038070032766</v>
      </c>
      <c r="BF25" s="100">
        <v>18</v>
      </c>
      <c r="BG25" s="100">
        <v>9547.1999999999989</v>
      </c>
      <c r="BH25" s="100">
        <v>12.329400975189653</v>
      </c>
      <c r="BI25" s="100">
        <v>6539.5142772405916</v>
      </c>
      <c r="BJ25" s="100">
        <v>15</v>
      </c>
      <c r="BK25" s="100">
        <v>7956</v>
      </c>
      <c r="BL25" s="100">
        <v>21</v>
      </c>
      <c r="BM25" s="100">
        <v>11138.4</v>
      </c>
      <c r="BN25" s="100">
        <v>15</v>
      </c>
      <c r="BO25" s="100">
        <v>7956</v>
      </c>
      <c r="BP25" s="100">
        <v>22</v>
      </c>
      <c r="BQ25" s="100">
        <v>11668.8</v>
      </c>
      <c r="BR25" s="100">
        <v>18</v>
      </c>
      <c r="BS25" s="100">
        <v>9547.1999999999989</v>
      </c>
      <c r="BT25" s="100">
        <v>13</v>
      </c>
      <c r="BU25" s="100">
        <v>6895.2</v>
      </c>
      <c r="BV25" s="100">
        <v>20.114781282777209</v>
      </c>
      <c r="BW25" s="100">
        <v>10668.879992385031</v>
      </c>
      <c r="BX25" s="100">
        <v>0</v>
      </c>
      <c r="BY25" s="100">
        <v>0</v>
      </c>
      <c r="BZ25" s="100">
        <v>5.2139721788715745</v>
      </c>
      <c r="CA25" s="100">
        <v>2765.4908436734831</v>
      </c>
      <c r="CB25" s="100">
        <v>15.707311099144363</v>
      </c>
      <c r="CC25" s="100">
        <v>8331.1578069861698</v>
      </c>
      <c r="CD25" s="100">
        <v>11</v>
      </c>
      <c r="CE25" s="100">
        <v>5834.4</v>
      </c>
      <c r="CF25" s="100">
        <v>16</v>
      </c>
      <c r="CG25" s="100">
        <v>8486.4</v>
      </c>
      <c r="CH25" s="100">
        <v>20</v>
      </c>
      <c r="CI25" s="100">
        <v>10608</v>
      </c>
      <c r="CJ25" s="100">
        <v>17</v>
      </c>
      <c r="CK25" s="100">
        <v>9016.7999999999993</v>
      </c>
      <c r="CL25" s="100">
        <v>19</v>
      </c>
      <c r="CM25" s="100">
        <v>10077.6</v>
      </c>
      <c r="CN25" s="100">
        <v>4.5141706767366108</v>
      </c>
      <c r="CO25" s="100">
        <v>2394.3161269410984</v>
      </c>
      <c r="CP25" s="100">
        <v>19</v>
      </c>
      <c r="CQ25" s="100">
        <v>10077.6</v>
      </c>
      <c r="CR25" s="100">
        <v>17</v>
      </c>
      <c r="CS25" s="100">
        <v>9016.7999999999993</v>
      </c>
      <c r="CT25" s="100">
        <v>24.342961922449007</v>
      </c>
      <c r="CU25" s="100">
        <v>12911.507003666953</v>
      </c>
    </row>
    <row r="26" spans="2:99">
      <c r="C26" s="99" t="s">
        <v>192</v>
      </c>
      <c r="D26" s="100">
        <v>18.628900850918807</v>
      </c>
      <c r="E26" s="100">
        <v>9053.64581354654</v>
      </c>
      <c r="F26" s="100">
        <v>4.0311041249427753</v>
      </c>
      <c r="G26" s="100">
        <v>1959.1166047221889</v>
      </c>
      <c r="H26" s="100">
        <v>16</v>
      </c>
      <c r="I26" s="100">
        <v>7776</v>
      </c>
      <c r="J26" s="100">
        <v>12</v>
      </c>
      <c r="K26" s="100">
        <v>5832</v>
      </c>
      <c r="L26" s="100">
        <v>17</v>
      </c>
      <c r="M26" s="100">
        <v>8262</v>
      </c>
      <c r="N26" s="100">
        <v>20</v>
      </c>
      <c r="O26" s="100">
        <v>9720</v>
      </c>
      <c r="P26" s="100">
        <v>17</v>
      </c>
      <c r="Q26" s="100">
        <v>8262</v>
      </c>
      <c r="R26" s="100">
        <v>14</v>
      </c>
      <c r="S26" s="100">
        <v>6804</v>
      </c>
      <c r="T26" s="100">
        <v>18</v>
      </c>
      <c r="U26" s="100">
        <v>8748</v>
      </c>
      <c r="V26" s="100">
        <v>14</v>
      </c>
      <c r="W26" s="100">
        <v>6804</v>
      </c>
      <c r="X26" s="100">
        <v>5.9134466440759041</v>
      </c>
      <c r="Y26" s="100">
        <v>2873.9350690208894</v>
      </c>
      <c r="Z26" s="100">
        <v>18</v>
      </c>
      <c r="AA26" s="100">
        <v>8748</v>
      </c>
      <c r="AB26" s="100">
        <v>18</v>
      </c>
      <c r="AC26" s="100">
        <v>8748</v>
      </c>
      <c r="AD26" s="100">
        <v>10.62798782816246</v>
      </c>
      <c r="AE26" s="100">
        <v>5165.2020844869558</v>
      </c>
      <c r="AF26" s="100">
        <v>9.770164958533524</v>
      </c>
      <c r="AG26" s="100">
        <v>4748.3001698472926</v>
      </c>
      <c r="AH26" s="100">
        <v>20</v>
      </c>
      <c r="AI26" s="100">
        <v>9720</v>
      </c>
      <c r="AJ26" s="100">
        <v>4.1967661131549674</v>
      </c>
      <c r="AK26" s="100">
        <v>2039.6283309933142</v>
      </c>
      <c r="AL26" s="100">
        <v>12</v>
      </c>
      <c r="AM26" s="100">
        <v>5832</v>
      </c>
      <c r="AN26" s="100">
        <v>17</v>
      </c>
      <c r="AO26" s="100">
        <v>8262</v>
      </c>
      <c r="AP26" s="100">
        <v>14.913729755407271</v>
      </c>
      <c r="AQ26" s="100">
        <v>7248.0726611279333</v>
      </c>
      <c r="AR26" s="100">
        <v>1.3399813379098664E-15</v>
      </c>
      <c r="AS26" s="100">
        <v>6.5123093022419504E-13</v>
      </c>
      <c r="AT26" s="100">
        <v>17</v>
      </c>
      <c r="AU26" s="100">
        <v>8262</v>
      </c>
      <c r="AV26" s="100">
        <v>19</v>
      </c>
      <c r="AW26" s="100">
        <v>9234</v>
      </c>
      <c r="AX26" s="100">
        <v>17</v>
      </c>
      <c r="AY26" s="100">
        <v>8262</v>
      </c>
      <c r="AZ26" s="100">
        <v>12</v>
      </c>
      <c r="BA26" s="100">
        <v>5832</v>
      </c>
      <c r="BB26" s="100">
        <v>17</v>
      </c>
      <c r="BC26" s="100">
        <v>8262</v>
      </c>
      <c r="BD26" s="100">
        <v>10.922707026778426</v>
      </c>
      <c r="BE26" s="100">
        <v>5308.4356150143149</v>
      </c>
      <c r="BF26" s="100">
        <v>18</v>
      </c>
      <c r="BG26" s="100">
        <v>8748</v>
      </c>
      <c r="BH26" s="100">
        <v>13.210072473417485</v>
      </c>
      <c r="BI26" s="100">
        <v>6420.0952220808977</v>
      </c>
      <c r="BJ26" s="100">
        <v>15</v>
      </c>
      <c r="BK26" s="100">
        <v>7290</v>
      </c>
      <c r="BL26" s="100">
        <v>21</v>
      </c>
      <c r="BM26" s="100">
        <v>10206</v>
      </c>
      <c r="BN26" s="100">
        <v>17</v>
      </c>
      <c r="BO26" s="100">
        <v>8262</v>
      </c>
      <c r="BP26" s="100">
        <v>20</v>
      </c>
      <c r="BQ26" s="100">
        <v>9720</v>
      </c>
      <c r="BR26" s="100">
        <v>18</v>
      </c>
      <c r="BS26" s="100">
        <v>8748</v>
      </c>
      <c r="BT26" s="100">
        <v>12</v>
      </c>
      <c r="BU26" s="100">
        <v>5832</v>
      </c>
      <c r="BV26" s="100">
        <v>22.0304747382798</v>
      </c>
      <c r="BW26" s="100">
        <v>10706.810722803983</v>
      </c>
      <c r="BX26" s="100">
        <v>0</v>
      </c>
      <c r="BY26" s="100">
        <v>0</v>
      </c>
      <c r="BZ26" s="100">
        <v>4.9395525905099129</v>
      </c>
      <c r="CA26" s="100">
        <v>2400.6225589878177</v>
      </c>
      <c r="CB26" s="100">
        <v>17.45256788793818</v>
      </c>
      <c r="CC26" s="100">
        <v>8481.947993537955</v>
      </c>
      <c r="CD26" s="100">
        <v>12</v>
      </c>
      <c r="CE26" s="100">
        <v>5832</v>
      </c>
      <c r="CF26" s="100">
        <v>15</v>
      </c>
      <c r="CG26" s="100">
        <v>7290</v>
      </c>
      <c r="CH26" s="100">
        <v>23</v>
      </c>
      <c r="CI26" s="100">
        <v>11178</v>
      </c>
      <c r="CJ26" s="100">
        <v>15</v>
      </c>
      <c r="CK26" s="100">
        <v>7290</v>
      </c>
      <c r="CL26" s="100">
        <v>19</v>
      </c>
      <c r="CM26" s="100">
        <v>9234</v>
      </c>
      <c r="CN26" s="100">
        <v>3.9498993421445348</v>
      </c>
      <c r="CO26" s="100">
        <v>1919.6510802822438</v>
      </c>
      <c r="CP26" s="100">
        <v>18</v>
      </c>
      <c r="CQ26" s="100">
        <v>8748</v>
      </c>
      <c r="CR26" s="100">
        <v>17</v>
      </c>
      <c r="CS26" s="100">
        <v>8262</v>
      </c>
      <c r="CT26" s="100">
        <v>23.406694156200974</v>
      </c>
      <c r="CU26" s="100">
        <v>11375.653359913673</v>
      </c>
    </row>
    <row r="27" spans="2:99">
      <c r="C27" s="99" t="s">
        <v>193</v>
      </c>
      <c r="D27" s="100">
        <v>18.628900850918807</v>
      </c>
      <c r="E27" s="100">
        <v>7958.2664435125143</v>
      </c>
      <c r="F27" s="100">
        <v>4.0311041249427753</v>
      </c>
      <c r="G27" s="100">
        <v>1722.0876821755535</v>
      </c>
      <c r="H27" s="100">
        <v>14</v>
      </c>
      <c r="I27" s="100">
        <v>5980.8</v>
      </c>
      <c r="J27" s="100">
        <v>11</v>
      </c>
      <c r="K27" s="100">
        <v>4699.2</v>
      </c>
      <c r="L27" s="100">
        <v>17</v>
      </c>
      <c r="M27" s="100">
        <v>7262.4</v>
      </c>
      <c r="N27" s="100">
        <v>20</v>
      </c>
      <c r="O27" s="100">
        <v>8544</v>
      </c>
      <c r="P27" s="100">
        <v>18</v>
      </c>
      <c r="Q27" s="100">
        <v>7689.5999999999995</v>
      </c>
      <c r="R27" s="100">
        <v>15</v>
      </c>
      <c r="S27" s="100">
        <v>6408</v>
      </c>
      <c r="T27" s="100">
        <v>18</v>
      </c>
      <c r="U27" s="100">
        <v>7689.5999999999995</v>
      </c>
      <c r="V27" s="100">
        <v>13</v>
      </c>
      <c r="W27" s="100">
        <v>5553.5999999999995</v>
      </c>
      <c r="X27" s="100">
        <v>6.3683271551586653</v>
      </c>
      <c r="Y27" s="100">
        <v>2720.5493606837817</v>
      </c>
      <c r="Z27" s="100">
        <v>21</v>
      </c>
      <c r="AA27" s="100">
        <v>8971.1999999999989</v>
      </c>
      <c r="AB27" s="100">
        <v>19</v>
      </c>
      <c r="AC27" s="100">
        <v>8116.8</v>
      </c>
      <c r="AD27" s="100">
        <v>12.399319132856204</v>
      </c>
      <c r="AE27" s="100">
        <v>5296.9891335561706</v>
      </c>
      <c r="AF27" s="100">
        <v>9.770164958533524</v>
      </c>
      <c r="AG27" s="100">
        <v>4173.8144702855216</v>
      </c>
      <c r="AH27" s="100">
        <v>17</v>
      </c>
      <c r="AI27" s="100">
        <v>7262.4</v>
      </c>
      <c r="AJ27" s="100">
        <v>4.9598144973649623</v>
      </c>
      <c r="AK27" s="100">
        <v>2118.8327532743119</v>
      </c>
      <c r="AL27" s="100">
        <v>14</v>
      </c>
      <c r="AM27" s="100">
        <v>5980.8</v>
      </c>
      <c r="AN27" s="100">
        <v>15</v>
      </c>
      <c r="AO27" s="100">
        <v>6408</v>
      </c>
      <c r="AP27" s="100">
        <v>13.493374540606579</v>
      </c>
      <c r="AQ27" s="100">
        <v>5764.3696037471309</v>
      </c>
      <c r="AR27" s="100">
        <v>1.3399813379098664E-15</v>
      </c>
      <c r="AS27" s="100">
        <v>5.7244002755509492E-13</v>
      </c>
      <c r="AT27" s="100">
        <v>18</v>
      </c>
      <c r="AU27" s="100">
        <v>7689.5999999999995</v>
      </c>
      <c r="AV27" s="100">
        <v>19</v>
      </c>
      <c r="AW27" s="100">
        <v>8116.8</v>
      </c>
      <c r="AX27" s="100">
        <v>16</v>
      </c>
      <c r="AY27" s="100">
        <v>6835.2</v>
      </c>
      <c r="AZ27" s="100">
        <v>12</v>
      </c>
      <c r="BA27" s="100">
        <v>5126.3999999999996</v>
      </c>
      <c r="BB27" s="100">
        <v>20</v>
      </c>
      <c r="BC27" s="100">
        <v>8544</v>
      </c>
      <c r="BD27" s="100">
        <v>10.012481441213556</v>
      </c>
      <c r="BE27" s="100">
        <v>4277.3320716864309</v>
      </c>
      <c r="BF27" s="100">
        <v>20</v>
      </c>
      <c r="BG27" s="100">
        <v>8544</v>
      </c>
      <c r="BH27" s="100">
        <v>13.210072473417485</v>
      </c>
      <c r="BI27" s="100">
        <v>5643.3429606439495</v>
      </c>
      <c r="BJ27" s="100">
        <v>16</v>
      </c>
      <c r="BK27" s="100">
        <v>6835.2</v>
      </c>
      <c r="BL27" s="100">
        <v>20</v>
      </c>
      <c r="BM27" s="100">
        <v>8544</v>
      </c>
      <c r="BN27" s="100">
        <v>18</v>
      </c>
      <c r="BO27" s="100">
        <v>7689.5999999999995</v>
      </c>
      <c r="BP27" s="100">
        <v>19</v>
      </c>
      <c r="BQ27" s="100">
        <v>8116.8</v>
      </c>
      <c r="BR27" s="100">
        <v>16</v>
      </c>
      <c r="BS27" s="100">
        <v>6835.2</v>
      </c>
      <c r="BT27" s="100">
        <v>14</v>
      </c>
      <c r="BU27" s="100">
        <v>5980.8</v>
      </c>
      <c r="BV27" s="100">
        <v>21.072628010528504</v>
      </c>
      <c r="BW27" s="100">
        <v>9002.2266860977761</v>
      </c>
      <c r="BX27" s="100">
        <v>0</v>
      </c>
      <c r="BY27" s="100">
        <v>0</v>
      </c>
      <c r="BZ27" s="100">
        <v>5.488391767233237</v>
      </c>
      <c r="CA27" s="100">
        <v>2344.6409629620389</v>
      </c>
      <c r="CB27" s="100">
        <v>16.579939493541275</v>
      </c>
      <c r="CC27" s="100">
        <v>7082.9501516408327</v>
      </c>
      <c r="CD27" s="100">
        <v>12</v>
      </c>
      <c r="CE27" s="100">
        <v>5126.3999999999996</v>
      </c>
      <c r="CF27" s="100">
        <v>15</v>
      </c>
      <c r="CG27" s="100">
        <v>6408</v>
      </c>
      <c r="CH27" s="100">
        <v>22</v>
      </c>
      <c r="CI27" s="100">
        <v>9398.4</v>
      </c>
      <c r="CJ27" s="100">
        <v>16</v>
      </c>
      <c r="CK27" s="100">
        <v>6835.2</v>
      </c>
      <c r="CL27" s="100">
        <v>21</v>
      </c>
      <c r="CM27" s="100">
        <v>8971.1999999999989</v>
      </c>
      <c r="CN27" s="100">
        <v>4.1379897870085598</v>
      </c>
      <c r="CO27" s="100">
        <v>1767.7492370100567</v>
      </c>
      <c r="CP27" s="100">
        <v>17</v>
      </c>
      <c r="CQ27" s="100">
        <v>7262.4</v>
      </c>
      <c r="CR27" s="100">
        <v>17</v>
      </c>
      <c r="CS27" s="100">
        <v>7262.4</v>
      </c>
      <c r="CT27" s="100">
        <v>24.342961922449007</v>
      </c>
      <c r="CU27" s="100">
        <v>10399.313333270215</v>
      </c>
    </row>
    <row r="28" spans="2:99">
      <c r="C28" s="99" t="s">
        <v>194</v>
      </c>
      <c r="D28" s="100">
        <v>16.766010765826927</v>
      </c>
      <c r="E28" s="100">
        <v>12373.315945180271</v>
      </c>
      <c r="F28" s="100">
        <v>4.0311041249427753</v>
      </c>
      <c r="G28" s="100">
        <v>2974.954844207768</v>
      </c>
      <c r="H28" s="100">
        <v>15</v>
      </c>
      <c r="I28" s="100">
        <v>11070</v>
      </c>
      <c r="J28" s="100">
        <v>11</v>
      </c>
      <c r="K28" s="100">
        <v>8118</v>
      </c>
      <c r="L28" s="100">
        <v>16</v>
      </c>
      <c r="M28" s="100">
        <v>11808</v>
      </c>
      <c r="N28" s="100">
        <v>20</v>
      </c>
      <c r="O28" s="100">
        <v>14760</v>
      </c>
      <c r="P28" s="100">
        <v>19</v>
      </c>
      <c r="Q28" s="100">
        <v>14022</v>
      </c>
      <c r="R28" s="100">
        <v>13</v>
      </c>
      <c r="S28" s="100">
        <v>9594</v>
      </c>
      <c r="T28" s="100">
        <v>17</v>
      </c>
      <c r="U28" s="100">
        <v>12546</v>
      </c>
      <c r="V28" s="100">
        <v>14</v>
      </c>
      <c r="W28" s="100">
        <v>10332</v>
      </c>
      <c r="X28" s="100">
        <v>5.9134466440759041</v>
      </c>
      <c r="Y28" s="100">
        <v>4364.1236233280169</v>
      </c>
      <c r="Z28" s="100">
        <v>19</v>
      </c>
      <c r="AA28" s="100">
        <v>14022</v>
      </c>
      <c r="AB28" s="100">
        <v>17</v>
      </c>
      <c r="AC28" s="100">
        <v>12546</v>
      </c>
      <c r="AD28" s="100">
        <v>10.62798782816246</v>
      </c>
      <c r="AE28" s="100">
        <v>7843.4550171838955</v>
      </c>
      <c r="AF28" s="100">
        <v>9.770164958533524</v>
      </c>
      <c r="AG28" s="100">
        <v>7210.3817393977406</v>
      </c>
      <c r="AH28" s="100">
        <v>17</v>
      </c>
      <c r="AI28" s="100">
        <v>12546</v>
      </c>
      <c r="AJ28" s="100">
        <v>4.1967661131549674</v>
      </c>
      <c r="AK28" s="100">
        <v>3097.2133915083659</v>
      </c>
      <c r="AL28" s="100">
        <v>12</v>
      </c>
      <c r="AM28" s="100">
        <v>8856</v>
      </c>
      <c r="AN28" s="100">
        <v>15</v>
      </c>
      <c r="AO28" s="100">
        <v>11070</v>
      </c>
      <c r="AP28" s="100">
        <v>12.783196933206234</v>
      </c>
      <c r="AQ28" s="100">
        <v>9433.9993367062016</v>
      </c>
      <c r="AR28" s="100">
        <v>1.4105066714840699E-15</v>
      </c>
      <c r="AS28" s="100">
        <v>1.0409539235552436E-12</v>
      </c>
      <c r="AT28" s="100">
        <v>17</v>
      </c>
      <c r="AU28" s="100">
        <v>12546</v>
      </c>
      <c r="AV28" s="100">
        <v>18</v>
      </c>
      <c r="AW28" s="100">
        <v>13284</v>
      </c>
      <c r="AX28" s="100">
        <v>16</v>
      </c>
      <c r="AY28" s="100">
        <v>11808</v>
      </c>
      <c r="AZ28" s="100">
        <v>12</v>
      </c>
      <c r="BA28" s="100">
        <v>8856</v>
      </c>
      <c r="BB28" s="100">
        <v>20</v>
      </c>
      <c r="BC28" s="100">
        <v>14760</v>
      </c>
      <c r="BD28" s="100">
        <v>10.012481441213556</v>
      </c>
      <c r="BE28" s="100">
        <v>7389.2113036156043</v>
      </c>
      <c r="BF28" s="100">
        <v>17</v>
      </c>
      <c r="BG28" s="100">
        <v>12546</v>
      </c>
      <c r="BH28" s="100">
        <v>13.210072473417485</v>
      </c>
      <c r="BI28" s="100">
        <v>9749.0334853821041</v>
      </c>
      <c r="BJ28" s="100">
        <v>16</v>
      </c>
      <c r="BK28" s="100">
        <v>11808</v>
      </c>
      <c r="BL28" s="100">
        <v>20</v>
      </c>
      <c r="BM28" s="100">
        <v>14760</v>
      </c>
      <c r="BN28" s="100">
        <v>18</v>
      </c>
      <c r="BO28" s="100">
        <v>13284</v>
      </c>
      <c r="BP28" s="100">
        <v>20</v>
      </c>
      <c r="BQ28" s="100">
        <v>14760</v>
      </c>
      <c r="BR28" s="100">
        <v>17</v>
      </c>
      <c r="BS28" s="100">
        <v>12546</v>
      </c>
      <c r="BT28" s="100">
        <v>14</v>
      </c>
      <c r="BU28" s="100">
        <v>10332</v>
      </c>
      <c r="BV28" s="100">
        <v>21.072628010528504</v>
      </c>
      <c r="BW28" s="100">
        <v>15551.599471770036</v>
      </c>
      <c r="BX28" s="100">
        <v>0</v>
      </c>
      <c r="BY28" s="100">
        <v>0</v>
      </c>
      <c r="BZ28" s="100">
        <v>4.9395525905099129</v>
      </c>
      <c r="CA28" s="100">
        <v>3645.3898117963158</v>
      </c>
      <c r="CB28" s="100">
        <v>18.325196282335092</v>
      </c>
      <c r="CC28" s="100">
        <v>13523.994856363299</v>
      </c>
      <c r="CD28" s="100">
        <v>11</v>
      </c>
      <c r="CE28" s="100">
        <v>8118</v>
      </c>
      <c r="CF28" s="100">
        <v>14</v>
      </c>
      <c r="CG28" s="100">
        <v>10332</v>
      </c>
      <c r="CH28" s="100">
        <v>19</v>
      </c>
      <c r="CI28" s="100">
        <v>14022</v>
      </c>
      <c r="CJ28" s="100">
        <v>14</v>
      </c>
      <c r="CK28" s="100">
        <v>10332</v>
      </c>
      <c r="CL28" s="100">
        <v>22</v>
      </c>
      <c r="CM28" s="100">
        <v>16236</v>
      </c>
      <c r="CN28" s="100">
        <v>4.5141706767366108</v>
      </c>
      <c r="CO28" s="100">
        <v>3331.4579594316187</v>
      </c>
      <c r="CP28" s="100">
        <v>20</v>
      </c>
      <c r="CQ28" s="100">
        <v>14760</v>
      </c>
      <c r="CR28" s="100">
        <v>16</v>
      </c>
      <c r="CS28" s="100">
        <v>11808</v>
      </c>
      <c r="CT28" s="100">
        <v>20.597890857456857</v>
      </c>
      <c r="CU28" s="100">
        <v>15201.243452803161</v>
      </c>
    </row>
    <row r="29" spans="2:99">
      <c r="C29" s="99" t="s">
        <v>195</v>
      </c>
      <c r="D29" s="100">
        <v>16.766010765826927</v>
      </c>
      <c r="E29" s="100">
        <v>5673.6180431558314</v>
      </c>
      <c r="F29" s="100">
        <v>4.5349921405606226</v>
      </c>
      <c r="G29" s="100">
        <v>1534.6413403657145</v>
      </c>
      <c r="H29" s="100">
        <v>14</v>
      </c>
      <c r="I29" s="100">
        <v>4737.5999999999995</v>
      </c>
      <c r="J29" s="100">
        <v>12</v>
      </c>
      <c r="K29" s="100">
        <v>4060.7999999999997</v>
      </c>
      <c r="L29" s="100">
        <v>15</v>
      </c>
      <c r="M29" s="100">
        <v>5076</v>
      </c>
      <c r="N29" s="100">
        <v>18</v>
      </c>
      <c r="O29" s="100">
        <v>6091.2</v>
      </c>
      <c r="P29" s="100">
        <v>19</v>
      </c>
      <c r="Q29" s="100">
        <v>6429.5999999999995</v>
      </c>
      <c r="R29" s="100">
        <v>14</v>
      </c>
      <c r="S29" s="100">
        <v>4737.5999999999995</v>
      </c>
      <c r="T29" s="100">
        <v>20</v>
      </c>
      <c r="U29" s="100">
        <v>6768</v>
      </c>
      <c r="V29" s="100">
        <v>13</v>
      </c>
      <c r="W29" s="100">
        <v>4399.2</v>
      </c>
      <c r="X29" s="100">
        <v>7.2780881773241894</v>
      </c>
      <c r="Y29" s="100">
        <v>2462.9050392065055</v>
      </c>
      <c r="Z29" s="100">
        <v>18</v>
      </c>
      <c r="AA29" s="100">
        <v>6091.2</v>
      </c>
      <c r="AB29" s="100">
        <v>20</v>
      </c>
      <c r="AC29" s="100">
        <v>6768</v>
      </c>
      <c r="AD29" s="100">
        <v>11.513653480509333</v>
      </c>
      <c r="AE29" s="100">
        <v>3896.2203378043582</v>
      </c>
      <c r="AF29" s="100">
        <v>9.770164958533524</v>
      </c>
      <c r="AG29" s="100">
        <v>3306.2238219677442</v>
      </c>
      <c r="AH29" s="100">
        <v>20</v>
      </c>
      <c r="AI29" s="100">
        <v>6768</v>
      </c>
      <c r="AJ29" s="100">
        <v>4.9598144973649623</v>
      </c>
      <c r="AK29" s="100">
        <v>1678.4012259083031</v>
      </c>
      <c r="AL29" s="100">
        <v>14</v>
      </c>
      <c r="AM29" s="100">
        <v>4737.5999999999995</v>
      </c>
      <c r="AN29" s="100">
        <v>15</v>
      </c>
      <c r="AO29" s="100">
        <v>5076</v>
      </c>
      <c r="AP29" s="100">
        <v>15.623907362807618</v>
      </c>
      <c r="AQ29" s="100">
        <v>5287.1302515740972</v>
      </c>
      <c r="AR29" s="100">
        <v>1.3399813379098664E-15</v>
      </c>
      <c r="AS29" s="100">
        <v>4.5344968474869875E-13</v>
      </c>
      <c r="AT29" s="100">
        <v>18</v>
      </c>
      <c r="AU29" s="100">
        <v>6091.2</v>
      </c>
      <c r="AV29" s="100">
        <v>18</v>
      </c>
      <c r="AW29" s="100">
        <v>6091.2</v>
      </c>
      <c r="AX29" s="100">
        <v>16</v>
      </c>
      <c r="AY29" s="100">
        <v>5414.4</v>
      </c>
      <c r="AZ29" s="100">
        <v>11</v>
      </c>
      <c r="BA29" s="100">
        <v>3722.3999999999996</v>
      </c>
      <c r="BB29" s="100">
        <v>18</v>
      </c>
      <c r="BC29" s="100">
        <v>6091.2</v>
      </c>
      <c r="BD29" s="100">
        <v>9.1022558556486857</v>
      </c>
      <c r="BE29" s="100">
        <v>3080.2033815515151</v>
      </c>
      <c r="BF29" s="100">
        <v>19</v>
      </c>
      <c r="BG29" s="100">
        <v>6429.5999999999995</v>
      </c>
      <c r="BH29" s="100">
        <v>13.210072473417485</v>
      </c>
      <c r="BI29" s="100">
        <v>4470.2885250044765</v>
      </c>
      <c r="BJ29" s="100">
        <v>15</v>
      </c>
      <c r="BK29" s="100">
        <v>5076</v>
      </c>
      <c r="BL29" s="100">
        <v>23</v>
      </c>
      <c r="BM29" s="100">
        <v>7783.2</v>
      </c>
      <c r="BN29" s="100">
        <v>16</v>
      </c>
      <c r="BO29" s="100">
        <v>5414.4</v>
      </c>
      <c r="BP29" s="100">
        <v>22</v>
      </c>
      <c r="BQ29" s="100">
        <v>7444.7999999999993</v>
      </c>
      <c r="BR29" s="100">
        <v>19</v>
      </c>
      <c r="BS29" s="100">
        <v>6429.5999999999995</v>
      </c>
      <c r="BT29" s="100">
        <v>14</v>
      </c>
      <c r="BU29" s="100">
        <v>4737.5999999999995</v>
      </c>
      <c r="BV29" s="100">
        <v>19.156934555025913</v>
      </c>
      <c r="BW29" s="100">
        <v>6482.7066534207688</v>
      </c>
      <c r="BX29" s="100">
        <v>0</v>
      </c>
      <c r="BY29" s="100">
        <v>0</v>
      </c>
      <c r="BZ29" s="100">
        <v>5.7628113555948985</v>
      </c>
      <c r="CA29" s="100">
        <v>1950.1353627333135</v>
      </c>
      <c r="CB29" s="100">
        <v>19.197824676732001</v>
      </c>
      <c r="CC29" s="100">
        <v>6496.5438706061086</v>
      </c>
      <c r="CD29" s="100">
        <v>11</v>
      </c>
      <c r="CE29" s="100">
        <v>3722.3999999999996</v>
      </c>
      <c r="CF29" s="100">
        <v>16</v>
      </c>
      <c r="CG29" s="100">
        <v>5414.4</v>
      </c>
      <c r="CH29" s="100">
        <v>20</v>
      </c>
      <c r="CI29" s="100">
        <v>6768</v>
      </c>
      <c r="CJ29" s="100">
        <v>15</v>
      </c>
      <c r="CK29" s="100">
        <v>5076</v>
      </c>
      <c r="CL29" s="100">
        <v>23</v>
      </c>
      <c r="CM29" s="100">
        <v>7783.2</v>
      </c>
      <c r="CN29" s="100">
        <v>4.3260802318725853</v>
      </c>
      <c r="CO29" s="100">
        <v>1463.9455504656828</v>
      </c>
      <c r="CP29" s="100">
        <v>17</v>
      </c>
      <c r="CQ29" s="100">
        <v>5752.7999999999993</v>
      </c>
      <c r="CR29" s="100">
        <v>16</v>
      </c>
      <c r="CS29" s="100">
        <v>5414.4</v>
      </c>
      <c r="CT29" s="100">
        <v>22.47042638995293</v>
      </c>
      <c r="CU29" s="100">
        <v>7603.9922903600709</v>
      </c>
    </row>
    <row r="30" spans="2:99">
      <c r="C30" s="99" t="s">
        <v>196</v>
      </c>
      <c r="D30" s="100">
        <v>16.766010765826927</v>
      </c>
      <c r="E30" s="100">
        <v>2333.828698603108</v>
      </c>
      <c r="F30" s="100">
        <v>4.2830481327516994</v>
      </c>
      <c r="G30" s="100">
        <v>596.20030007903654</v>
      </c>
      <c r="H30" s="100">
        <v>16</v>
      </c>
      <c r="I30" s="100">
        <v>2227.1999999999998</v>
      </c>
      <c r="J30" s="100">
        <v>11</v>
      </c>
      <c r="K30" s="100">
        <v>1531.1999999999998</v>
      </c>
      <c r="L30" s="100">
        <v>16</v>
      </c>
      <c r="M30" s="100">
        <v>2227.1999999999998</v>
      </c>
      <c r="N30" s="100">
        <v>19</v>
      </c>
      <c r="O30" s="100">
        <v>2644.7999999999997</v>
      </c>
      <c r="P30" s="100">
        <v>19</v>
      </c>
      <c r="Q30" s="100">
        <v>2644.7999999999997</v>
      </c>
      <c r="R30" s="100">
        <v>15</v>
      </c>
      <c r="S30" s="100">
        <v>2088</v>
      </c>
      <c r="T30" s="100">
        <v>18</v>
      </c>
      <c r="U30" s="100">
        <v>2505.6</v>
      </c>
      <c r="V30" s="100">
        <v>15</v>
      </c>
      <c r="W30" s="100">
        <v>2088</v>
      </c>
      <c r="X30" s="100">
        <v>6.8232076662414274</v>
      </c>
      <c r="Y30" s="100">
        <v>949.79050714080665</v>
      </c>
      <c r="Z30" s="100">
        <v>20</v>
      </c>
      <c r="AA30" s="100">
        <v>2784</v>
      </c>
      <c r="AB30" s="100">
        <v>21</v>
      </c>
      <c r="AC30" s="100">
        <v>2923.2</v>
      </c>
      <c r="AD30" s="100">
        <v>11.513653480509333</v>
      </c>
      <c r="AE30" s="100">
        <v>1602.7005644868991</v>
      </c>
      <c r="AF30" s="100">
        <v>8.3744271073144496</v>
      </c>
      <c r="AG30" s="100">
        <v>1165.7202533381712</v>
      </c>
      <c r="AH30" s="100">
        <v>18</v>
      </c>
      <c r="AI30" s="100">
        <v>2505.6</v>
      </c>
      <c r="AJ30" s="100">
        <v>4.5782903052599639</v>
      </c>
      <c r="AK30" s="100">
        <v>637.2980104921869</v>
      </c>
      <c r="AL30" s="100">
        <v>12</v>
      </c>
      <c r="AM30" s="100">
        <v>1670.3999999999999</v>
      </c>
      <c r="AN30" s="100">
        <v>15</v>
      </c>
      <c r="AO30" s="100">
        <v>2088</v>
      </c>
      <c r="AP30" s="100">
        <v>15.623907362807618</v>
      </c>
      <c r="AQ30" s="100">
        <v>2174.8479049028201</v>
      </c>
      <c r="AR30" s="100">
        <v>1.5515573386324769E-15</v>
      </c>
      <c r="AS30" s="100">
        <v>2.1597678153764076E-13</v>
      </c>
      <c r="AT30" s="100">
        <v>19</v>
      </c>
      <c r="AU30" s="100">
        <v>2644.7999999999997</v>
      </c>
      <c r="AV30" s="100">
        <v>19</v>
      </c>
      <c r="AW30" s="100">
        <v>2644.7999999999997</v>
      </c>
      <c r="AX30" s="100">
        <v>16</v>
      </c>
      <c r="AY30" s="100">
        <v>2227.1999999999998</v>
      </c>
      <c r="AZ30" s="100">
        <v>12</v>
      </c>
      <c r="BA30" s="100">
        <v>1670.3999999999999</v>
      </c>
      <c r="BB30" s="100">
        <v>18</v>
      </c>
      <c r="BC30" s="100">
        <v>2505.6</v>
      </c>
      <c r="BD30" s="100">
        <v>10.012481441213556</v>
      </c>
      <c r="BE30" s="100">
        <v>1393.7374166169268</v>
      </c>
      <c r="BF30" s="100">
        <v>20</v>
      </c>
      <c r="BG30" s="100">
        <v>2784</v>
      </c>
      <c r="BH30" s="100">
        <v>14.090743971645317</v>
      </c>
      <c r="BI30" s="100">
        <v>1961.431560853028</v>
      </c>
      <c r="BJ30" s="100">
        <v>14</v>
      </c>
      <c r="BK30" s="100">
        <v>1948.7999999999997</v>
      </c>
      <c r="BL30" s="100">
        <v>20</v>
      </c>
      <c r="BM30" s="100">
        <v>2784</v>
      </c>
      <c r="BN30" s="100">
        <v>19</v>
      </c>
      <c r="BO30" s="100">
        <v>2644.7999999999997</v>
      </c>
      <c r="BP30" s="100">
        <v>20</v>
      </c>
      <c r="BQ30" s="100">
        <v>2784</v>
      </c>
      <c r="BR30" s="100">
        <v>18</v>
      </c>
      <c r="BS30" s="100">
        <v>2505.6</v>
      </c>
      <c r="BT30" s="100">
        <v>15</v>
      </c>
      <c r="BU30" s="100">
        <v>2088</v>
      </c>
      <c r="BV30" s="100">
        <v>22.0304747382798</v>
      </c>
      <c r="BW30" s="100">
        <v>3066.6420835685481</v>
      </c>
      <c r="BX30" s="100">
        <v>0</v>
      </c>
      <c r="BY30" s="100">
        <v>0</v>
      </c>
      <c r="BZ30" s="100">
        <v>5.7628113555948985</v>
      </c>
      <c r="CA30" s="100">
        <v>802.18334069880984</v>
      </c>
      <c r="CB30" s="100">
        <v>17.45256788793818</v>
      </c>
      <c r="CC30" s="100">
        <v>2429.3974500009945</v>
      </c>
      <c r="CD30" s="100">
        <v>13</v>
      </c>
      <c r="CE30" s="100">
        <v>1809.6</v>
      </c>
      <c r="CF30" s="100">
        <v>14</v>
      </c>
      <c r="CG30" s="100">
        <v>1948.7999999999997</v>
      </c>
      <c r="CH30" s="100">
        <v>19</v>
      </c>
      <c r="CI30" s="100">
        <v>2644.7999999999997</v>
      </c>
      <c r="CJ30" s="100">
        <v>17</v>
      </c>
      <c r="CK30" s="100">
        <v>2366.3999999999996</v>
      </c>
      <c r="CL30" s="100">
        <v>21</v>
      </c>
      <c r="CM30" s="100">
        <v>2923.2</v>
      </c>
      <c r="CN30" s="100">
        <v>4.7022611216006363</v>
      </c>
      <c r="CO30" s="100">
        <v>654.55474812680848</v>
      </c>
      <c r="CP30" s="100">
        <v>21</v>
      </c>
      <c r="CQ30" s="100">
        <v>2923.2</v>
      </c>
      <c r="CR30" s="100">
        <v>16</v>
      </c>
      <c r="CS30" s="100">
        <v>2227.1999999999998</v>
      </c>
      <c r="CT30" s="100">
        <v>23.406694156200974</v>
      </c>
      <c r="CU30" s="100">
        <v>3258.2118265431754</v>
      </c>
    </row>
    <row r="31" spans="2:99">
      <c r="C31" s="99" t="s">
        <v>197</v>
      </c>
      <c r="D31" s="100">
        <v>17.697455808372869</v>
      </c>
      <c r="E31" s="100">
        <v>6031.2929394934736</v>
      </c>
      <c r="F31" s="100">
        <v>4.0311041249427753</v>
      </c>
      <c r="G31" s="100">
        <v>1373.8002857804979</v>
      </c>
      <c r="H31" s="100">
        <v>15</v>
      </c>
      <c r="I31" s="100">
        <v>5112</v>
      </c>
      <c r="J31" s="100">
        <v>12</v>
      </c>
      <c r="K31" s="100">
        <v>4089.6000000000004</v>
      </c>
      <c r="L31" s="100">
        <v>15</v>
      </c>
      <c r="M31" s="100">
        <v>5112</v>
      </c>
      <c r="N31" s="100">
        <v>17</v>
      </c>
      <c r="O31" s="100">
        <v>5793.6</v>
      </c>
      <c r="P31" s="100">
        <v>20</v>
      </c>
      <c r="Q31" s="100">
        <v>6816</v>
      </c>
      <c r="R31" s="100">
        <v>14</v>
      </c>
      <c r="S31" s="100">
        <v>4771.2</v>
      </c>
      <c r="T31" s="100">
        <v>17</v>
      </c>
      <c r="U31" s="100">
        <v>5793.6</v>
      </c>
      <c r="V31" s="100">
        <v>15</v>
      </c>
      <c r="W31" s="100">
        <v>5112</v>
      </c>
      <c r="X31" s="100">
        <v>6.3683271551586653</v>
      </c>
      <c r="Y31" s="100">
        <v>2170.3258944780732</v>
      </c>
      <c r="Z31" s="100">
        <v>21</v>
      </c>
      <c r="AA31" s="100">
        <v>7156.8</v>
      </c>
      <c r="AB31" s="100">
        <v>19</v>
      </c>
      <c r="AC31" s="100">
        <v>6475.2</v>
      </c>
      <c r="AD31" s="100">
        <v>11.513653480509333</v>
      </c>
      <c r="AE31" s="100">
        <v>3923.8531061575809</v>
      </c>
      <c r="AF31" s="100">
        <v>9.0722960329239868</v>
      </c>
      <c r="AG31" s="100">
        <v>3091.8384880204949</v>
      </c>
      <c r="AH31" s="100">
        <v>18</v>
      </c>
      <c r="AI31" s="100">
        <v>6134.4000000000005</v>
      </c>
      <c r="AJ31" s="100">
        <v>4.9598144973649623</v>
      </c>
      <c r="AK31" s="100">
        <v>1690.3047807019791</v>
      </c>
      <c r="AL31" s="100">
        <v>14</v>
      </c>
      <c r="AM31" s="100">
        <v>4771.2</v>
      </c>
      <c r="AN31" s="100">
        <v>15</v>
      </c>
      <c r="AO31" s="100">
        <v>5112</v>
      </c>
      <c r="AP31" s="100">
        <v>14.913729755407271</v>
      </c>
      <c r="AQ31" s="100">
        <v>5082.5991006427985</v>
      </c>
      <c r="AR31" s="100">
        <v>1.5515573386324769E-15</v>
      </c>
      <c r="AS31" s="100">
        <v>5.2877074100594818E-13</v>
      </c>
      <c r="AT31" s="100">
        <v>17</v>
      </c>
      <c r="AU31" s="100">
        <v>5793.6</v>
      </c>
      <c r="AV31" s="100">
        <v>18</v>
      </c>
      <c r="AW31" s="100">
        <v>6134.4000000000005</v>
      </c>
      <c r="AX31" s="100">
        <v>18</v>
      </c>
      <c r="AY31" s="100">
        <v>6134.4000000000005</v>
      </c>
      <c r="AZ31" s="100">
        <v>11</v>
      </c>
      <c r="BA31" s="100">
        <v>3748.8</v>
      </c>
      <c r="BB31" s="100">
        <v>19</v>
      </c>
      <c r="BC31" s="100">
        <v>6475.2</v>
      </c>
      <c r="BD31" s="100">
        <v>10.922707026778426</v>
      </c>
      <c r="BE31" s="100">
        <v>3722.4585547260876</v>
      </c>
      <c r="BF31" s="100">
        <v>17</v>
      </c>
      <c r="BG31" s="100">
        <v>5793.6</v>
      </c>
      <c r="BH31" s="100">
        <v>12.329400975189653</v>
      </c>
      <c r="BI31" s="100">
        <v>4201.8598523446335</v>
      </c>
      <c r="BJ31" s="100">
        <v>15</v>
      </c>
      <c r="BK31" s="100">
        <v>5112</v>
      </c>
      <c r="BL31" s="100">
        <v>23</v>
      </c>
      <c r="BM31" s="100">
        <v>7838.4000000000005</v>
      </c>
      <c r="BN31" s="100">
        <v>16</v>
      </c>
      <c r="BO31" s="100">
        <v>5452.8</v>
      </c>
      <c r="BP31" s="100">
        <v>22</v>
      </c>
      <c r="BQ31" s="100">
        <v>7497.6</v>
      </c>
      <c r="BR31" s="100">
        <v>19</v>
      </c>
      <c r="BS31" s="100">
        <v>6475.2</v>
      </c>
      <c r="BT31" s="100">
        <v>13</v>
      </c>
      <c r="BU31" s="100">
        <v>4430.4000000000005</v>
      </c>
      <c r="BV31" s="100">
        <v>21.072628010528504</v>
      </c>
      <c r="BW31" s="100">
        <v>7181.5516259881142</v>
      </c>
      <c r="BX31" s="100">
        <v>0</v>
      </c>
      <c r="BY31" s="100">
        <v>0</v>
      </c>
      <c r="BZ31" s="100">
        <v>5.7628113555948985</v>
      </c>
      <c r="CA31" s="100">
        <v>1963.9661099867415</v>
      </c>
      <c r="CB31" s="100">
        <v>18.325196282335092</v>
      </c>
      <c r="CC31" s="100">
        <v>6245.2268930197997</v>
      </c>
      <c r="CD31" s="100">
        <v>13</v>
      </c>
      <c r="CE31" s="100">
        <v>4430.4000000000005</v>
      </c>
      <c r="CF31" s="100">
        <v>14</v>
      </c>
      <c r="CG31" s="100">
        <v>4771.2</v>
      </c>
      <c r="CH31" s="100">
        <v>21</v>
      </c>
      <c r="CI31" s="100">
        <v>7156.8</v>
      </c>
      <c r="CJ31" s="100">
        <v>15</v>
      </c>
      <c r="CK31" s="100">
        <v>5112</v>
      </c>
      <c r="CL31" s="100">
        <v>22</v>
      </c>
      <c r="CM31" s="100">
        <v>7497.6</v>
      </c>
      <c r="CN31" s="100">
        <v>4.5141706767366108</v>
      </c>
      <c r="CO31" s="100">
        <v>1538.429366631837</v>
      </c>
      <c r="CP31" s="100">
        <v>19</v>
      </c>
      <c r="CQ31" s="100">
        <v>6475.2</v>
      </c>
      <c r="CR31" s="100">
        <v>15</v>
      </c>
      <c r="CS31" s="100">
        <v>5112</v>
      </c>
      <c r="CT31" s="100">
        <v>22.47042638995293</v>
      </c>
      <c r="CU31" s="100">
        <v>7657.9213136959588</v>
      </c>
    </row>
    <row r="32" spans="2:99">
      <c r="C32" s="99" t="s">
        <v>198</v>
      </c>
      <c r="D32" s="100">
        <v>16.766010765826927</v>
      </c>
      <c r="E32" s="100">
        <v>14083.449043294619</v>
      </c>
      <c r="F32" s="100">
        <v>4.2830481327516994</v>
      </c>
      <c r="G32" s="100">
        <v>3597.7604315114277</v>
      </c>
      <c r="H32" s="100">
        <v>14</v>
      </c>
      <c r="I32" s="100">
        <v>11760</v>
      </c>
      <c r="J32" s="100">
        <v>11</v>
      </c>
      <c r="K32" s="100">
        <v>9240</v>
      </c>
      <c r="L32" s="100">
        <v>14</v>
      </c>
      <c r="M32" s="100">
        <v>11760</v>
      </c>
      <c r="N32" s="100">
        <v>17</v>
      </c>
      <c r="O32" s="100">
        <v>14280</v>
      </c>
      <c r="P32" s="100">
        <v>19</v>
      </c>
      <c r="Q32" s="100">
        <v>15960</v>
      </c>
      <c r="R32" s="100">
        <v>15</v>
      </c>
      <c r="S32" s="100">
        <v>12600</v>
      </c>
      <c r="T32" s="100">
        <v>20</v>
      </c>
      <c r="U32" s="100">
        <v>16800</v>
      </c>
      <c r="V32" s="100">
        <v>13</v>
      </c>
      <c r="W32" s="100">
        <v>10920</v>
      </c>
      <c r="X32" s="100">
        <v>6.3683271551586653</v>
      </c>
      <c r="Y32" s="100">
        <v>5349.3948103332787</v>
      </c>
      <c r="Z32" s="100">
        <v>18</v>
      </c>
      <c r="AA32" s="100">
        <v>15120</v>
      </c>
      <c r="AB32" s="100">
        <v>20</v>
      </c>
      <c r="AC32" s="100">
        <v>16800</v>
      </c>
      <c r="AD32" s="100">
        <v>9.7423221758155893</v>
      </c>
      <c r="AE32" s="100">
        <v>8183.5506276850947</v>
      </c>
      <c r="AF32" s="100">
        <v>9.770164958533524</v>
      </c>
      <c r="AG32" s="100">
        <v>8206.9385651681605</v>
      </c>
      <c r="AH32" s="100">
        <v>18</v>
      </c>
      <c r="AI32" s="100">
        <v>15120</v>
      </c>
      <c r="AJ32" s="100">
        <v>4.1967661131549674</v>
      </c>
      <c r="AK32" s="100">
        <v>3525.2835350501728</v>
      </c>
      <c r="AL32" s="100">
        <v>13</v>
      </c>
      <c r="AM32" s="100">
        <v>10920</v>
      </c>
      <c r="AN32" s="100">
        <v>16</v>
      </c>
      <c r="AO32" s="100">
        <v>13440</v>
      </c>
      <c r="AP32" s="100">
        <v>12.783196933206234</v>
      </c>
      <c r="AQ32" s="100">
        <v>10737.885423893236</v>
      </c>
      <c r="AR32" s="100">
        <v>1.5515573386324769E-15</v>
      </c>
      <c r="AS32" s="100">
        <v>1.3033081644512807E-12</v>
      </c>
      <c r="AT32" s="100">
        <v>18</v>
      </c>
      <c r="AU32" s="100">
        <v>15120</v>
      </c>
      <c r="AV32" s="100">
        <v>21</v>
      </c>
      <c r="AW32" s="100">
        <v>17640</v>
      </c>
      <c r="AX32" s="100">
        <v>16</v>
      </c>
      <c r="AY32" s="100">
        <v>13440</v>
      </c>
      <c r="AZ32" s="100">
        <v>12</v>
      </c>
      <c r="BA32" s="100">
        <v>10080</v>
      </c>
      <c r="BB32" s="100">
        <v>20</v>
      </c>
      <c r="BC32" s="100">
        <v>16800</v>
      </c>
      <c r="BD32" s="100">
        <v>10.012481441213556</v>
      </c>
      <c r="BE32" s="100">
        <v>8410.4844106193868</v>
      </c>
      <c r="BF32" s="100">
        <v>20</v>
      </c>
      <c r="BG32" s="100">
        <v>16800</v>
      </c>
      <c r="BH32" s="100">
        <v>12.329400975189653</v>
      </c>
      <c r="BI32" s="100">
        <v>10356.696819159308</v>
      </c>
      <c r="BJ32" s="100">
        <v>14</v>
      </c>
      <c r="BK32" s="100">
        <v>11760</v>
      </c>
      <c r="BL32" s="100">
        <v>20</v>
      </c>
      <c r="BM32" s="100">
        <v>16800</v>
      </c>
      <c r="BN32" s="100">
        <v>16</v>
      </c>
      <c r="BO32" s="100">
        <v>13440</v>
      </c>
      <c r="BP32" s="100">
        <v>22</v>
      </c>
      <c r="BQ32" s="100">
        <v>18480</v>
      </c>
      <c r="BR32" s="100">
        <v>18</v>
      </c>
      <c r="BS32" s="100">
        <v>15120</v>
      </c>
      <c r="BT32" s="100">
        <v>14</v>
      </c>
      <c r="BU32" s="100">
        <v>11760</v>
      </c>
      <c r="BV32" s="100">
        <v>20.114781282777209</v>
      </c>
      <c r="BW32" s="100">
        <v>16896.416277532855</v>
      </c>
      <c r="BX32" s="100">
        <v>0</v>
      </c>
      <c r="BY32" s="100">
        <v>0</v>
      </c>
      <c r="BZ32" s="100">
        <v>4.9395525905099129</v>
      </c>
      <c r="CA32" s="100">
        <v>4149.2241760283268</v>
      </c>
      <c r="CB32" s="100">
        <v>17.45256788793818</v>
      </c>
      <c r="CC32" s="100">
        <v>14660.157025868071</v>
      </c>
      <c r="CD32" s="100">
        <v>12</v>
      </c>
      <c r="CE32" s="100">
        <v>10080</v>
      </c>
      <c r="CF32" s="100">
        <v>13</v>
      </c>
      <c r="CG32" s="100">
        <v>10920</v>
      </c>
      <c r="CH32" s="100">
        <v>22</v>
      </c>
      <c r="CI32" s="100">
        <v>18480</v>
      </c>
      <c r="CJ32" s="100">
        <v>14</v>
      </c>
      <c r="CK32" s="100">
        <v>11760</v>
      </c>
      <c r="CL32" s="100">
        <v>19</v>
      </c>
      <c r="CM32" s="100">
        <v>15960</v>
      </c>
      <c r="CN32" s="100">
        <v>3.9498993421445348</v>
      </c>
      <c r="CO32" s="100">
        <v>3317.915447401409</v>
      </c>
      <c r="CP32" s="100">
        <v>17</v>
      </c>
      <c r="CQ32" s="100">
        <v>14280</v>
      </c>
      <c r="CR32" s="100">
        <v>16</v>
      </c>
      <c r="CS32" s="100">
        <v>13440</v>
      </c>
      <c r="CT32" s="100">
        <v>21.534158623704894</v>
      </c>
      <c r="CU32" s="100">
        <v>18088.693243912112</v>
      </c>
    </row>
    <row r="33" spans="2:99">
      <c r="C33" s="99" t="s">
        <v>199</v>
      </c>
      <c r="D33" s="100">
        <v>15.834565723280987</v>
      </c>
      <c r="E33" s="100">
        <v>7505.5841528351875</v>
      </c>
      <c r="F33" s="100">
        <v>4.0311041249427753</v>
      </c>
      <c r="G33" s="100">
        <v>1910.7433552228754</v>
      </c>
      <c r="H33" s="100">
        <v>14</v>
      </c>
      <c r="I33" s="100">
        <v>6636</v>
      </c>
      <c r="J33" s="100">
        <v>11</v>
      </c>
      <c r="K33" s="100">
        <v>5214</v>
      </c>
      <c r="L33" s="100">
        <v>15</v>
      </c>
      <c r="M33" s="100">
        <v>7110</v>
      </c>
      <c r="N33" s="100">
        <v>17</v>
      </c>
      <c r="O33" s="100">
        <v>8058</v>
      </c>
      <c r="P33" s="100">
        <v>18</v>
      </c>
      <c r="Q33" s="100">
        <v>8532</v>
      </c>
      <c r="R33" s="100">
        <v>14</v>
      </c>
      <c r="S33" s="100">
        <v>6636</v>
      </c>
      <c r="T33" s="100">
        <v>17</v>
      </c>
      <c r="U33" s="100">
        <v>8058</v>
      </c>
      <c r="V33" s="100">
        <v>14</v>
      </c>
      <c r="W33" s="100">
        <v>6636</v>
      </c>
      <c r="X33" s="100">
        <v>5.9134466440759041</v>
      </c>
      <c r="Y33" s="100">
        <v>2802.9737092919786</v>
      </c>
      <c r="Z33" s="100">
        <v>18</v>
      </c>
      <c r="AA33" s="100">
        <v>8532</v>
      </c>
      <c r="AB33" s="100">
        <v>20</v>
      </c>
      <c r="AC33" s="100">
        <v>9480</v>
      </c>
      <c r="AD33" s="100">
        <v>10.62798782816246</v>
      </c>
      <c r="AE33" s="100">
        <v>5037.6662305490063</v>
      </c>
      <c r="AF33" s="100">
        <v>9.770164958533524</v>
      </c>
      <c r="AG33" s="100">
        <v>4631.0581903448901</v>
      </c>
      <c r="AH33" s="100">
        <v>20</v>
      </c>
      <c r="AI33" s="100">
        <v>9480</v>
      </c>
      <c r="AJ33" s="100">
        <v>4.1967661131549674</v>
      </c>
      <c r="AK33" s="100">
        <v>1989.2671376354544</v>
      </c>
      <c r="AL33" s="100">
        <v>14</v>
      </c>
      <c r="AM33" s="100">
        <v>6636</v>
      </c>
      <c r="AN33" s="100">
        <v>16</v>
      </c>
      <c r="AO33" s="100">
        <v>7584</v>
      </c>
      <c r="AP33" s="100">
        <v>14.913729755407271</v>
      </c>
      <c r="AQ33" s="100">
        <v>7069.1079040630466</v>
      </c>
      <c r="AR33" s="100">
        <v>1.4810320050582733E-15</v>
      </c>
      <c r="AS33" s="100">
        <v>7.0200917039762158E-13</v>
      </c>
      <c r="AT33" s="100">
        <v>16</v>
      </c>
      <c r="AU33" s="100">
        <v>7584</v>
      </c>
      <c r="AV33" s="100">
        <v>19</v>
      </c>
      <c r="AW33" s="100">
        <v>9006</v>
      </c>
      <c r="AX33" s="100">
        <v>17</v>
      </c>
      <c r="AY33" s="100">
        <v>8058</v>
      </c>
      <c r="AZ33" s="100">
        <v>12</v>
      </c>
      <c r="BA33" s="100">
        <v>5688</v>
      </c>
      <c r="BB33" s="100">
        <v>18</v>
      </c>
      <c r="BC33" s="100">
        <v>8532</v>
      </c>
      <c r="BD33" s="100">
        <v>10.012481441213556</v>
      </c>
      <c r="BE33" s="100">
        <v>4745.9162031352253</v>
      </c>
      <c r="BF33" s="100">
        <v>18</v>
      </c>
      <c r="BG33" s="100">
        <v>8532</v>
      </c>
      <c r="BH33" s="100">
        <v>12.329400975189653</v>
      </c>
      <c r="BI33" s="100">
        <v>5844.1360622398952</v>
      </c>
      <c r="BJ33" s="100">
        <v>15</v>
      </c>
      <c r="BK33" s="100">
        <v>7110</v>
      </c>
      <c r="BL33" s="100">
        <v>22</v>
      </c>
      <c r="BM33" s="100">
        <v>10428</v>
      </c>
      <c r="BN33" s="100">
        <v>18</v>
      </c>
      <c r="BO33" s="100">
        <v>8532</v>
      </c>
      <c r="BP33" s="100">
        <v>22</v>
      </c>
      <c r="BQ33" s="100">
        <v>10428</v>
      </c>
      <c r="BR33" s="100">
        <v>17</v>
      </c>
      <c r="BS33" s="100">
        <v>8058</v>
      </c>
      <c r="BT33" s="100">
        <v>13</v>
      </c>
      <c r="BU33" s="100">
        <v>6162</v>
      </c>
      <c r="BV33" s="100">
        <v>20.114781282777209</v>
      </c>
      <c r="BW33" s="100">
        <v>9534.4063280363971</v>
      </c>
      <c r="BX33" s="100">
        <v>0</v>
      </c>
      <c r="BY33" s="100">
        <v>0</v>
      </c>
      <c r="BZ33" s="100">
        <v>5.2139721788715745</v>
      </c>
      <c r="CA33" s="100">
        <v>2471.4228127851261</v>
      </c>
      <c r="CB33" s="100">
        <v>16.579939493541275</v>
      </c>
      <c r="CC33" s="100">
        <v>7858.8913199385643</v>
      </c>
      <c r="CD33" s="100">
        <v>12</v>
      </c>
      <c r="CE33" s="100">
        <v>5688</v>
      </c>
      <c r="CF33" s="100">
        <v>15</v>
      </c>
      <c r="CG33" s="100">
        <v>7110</v>
      </c>
      <c r="CH33" s="100">
        <v>20</v>
      </c>
      <c r="CI33" s="100">
        <v>9480</v>
      </c>
      <c r="CJ33" s="100">
        <v>15</v>
      </c>
      <c r="CK33" s="100">
        <v>7110</v>
      </c>
      <c r="CL33" s="100">
        <v>21</v>
      </c>
      <c r="CM33" s="100">
        <v>9954</v>
      </c>
      <c r="CN33" s="100">
        <v>4.3260802318725853</v>
      </c>
      <c r="CO33" s="100">
        <v>2050.5620299076054</v>
      </c>
      <c r="CP33" s="100">
        <v>17</v>
      </c>
      <c r="CQ33" s="100">
        <v>8058</v>
      </c>
      <c r="CR33" s="100">
        <v>16</v>
      </c>
      <c r="CS33" s="100">
        <v>7584</v>
      </c>
      <c r="CT33" s="100">
        <v>20.597890857456857</v>
      </c>
      <c r="CU33" s="100">
        <v>9763.4002664345498</v>
      </c>
    </row>
    <row r="34" spans="2:99">
      <c r="C34" s="99" t="s">
        <v>200</v>
      </c>
      <c r="D34" s="100">
        <v>17.697455808372869</v>
      </c>
      <c r="E34" s="100">
        <v>9705.2847653116805</v>
      </c>
      <c r="F34" s="100">
        <v>4.0311041249427753</v>
      </c>
      <c r="G34" s="100">
        <v>2210.6575021186177</v>
      </c>
      <c r="H34" s="100">
        <v>14</v>
      </c>
      <c r="I34" s="100">
        <v>7677.5999999999995</v>
      </c>
      <c r="J34" s="100">
        <v>11</v>
      </c>
      <c r="K34" s="100">
        <v>6032.4</v>
      </c>
      <c r="L34" s="100">
        <v>17</v>
      </c>
      <c r="M34" s="100">
        <v>9322.7999999999993</v>
      </c>
      <c r="N34" s="100">
        <v>19</v>
      </c>
      <c r="O34" s="100">
        <v>10419.6</v>
      </c>
      <c r="P34" s="100">
        <v>18</v>
      </c>
      <c r="Q34" s="100">
        <v>9871.1999999999989</v>
      </c>
      <c r="R34" s="100">
        <v>15</v>
      </c>
      <c r="S34" s="100">
        <v>8226</v>
      </c>
      <c r="T34" s="100">
        <v>18</v>
      </c>
      <c r="U34" s="100">
        <v>9871.1999999999989</v>
      </c>
      <c r="V34" s="100">
        <v>13</v>
      </c>
      <c r="W34" s="100">
        <v>7129.2</v>
      </c>
      <c r="X34" s="100">
        <v>5.9134466440759041</v>
      </c>
      <c r="Y34" s="100">
        <v>3242.9341396112259</v>
      </c>
      <c r="Z34" s="100">
        <v>19</v>
      </c>
      <c r="AA34" s="100">
        <v>10419.6</v>
      </c>
      <c r="AB34" s="100">
        <v>21</v>
      </c>
      <c r="AC34" s="100">
        <v>11516.4</v>
      </c>
      <c r="AD34" s="100">
        <v>12.399319132856204</v>
      </c>
      <c r="AE34" s="100">
        <v>6799.7866124583425</v>
      </c>
      <c r="AF34" s="100">
        <v>9.770164958533524</v>
      </c>
      <c r="AG34" s="100">
        <v>5357.9584632597844</v>
      </c>
      <c r="AH34" s="100">
        <v>19</v>
      </c>
      <c r="AI34" s="100">
        <v>10419.6</v>
      </c>
      <c r="AJ34" s="100">
        <v>4.9598144973649623</v>
      </c>
      <c r="AK34" s="100">
        <v>2719.9622703549453</v>
      </c>
      <c r="AL34" s="100">
        <v>14</v>
      </c>
      <c r="AM34" s="100">
        <v>7677.5999999999995</v>
      </c>
      <c r="AN34" s="100">
        <v>17</v>
      </c>
      <c r="AO34" s="100">
        <v>9322.7999999999993</v>
      </c>
      <c r="AP34" s="100">
        <v>13.493374540606579</v>
      </c>
      <c r="AQ34" s="100">
        <v>7399.7665980686479</v>
      </c>
      <c r="AR34" s="100">
        <v>1.3399813379098664E-15</v>
      </c>
      <c r="AS34" s="100">
        <v>7.3484576570977069E-13</v>
      </c>
      <c r="AT34" s="100">
        <v>16</v>
      </c>
      <c r="AU34" s="100">
        <v>8774.4</v>
      </c>
      <c r="AV34" s="100">
        <v>20</v>
      </c>
      <c r="AW34" s="100">
        <v>10968</v>
      </c>
      <c r="AX34" s="100">
        <v>18</v>
      </c>
      <c r="AY34" s="100">
        <v>9871.1999999999989</v>
      </c>
      <c r="AZ34" s="100">
        <v>11</v>
      </c>
      <c r="BA34" s="100">
        <v>6032.4</v>
      </c>
      <c r="BB34" s="100">
        <v>20</v>
      </c>
      <c r="BC34" s="100">
        <v>10968</v>
      </c>
      <c r="BD34" s="100">
        <v>9.1022558556486857</v>
      </c>
      <c r="BE34" s="100">
        <v>4991.6771112377392</v>
      </c>
      <c r="BF34" s="100">
        <v>19</v>
      </c>
      <c r="BG34" s="100">
        <v>10419.6</v>
      </c>
      <c r="BH34" s="100">
        <v>13.210072473417485</v>
      </c>
      <c r="BI34" s="100">
        <v>7244.4037444221485</v>
      </c>
      <c r="BJ34" s="100">
        <v>14</v>
      </c>
      <c r="BK34" s="100">
        <v>7677.5999999999995</v>
      </c>
      <c r="BL34" s="100">
        <v>21</v>
      </c>
      <c r="BM34" s="100">
        <v>11516.4</v>
      </c>
      <c r="BN34" s="100">
        <v>16</v>
      </c>
      <c r="BO34" s="100">
        <v>8774.4</v>
      </c>
      <c r="BP34" s="100">
        <v>23</v>
      </c>
      <c r="BQ34" s="100">
        <v>12613.199999999999</v>
      </c>
      <c r="BR34" s="100">
        <v>18</v>
      </c>
      <c r="BS34" s="100">
        <v>9871.1999999999989</v>
      </c>
      <c r="BT34" s="100">
        <v>13</v>
      </c>
      <c r="BU34" s="100">
        <v>7129.2</v>
      </c>
      <c r="BV34" s="100">
        <v>20.114781282777209</v>
      </c>
      <c r="BW34" s="100">
        <v>11030.94605547502</v>
      </c>
      <c r="BX34" s="100">
        <v>0</v>
      </c>
      <c r="BY34" s="100">
        <v>0</v>
      </c>
      <c r="BZ34" s="100">
        <v>5.2139721788715745</v>
      </c>
      <c r="CA34" s="100">
        <v>2859.3423428931715</v>
      </c>
      <c r="CB34" s="100">
        <v>16.579939493541275</v>
      </c>
      <c r="CC34" s="100">
        <v>9092.4388182580351</v>
      </c>
      <c r="CD34" s="100">
        <v>12</v>
      </c>
      <c r="CE34" s="100">
        <v>6580.7999999999993</v>
      </c>
      <c r="CF34" s="100">
        <v>14</v>
      </c>
      <c r="CG34" s="100">
        <v>7677.5999999999995</v>
      </c>
      <c r="CH34" s="100">
        <v>19</v>
      </c>
      <c r="CI34" s="100">
        <v>10419.6</v>
      </c>
      <c r="CJ34" s="100">
        <v>17</v>
      </c>
      <c r="CK34" s="100">
        <v>9322.7999999999993</v>
      </c>
      <c r="CL34" s="100">
        <v>21</v>
      </c>
      <c r="CM34" s="100">
        <v>11516.4</v>
      </c>
      <c r="CN34" s="100">
        <v>4.5141706767366108</v>
      </c>
      <c r="CO34" s="100">
        <v>2475.571199122357</v>
      </c>
      <c r="CP34" s="100">
        <v>18</v>
      </c>
      <c r="CQ34" s="100">
        <v>9871.1999999999989</v>
      </c>
      <c r="CR34" s="100">
        <v>16</v>
      </c>
      <c r="CS34" s="100">
        <v>8774.4</v>
      </c>
      <c r="CT34" s="100">
        <v>24.342961922449007</v>
      </c>
      <c r="CU34" s="100">
        <v>13349.680318271036</v>
      </c>
    </row>
    <row r="35" spans="2:99">
      <c r="C35" s="99" t="s">
        <v>201</v>
      </c>
      <c r="D35" s="100">
        <v>18.628900850918807</v>
      </c>
      <c r="E35" s="100">
        <v>9366.6113478419738</v>
      </c>
      <c r="F35" s="100">
        <v>4.0311041249427753</v>
      </c>
      <c r="G35" s="100">
        <v>2026.8391540212269</v>
      </c>
      <c r="H35" s="100">
        <v>16</v>
      </c>
      <c r="I35" s="100">
        <v>8044.7999999999984</v>
      </c>
      <c r="J35" s="100">
        <v>11</v>
      </c>
      <c r="K35" s="100">
        <v>5530.7999999999993</v>
      </c>
      <c r="L35" s="100">
        <v>16</v>
      </c>
      <c r="M35" s="100">
        <v>8044.7999999999984</v>
      </c>
      <c r="N35" s="100">
        <v>20</v>
      </c>
      <c r="O35" s="100">
        <v>10055.999999999998</v>
      </c>
      <c r="P35" s="100">
        <v>19</v>
      </c>
      <c r="Q35" s="100">
        <v>9553.1999999999989</v>
      </c>
      <c r="R35" s="100">
        <v>13</v>
      </c>
      <c r="S35" s="100">
        <v>6536.3999999999987</v>
      </c>
      <c r="T35" s="100">
        <v>20</v>
      </c>
      <c r="U35" s="100">
        <v>10055.999999999998</v>
      </c>
      <c r="V35" s="100">
        <v>14</v>
      </c>
      <c r="W35" s="100">
        <v>7039.1999999999989</v>
      </c>
      <c r="X35" s="100">
        <v>5.9134466440759041</v>
      </c>
      <c r="Y35" s="100">
        <v>2973.2809726413639</v>
      </c>
      <c r="Z35" s="100">
        <v>21</v>
      </c>
      <c r="AA35" s="100">
        <v>10558.799999999997</v>
      </c>
      <c r="AB35" s="100">
        <v>18</v>
      </c>
      <c r="AC35" s="100">
        <v>9050.3999999999978</v>
      </c>
      <c r="AD35" s="100">
        <v>11.513653480509333</v>
      </c>
      <c r="AE35" s="100">
        <v>5789.0649700000913</v>
      </c>
      <c r="AF35" s="100">
        <v>9.770164958533524</v>
      </c>
      <c r="AG35" s="100">
        <v>4912.4389411506545</v>
      </c>
      <c r="AH35" s="100">
        <v>18</v>
      </c>
      <c r="AI35" s="100">
        <v>9050.3999999999978</v>
      </c>
      <c r="AJ35" s="100">
        <v>4.5782903052599639</v>
      </c>
      <c r="AK35" s="100">
        <v>2301.9643654847096</v>
      </c>
      <c r="AL35" s="100">
        <v>14</v>
      </c>
      <c r="AM35" s="100">
        <v>7039.1999999999989</v>
      </c>
      <c r="AN35" s="100">
        <v>15</v>
      </c>
      <c r="AO35" s="100">
        <v>7541.9999999999982</v>
      </c>
      <c r="AP35" s="100">
        <v>13.493374540606579</v>
      </c>
      <c r="AQ35" s="100">
        <v>6784.4687190169871</v>
      </c>
      <c r="AR35" s="100">
        <v>1.4105066714840699E-15</v>
      </c>
      <c r="AS35" s="100">
        <v>7.0920275442219027E-13</v>
      </c>
      <c r="AT35" s="100">
        <v>17</v>
      </c>
      <c r="AU35" s="100">
        <v>8547.5999999999985</v>
      </c>
      <c r="AV35" s="100">
        <v>18</v>
      </c>
      <c r="AW35" s="100">
        <v>9050.3999999999978</v>
      </c>
      <c r="AX35" s="100">
        <v>17</v>
      </c>
      <c r="AY35" s="100">
        <v>8547.5999999999985</v>
      </c>
      <c r="AZ35" s="100">
        <v>11</v>
      </c>
      <c r="BA35" s="100">
        <v>5530.7999999999993</v>
      </c>
      <c r="BB35" s="100">
        <v>17</v>
      </c>
      <c r="BC35" s="100">
        <v>8547.5999999999985</v>
      </c>
      <c r="BD35" s="100">
        <v>10.922707026778426</v>
      </c>
      <c r="BE35" s="100">
        <v>5491.9370930641917</v>
      </c>
      <c r="BF35" s="100">
        <v>20</v>
      </c>
      <c r="BG35" s="100">
        <v>10055.999999999998</v>
      </c>
      <c r="BH35" s="100">
        <v>14.090743971645317</v>
      </c>
      <c r="BI35" s="100">
        <v>7084.8260689432636</v>
      </c>
      <c r="BJ35" s="100">
        <v>15</v>
      </c>
      <c r="BK35" s="100">
        <v>7541.9999999999982</v>
      </c>
      <c r="BL35" s="100">
        <v>22</v>
      </c>
      <c r="BM35" s="100">
        <v>11061.599999999999</v>
      </c>
      <c r="BN35" s="100">
        <v>18</v>
      </c>
      <c r="BO35" s="100">
        <v>9050.3999999999978</v>
      </c>
      <c r="BP35" s="100">
        <v>22</v>
      </c>
      <c r="BQ35" s="100">
        <v>11061.599999999999</v>
      </c>
      <c r="BR35" s="100">
        <v>16</v>
      </c>
      <c r="BS35" s="100">
        <v>8044.7999999999984</v>
      </c>
      <c r="BT35" s="100">
        <v>12</v>
      </c>
      <c r="BU35" s="100">
        <v>6033.5999999999985</v>
      </c>
      <c r="BV35" s="100">
        <v>22.988321466031092</v>
      </c>
      <c r="BW35" s="100">
        <v>11558.52803312043</v>
      </c>
      <c r="BX35" s="100">
        <v>0</v>
      </c>
      <c r="BY35" s="100">
        <v>0</v>
      </c>
      <c r="BZ35" s="100">
        <v>4.9395525905099129</v>
      </c>
      <c r="CA35" s="100">
        <v>2483.6070425083835</v>
      </c>
      <c r="CB35" s="100">
        <v>19.197824676732001</v>
      </c>
      <c r="CC35" s="100">
        <v>9652.6662474608474</v>
      </c>
      <c r="CD35" s="100">
        <v>13</v>
      </c>
      <c r="CE35" s="100">
        <v>6536.3999999999987</v>
      </c>
      <c r="CF35" s="100">
        <v>16</v>
      </c>
      <c r="CG35" s="100">
        <v>8044.7999999999984</v>
      </c>
      <c r="CH35" s="100">
        <v>22</v>
      </c>
      <c r="CI35" s="100">
        <v>11061.599999999999</v>
      </c>
      <c r="CJ35" s="100">
        <v>15</v>
      </c>
      <c r="CK35" s="100">
        <v>7541.9999999999982</v>
      </c>
      <c r="CL35" s="100">
        <v>22</v>
      </c>
      <c r="CM35" s="100">
        <v>11061.599999999999</v>
      </c>
      <c r="CN35" s="100">
        <v>4.3260802318725853</v>
      </c>
      <c r="CO35" s="100">
        <v>2175.1531405855353</v>
      </c>
      <c r="CP35" s="100">
        <v>20</v>
      </c>
      <c r="CQ35" s="100">
        <v>10055.999999999998</v>
      </c>
      <c r="CR35" s="100">
        <v>16</v>
      </c>
      <c r="CS35" s="100">
        <v>8044.7999999999984</v>
      </c>
      <c r="CT35" s="100">
        <v>20.597890857456857</v>
      </c>
      <c r="CU35" s="100">
        <v>10356.619523129306</v>
      </c>
    </row>
    <row r="36" spans="2:99">
      <c r="C36" s="99" t="s">
        <v>202</v>
      </c>
      <c r="D36" s="100">
        <v>17.697455808372869</v>
      </c>
      <c r="E36" s="100">
        <v>13464.224379010078</v>
      </c>
      <c r="F36" s="100">
        <v>4.0311041249427753</v>
      </c>
      <c r="G36" s="100">
        <v>3066.8640182564632</v>
      </c>
      <c r="H36" s="100">
        <v>15</v>
      </c>
      <c r="I36" s="100">
        <v>11412</v>
      </c>
      <c r="J36" s="100">
        <v>12</v>
      </c>
      <c r="K36" s="100">
        <v>9129.5999999999985</v>
      </c>
      <c r="L36" s="100">
        <v>15</v>
      </c>
      <c r="M36" s="100">
        <v>11412</v>
      </c>
      <c r="N36" s="100">
        <v>19</v>
      </c>
      <c r="O36" s="100">
        <v>14455.199999999999</v>
      </c>
      <c r="P36" s="100">
        <v>18</v>
      </c>
      <c r="Q36" s="100">
        <v>13694.4</v>
      </c>
      <c r="R36" s="100">
        <v>14</v>
      </c>
      <c r="S36" s="100">
        <v>10651.199999999999</v>
      </c>
      <c r="T36" s="100">
        <v>20</v>
      </c>
      <c r="U36" s="100">
        <v>15216</v>
      </c>
      <c r="V36" s="100">
        <v>12</v>
      </c>
      <c r="W36" s="100">
        <v>9129.5999999999985</v>
      </c>
      <c r="X36" s="100">
        <v>6.3683271551586653</v>
      </c>
      <c r="Y36" s="100">
        <v>4845.0232996447121</v>
      </c>
      <c r="Z36" s="100">
        <v>20</v>
      </c>
      <c r="AA36" s="100">
        <v>15216</v>
      </c>
      <c r="AB36" s="100">
        <v>19</v>
      </c>
      <c r="AC36" s="100">
        <v>14455.199999999999</v>
      </c>
      <c r="AD36" s="100">
        <v>11.513653480509333</v>
      </c>
      <c r="AE36" s="100">
        <v>8759.5875679715009</v>
      </c>
      <c r="AF36" s="100">
        <v>8.3744271073144496</v>
      </c>
      <c r="AG36" s="100">
        <v>6371.2641432448327</v>
      </c>
      <c r="AH36" s="100">
        <v>20</v>
      </c>
      <c r="AI36" s="100">
        <v>15216</v>
      </c>
      <c r="AJ36" s="100">
        <v>4.5782903052599639</v>
      </c>
      <c r="AK36" s="100">
        <v>3483.1632642417803</v>
      </c>
      <c r="AL36" s="100">
        <v>13</v>
      </c>
      <c r="AM36" s="100">
        <v>9890.4</v>
      </c>
      <c r="AN36" s="100">
        <v>15</v>
      </c>
      <c r="AO36" s="100">
        <v>11412</v>
      </c>
      <c r="AP36" s="100">
        <v>14.913729755407271</v>
      </c>
      <c r="AQ36" s="100">
        <v>11346.365597913851</v>
      </c>
      <c r="AR36" s="100">
        <v>1.3399813379098664E-15</v>
      </c>
      <c r="AS36" s="100">
        <v>1.0194578018818263E-12</v>
      </c>
      <c r="AT36" s="100">
        <v>18</v>
      </c>
      <c r="AU36" s="100">
        <v>13694.4</v>
      </c>
      <c r="AV36" s="100">
        <v>20</v>
      </c>
      <c r="AW36" s="100">
        <v>15216</v>
      </c>
      <c r="AX36" s="100">
        <v>17</v>
      </c>
      <c r="AY36" s="100">
        <v>12933.599999999999</v>
      </c>
      <c r="AZ36" s="100">
        <v>11</v>
      </c>
      <c r="BA36" s="100">
        <v>8368.7999999999993</v>
      </c>
      <c r="BB36" s="100">
        <v>20</v>
      </c>
      <c r="BC36" s="100">
        <v>15216</v>
      </c>
      <c r="BD36" s="100">
        <v>10.922707026778426</v>
      </c>
      <c r="BE36" s="100">
        <v>8309.9955059730255</v>
      </c>
      <c r="BF36" s="100">
        <v>20</v>
      </c>
      <c r="BG36" s="100">
        <v>15216</v>
      </c>
      <c r="BH36" s="100">
        <v>12.329400975189653</v>
      </c>
      <c r="BI36" s="100">
        <v>9380.2082619242883</v>
      </c>
      <c r="BJ36" s="100">
        <v>15</v>
      </c>
      <c r="BK36" s="100">
        <v>11412</v>
      </c>
      <c r="BL36" s="100">
        <v>21</v>
      </c>
      <c r="BM36" s="100">
        <v>15976.8</v>
      </c>
      <c r="BN36" s="100">
        <v>16</v>
      </c>
      <c r="BO36" s="100">
        <v>12172.8</v>
      </c>
      <c r="BP36" s="100">
        <v>23</v>
      </c>
      <c r="BQ36" s="100">
        <v>17498.399999999998</v>
      </c>
      <c r="BR36" s="100">
        <v>16</v>
      </c>
      <c r="BS36" s="100">
        <v>12172.8</v>
      </c>
      <c r="BT36" s="100">
        <v>12</v>
      </c>
      <c r="BU36" s="100">
        <v>9129.5999999999985</v>
      </c>
      <c r="BV36" s="100">
        <v>22.0304747382798</v>
      </c>
      <c r="BW36" s="100">
        <v>16760.785180883271</v>
      </c>
      <c r="BX36" s="100">
        <v>0</v>
      </c>
      <c r="BY36" s="100">
        <v>0</v>
      </c>
      <c r="BZ36" s="100">
        <v>5.488391767233237</v>
      </c>
      <c r="CA36" s="100">
        <v>4175.5684565110469</v>
      </c>
      <c r="CB36" s="100">
        <v>15.707311099144363</v>
      </c>
      <c r="CC36" s="100">
        <v>11950.12228422903</v>
      </c>
      <c r="CD36" s="100">
        <v>11</v>
      </c>
      <c r="CE36" s="100">
        <v>8368.7999999999993</v>
      </c>
      <c r="CF36" s="100">
        <v>16</v>
      </c>
      <c r="CG36" s="100">
        <v>12172.8</v>
      </c>
      <c r="CH36" s="100">
        <v>21</v>
      </c>
      <c r="CI36" s="100">
        <v>15976.8</v>
      </c>
      <c r="CJ36" s="100">
        <v>16</v>
      </c>
      <c r="CK36" s="100">
        <v>12172.8</v>
      </c>
      <c r="CL36" s="100">
        <v>19</v>
      </c>
      <c r="CM36" s="100">
        <v>14455.199999999999</v>
      </c>
      <c r="CN36" s="100">
        <v>3.7618088972805093</v>
      </c>
      <c r="CO36" s="100">
        <v>2861.9842090510115</v>
      </c>
      <c r="CP36" s="100">
        <v>20</v>
      </c>
      <c r="CQ36" s="100">
        <v>15216</v>
      </c>
      <c r="CR36" s="100">
        <v>16</v>
      </c>
      <c r="CS36" s="100">
        <v>12172.8</v>
      </c>
      <c r="CT36" s="100">
        <v>24.342961922449007</v>
      </c>
      <c r="CU36" s="100">
        <v>18520.125430599204</v>
      </c>
    </row>
    <row r="37" spans="2:99">
      <c r="B37" s="99" t="s">
        <v>128</v>
      </c>
      <c r="C37" s="99" t="s">
        <v>203</v>
      </c>
      <c r="D37" s="100">
        <v>9.3144504254594036</v>
      </c>
      <c r="E37" s="100">
        <v>8014.1531460652704</v>
      </c>
      <c r="F37" s="100">
        <v>3.5272161093249288</v>
      </c>
      <c r="G37" s="100">
        <v>3034.8167404631686</v>
      </c>
      <c r="H37" s="100">
        <v>14</v>
      </c>
      <c r="I37" s="100">
        <v>12045.6</v>
      </c>
      <c r="J37" s="100">
        <v>13</v>
      </c>
      <c r="K37" s="100">
        <v>11185.199999999999</v>
      </c>
      <c r="L37" s="100">
        <v>11</v>
      </c>
      <c r="M37" s="100">
        <v>9464.4</v>
      </c>
      <c r="N37" s="100">
        <v>9</v>
      </c>
      <c r="O37" s="100">
        <v>7743.5999999999995</v>
      </c>
      <c r="P37" s="100">
        <v>13</v>
      </c>
      <c r="Q37" s="100">
        <v>11185.199999999999</v>
      </c>
      <c r="R37" s="100">
        <v>14</v>
      </c>
      <c r="S37" s="100">
        <v>12045.6</v>
      </c>
      <c r="T37" s="100">
        <v>12</v>
      </c>
      <c r="U37" s="100">
        <v>10324.799999999999</v>
      </c>
      <c r="V37" s="100">
        <v>10</v>
      </c>
      <c r="W37" s="100">
        <v>8604</v>
      </c>
      <c r="X37" s="100">
        <v>4.0939245997448568</v>
      </c>
      <c r="Y37" s="100">
        <v>3522.4127256204747</v>
      </c>
      <c r="Z37" s="100">
        <v>7</v>
      </c>
      <c r="AA37" s="100">
        <v>6022.8</v>
      </c>
      <c r="AB37" s="100">
        <v>12</v>
      </c>
      <c r="AC37" s="100">
        <v>10324.799999999999</v>
      </c>
      <c r="AD37" s="100">
        <v>7.9709908711218453</v>
      </c>
      <c r="AE37" s="100">
        <v>6858.2405455132357</v>
      </c>
      <c r="AF37" s="100">
        <v>6.2808203304858363</v>
      </c>
      <c r="AG37" s="100">
        <v>5404.0178123500136</v>
      </c>
      <c r="AH37" s="100">
        <v>14</v>
      </c>
      <c r="AI37" s="100">
        <v>12045.6</v>
      </c>
      <c r="AJ37" s="100">
        <v>3.8152419210499704</v>
      </c>
      <c r="AK37" s="100">
        <v>3282.6341488713942</v>
      </c>
      <c r="AL37" s="100">
        <v>9</v>
      </c>
      <c r="AM37" s="100">
        <v>7743.5999999999995</v>
      </c>
      <c r="AN37" s="100">
        <v>13</v>
      </c>
      <c r="AO37" s="100">
        <v>11185.199999999999</v>
      </c>
      <c r="AP37" s="100">
        <v>9.2323088962045006</v>
      </c>
      <c r="AQ37" s="100">
        <v>7943.4785742943523</v>
      </c>
      <c r="AR37" s="100">
        <v>9.1682933646464538E-16</v>
      </c>
      <c r="AS37" s="100">
        <v>7.8883996109418088E-13</v>
      </c>
      <c r="AT37" s="100">
        <v>8</v>
      </c>
      <c r="AU37" s="100">
        <v>6883.2</v>
      </c>
      <c r="AV37" s="100">
        <v>14</v>
      </c>
      <c r="AW37" s="100">
        <v>12045.6</v>
      </c>
      <c r="AX37" s="100">
        <v>11</v>
      </c>
      <c r="AY37" s="100">
        <v>9464.4</v>
      </c>
      <c r="AZ37" s="100">
        <v>12</v>
      </c>
      <c r="BA37" s="100">
        <v>10324.799999999999</v>
      </c>
      <c r="BB37" s="100">
        <v>7</v>
      </c>
      <c r="BC37" s="100">
        <v>6022.8</v>
      </c>
      <c r="BD37" s="100">
        <v>10.012481441213556</v>
      </c>
      <c r="BE37" s="100">
        <v>8614.739032020143</v>
      </c>
      <c r="BF37" s="100">
        <v>12</v>
      </c>
      <c r="BG37" s="100">
        <v>10324.799999999999</v>
      </c>
      <c r="BH37" s="100">
        <v>8.8067149822783239</v>
      </c>
      <c r="BI37" s="100">
        <v>7577.2975707522701</v>
      </c>
      <c r="BJ37" s="100">
        <v>9</v>
      </c>
      <c r="BK37" s="100">
        <v>7743.5999999999995</v>
      </c>
      <c r="BL37" s="100">
        <v>8</v>
      </c>
      <c r="BM37" s="100">
        <v>6883.2</v>
      </c>
      <c r="BN37" s="100">
        <v>8</v>
      </c>
      <c r="BO37" s="100">
        <v>6883.2</v>
      </c>
      <c r="BP37" s="100">
        <v>10</v>
      </c>
      <c r="BQ37" s="100">
        <v>8604</v>
      </c>
      <c r="BR37" s="100">
        <v>10</v>
      </c>
      <c r="BS37" s="100">
        <v>8604</v>
      </c>
      <c r="BT37" s="100">
        <v>11</v>
      </c>
      <c r="BU37" s="100">
        <v>9464.4</v>
      </c>
      <c r="BV37" s="100">
        <v>11.494160733015546</v>
      </c>
      <c r="BW37" s="100">
        <v>9889.5758946865753</v>
      </c>
      <c r="BX37" s="100">
        <v>0</v>
      </c>
      <c r="BY37" s="100">
        <v>0</v>
      </c>
      <c r="BZ37" s="100">
        <v>2.7441958836166185</v>
      </c>
      <c r="CA37" s="100">
        <v>2361.1061382637386</v>
      </c>
      <c r="CB37" s="100">
        <v>7.8536555495721814</v>
      </c>
      <c r="CC37" s="100">
        <v>6757.2852348519045</v>
      </c>
      <c r="CD37" s="100">
        <v>10</v>
      </c>
      <c r="CE37" s="100">
        <v>8604</v>
      </c>
      <c r="CF37" s="100">
        <v>8</v>
      </c>
      <c r="CG37" s="100">
        <v>6883.2</v>
      </c>
      <c r="CH37" s="100">
        <v>10</v>
      </c>
      <c r="CI37" s="100">
        <v>8604</v>
      </c>
      <c r="CJ37" s="100">
        <v>14</v>
      </c>
      <c r="CK37" s="100">
        <v>12045.6</v>
      </c>
      <c r="CL37" s="100">
        <v>13</v>
      </c>
      <c r="CM37" s="100">
        <v>11185.199999999999</v>
      </c>
      <c r="CN37" s="100">
        <v>2.0689948935042799</v>
      </c>
      <c r="CO37" s="100">
        <v>1780.1632063710824</v>
      </c>
      <c r="CP37" s="100">
        <v>9</v>
      </c>
      <c r="CQ37" s="100">
        <v>7743.5999999999995</v>
      </c>
      <c r="CR37" s="100">
        <v>11</v>
      </c>
      <c r="CS37" s="100">
        <v>9464.4</v>
      </c>
      <c r="CT37" s="100">
        <v>11.235213194976465</v>
      </c>
      <c r="CU37" s="100">
        <v>9666.7774329577496</v>
      </c>
    </row>
    <row r="38" spans="2:99">
      <c r="C38" s="99" t="s">
        <v>204</v>
      </c>
      <c r="D38" s="100">
        <v>7.4515603403675232</v>
      </c>
      <c r="E38" s="100">
        <v>9254.8379427364634</v>
      </c>
      <c r="F38" s="100">
        <v>3.5272161093249288</v>
      </c>
      <c r="G38" s="100">
        <v>4380.8024077815617</v>
      </c>
      <c r="H38" s="100">
        <v>13</v>
      </c>
      <c r="I38" s="100">
        <v>16146</v>
      </c>
      <c r="J38" s="100">
        <v>14</v>
      </c>
      <c r="K38" s="100">
        <v>17388</v>
      </c>
      <c r="L38" s="100">
        <v>11</v>
      </c>
      <c r="M38" s="100">
        <v>13662</v>
      </c>
      <c r="N38" s="100">
        <v>9</v>
      </c>
      <c r="O38" s="100">
        <v>11178</v>
      </c>
      <c r="P38" s="100">
        <v>14</v>
      </c>
      <c r="Q38" s="100">
        <v>17388</v>
      </c>
      <c r="R38" s="100">
        <v>14</v>
      </c>
      <c r="S38" s="100">
        <v>17388</v>
      </c>
      <c r="T38" s="100">
        <v>11</v>
      </c>
      <c r="U38" s="100">
        <v>13662</v>
      </c>
      <c r="V38" s="100">
        <v>10</v>
      </c>
      <c r="W38" s="100">
        <v>12420</v>
      </c>
      <c r="X38" s="100">
        <v>3.6390440886620947</v>
      </c>
      <c r="Y38" s="100">
        <v>4519.6927581183218</v>
      </c>
      <c r="Z38" s="100">
        <v>8</v>
      </c>
      <c r="AA38" s="100">
        <v>9936</v>
      </c>
      <c r="AB38" s="100">
        <v>10</v>
      </c>
      <c r="AC38" s="100">
        <v>12420</v>
      </c>
      <c r="AD38" s="100">
        <v>7.0853252187749733</v>
      </c>
      <c r="AE38" s="100">
        <v>8799.9739217185161</v>
      </c>
      <c r="AF38" s="100">
        <v>6.9786892560953735</v>
      </c>
      <c r="AG38" s="100">
        <v>8667.5320560704531</v>
      </c>
      <c r="AH38" s="100">
        <v>14</v>
      </c>
      <c r="AI38" s="100">
        <v>17388</v>
      </c>
      <c r="AJ38" s="100">
        <v>4.1967661131549674</v>
      </c>
      <c r="AK38" s="100">
        <v>5212.3835125384694</v>
      </c>
      <c r="AL38" s="100">
        <v>8</v>
      </c>
      <c r="AM38" s="100">
        <v>9936</v>
      </c>
      <c r="AN38" s="100">
        <v>13</v>
      </c>
      <c r="AO38" s="100">
        <v>16146</v>
      </c>
      <c r="AP38" s="100">
        <v>8.5221312888041556</v>
      </c>
      <c r="AQ38" s="100">
        <v>10584.487060694761</v>
      </c>
      <c r="AR38" s="100">
        <v>8.4630400289044191E-16</v>
      </c>
      <c r="AS38" s="100">
        <v>1.0511095715899288E-12</v>
      </c>
      <c r="AT38" s="100">
        <v>7</v>
      </c>
      <c r="AU38" s="100">
        <v>8694</v>
      </c>
      <c r="AV38" s="100">
        <v>14</v>
      </c>
      <c r="AW38" s="100">
        <v>17388</v>
      </c>
      <c r="AX38" s="100">
        <v>10</v>
      </c>
      <c r="AY38" s="100">
        <v>12420</v>
      </c>
      <c r="AZ38" s="100">
        <v>11</v>
      </c>
      <c r="BA38" s="100">
        <v>13662</v>
      </c>
      <c r="BB38" s="100">
        <v>8</v>
      </c>
      <c r="BC38" s="100">
        <v>9936</v>
      </c>
      <c r="BD38" s="100">
        <v>10.922707026778426</v>
      </c>
      <c r="BE38" s="100">
        <v>13566.002127258806</v>
      </c>
      <c r="BF38" s="100">
        <v>11</v>
      </c>
      <c r="BG38" s="100">
        <v>13662</v>
      </c>
      <c r="BH38" s="100">
        <v>7.9260434840504912</v>
      </c>
      <c r="BI38" s="100">
        <v>9844.1460071907095</v>
      </c>
      <c r="BJ38" s="100">
        <v>8</v>
      </c>
      <c r="BK38" s="100">
        <v>9936</v>
      </c>
      <c r="BL38" s="100">
        <v>8</v>
      </c>
      <c r="BM38" s="100">
        <v>9936</v>
      </c>
      <c r="BN38" s="100">
        <v>7</v>
      </c>
      <c r="BO38" s="100">
        <v>8694</v>
      </c>
      <c r="BP38" s="100">
        <v>9</v>
      </c>
      <c r="BQ38" s="100">
        <v>11178</v>
      </c>
      <c r="BR38" s="100">
        <v>9</v>
      </c>
      <c r="BS38" s="100">
        <v>11178</v>
      </c>
      <c r="BT38" s="100">
        <v>10</v>
      </c>
      <c r="BU38" s="100">
        <v>12420</v>
      </c>
      <c r="BV38" s="100">
        <v>10.536314005264252</v>
      </c>
      <c r="BW38" s="100">
        <v>13086.101994538201</v>
      </c>
      <c r="BX38" s="100">
        <v>0</v>
      </c>
      <c r="BY38" s="100">
        <v>0</v>
      </c>
      <c r="BZ38" s="100">
        <v>2.7441958836166185</v>
      </c>
      <c r="CA38" s="100">
        <v>3408.2912874518402</v>
      </c>
      <c r="CB38" s="100">
        <v>6.9810271551752727</v>
      </c>
      <c r="CC38" s="100">
        <v>8670.4357267276882</v>
      </c>
      <c r="CD38" s="100">
        <v>10</v>
      </c>
      <c r="CE38" s="100">
        <v>12420</v>
      </c>
      <c r="CF38" s="100">
        <v>8</v>
      </c>
      <c r="CG38" s="100">
        <v>9936</v>
      </c>
      <c r="CH38" s="100">
        <v>8</v>
      </c>
      <c r="CI38" s="100">
        <v>9936</v>
      </c>
      <c r="CJ38" s="100">
        <v>13</v>
      </c>
      <c r="CK38" s="100">
        <v>16146</v>
      </c>
      <c r="CL38" s="100">
        <v>13</v>
      </c>
      <c r="CM38" s="100">
        <v>16146</v>
      </c>
      <c r="CN38" s="100">
        <v>2.2570853383683054</v>
      </c>
      <c r="CO38" s="100">
        <v>2803.2999902534352</v>
      </c>
      <c r="CP38" s="100">
        <v>9</v>
      </c>
      <c r="CQ38" s="100">
        <v>11178</v>
      </c>
      <c r="CR38" s="100">
        <v>10</v>
      </c>
      <c r="CS38" s="100">
        <v>12420</v>
      </c>
      <c r="CT38" s="100">
        <v>10.298945428728429</v>
      </c>
      <c r="CU38" s="100">
        <v>12791.290222480708</v>
      </c>
    </row>
    <row r="39" spans="2:99">
      <c r="C39" s="99" t="s">
        <v>205</v>
      </c>
      <c r="D39" s="100">
        <v>8.3830053829134634</v>
      </c>
      <c r="E39" s="100">
        <v>11930.693260962442</v>
      </c>
      <c r="F39" s="100">
        <v>3.2752721015160051</v>
      </c>
      <c r="G39" s="100">
        <v>4661.3672548775785</v>
      </c>
      <c r="H39" s="100">
        <v>13</v>
      </c>
      <c r="I39" s="100">
        <v>18501.600000000002</v>
      </c>
      <c r="J39" s="100">
        <v>13</v>
      </c>
      <c r="K39" s="100">
        <v>18501.600000000002</v>
      </c>
      <c r="L39" s="100">
        <v>13</v>
      </c>
      <c r="M39" s="100">
        <v>18501.600000000002</v>
      </c>
      <c r="N39" s="100">
        <v>9</v>
      </c>
      <c r="O39" s="100">
        <v>12808.800000000001</v>
      </c>
      <c r="P39" s="100">
        <v>13</v>
      </c>
      <c r="Q39" s="100">
        <v>18501.600000000002</v>
      </c>
      <c r="R39" s="100">
        <v>13</v>
      </c>
      <c r="S39" s="100">
        <v>18501.600000000002</v>
      </c>
      <c r="T39" s="100">
        <v>13</v>
      </c>
      <c r="U39" s="100">
        <v>18501.600000000002</v>
      </c>
      <c r="V39" s="100">
        <v>11</v>
      </c>
      <c r="W39" s="100">
        <v>15655.2</v>
      </c>
      <c r="X39" s="100">
        <v>3.6390440886620947</v>
      </c>
      <c r="Y39" s="100">
        <v>5179.0875469838929</v>
      </c>
      <c r="Z39" s="100">
        <v>8</v>
      </c>
      <c r="AA39" s="100">
        <v>11385.6</v>
      </c>
      <c r="AB39" s="100">
        <v>11</v>
      </c>
      <c r="AC39" s="100">
        <v>15655.2</v>
      </c>
      <c r="AD39" s="100">
        <v>7.0853252187749733</v>
      </c>
      <c r="AE39" s="100">
        <v>10083.834851360542</v>
      </c>
      <c r="AF39" s="100">
        <v>6.2808203304858363</v>
      </c>
      <c r="AG39" s="100">
        <v>8938.8634943474426</v>
      </c>
      <c r="AH39" s="100">
        <v>14</v>
      </c>
      <c r="AI39" s="100">
        <v>19924.8</v>
      </c>
      <c r="AJ39" s="100">
        <v>4.1967661131549674</v>
      </c>
      <c r="AK39" s="100">
        <v>5972.8375322421498</v>
      </c>
      <c r="AL39" s="100">
        <v>9</v>
      </c>
      <c r="AM39" s="100">
        <v>12808.800000000001</v>
      </c>
      <c r="AN39" s="100">
        <v>14</v>
      </c>
      <c r="AO39" s="100">
        <v>19924.8</v>
      </c>
      <c r="AP39" s="100">
        <v>8.5221312888041556</v>
      </c>
      <c r="AQ39" s="100">
        <v>12128.697250226074</v>
      </c>
      <c r="AR39" s="100">
        <v>8.4630400289044191E-16</v>
      </c>
      <c r="AS39" s="100">
        <v>1.204459856913677E-12</v>
      </c>
      <c r="AT39" s="100">
        <v>8</v>
      </c>
      <c r="AU39" s="100">
        <v>11385.6</v>
      </c>
      <c r="AV39" s="100">
        <v>15</v>
      </c>
      <c r="AW39" s="100">
        <v>21348</v>
      </c>
      <c r="AX39" s="100">
        <v>11</v>
      </c>
      <c r="AY39" s="100">
        <v>15655.2</v>
      </c>
      <c r="AZ39" s="100">
        <v>12</v>
      </c>
      <c r="BA39" s="100">
        <v>17078.400000000001</v>
      </c>
      <c r="BB39" s="100">
        <v>7</v>
      </c>
      <c r="BC39" s="100">
        <v>9962.4</v>
      </c>
      <c r="BD39" s="100">
        <v>10.922707026778426</v>
      </c>
      <c r="BE39" s="100">
        <v>15545.196640511056</v>
      </c>
      <c r="BF39" s="100">
        <v>12</v>
      </c>
      <c r="BG39" s="100">
        <v>17078.400000000001</v>
      </c>
      <c r="BH39" s="100">
        <v>7.9260434840504912</v>
      </c>
      <c r="BI39" s="100">
        <v>11280.34508650066</v>
      </c>
      <c r="BJ39" s="100">
        <v>9</v>
      </c>
      <c r="BK39" s="100">
        <v>12808.800000000001</v>
      </c>
      <c r="BL39" s="100">
        <v>7</v>
      </c>
      <c r="BM39" s="100">
        <v>9962.4</v>
      </c>
      <c r="BN39" s="100">
        <v>8</v>
      </c>
      <c r="BO39" s="100">
        <v>11385.6</v>
      </c>
      <c r="BP39" s="100">
        <v>10</v>
      </c>
      <c r="BQ39" s="100">
        <v>14232</v>
      </c>
      <c r="BR39" s="100">
        <v>11</v>
      </c>
      <c r="BS39" s="100">
        <v>15655.2</v>
      </c>
      <c r="BT39" s="100">
        <v>10</v>
      </c>
      <c r="BU39" s="100">
        <v>14232</v>
      </c>
      <c r="BV39" s="100">
        <v>10.536314005264252</v>
      </c>
      <c r="BW39" s="100">
        <v>14995.282092292084</v>
      </c>
      <c r="BX39" s="100">
        <v>0</v>
      </c>
      <c r="BY39" s="100">
        <v>0</v>
      </c>
      <c r="BZ39" s="100">
        <v>2.4697762952549565</v>
      </c>
      <c r="CA39" s="100">
        <v>3514.9856234068543</v>
      </c>
      <c r="CB39" s="100">
        <v>7.8536555495721814</v>
      </c>
      <c r="CC39" s="100">
        <v>11177.322578151128</v>
      </c>
      <c r="CD39" s="100">
        <v>9</v>
      </c>
      <c r="CE39" s="100">
        <v>12808.800000000001</v>
      </c>
      <c r="CF39" s="100">
        <v>8</v>
      </c>
      <c r="CG39" s="100">
        <v>11385.6</v>
      </c>
      <c r="CH39" s="100">
        <v>9</v>
      </c>
      <c r="CI39" s="100">
        <v>12808.800000000001</v>
      </c>
      <c r="CJ39" s="100">
        <v>12</v>
      </c>
      <c r="CK39" s="100">
        <v>17078.400000000001</v>
      </c>
      <c r="CL39" s="100">
        <v>13</v>
      </c>
      <c r="CM39" s="100">
        <v>18501.600000000002</v>
      </c>
      <c r="CN39" s="100">
        <v>2.2570853383683054</v>
      </c>
      <c r="CO39" s="100">
        <v>3212.2838535657725</v>
      </c>
      <c r="CP39" s="100">
        <v>9</v>
      </c>
      <c r="CQ39" s="100">
        <v>12808.800000000001</v>
      </c>
      <c r="CR39" s="100">
        <v>11</v>
      </c>
      <c r="CS39" s="100">
        <v>15655.2</v>
      </c>
      <c r="CT39" s="100">
        <v>12.171480961224503</v>
      </c>
      <c r="CU39" s="100">
        <v>17322.451704014715</v>
      </c>
    </row>
    <row r="40" spans="2:99">
      <c r="C40" s="99" t="s">
        <v>206</v>
      </c>
      <c r="D40" s="100">
        <v>8.3830053829134634</v>
      </c>
      <c r="E40" s="100">
        <v>6076.0023015356783</v>
      </c>
      <c r="F40" s="100">
        <v>3.5272161093249288</v>
      </c>
      <c r="G40" s="100">
        <v>2556.5262360387082</v>
      </c>
      <c r="H40" s="100">
        <v>13</v>
      </c>
      <c r="I40" s="100">
        <v>9422.4</v>
      </c>
      <c r="J40" s="100">
        <v>13</v>
      </c>
      <c r="K40" s="100">
        <v>9422.4</v>
      </c>
      <c r="L40" s="100">
        <v>13</v>
      </c>
      <c r="M40" s="100">
        <v>9422.4</v>
      </c>
      <c r="N40" s="100">
        <v>8</v>
      </c>
      <c r="O40" s="100">
        <v>5798.4</v>
      </c>
      <c r="P40" s="100">
        <v>12</v>
      </c>
      <c r="Q40" s="100">
        <v>8697.5999999999985</v>
      </c>
      <c r="R40" s="100">
        <v>12</v>
      </c>
      <c r="S40" s="100">
        <v>8697.5999999999985</v>
      </c>
      <c r="T40" s="100">
        <v>12</v>
      </c>
      <c r="U40" s="100">
        <v>8697.5999999999985</v>
      </c>
      <c r="V40" s="100">
        <v>11</v>
      </c>
      <c r="W40" s="100">
        <v>7972.7999999999993</v>
      </c>
      <c r="X40" s="100">
        <v>3.6390440886620947</v>
      </c>
      <c r="Y40" s="100">
        <v>2637.5791554622861</v>
      </c>
      <c r="Z40" s="100">
        <v>8</v>
      </c>
      <c r="AA40" s="100">
        <v>5798.4</v>
      </c>
      <c r="AB40" s="100">
        <v>11</v>
      </c>
      <c r="AC40" s="100">
        <v>7972.7999999999993</v>
      </c>
      <c r="AD40" s="100">
        <v>7.0853252187749733</v>
      </c>
      <c r="AE40" s="100">
        <v>5135.4437185680999</v>
      </c>
      <c r="AF40" s="100">
        <v>6.2808203304858363</v>
      </c>
      <c r="AG40" s="100">
        <v>4552.3385755361342</v>
      </c>
      <c r="AH40" s="100">
        <v>13</v>
      </c>
      <c r="AI40" s="100">
        <v>9422.4</v>
      </c>
      <c r="AJ40" s="100">
        <v>3.8152419210499704</v>
      </c>
      <c r="AK40" s="100">
        <v>2765.2873443770181</v>
      </c>
      <c r="AL40" s="100">
        <v>9</v>
      </c>
      <c r="AM40" s="100">
        <v>6523.2</v>
      </c>
      <c r="AN40" s="100">
        <v>15</v>
      </c>
      <c r="AO40" s="100">
        <v>10872</v>
      </c>
      <c r="AP40" s="100">
        <v>8.5221312888041556</v>
      </c>
      <c r="AQ40" s="100">
        <v>6176.8407581252513</v>
      </c>
      <c r="AR40" s="100">
        <v>9.1682933646464538E-16</v>
      </c>
      <c r="AS40" s="100">
        <v>6.6451790306957494E-13</v>
      </c>
      <c r="AT40" s="100">
        <v>7</v>
      </c>
      <c r="AU40" s="100">
        <v>5073.5999999999995</v>
      </c>
      <c r="AV40" s="100">
        <v>14</v>
      </c>
      <c r="AW40" s="100">
        <v>10147.199999999999</v>
      </c>
      <c r="AX40" s="100">
        <v>12</v>
      </c>
      <c r="AY40" s="100">
        <v>8697.5999999999985</v>
      </c>
      <c r="AZ40" s="100">
        <v>12</v>
      </c>
      <c r="BA40" s="100">
        <v>8697.5999999999985</v>
      </c>
      <c r="BB40" s="100">
        <v>8</v>
      </c>
      <c r="BC40" s="100">
        <v>5798.4</v>
      </c>
      <c r="BD40" s="100">
        <v>9.1022558556486857</v>
      </c>
      <c r="BE40" s="100">
        <v>6597.3150441741673</v>
      </c>
      <c r="BF40" s="100">
        <v>11</v>
      </c>
      <c r="BG40" s="100">
        <v>7972.7999999999993</v>
      </c>
      <c r="BH40" s="100">
        <v>8.8067149822783239</v>
      </c>
      <c r="BI40" s="100">
        <v>6383.107019155329</v>
      </c>
      <c r="BJ40" s="100">
        <v>9</v>
      </c>
      <c r="BK40" s="100">
        <v>6523.2</v>
      </c>
      <c r="BL40" s="100">
        <v>8</v>
      </c>
      <c r="BM40" s="100">
        <v>5798.4</v>
      </c>
      <c r="BN40" s="100">
        <v>9</v>
      </c>
      <c r="BO40" s="100">
        <v>6523.2</v>
      </c>
      <c r="BP40" s="100">
        <v>10</v>
      </c>
      <c r="BQ40" s="100">
        <v>7248</v>
      </c>
      <c r="BR40" s="100">
        <v>9</v>
      </c>
      <c r="BS40" s="100">
        <v>6523.2</v>
      </c>
      <c r="BT40" s="100">
        <v>10</v>
      </c>
      <c r="BU40" s="100">
        <v>7248</v>
      </c>
      <c r="BV40" s="100">
        <v>10.536314005264252</v>
      </c>
      <c r="BW40" s="100">
        <v>7636.7203910155295</v>
      </c>
      <c r="BX40" s="100">
        <v>0</v>
      </c>
      <c r="BY40" s="100">
        <v>0</v>
      </c>
      <c r="BZ40" s="100">
        <v>2.4697762952549565</v>
      </c>
      <c r="CA40" s="100">
        <v>1790.0938588007923</v>
      </c>
      <c r="CB40" s="100">
        <v>7.8536555495721814</v>
      </c>
      <c r="CC40" s="100">
        <v>5692.3295423299169</v>
      </c>
      <c r="CD40" s="100">
        <v>9</v>
      </c>
      <c r="CE40" s="100">
        <v>6523.2</v>
      </c>
      <c r="CF40" s="100">
        <v>9</v>
      </c>
      <c r="CG40" s="100">
        <v>6523.2</v>
      </c>
      <c r="CH40" s="100">
        <v>9</v>
      </c>
      <c r="CI40" s="100">
        <v>6523.2</v>
      </c>
      <c r="CJ40" s="100">
        <v>13</v>
      </c>
      <c r="CK40" s="100">
        <v>9422.4</v>
      </c>
      <c r="CL40" s="100">
        <v>13</v>
      </c>
      <c r="CM40" s="100">
        <v>9422.4</v>
      </c>
      <c r="CN40" s="100">
        <v>2.2570853383683054</v>
      </c>
      <c r="CO40" s="100">
        <v>1635.9354532493476</v>
      </c>
      <c r="CP40" s="100">
        <v>11</v>
      </c>
      <c r="CQ40" s="100">
        <v>7972.7999999999993</v>
      </c>
      <c r="CR40" s="100">
        <v>12</v>
      </c>
      <c r="CS40" s="100">
        <v>8697.5999999999985</v>
      </c>
      <c r="CT40" s="100">
        <v>11.235213194976465</v>
      </c>
      <c r="CU40" s="100">
        <v>8143.2825237189418</v>
      </c>
    </row>
    <row r="41" spans="2:99">
      <c r="C41" s="99" t="s">
        <v>207</v>
      </c>
      <c r="D41" s="100">
        <v>9.3144504254594036</v>
      </c>
      <c r="E41" s="100">
        <v>6147.5372808032062</v>
      </c>
      <c r="F41" s="100">
        <v>3.2752721015160051</v>
      </c>
      <c r="G41" s="100">
        <v>2161.6795870005635</v>
      </c>
      <c r="H41" s="100">
        <v>14</v>
      </c>
      <c r="I41" s="100">
        <v>9240</v>
      </c>
      <c r="J41" s="100">
        <v>14</v>
      </c>
      <c r="K41" s="100">
        <v>9240</v>
      </c>
      <c r="L41" s="100">
        <v>12</v>
      </c>
      <c r="M41" s="100">
        <v>7920</v>
      </c>
      <c r="N41" s="100">
        <v>8</v>
      </c>
      <c r="O41" s="100">
        <v>5280</v>
      </c>
      <c r="P41" s="100">
        <v>13</v>
      </c>
      <c r="Q41" s="100">
        <v>8580</v>
      </c>
      <c r="R41" s="100">
        <v>12</v>
      </c>
      <c r="S41" s="100">
        <v>7920</v>
      </c>
      <c r="T41" s="100">
        <v>12</v>
      </c>
      <c r="U41" s="100">
        <v>7920</v>
      </c>
      <c r="V41" s="100">
        <v>11</v>
      </c>
      <c r="W41" s="100">
        <v>7260</v>
      </c>
      <c r="X41" s="100">
        <v>4.0939245997448568</v>
      </c>
      <c r="Y41" s="100">
        <v>2701.9902358316053</v>
      </c>
      <c r="Z41" s="100">
        <v>8</v>
      </c>
      <c r="AA41" s="100">
        <v>5280</v>
      </c>
      <c r="AB41" s="100">
        <v>10</v>
      </c>
      <c r="AC41" s="100">
        <v>6600</v>
      </c>
      <c r="AD41" s="100">
        <v>7.0853252187749733</v>
      </c>
      <c r="AE41" s="100">
        <v>4676.314644391482</v>
      </c>
      <c r="AF41" s="100">
        <v>6.9786892560953735</v>
      </c>
      <c r="AG41" s="100">
        <v>4605.9349090229462</v>
      </c>
      <c r="AH41" s="100">
        <v>14</v>
      </c>
      <c r="AI41" s="100">
        <v>9240</v>
      </c>
      <c r="AJ41" s="100">
        <v>4.1967661131549674</v>
      </c>
      <c r="AK41" s="100">
        <v>2769.8656346822786</v>
      </c>
      <c r="AL41" s="100">
        <v>10</v>
      </c>
      <c r="AM41" s="100">
        <v>6600</v>
      </c>
      <c r="AN41" s="100">
        <v>13</v>
      </c>
      <c r="AO41" s="100">
        <v>8580</v>
      </c>
      <c r="AP41" s="100">
        <v>7.8119536814038089</v>
      </c>
      <c r="AQ41" s="100">
        <v>5155.8894297265142</v>
      </c>
      <c r="AR41" s="100">
        <v>8.4630400289044191E-16</v>
      </c>
      <c r="AS41" s="100">
        <v>5.5856064190769163E-13</v>
      </c>
      <c r="AT41" s="100">
        <v>7</v>
      </c>
      <c r="AU41" s="100">
        <v>4620</v>
      </c>
      <c r="AV41" s="100">
        <v>14</v>
      </c>
      <c r="AW41" s="100">
        <v>9240</v>
      </c>
      <c r="AX41" s="100">
        <v>11</v>
      </c>
      <c r="AY41" s="100">
        <v>7260</v>
      </c>
      <c r="AZ41" s="100">
        <v>13</v>
      </c>
      <c r="BA41" s="100">
        <v>8580</v>
      </c>
      <c r="BB41" s="100">
        <v>7</v>
      </c>
      <c r="BC41" s="100">
        <v>4620</v>
      </c>
      <c r="BD41" s="100">
        <v>10.922707026778426</v>
      </c>
      <c r="BE41" s="100">
        <v>7208.9866376737609</v>
      </c>
      <c r="BF41" s="100">
        <v>11</v>
      </c>
      <c r="BG41" s="100">
        <v>7260</v>
      </c>
      <c r="BH41" s="100">
        <v>8.8067149822783239</v>
      </c>
      <c r="BI41" s="100">
        <v>5812.431888303694</v>
      </c>
      <c r="BJ41" s="100">
        <v>9</v>
      </c>
      <c r="BK41" s="100">
        <v>5940</v>
      </c>
      <c r="BL41" s="100">
        <v>8</v>
      </c>
      <c r="BM41" s="100">
        <v>5280</v>
      </c>
      <c r="BN41" s="100">
        <v>8</v>
      </c>
      <c r="BO41" s="100">
        <v>5280</v>
      </c>
      <c r="BP41" s="100">
        <v>11</v>
      </c>
      <c r="BQ41" s="100">
        <v>7260</v>
      </c>
      <c r="BR41" s="100">
        <v>10</v>
      </c>
      <c r="BS41" s="100">
        <v>6600</v>
      </c>
      <c r="BT41" s="100">
        <v>11</v>
      </c>
      <c r="BU41" s="100">
        <v>7260</v>
      </c>
      <c r="BV41" s="100">
        <v>11.494160733015546</v>
      </c>
      <c r="BW41" s="100">
        <v>7586.1460837902605</v>
      </c>
      <c r="BX41" s="100">
        <v>0</v>
      </c>
      <c r="BY41" s="100">
        <v>0</v>
      </c>
      <c r="BZ41" s="100">
        <v>2.7441958836166185</v>
      </c>
      <c r="CA41" s="100">
        <v>1811.1692831869682</v>
      </c>
      <c r="CB41" s="100">
        <v>7.8536555495721814</v>
      </c>
      <c r="CC41" s="100">
        <v>5183.4126627176393</v>
      </c>
      <c r="CD41" s="100">
        <v>9</v>
      </c>
      <c r="CE41" s="100">
        <v>5940</v>
      </c>
      <c r="CF41" s="100">
        <v>8</v>
      </c>
      <c r="CG41" s="100">
        <v>5280</v>
      </c>
      <c r="CH41" s="100">
        <v>8</v>
      </c>
      <c r="CI41" s="100">
        <v>5280</v>
      </c>
      <c r="CJ41" s="100">
        <v>14</v>
      </c>
      <c r="CK41" s="100">
        <v>9240</v>
      </c>
      <c r="CL41" s="100">
        <v>12</v>
      </c>
      <c r="CM41" s="100">
        <v>7920</v>
      </c>
      <c r="CN41" s="100">
        <v>2.2570853383683054</v>
      </c>
      <c r="CO41" s="100">
        <v>1489.6763233230815</v>
      </c>
      <c r="CP41" s="100">
        <v>10</v>
      </c>
      <c r="CQ41" s="100">
        <v>6600</v>
      </c>
      <c r="CR41" s="100">
        <v>10</v>
      </c>
      <c r="CS41" s="100">
        <v>6600</v>
      </c>
      <c r="CT41" s="100">
        <v>11.235213194976465</v>
      </c>
      <c r="CU41" s="100">
        <v>7415.2407086844669</v>
      </c>
    </row>
    <row r="42" spans="2:99">
      <c r="C42" s="99" t="s">
        <v>208</v>
      </c>
      <c r="D42" s="100">
        <v>9.3144504254594036</v>
      </c>
      <c r="E42" s="100">
        <v>7880.0250599386554</v>
      </c>
      <c r="F42" s="100">
        <v>3.2752721015160051</v>
      </c>
      <c r="G42" s="100">
        <v>2770.8801978825404</v>
      </c>
      <c r="H42" s="100">
        <v>14</v>
      </c>
      <c r="I42" s="100">
        <v>11844</v>
      </c>
      <c r="J42" s="100">
        <v>13</v>
      </c>
      <c r="K42" s="100">
        <v>10998</v>
      </c>
      <c r="L42" s="100">
        <v>12</v>
      </c>
      <c r="M42" s="100">
        <v>10152</v>
      </c>
      <c r="N42" s="100">
        <v>8</v>
      </c>
      <c r="O42" s="100">
        <v>6768</v>
      </c>
      <c r="P42" s="100">
        <v>14</v>
      </c>
      <c r="Q42" s="100">
        <v>11844</v>
      </c>
      <c r="R42" s="100">
        <v>14</v>
      </c>
      <c r="S42" s="100">
        <v>11844</v>
      </c>
      <c r="T42" s="100">
        <v>12</v>
      </c>
      <c r="U42" s="100">
        <v>10152</v>
      </c>
      <c r="V42" s="100">
        <v>10</v>
      </c>
      <c r="W42" s="100">
        <v>8460</v>
      </c>
      <c r="X42" s="100">
        <v>4.0939245997448568</v>
      </c>
      <c r="Y42" s="100">
        <v>3463.4602113841488</v>
      </c>
      <c r="Z42" s="100">
        <v>9</v>
      </c>
      <c r="AA42" s="100">
        <v>7614</v>
      </c>
      <c r="AB42" s="100">
        <v>11</v>
      </c>
      <c r="AC42" s="100">
        <v>9306</v>
      </c>
      <c r="AD42" s="100">
        <v>7.0853252187749733</v>
      </c>
      <c r="AE42" s="100">
        <v>5994.1851350836278</v>
      </c>
      <c r="AF42" s="100">
        <v>6.9786892560953735</v>
      </c>
      <c r="AG42" s="100">
        <v>5903.9711106566856</v>
      </c>
      <c r="AH42" s="100">
        <v>13</v>
      </c>
      <c r="AI42" s="100">
        <v>10998</v>
      </c>
      <c r="AJ42" s="100">
        <v>4.1967661131549674</v>
      </c>
      <c r="AK42" s="100">
        <v>3550.4641317291025</v>
      </c>
      <c r="AL42" s="100">
        <v>8</v>
      </c>
      <c r="AM42" s="100">
        <v>6768</v>
      </c>
      <c r="AN42" s="100">
        <v>15</v>
      </c>
      <c r="AO42" s="100">
        <v>12690</v>
      </c>
      <c r="AP42" s="100">
        <v>8.5221312888041556</v>
      </c>
      <c r="AQ42" s="100">
        <v>7209.7230703283158</v>
      </c>
      <c r="AR42" s="100">
        <v>8.4630400289044191E-16</v>
      </c>
      <c r="AS42" s="100">
        <v>7.1597318644531387E-13</v>
      </c>
      <c r="AT42" s="100">
        <v>8</v>
      </c>
      <c r="AU42" s="100">
        <v>6768</v>
      </c>
      <c r="AV42" s="100">
        <v>14</v>
      </c>
      <c r="AW42" s="100">
        <v>11844</v>
      </c>
      <c r="AX42" s="100">
        <v>12</v>
      </c>
      <c r="AY42" s="100">
        <v>10152</v>
      </c>
      <c r="AZ42" s="100">
        <v>12</v>
      </c>
      <c r="BA42" s="100">
        <v>10152</v>
      </c>
      <c r="BB42" s="100">
        <v>8</v>
      </c>
      <c r="BC42" s="100">
        <v>6768</v>
      </c>
      <c r="BD42" s="100">
        <v>10.922707026778426</v>
      </c>
      <c r="BE42" s="100">
        <v>9240.6101446545472</v>
      </c>
      <c r="BF42" s="100">
        <v>11</v>
      </c>
      <c r="BG42" s="100">
        <v>9306</v>
      </c>
      <c r="BH42" s="100">
        <v>8.8067149822783239</v>
      </c>
      <c r="BI42" s="100">
        <v>7450.4808750074617</v>
      </c>
      <c r="BJ42" s="100">
        <v>9</v>
      </c>
      <c r="BK42" s="100">
        <v>7614</v>
      </c>
      <c r="BL42" s="100">
        <v>8</v>
      </c>
      <c r="BM42" s="100">
        <v>6768</v>
      </c>
      <c r="BN42" s="100">
        <v>8</v>
      </c>
      <c r="BO42" s="100">
        <v>6768</v>
      </c>
      <c r="BP42" s="100">
        <v>10</v>
      </c>
      <c r="BQ42" s="100">
        <v>8460</v>
      </c>
      <c r="BR42" s="100">
        <v>11</v>
      </c>
      <c r="BS42" s="100">
        <v>9306</v>
      </c>
      <c r="BT42" s="100">
        <v>11</v>
      </c>
      <c r="BU42" s="100">
        <v>9306</v>
      </c>
      <c r="BV42" s="100">
        <v>12.452007460766843</v>
      </c>
      <c r="BW42" s="100">
        <v>10534.398311808749</v>
      </c>
      <c r="BX42" s="100">
        <v>0</v>
      </c>
      <c r="BY42" s="100">
        <v>0</v>
      </c>
      <c r="BZ42" s="100">
        <v>2.4697762952549565</v>
      </c>
      <c r="CA42" s="100">
        <v>2089.430745785693</v>
      </c>
      <c r="CB42" s="100">
        <v>7.8536555495721814</v>
      </c>
      <c r="CC42" s="100">
        <v>6644.1925949380657</v>
      </c>
      <c r="CD42" s="100">
        <v>11</v>
      </c>
      <c r="CE42" s="100">
        <v>9306</v>
      </c>
      <c r="CF42" s="100">
        <v>8</v>
      </c>
      <c r="CG42" s="100">
        <v>6768</v>
      </c>
      <c r="CH42" s="100">
        <v>9</v>
      </c>
      <c r="CI42" s="100">
        <v>7614</v>
      </c>
      <c r="CJ42" s="100">
        <v>14</v>
      </c>
      <c r="CK42" s="100">
        <v>11844</v>
      </c>
      <c r="CL42" s="100">
        <v>13</v>
      </c>
      <c r="CM42" s="100">
        <v>10998</v>
      </c>
      <c r="CN42" s="100">
        <v>2.2570853383683054</v>
      </c>
      <c r="CO42" s="100">
        <v>1909.4941962595863</v>
      </c>
      <c r="CP42" s="100">
        <v>11</v>
      </c>
      <c r="CQ42" s="100">
        <v>9306</v>
      </c>
      <c r="CR42" s="100">
        <v>11</v>
      </c>
      <c r="CS42" s="100">
        <v>9306</v>
      </c>
      <c r="CT42" s="100">
        <v>10.298945428728429</v>
      </c>
      <c r="CU42" s="100">
        <v>8712.9078327042498</v>
      </c>
    </row>
    <row r="43" spans="2:99">
      <c r="C43" s="99" t="s">
        <v>209</v>
      </c>
      <c r="D43" s="100">
        <v>8.3830053829134634</v>
      </c>
      <c r="E43" s="100">
        <v>8570.7847034907245</v>
      </c>
      <c r="F43" s="100">
        <v>3.2752721015160051</v>
      </c>
      <c r="G43" s="100">
        <v>3348.6381965899636</v>
      </c>
      <c r="H43" s="100">
        <v>14</v>
      </c>
      <c r="I43" s="100">
        <v>14313.6</v>
      </c>
      <c r="J43" s="100">
        <v>14</v>
      </c>
      <c r="K43" s="100">
        <v>14313.6</v>
      </c>
      <c r="L43" s="100">
        <v>13</v>
      </c>
      <c r="M43" s="100">
        <v>13291.199999999999</v>
      </c>
      <c r="N43" s="100">
        <v>8</v>
      </c>
      <c r="O43" s="100">
        <v>8179.2</v>
      </c>
      <c r="P43" s="100">
        <v>14</v>
      </c>
      <c r="Q43" s="100">
        <v>14313.6</v>
      </c>
      <c r="R43" s="100">
        <v>14</v>
      </c>
      <c r="S43" s="100">
        <v>14313.6</v>
      </c>
      <c r="T43" s="100">
        <v>11</v>
      </c>
      <c r="U43" s="100">
        <v>11246.4</v>
      </c>
      <c r="V43" s="100">
        <v>11</v>
      </c>
      <c r="W43" s="100">
        <v>11246.4</v>
      </c>
      <c r="X43" s="100">
        <v>3.6390440886620947</v>
      </c>
      <c r="Y43" s="100">
        <v>3720.5586762481257</v>
      </c>
      <c r="Z43" s="100">
        <v>8</v>
      </c>
      <c r="AA43" s="100">
        <v>8179.2</v>
      </c>
      <c r="AB43" s="100">
        <v>11</v>
      </c>
      <c r="AC43" s="100">
        <v>11246.4</v>
      </c>
      <c r="AD43" s="100">
        <v>7.0853252187749733</v>
      </c>
      <c r="AE43" s="100">
        <v>7244.0365036755329</v>
      </c>
      <c r="AF43" s="100">
        <v>6.2808203304858363</v>
      </c>
      <c r="AG43" s="100">
        <v>6421.5107058887188</v>
      </c>
      <c r="AH43" s="100">
        <v>12</v>
      </c>
      <c r="AI43" s="100">
        <v>12268.8</v>
      </c>
      <c r="AJ43" s="100">
        <v>4.1967661131549674</v>
      </c>
      <c r="AK43" s="100">
        <v>4290.7736740896389</v>
      </c>
      <c r="AL43" s="100">
        <v>9</v>
      </c>
      <c r="AM43" s="100">
        <v>9201.6</v>
      </c>
      <c r="AN43" s="100">
        <v>14</v>
      </c>
      <c r="AO43" s="100">
        <v>14313.6</v>
      </c>
      <c r="AP43" s="100">
        <v>9.2323088962045006</v>
      </c>
      <c r="AQ43" s="100">
        <v>9439.112615479482</v>
      </c>
      <c r="AR43" s="100">
        <v>9.1682933646464538E-16</v>
      </c>
      <c r="AS43" s="100">
        <v>9.3736631360145335E-13</v>
      </c>
      <c r="AT43" s="100">
        <v>8</v>
      </c>
      <c r="AU43" s="100">
        <v>8179.2</v>
      </c>
      <c r="AV43" s="100">
        <v>14</v>
      </c>
      <c r="AW43" s="100">
        <v>14313.6</v>
      </c>
      <c r="AX43" s="100">
        <v>11</v>
      </c>
      <c r="AY43" s="100">
        <v>11246.4</v>
      </c>
      <c r="AZ43" s="100">
        <v>12</v>
      </c>
      <c r="BA43" s="100">
        <v>12268.8</v>
      </c>
      <c r="BB43" s="100">
        <v>7</v>
      </c>
      <c r="BC43" s="100">
        <v>7156.8</v>
      </c>
      <c r="BD43" s="100">
        <v>10.012481441213556</v>
      </c>
      <c r="BE43" s="100">
        <v>10236.761025496739</v>
      </c>
      <c r="BF43" s="100">
        <v>11</v>
      </c>
      <c r="BG43" s="100">
        <v>11246.4</v>
      </c>
      <c r="BH43" s="100">
        <v>7.9260434840504912</v>
      </c>
      <c r="BI43" s="100">
        <v>8103.586858093222</v>
      </c>
      <c r="BJ43" s="100">
        <v>8</v>
      </c>
      <c r="BK43" s="100">
        <v>8179.2</v>
      </c>
      <c r="BL43" s="100">
        <v>8</v>
      </c>
      <c r="BM43" s="100">
        <v>8179.2</v>
      </c>
      <c r="BN43" s="100">
        <v>8</v>
      </c>
      <c r="BO43" s="100">
        <v>8179.2</v>
      </c>
      <c r="BP43" s="100">
        <v>10</v>
      </c>
      <c r="BQ43" s="100">
        <v>10224</v>
      </c>
      <c r="BR43" s="100">
        <v>9</v>
      </c>
      <c r="BS43" s="100">
        <v>9201.6</v>
      </c>
      <c r="BT43" s="100">
        <v>11</v>
      </c>
      <c r="BU43" s="100">
        <v>11246.4</v>
      </c>
      <c r="BV43" s="100">
        <v>10.536314005264252</v>
      </c>
      <c r="BW43" s="100">
        <v>10772.327438982171</v>
      </c>
      <c r="BX43" s="100">
        <v>0</v>
      </c>
      <c r="BY43" s="100">
        <v>0</v>
      </c>
      <c r="BZ43" s="100">
        <v>2.4697762952549565</v>
      </c>
      <c r="CA43" s="100">
        <v>2525.0992842686674</v>
      </c>
      <c r="CB43" s="100">
        <v>6.9810271551752727</v>
      </c>
      <c r="CC43" s="100">
        <v>7137.4021634511982</v>
      </c>
      <c r="CD43" s="100">
        <v>9</v>
      </c>
      <c r="CE43" s="100">
        <v>9201.6</v>
      </c>
      <c r="CF43" s="100">
        <v>7</v>
      </c>
      <c r="CG43" s="100">
        <v>7156.8</v>
      </c>
      <c r="CH43" s="100">
        <v>9</v>
      </c>
      <c r="CI43" s="100">
        <v>9201.6</v>
      </c>
      <c r="CJ43" s="100">
        <v>12</v>
      </c>
      <c r="CK43" s="100">
        <v>12268.8</v>
      </c>
      <c r="CL43" s="100">
        <v>12</v>
      </c>
      <c r="CM43" s="100">
        <v>12268.8</v>
      </c>
      <c r="CN43" s="100">
        <v>2.2570853383683054</v>
      </c>
      <c r="CO43" s="100">
        <v>2307.6440499477553</v>
      </c>
      <c r="CP43" s="100">
        <v>10</v>
      </c>
      <c r="CQ43" s="100">
        <v>10224</v>
      </c>
      <c r="CR43" s="100">
        <v>10</v>
      </c>
      <c r="CS43" s="100">
        <v>10224</v>
      </c>
      <c r="CT43" s="100">
        <v>11.235213194976465</v>
      </c>
      <c r="CU43" s="100">
        <v>11486.881970543938</v>
      </c>
    </row>
    <row r="44" spans="2:99">
      <c r="C44" s="99" t="s">
        <v>210</v>
      </c>
      <c r="D44" s="100">
        <v>8.3830053829134634</v>
      </c>
      <c r="E44" s="100">
        <v>8570.7847034907245</v>
      </c>
      <c r="F44" s="100">
        <v>3.779160117133852</v>
      </c>
      <c r="G44" s="100">
        <v>3863.8133037576504</v>
      </c>
      <c r="H44" s="100">
        <v>13</v>
      </c>
      <c r="I44" s="100">
        <v>13291.199999999999</v>
      </c>
      <c r="J44" s="100">
        <v>15</v>
      </c>
      <c r="K44" s="100">
        <v>15336</v>
      </c>
      <c r="L44" s="100">
        <v>11</v>
      </c>
      <c r="M44" s="100">
        <v>11246.4</v>
      </c>
      <c r="N44" s="100">
        <v>9</v>
      </c>
      <c r="O44" s="100">
        <v>9201.6</v>
      </c>
      <c r="P44" s="100">
        <v>15</v>
      </c>
      <c r="Q44" s="100">
        <v>15336</v>
      </c>
      <c r="R44" s="100">
        <v>12</v>
      </c>
      <c r="S44" s="100">
        <v>12268.8</v>
      </c>
      <c r="T44" s="100">
        <v>12</v>
      </c>
      <c r="U44" s="100">
        <v>12268.8</v>
      </c>
      <c r="V44" s="100">
        <v>10</v>
      </c>
      <c r="W44" s="100">
        <v>10224</v>
      </c>
      <c r="X44" s="100">
        <v>4.0939245997448568</v>
      </c>
      <c r="Y44" s="100">
        <v>4185.6285107791418</v>
      </c>
      <c r="Z44" s="100">
        <v>8</v>
      </c>
      <c r="AA44" s="100">
        <v>8179.2</v>
      </c>
      <c r="AB44" s="100">
        <v>11</v>
      </c>
      <c r="AC44" s="100">
        <v>11246.4</v>
      </c>
      <c r="AD44" s="100">
        <v>6.1996595664281022</v>
      </c>
      <c r="AE44" s="100">
        <v>6338.5319407160914</v>
      </c>
      <c r="AF44" s="100">
        <v>6.9786892560953735</v>
      </c>
      <c r="AG44" s="100">
        <v>7135.0118954319096</v>
      </c>
      <c r="AH44" s="100">
        <v>14</v>
      </c>
      <c r="AI44" s="100">
        <v>14313.6</v>
      </c>
      <c r="AJ44" s="100">
        <v>4.1967661131549674</v>
      </c>
      <c r="AK44" s="100">
        <v>4290.7736740896389</v>
      </c>
      <c r="AL44" s="100">
        <v>9</v>
      </c>
      <c r="AM44" s="100">
        <v>9201.6</v>
      </c>
      <c r="AN44" s="100">
        <v>12</v>
      </c>
      <c r="AO44" s="100">
        <v>12268.8</v>
      </c>
      <c r="AP44" s="100">
        <v>7.8119536814038089</v>
      </c>
      <c r="AQ44" s="100">
        <v>7986.9414438672538</v>
      </c>
      <c r="AR44" s="100">
        <v>9.8735467003884894E-16</v>
      </c>
      <c r="AS44" s="100">
        <v>1.0094714146477191E-12</v>
      </c>
      <c r="AT44" s="100">
        <v>8</v>
      </c>
      <c r="AU44" s="100">
        <v>8179.2</v>
      </c>
      <c r="AV44" s="100">
        <v>14</v>
      </c>
      <c r="AW44" s="100">
        <v>14313.6</v>
      </c>
      <c r="AX44" s="100">
        <v>11</v>
      </c>
      <c r="AY44" s="100">
        <v>11246.4</v>
      </c>
      <c r="AZ44" s="100">
        <v>11</v>
      </c>
      <c r="BA44" s="100">
        <v>11246.4</v>
      </c>
      <c r="BB44" s="100">
        <v>7</v>
      </c>
      <c r="BC44" s="100">
        <v>7156.8</v>
      </c>
      <c r="BD44" s="100">
        <v>10.922707026778426</v>
      </c>
      <c r="BE44" s="100">
        <v>11167.375664178262</v>
      </c>
      <c r="BF44" s="100">
        <v>12</v>
      </c>
      <c r="BG44" s="100">
        <v>12268.8</v>
      </c>
      <c r="BH44" s="100">
        <v>8.8067149822783239</v>
      </c>
      <c r="BI44" s="100">
        <v>9003.9853978813589</v>
      </c>
      <c r="BJ44" s="100">
        <v>9</v>
      </c>
      <c r="BK44" s="100">
        <v>9201.6</v>
      </c>
      <c r="BL44" s="100">
        <v>9</v>
      </c>
      <c r="BM44" s="100">
        <v>9201.6</v>
      </c>
      <c r="BN44" s="100">
        <v>8</v>
      </c>
      <c r="BO44" s="100">
        <v>8179.2</v>
      </c>
      <c r="BP44" s="100">
        <v>11</v>
      </c>
      <c r="BQ44" s="100">
        <v>11246.4</v>
      </c>
      <c r="BR44" s="100">
        <v>10</v>
      </c>
      <c r="BS44" s="100">
        <v>10224</v>
      </c>
      <c r="BT44" s="100">
        <v>11</v>
      </c>
      <c r="BU44" s="100">
        <v>11246.4</v>
      </c>
      <c r="BV44" s="100">
        <v>11.494160733015546</v>
      </c>
      <c r="BW44" s="100">
        <v>11751.629933435093</v>
      </c>
      <c r="BX44" s="100">
        <v>0</v>
      </c>
      <c r="BY44" s="100">
        <v>0</v>
      </c>
      <c r="BZ44" s="100">
        <v>2.7441958836166185</v>
      </c>
      <c r="CA44" s="100">
        <v>2805.6658714096307</v>
      </c>
      <c r="CB44" s="100">
        <v>8.72628394396909</v>
      </c>
      <c r="CC44" s="100">
        <v>8921.752704313998</v>
      </c>
      <c r="CD44" s="100">
        <v>10</v>
      </c>
      <c r="CE44" s="100">
        <v>10224</v>
      </c>
      <c r="CF44" s="100">
        <v>8</v>
      </c>
      <c r="CG44" s="100">
        <v>8179.2</v>
      </c>
      <c r="CH44" s="100">
        <v>9</v>
      </c>
      <c r="CI44" s="100">
        <v>9201.6</v>
      </c>
      <c r="CJ44" s="100">
        <v>13</v>
      </c>
      <c r="CK44" s="100">
        <v>13291.199999999999</v>
      </c>
      <c r="CL44" s="100">
        <v>13</v>
      </c>
      <c r="CM44" s="100">
        <v>13291.199999999999</v>
      </c>
      <c r="CN44" s="100">
        <v>2.0689948935042799</v>
      </c>
      <c r="CO44" s="100">
        <v>2115.3403791187757</v>
      </c>
      <c r="CP44" s="100">
        <v>10</v>
      </c>
      <c r="CQ44" s="100">
        <v>10224</v>
      </c>
      <c r="CR44" s="100">
        <v>12</v>
      </c>
      <c r="CS44" s="100">
        <v>12268.8</v>
      </c>
      <c r="CT44" s="100">
        <v>11.235213194976465</v>
      </c>
      <c r="CU44" s="100">
        <v>11486.881970543938</v>
      </c>
    </row>
    <row r="45" spans="2:99">
      <c r="C45" s="99" t="s">
        <v>211</v>
      </c>
      <c r="D45" s="100">
        <v>7.4515603403675232</v>
      </c>
      <c r="E45" s="100">
        <v>9308.4891771871098</v>
      </c>
      <c r="F45" s="100">
        <v>3.779160117133852</v>
      </c>
      <c r="G45" s="100">
        <v>4720.9268183236081</v>
      </c>
      <c r="H45" s="100">
        <v>12</v>
      </c>
      <c r="I45" s="100">
        <v>14990.400000000001</v>
      </c>
      <c r="J45" s="100">
        <v>13</v>
      </c>
      <c r="K45" s="100">
        <v>16239.6</v>
      </c>
      <c r="L45" s="100">
        <v>13</v>
      </c>
      <c r="M45" s="100">
        <v>16239.6</v>
      </c>
      <c r="N45" s="100">
        <v>8</v>
      </c>
      <c r="O45" s="100">
        <v>9993.6</v>
      </c>
      <c r="P45" s="100">
        <v>13</v>
      </c>
      <c r="Q45" s="100">
        <v>16239.6</v>
      </c>
      <c r="R45" s="100">
        <v>14</v>
      </c>
      <c r="S45" s="100">
        <v>17488.8</v>
      </c>
      <c r="T45" s="100">
        <v>11</v>
      </c>
      <c r="U45" s="100">
        <v>13741.2</v>
      </c>
      <c r="V45" s="100">
        <v>9</v>
      </c>
      <c r="W45" s="100">
        <v>11242.800000000001</v>
      </c>
      <c r="X45" s="100">
        <v>4.0939245997448568</v>
      </c>
      <c r="Y45" s="100">
        <v>5114.1306100012753</v>
      </c>
      <c r="Z45" s="100">
        <v>8</v>
      </c>
      <c r="AA45" s="100">
        <v>9993.6</v>
      </c>
      <c r="AB45" s="100">
        <v>10</v>
      </c>
      <c r="AC45" s="100">
        <v>12492</v>
      </c>
      <c r="AD45" s="100">
        <v>6.1996595664281022</v>
      </c>
      <c r="AE45" s="100">
        <v>7744.6147303819853</v>
      </c>
      <c r="AF45" s="100">
        <v>6.9786892560953735</v>
      </c>
      <c r="AG45" s="100">
        <v>8717.7786187143411</v>
      </c>
      <c r="AH45" s="100">
        <v>13</v>
      </c>
      <c r="AI45" s="100">
        <v>16239.6</v>
      </c>
      <c r="AJ45" s="100">
        <v>4.1967661131549674</v>
      </c>
      <c r="AK45" s="100">
        <v>5242.6002285531858</v>
      </c>
      <c r="AL45" s="100">
        <v>9</v>
      </c>
      <c r="AM45" s="100">
        <v>11242.800000000001</v>
      </c>
      <c r="AN45" s="100">
        <v>14</v>
      </c>
      <c r="AO45" s="100">
        <v>17488.8</v>
      </c>
      <c r="AP45" s="100">
        <v>8.5221312888041556</v>
      </c>
      <c r="AQ45" s="100">
        <v>10645.846405974151</v>
      </c>
      <c r="AR45" s="100">
        <v>8.4630400289044191E-16</v>
      </c>
      <c r="AS45" s="100">
        <v>1.0572029604107402E-12</v>
      </c>
      <c r="AT45" s="100">
        <v>7</v>
      </c>
      <c r="AU45" s="100">
        <v>8744.4</v>
      </c>
      <c r="AV45" s="100">
        <v>14</v>
      </c>
      <c r="AW45" s="100">
        <v>17488.8</v>
      </c>
      <c r="AX45" s="100">
        <v>12</v>
      </c>
      <c r="AY45" s="100">
        <v>14990.400000000001</v>
      </c>
      <c r="AZ45" s="100">
        <v>12</v>
      </c>
      <c r="BA45" s="100">
        <v>14990.400000000001</v>
      </c>
      <c r="BB45" s="100">
        <v>7</v>
      </c>
      <c r="BC45" s="100">
        <v>8744.4</v>
      </c>
      <c r="BD45" s="100">
        <v>10.922707026778426</v>
      </c>
      <c r="BE45" s="100">
        <v>13644.645617851609</v>
      </c>
      <c r="BF45" s="100">
        <v>12</v>
      </c>
      <c r="BG45" s="100">
        <v>14990.400000000001</v>
      </c>
      <c r="BH45" s="100">
        <v>8.8067149822783239</v>
      </c>
      <c r="BI45" s="100">
        <v>11001.348355862083</v>
      </c>
      <c r="BJ45" s="100">
        <v>9</v>
      </c>
      <c r="BK45" s="100">
        <v>11242.800000000001</v>
      </c>
      <c r="BL45" s="100">
        <v>9</v>
      </c>
      <c r="BM45" s="100">
        <v>11242.800000000001</v>
      </c>
      <c r="BN45" s="100">
        <v>7</v>
      </c>
      <c r="BO45" s="100">
        <v>8744.4</v>
      </c>
      <c r="BP45" s="100">
        <v>10</v>
      </c>
      <c r="BQ45" s="100">
        <v>12492</v>
      </c>
      <c r="BR45" s="100">
        <v>10</v>
      </c>
      <c r="BS45" s="100">
        <v>12492</v>
      </c>
      <c r="BT45" s="100">
        <v>10</v>
      </c>
      <c r="BU45" s="100">
        <v>12492</v>
      </c>
      <c r="BV45" s="100">
        <v>11.494160733015546</v>
      </c>
      <c r="BW45" s="100">
        <v>14358.505587683021</v>
      </c>
      <c r="BX45" s="100">
        <v>0</v>
      </c>
      <c r="BY45" s="100">
        <v>0</v>
      </c>
      <c r="BZ45" s="100">
        <v>2.1953567068932949</v>
      </c>
      <c r="CA45" s="100">
        <v>2742.4395982511041</v>
      </c>
      <c r="CB45" s="100">
        <v>7.8536555495721814</v>
      </c>
      <c r="CC45" s="100">
        <v>9810.7865125255685</v>
      </c>
      <c r="CD45" s="100">
        <v>10</v>
      </c>
      <c r="CE45" s="100">
        <v>12492</v>
      </c>
      <c r="CF45" s="100">
        <v>8</v>
      </c>
      <c r="CG45" s="100">
        <v>9993.6</v>
      </c>
      <c r="CH45" s="100">
        <v>9</v>
      </c>
      <c r="CI45" s="100">
        <v>11242.800000000001</v>
      </c>
      <c r="CJ45" s="100">
        <v>13</v>
      </c>
      <c r="CK45" s="100">
        <v>16239.6</v>
      </c>
      <c r="CL45" s="100">
        <v>12</v>
      </c>
      <c r="CM45" s="100">
        <v>14990.400000000001</v>
      </c>
      <c r="CN45" s="100">
        <v>2.2570853383683054</v>
      </c>
      <c r="CO45" s="100">
        <v>2819.551004689687</v>
      </c>
      <c r="CP45" s="100">
        <v>10</v>
      </c>
      <c r="CQ45" s="100">
        <v>12492</v>
      </c>
      <c r="CR45" s="100">
        <v>11</v>
      </c>
      <c r="CS45" s="100">
        <v>13741.2</v>
      </c>
      <c r="CT45" s="100">
        <v>10.298945428728429</v>
      </c>
      <c r="CU45" s="100">
        <v>12865.442629567553</v>
      </c>
    </row>
    <row r="46" spans="2:99">
      <c r="C46" s="99" t="s">
        <v>212</v>
      </c>
      <c r="D46" s="100">
        <v>8.3830053829134634</v>
      </c>
      <c r="E46" s="100">
        <v>10160.202524091117</v>
      </c>
      <c r="F46" s="100">
        <v>3.5272161093249288</v>
      </c>
      <c r="G46" s="100">
        <v>4274.9859245018133</v>
      </c>
      <c r="H46" s="100">
        <v>14</v>
      </c>
      <c r="I46" s="100">
        <v>16968</v>
      </c>
      <c r="J46" s="100">
        <v>14</v>
      </c>
      <c r="K46" s="100">
        <v>16968</v>
      </c>
      <c r="L46" s="100">
        <v>13</v>
      </c>
      <c r="M46" s="100">
        <v>15756</v>
      </c>
      <c r="N46" s="100">
        <v>9</v>
      </c>
      <c r="O46" s="100">
        <v>10908</v>
      </c>
      <c r="P46" s="100">
        <v>13</v>
      </c>
      <c r="Q46" s="100">
        <v>15756</v>
      </c>
      <c r="R46" s="100">
        <v>12</v>
      </c>
      <c r="S46" s="100">
        <v>14544</v>
      </c>
      <c r="T46" s="100">
        <v>11</v>
      </c>
      <c r="U46" s="100">
        <v>13332</v>
      </c>
      <c r="V46" s="100">
        <v>10</v>
      </c>
      <c r="W46" s="100">
        <v>12120</v>
      </c>
      <c r="X46" s="100">
        <v>3.6390440886620947</v>
      </c>
      <c r="Y46" s="100">
        <v>4410.5214354584587</v>
      </c>
      <c r="Z46" s="100">
        <v>7</v>
      </c>
      <c r="AA46" s="100">
        <v>8484</v>
      </c>
      <c r="AB46" s="100">
        <v>11</v>
      </c>
      <c r="AC46" s="100">
        <v>13332</v>
      </c>
      <c r="AD46" s="100">
        <v>7.0853252187749733</v>
      </c>
      <c r="AE46" s="100">
        <v>8587.4141651552673</v>
      </c>
      <c r="AF46" s="100">
        <v>6.9786892560953735</v>
      </c>
      <c r="AG46" s="100">
        <v>8458.171378387593</v>
      </c>
      <c r="AH46" s="100">
        <v>12</v>
      </c>
      <c r="AI46" s="100">
        <v>14544</v>
      </c>
      <c r="AJ46" s="100">
        <v>4.1967661131549674</v>
      </c>
      <c r="AK46" s="100">
        <v>5086.4805291438206</v>
      </c>
      <c r="AL46" s="100">
        <v>10</v>
      </c>
      <c r="AM46" s="100">
        <v>12120</v>
      </c>
      <c r="AN46" s="100">
        <v>14</v>
      </c>
      <c r="AO46" s="100">
        <v>16968</v>
      </c>
      <c r="AP46" s="100">
        <v>8.5221312888041556</v>
      </c>
      <c r="AQ46" s="100">
        <v>10328.823122030637</v>
      </c>
      <c r="AR46" s="100">
        <v>8.4630400289044191E-16</v>
      </c>
      <c r="AS46" s="100">
        <v>1.0257204515032156E-12</v>
      </c>
      <c r="AT46" s="100">
        <v>8</v>
      </c>
      <c r="AU46" s="100">
        <v>9696</v>
      </c>
      <c r="AV46" s="100">
        <v>14</v>
      </c>
      <c r="AW46" s="100">
        <v>16968</v>
      </c>
      <c r="AX46" s="100">
        <v>10</v>
      </c>
      <c r="AY46" s="100">
        <v>12120</v>
      </c>
      <c r="AZ46" s="100">
        <v>13</v>
      </c>
      <c r="BA46" s="100">
        <v>15756</v>
      </c>
      <c r="BB46" s="100">
        <v>7</v>
      </c>
      <c r="BC46" s="100">
        <v>8484</v>
      </c>
      <c r="BD46" s="100">
        <v>10.012481441213556</v>
      </c>
      <c r="BE46" s="100">
        <v>12135.127506750829</v>
      </c>
      <c r="BF46" s="100">
        <v>12</v>
      </c>
      <c r="BG46" s="100">
        <v>14544</v>
      </c>
      <c r="BH46" s="100">
        <v>7.9260434840504912</v>
      </c>
      <c r="BI46" s="100">
        <v>9606.364702669196</v>
      </c>
      <c r="BJ46" s="100">
        <v>9</v>
      </c>
      <c r="BK46" s="100">
        <v>10908</v>
      </c>
      <c r="BL46" s="100">
        <v>8</v>
      </c>
      <c r="BM46" s="100">
        <v>9696</v>
      </c>
      <c r="BN46" s="100">
        <v>8</v>
      </c>
      <c r="BO46" s="100">
        <v>9696</v>
      </c>
      <c r="BP46" s="100">
        <v>10</v>
      </c>
      <c r="BQ46" s="100">
        <v>12120</v>
      </c>
      <c r="BR46" s="100">
        <v>11</v>
      </c>
      <c r="BS46" s="100">
        <v>13332</v>
      </c>
      <c r="BT46" s="100">
        <v>10</v>
      </c>
      <c r="BU46" s="100">
        <v>12120</v>
      </c>
      <c r="BV46" s="100">
        <v>9.5784672775129565</v>
      </c>
      <c r="BW46" s="100">
        <v>11609.102340345704</v>
      </c>
      <c r="BX46" s="100">
        <v>0</v>
      </c>
      <c r="BY46" s="100">
        <v>0</v>
      </c>
      <c r="BZ46" s="100">
        <v>2.7441958836166185</v>
      </c>
      <c r="CA46" s="100">
        <v>3325.9654109433418</v>
      </c>
      <c r="CB46" s="100">
        <v>7.8536555495721814</v>
      </c>
      <c r="CC46" s="100">
        <v>9518.6305260814843</v>
      </c>
      <c r="CD46" s="100">
        <v>9</v>
      </c>
      <c r="CE46" s="100">
        <v>10908</v>
      </c>
      <c r="CF46" s="100">
        <v>8</v>
      </c>
      <c r="CG46" s="100">
        <v>9696</v>
      </c>
      <c r="CH46" s="100">
        <v>9</v>
      </c>
      <c r="CI46" s="100">
        <v>10908</v>
      </c>
      <c r="CJ46" s="100">
        <v>12</v>
      </c>
      <c r="CK46" s="100">
        <v>14544</v>
      </c>
      <c r="CL46" s="100">
        <v>13</v>
      </c>
      <c r="CM46" s="100">
        <v>15756</v>
      </c>
      <c r="CN46" s="100">
        <v>2.2570853383683054</v>
      </c>
      <c r="CO46" s="100">
        <v>2735.587430102386</v>
      </c>
      <c r="CP46" s="100">
        <v>11</v>
      </c>
      <c r="CQ46" s="100">
        <v>13332</v>
      </c>
      <c r="CR46" s="100">
        <v>10</v>
      </c>
      <c r="CS46" s="100">
        <v>12120</v>
      </c>
      <c r="CT46" s="100">
        <v>10.298945428728429</v>
      </c>
      <c r="CU46" s="100">
        <v>12482.321859618856</v>
      </c>
    </row>
    <row r="47" spans="2:99">
      <c r="C47" s="99" t="s">
        <v>213</v>
      </c>
      <c r="D47" s="100">
        <v>9.3144504254594036</v>
      </c>
      <c r="E47" s="100">
        <v>14228.754469931784</v>
      </c>
      <c r="F47" s="100">
        <v>3.5272161093249288</v>
      </c>
      <c r="G47" s="100">
        <v>5388.1753286047606</v>
      </c>
      <c r="H47" s="100">
        <v>13</v>
      </c>
      <c r="I47" s="100">
        <v>19858.8</v>
      </c>
      <c r="J47" s="100">
        <v>13</v>
      </c>
      <c r="K47" s="100">
        <v>19858.8</v>
      </c>
      <c r="L47" s="100">
        <v>11</v>
      </c>
      <c r="M47" s="100">
        <v>16803.599999999999</v>
      </c>
      <c r="N47" s="100">
        <v>8</v>
      </c>
      <c r="O47" s="100">
        <v>12220.8</v>
      </c>
      <c r="P47" s="100">
        <v>14</v>
      </c>
      <c r="Q47" s="100">
        <v>21386.399999999998</v>
      </c>
      <c r="R47" s="100">
        <v>13</v>
      </c>
      <c r="S47" s="100">
        <v>19858.8</v>
      </c>
      <c r="T47" s="100">
        <v>12</v>
      </c>
      <c r="U47" s="100">
        <v>18331.199999999997</v>
      </c>
      <c r="V47" s="100">
        <v>10</v>
      </c>
      <c r="W47" s="100">
        <v>15276</v>
      </c>
      <c r="X47" s="100">
        <v>4.0939245997448568</v>
      </c>
      <c r="Y47" s="100">
        <v>6253.8792185702432</v>
      </c>
      <c r="Z47" s="100">
        <v>8</v>
      </c>
      <c r="AA47" s="100">
        <v>12220.8</v>
      </c>
      <c r="AB47" s="100">
        <v>11</v>
      </c>
      <c r="AC47" s="100">
        <v>16803.599999999999</v>
      </c>
      <c r="AD47" s="100">
        <v>7.0853252187749733</v>
      </c>
      <c r="AE47" s="100">
        <v>10823.542804200648</v>
      </c>
      <c r="AF47" s="100">
        <v>6.2808203304858363</v>
      </c>
      <c r="AG47" s="100">
        <v>9594.5811368501636</v>
      </c>
      <c r="AH47" s="100">
        <v>13</v>
      </c>
      <c r="AI47" s="100">
        <v>19858.8</v>
      </c>
      <c r="AJ47" s="100">
        <v>4.5782903052599639</v>
      </c>
      <c r="AK47" s="100">
        <v>6993.7962703151206</v>
      </c>
      <c r="AL47" s="100">
        <v>9</v>
      </c>
      <c r="AM47" s="100">
        <v>13748.4</v>
      </c>
      <c r="AN47" s="100">
        <v>12</v>
      </c>
      <c r="AO47" s="100">
        <v>18331.199999999997</v>
      </c>
      <c r="AP47" s="100">
        <v>8.5221312888041556</v>
      </c>
      <c r="AQ47" s="100">
        <v>13018.407756777227</v>
      </c>
      <c r="AR47" s="100">
        <v>8.4630400289044191E-16</v>
      </c>
      <c r="AS47" s="100">
        <v>1.292813994815439E-12</v>
      </c>
      <c r="AT47" s="100">
        <v>7</v>
      </c>
      <c r="AU47" s="100">
        <v>10693.199999999999</v>
      </c>
      <c r="AV47" s="100">
        <v>13</v>
      </c>
      <c r="AW47" s="100">
        <v>19858.8</v>
      </c>
      <c r="AX47" s="100">
        <v>11</v>
      </c>
      <c r="AY47" s="100">
        <v>16803.599999999999</v>
      </c>
      <c r="AZ47" s="100">
        <v>13</v>
      </c>
      <c r="BA47" s="100">
        <v>19858.8</v>
      </c>
      <c r="BB47" s="100">
        <v>7</v>
      </c>
      <c r="BC47" s="100">
        <v>10693.199999999999</v>
      </c>
      <c r="BD47" s="100">
        <v>10.922707026778426</v>
      </c>
      <c r="BE47" s="100">
        <v>16685.527254106721</v>
      </c>
      <c r="BF47" s="100">
        <v>10</v>
      </c>
      <c r="BG47" s="100">
        <v>15276</v>
      </c>
      <c r="BH47" s="100">
        <v>7.9260434840504912</v>
      </c>
      <c r="BI47" s="100">
        <v>12107.82402623553</v>
      </c>
      <c r="BJ47" s="100">
        <v>8</v>
      </c>
      <c r="BK47" s="100">
        <v>12220.8</v>
      </c>
      <c r="BL47" s="100">
        <v>8</v>
      </c>
      <c r="BM47" s="100">
        <v>12220.8</v>
      </c>
      <c r="BN47" s="100">
        <v>8</v>
      </c>
      <c r="BO47" s="100">
        <v>12220.8</v>
      </c>
      <c r="BP47" s="100">
        <v>9</v>
      </c>
      <c r="BQ47" s="100">
        <v>13748.4</v>
      </c>
      <c r="BR47" s="100">
        <v>9</v>
      </c>
      <c r="BS47" s="100">
        <v>13748.4</v>
      </c>
      <c r="BT47" s="100">
        <v>10</v>
      </c>
      <c r="BU47" s="100">
        <v>15276</v>
      </c>
      <c r="BV47" s="100">
        <v>11.494160733015546</v>
      </c>
      <c r="BW47" s="100">
        <v>17558.479935754545</v>
      </c>
      <c r="BX47" s="100">
        <v>0</v>
      </c>
      <c r="BY47" s="100">
        <v>0</v>
      </c>
      <c r="BZ47" s="100">
        <v>2.7441958836166185</v>
      </c>
      <c r="CA47" s="100">
        <v>4192.0336318127465</v>
      </c>
      <c r="CB47" s="100">
        <v>6.9810271551752727</v>
      </c>
      <c r="CC47" s="100">
        <v>10664.217082245746</v>
      </c>
      <c r="CD47" s="100">
        <v>10</v>
      </c>
      <c r="CE47" s="100">
        <v>15276</v>
      </c>
      <c r="CF47" s="100">
        <v>8</v>
      </c>
      <c r="CG47" s="100">
        <v>12220.8</v>
      </c>
      <c r="CH47" s="100">
        <v>9</v>
      </c>
      <c r="CI47" s="100">
        <v>13748.4</v>
      </c>
      <c r="CJ47" s="100">
        <v>14</v>
      </c>
      <c r="CK47" s="100">
        <v>21386.399999999998</v>
      </c>
      <c r="CL47" s="100">
        <v>12</v>
      </c>
      <c r="CM47" s="100">
        <v>18331.199999999997</v>
      </c>
      <c r="CN47" s="100">
        <v>2.0689948935042799</v>
      </c>
      <c r="CO47" s="100">
        <v>3160.5965993171376</v>
      </c>
      <c r="CP47" s="100">
        <v>9</v>
      </c>
      <c r="CQ47" s="100">
        <v>13748.4</v>
      </c>
      <c r="CR47" s="100">
        <v>10</v>
      </c>
      <c r="CS47" s="100">
        <v>15276</v>
      </c>
      <c r="CT47" s="100">
        <v>10.298945428728429</v>
      </c>
      <c r="CU47" s="100">
        <v>15732.669036925547</v>
      </c>
    </row>
    <row r="48" spans="2:99">
      <c r="C48" s="99" t="s">
        <v>214</v>
      </c>
      <c r="D48" s="100">
        <v>8.3830053829134634</v>
      </c>
      <c r="E48" s="100">
        <v>7273.0954702157214</v>
      </c>
      <c r="F48" s="100">
        <v>3.5272161093249288</v>
      </c>
      <c r="G48" s="100">
        <v>3060.2126964503082</v>
      </c>
      <c r="H48" s="100">
        <v>14</v>
      </c>
      <c r="I48" s="100">
        <v>12146.4</v>
      </c>
      <c r="J48" s="100">
        <v>13</v>
      </c>
      <c r="K48" s="100">
        <v>11278.800000000001</v>
      </c>
      <c r="L48" s="100">
        <v>11</v>
      </c>
      <c r="M48" s="100">
        <v>9543.6</v>
      </c>
      <c r="N48" s="100">
        <v>9</v>
      </c>
      <c r="O48" s="100">
        <v>7808.4000000000005</v>
      </c>
      <c r="P48" s="100">
        <v>13</v>
      </c>
      <c r="Q48" s="100">
        <v>11278.800000000001</v>
      </c>
      <c r="R48" s="100">
        <v>14</v>
      </c>
      <c r="S48" s="100">
        <v>12146.4</v>
      </c>
      <c r="T48" s="100">
        <v>11</v>
      </c>
      <c r="U48" s="100">
        <v>9543.6</v>
      </c>
      <c r="V48" s="100">
        <v>11</v>
      </c>
      <c r="W48" s="100">
        <v>9543.6</v>
      </c>
      <c r="X48" s="100">
        <v>4.0939245997448568</v>
      </c>
      <c r="Y48" s="100">
        <v>3551.8889827386379</v>
      </c>
      <c r="Z48" s="100">
        <v>9</v>
      </c>
      <c r="AA48" s="100">
        <v>7808.4000000000005</v>
      </c>
      <c r="AB48" s="100">
        <v>11</v>
      </c>
      <c r="AC48" s="100">
        <v>9543.6</v>
      </c>
      <c r="AD48" s="100">
        <v>7.9709908711218453</v>
      </c>
      <c r="AE48" s="100">
        <v>6915.6316797853133</v>
      </c>
      <c r="AF48" s="100">
        <v>6.2808203304858363</v>
      </c>
      <c r="AG48" s="100">
        <v>5449.2397187295119</v>
      </c>
      <c r="AH48" s="100">
        <v>13</v>
      </c>
      <c r="AI48" s="100">
        <v>11278.800000000001</v>
      </c>
      <c r="AJ48" s="100">
        <v>4.5782903052599639</v>
      </c>
      <c r="AK48" s="100">
        <v>3972.1246688435449</v>
      </c>
      <c r="AL48" s="100">
        <v>9</v>
      </c>
      <c r="AM48" s="100">
        <v>7808.4000000000005</v>
      </c>
      <c r="AN48" s="100">
        <v>14</v>
      </c>
      <c r="AO48" s="100">
        <v>12146.4</v>
      </c>
      <c r="AP48" s="100">
        <v>8.5221312888041556</v>
      </c>
      <c r="AQ48" s="100">
        <v>7393.8011061664856</v>
      </c>
      <c r="AR48" s="100">
        <v>9.1682933646464538E-16</v>
      </c>
      <c r="AS48" s="100">
        <v>7.9544113231672638E-13</v>
      </c>
      <c r="AT48" s="100">
        <v>8</v>
      </c>
      <c r="AU48" s="100">
        <v>6940.8</v>
      </c>
      <c r="AV48" s="100">
        <v>16</v>
      </c>
      <c r="AW48" s="100">
        <v>13881.6</v>
      </c>
      <c r="AX48" s="100">
        <v>12</v>
      </c>
      <c r="AY48" s="100">
        <v>10411.200000000001</v>
      </c>
      <c r="AZ48" s="100">
        <v>12</v>
      </c>
      <c r="BA48" s="100">
        <v>10411.200000000001</v>
      </c>
      <c r="BB48" s="100">
        <v>8</v>
      </c>
      <c r="BC48" s="100">
        <v>6940.8</v>
      </c>
      <c r="BD48" s="100">
        <v>10.012481441213556</v>
      </c>
      <c r="BE48" s="100">
        <v>8686.8288983968814</v>
      </c>
      <c r="BF48" s="100">
        <v>11</v>
      </c>
      <c r="BG48" s="100">
        <v>9543.6</v>
      </c>
      <c r="BH48" s="100">
        <v>8.8067149822783239</v>
      </c>
      <c r="BI48" s="100">
        <v>7640.7059186246743</v>
      </c>
      <c r="BJ48" s="100">
        <v>9</v>
      </c>
      <c r="BK48" s="100">
        <v>7808.4000000000005</v>
      </c>
      <c r="BL48" s="100">
        <v>9</v>
      </c>
      <c r="BM48" s="100">
        <v>7808.4000000000005</v>
      </c>
      <c r="BN48" s="100">
        <v>8</v>
      </c>
      <c r="BO48" s="100">
        <v>6940.8</v>
      </c>
      <c r="BP48" s="100">
        <v>10</v>
      </c>
      <c r="BQ48" s="100">
        <v>8676</v>
      </c>
      <c r="BR48" s="100">
        <v>11</v>
      </c>
      <c r="BS48" s="100">
        <v>9543.6</v>
      </c>
      <c r="BT48" s="100">
        <v>11</v>
      </c>
      <c r="BU48" s="100">
        <v>9543.6</v>
      </c>
      <c r="BV48" s="100">
        <v>11.494160733015546</v>
      </c>
      <c r="BW48" s="100">
        <v>9972.3338519642875</v>
      </c>
      <c r="BX48" s="100">
        <v>0</v>
      </c>
      <c r="BY48" s="100">
        <v>0</v>
      </c>
      <c r="BZ48" s="100">
        <v>2.4697762952549565</v>
      </c>
      <c r="CA48" s="100">
        <v>2142.7779137632001</v>
      </c>
      <c r="CB48" s="100">
        <v>7.8536555495721814</v>
      </c>
      <c r="CC48" s="100">
        <v>6813.8315548088249</v>
      </c>
      <c r="CD48" s="100">
        <v>10</v>
      </c>
      <c r="CE48" s="100">
        <v>8676</v>
      </c>
      <c r="CF48" s="100">
        <v>8</v>
      </c>
      <c r="CG48" s="100">
        <v>6940.8</v>
      </c>
      <c r="CH48" s="100">
        <v>8</v>
      </c>
      <c r="CI48" s="100">
        <v>6940.8</v>
      </c>
      <c r="CJ48" s="100">
        <v>14</v>
      </c>
      <c r="CK48" s="100">
        <v>12146.4</v>
      </c>
      <c r="CL48" s="100">
        <v>14</v>
      </c>
      <c r="CM48" s="100">
        <v>12146.4</v>
      </c>
      <c r="CN48" s="100">
        <v>2.0689948935042799</v>
      </c>
      <c r="CO48" s="100">
        <v>1795.0599696043132</v>
      </c>
      <c r="CP48" s="100">
        <v>11</v>
      </c>
      <c r="CQ48" s="100">
        <v>9543.6</v>
      </c>
      <c r="CR48" s="100">
        <v>10</v>
      </c>
      <c r="CS48" s="100">
        <v>8676</v>
      </c>
      <c r="CT48" s="100">
        <v>10.298945428728429</v>
      </c>
      <c r="CU48" s="100">
        <v>8935.3650539647842</v>
      </c>
    </row>
    <row r="49" spans="2:99">
      <c r="B49" s="99" t="s">
        <v>129</v>
      </c>
      <c r="C49" s="99" t="s">
        <v>215</v>
      </c>
      <c r="D49" s="100">
        <v>5.1844413169878232</v>
      </c>
      <c r="E49" s="100">
        <v>5107.7115854964031</v>
      </c>
      <c r="F49" s="100">
        <v>0.58887778903199983</v>
      </c>
      <c r="G49" s="100">
        <v>580.16239775432621</v>
      </c>
      <c r="H49" s="100">
        <v>5</v>
      </c>
      <c r="I49" s="100">
        <v>4926</v>
      </c>
      <c r="J49" s="100">
        <v>7</v>
      </c>
      <c r="K49" s="100">
        <v>6896.4</v>
      </c>
      <c r="L49" s="100">
        <v>8</v>
      </c>
      <c r="M49" s="100">
        <v>7881.5999999999995</v>
      </c>
      <c r="N49" s="100">
        <v>9</v>
      </c>
      <c r="O49" s="100">
        <v>8866.7999999999993</v>
      </c>
      <c r="P49" s="100">
        <v>11</v>
      </c>
      <c r="Q49" s="100">
        <v>10837.199999999999</v>
      </c>
      <c r="R49" s="100">
        <v>10</v>
      </c>
      <c r="S49" s="100">
        <v>9852</v>
      </c>
      <c r="T49" s="100">
        <v>10</v>
      </c>
      <c r="U49" s="100">
        <v>9852</v>
      </c>
      <c r="V49" s="100">
        <v>9</v>
      </c>
      <c r="W49" s="100">
        <v>8866.7999999999993</v>
      </c>
      <c r="X49" s="100">
        <v>7.0272284799313898</v>
      </c>
      <c r="Y49" s="100">
        <v>6923.2254984284045</v>
      </c>
      <c r="Z49" s="100">
        <v>5</v>
      </c>
      <c r="AA49" s="100">
        <v>4926</v>
      </c>
      <c r="AB49" s="100">
        <v>10</v>
      </c>
      <c r="AC49" s="100">
        <v>9852</v>
      </c>
      <c r="AD49" s="100">
        <v>11</v>
      </c>
      <c r="AE49" s="100">
        <v>10837.199999999999</v>
      </c>
      <c r="AF49" s="100">
        <v>7</v>
      </c>
      <c r="AG49" s="100">
        <v>6896.4</v>
      </c>
      <c r="AH49" s="100">
        <v>6</v>
      </c>
      <c r="AI49" s="100">
        <v>5911.2</v>
      </c>
      <c r="AJ49" s="100">
        <v>10</v>
      </c>
      <c r="AK49" s="100">
        <v>9852</v>
      </c>
      <c r="AL49" s="100">
        <v>8</v>
      </c>
      <c r="AM49" s="100">
        <v>7881.5999999999995</v>
      </c>
      <c r="AN49" s="100">
        <v>3.5393738966920636</v>
      </c>
      <c r="AO49" s="100">
        <v>3486.9911630210208</v>
      </c>
      <c r="AP49" s="100">
        <v>5.8604651162790278</v>
      </c>
      <c r="AQ49" s="100">
        <v>5773.7302325580977</v>
      </c>
      <c r="AR49" s="100">
        <v>11</v>
      </c>
      <c r="AS49" s="100">
        <v>10837.199999999999</v>
      </c>
      <c r="AT49" s="100">
        <v>11</v>
      </c>
      <c r="AU49" s="100">
        <v>10837.199999999999</v>
      </c>
      <c r="AV49" s="100">
        <v>9</v>
      </c>
      <c r="AW49" s="100">
        <v>8866.7999999999993</v>
      </c>
      <c r="AX49" s="100">
        <v>11</v>
      </c>
      <c r="AY49" s="100">
        <v>10837.199999999999</v>
      </c>
      <c r="AZ49" s="100">
        <v>8</v>
      </c>
      <c r="BA49" s="100">
        <v>7881.5999999999995</v>
      </c>
      <c r="BB49" s="100">
        <v>7</v>
      </c>
      <c r="BC49" s="100">
        <v>6896.4</v>
      </c>
      <c r="BD49" s="100">
        <v>9</v>
      </c>
      <c r="BE49" s="100">
        <v>8866.7999999999993</v>
      </c>
      <c r="BF49" s="100">
        <v>3.8044498124422952</v>
      </c>
      <c r="BG49" s="100">
        <v>3748.1439552181491</v>
      </c>
      <c r="BH49" s="100">
        <v>5.0943396226414741</v>
      </c>
      <c r="BI49" s="100">
        <v>5018.9433962263802</v>
      </c>
      <c r="BJ49" s="100">
        <v>10</v>
      </c>
      <c r="BK49" s="100">
        <v>9852</v>
      </c>
      <c r="BL49" s="100">
        <v>7</v>
      </c>
      <c r="BM49" s="100">
        <v>6896.4</v>
      </c>
      <c r="BN49" s="100">
        <v>6</v>
      </c>
      <c r="BO49" s="100">
        <v>5911.2</v>
      </c>
      <c r="BP49" s="100">
        <v>8</v>
      </c>
      <c r="BQ49" s="100">
        <v>7881.5999999999995</v>
      </c>
      <c r="BR49" s="100">
        <v>8</v>
      </c>
      <c r="BS49" s="100">
        <v>7881.5999999999995</v>
      </c>
      <c r="BT49" s="100">
        <v>9</v>
      </c>
      <c r="BU49" s="100">
        <v>8866.7999999999993</v>
      </c>
      <c r="BV49" s="100">
        <v>7</v>
      </c>
      <c r="BW49" s="100">
        <v>6896.4</v>
      </c>
      <c r="BX49" s="100">
        <v>3.6293564563254743</v>
      </c>
      <c r="BY49" s="100">
        <v>3575.6419807718571</v>
      </c>
      <c r="BZ49" s="100">
        <v>8</v>
      </c>
      <c r="CA49" s="100">
        <v>7881.5999999999995</v>
      </c>
      <c r="CB49" s="100">
        <v>6</v>
      </c>
      <c r="CC49" s="100">
        <v>5911.2</v>
      </c>
      <c r="CD49" s="100">
        <v>7</v>
      </c>
      <c r="CE49" s="100">
        <v>6896.4</v>
      </c>
      <c r="CF49" s="100">
        <v>9</v>
      </c>
      <c r="CG49" s="100">
        <v>8866.7999999999993</v>
      </c>
      <c r="CH49" s="100">
        <v>7</v>
      </c>
      <c r="CI49" s="100">
        <v>6896.4</v>
      </c>
      <c r="CJ49" s="100">
        <v>4.6879832425822006</v>
      </c>
      <c r="CK49" s="100">
        <v>4618.6010905919838</v>
      </c>
      <c r="CL49" s="100">
        <v>6.2750684660730141</v>
      </c>
      <c r="CM49" s="100">
        <v>6182.1974527751327</v>
      </c>
      <c r="CN49" s="100">
        <v>10</v>
      </c>
      <c r="CO49" s="100">
        <v>9852</v>
      </c>
      <c r="CP49" s="100">
        <v>8</v>
      </c>
      <c r="CQ49" s="100">
        <v>7881.5999999999995</v>
      </c>
      <c r="CR49" s="100">
        <v>9.9607853214273163</v>
      </c>
      <c r="CS49" s="100">
        <v>9813.3656986701917</v>
      </c>
      <c r="CT49" s="100">
        <v>7</v>
      </c>
      <c r="CU49" s="100">
        <v>6896.4</v>
      </c>
    </row>
    <row r="50" spans="2:99">
      <c r="C50" s="99" t="s">
        <v>216</v>
      </c>
      <c r="D50" s="100">
        <v>5.5886702552756429</v>
      </c>
      <c r="E50" s="100">
        <v>1576.0050119877312</v>
      </c>
      <c r="F50" s="100">
        <v>2.519440078089235</v>
      </c>
      <c r="G50" s="100">
        <v>710.48210202116422</v>
      </c>
      <c r="H50" s="100">
        <v>6</v>
      </c>
      <c r="I50" s="100">
        <v>1692</v>
      </c>
      <c r="J50" s="100">
        <v>8</v>
      </c>
      <c r="K50" s="100">
        <v>2256</v>
      </c>
      <c r="L50" s="100">
        <v>10</v>
      </c>
      <c r="M50" s="100">
        <v>2820</v>
      </c>
      <c r="N50" s="100">
        <v>10</v>
      </c>
      <c r="O50" s="100">
        <v>2820</v>
      </c>
      <c r="P50" s="100">
        <v>12</v>
      </c>
      <c r="Q50" s="100">
        <v>3384</v>
      </c>
      <c r="R50" s="100">
        <v>12</v>
      </c>
      <c r="S50" s="100">
        <v>3384</v>
      </c>
      <c r="T50" s="100">
        <v>10</v>
      </c>
      <c r="U50" s="100">
        <v>2820</v>
      </c>
      <c r="V50" s="100">
        <v>10</v>
      </c>
      <c r="W50" s="100">
        <v>2820</v>
      </c>
      <c r="X50" s="100">
        <v>4.548805110827618</v>
      </c>
      <c r="Y50" s="100">
        <v>1282.7630412533883</v>
      </c>
      <c r="Z50" s="100">
        <v>6</v>
      </c>
      <c r="AA50" s="100">
        <v>1692</v>
      </c>
      <c r="AB50" s="100">
        <v>10</v>
      </c>
      <c r="AC50" s="100">
        <v>2820</v>
      </c>
      <c r="AD50" s="100">
        <v>9.7423221758155893</v>
      </c>
      <c r="AE50" s="100">
        <v>2747.334853579996</v>
      </c>
      <c r="AF50" s="100">
        <v>4.885082479266762</v>
      </c>
      <c r="AG50" s="100">
        <v>1377.5932591532269</v>
      </c>
      <c r="AH50" s="100">
        <v>6</v>
      </c>
      <c r="AI50" s="100">
        <v>1692</v>
      </c>
      <c r="AJ50" s="100">
        <v>3.4337177289449734</v>
      </c>
      <c r="AK50" s="100">
        <v>968.30839956248246</v>
      </c>
      <c r="AL50" s="100">
        <v>7</v>
      </c>
      <c r="AM50" s="100">
        <v>1974</v>
      </c>
      <c r="AN50" s="100">
        <v>5</v>
      </c>
      <c r="AO50" s="100">
        <v>1410</v>
      </c>
      <c r="AP50" s="100">
        <v>5.6814208592027704</v>
      </c>
      <c r="AQ50" s="100">
        <v>1602.1606822951812</v>
      </c>
      <c r="AR50" s="100">
        <v>7.0525333574203497E-16</v>
      </c>
      <c r="AS50" s="100">
        <v>1.9888144067925387E-13</v>
      </c>
      <c r="AT50" s="100">
        <v>12</v>
      </c>
      <c r="AU50" s="100">
        <v>3384</v>
      </c>
      <c r="AV50" s="100">
        <v>10</v>
      </c>
      <c r="AW50" s="100">
        <v>2820</v>
      </c>
      <c r="AX50" s="100">
        <v>11</v>
      </c>
      <c r="AY50" s="100">
        <v>3102</v>
      </c>
      <c r="AZ50" s="100">
        <v>7</v>
      </c>
      <c r="BA50" s="100">
        <v>1974</v>
      </c>
      <c r="BB50" s="100">
        <v>8</v>
      </c>
      <c r="BC50" s="100">
        <v>2256</v>
      </c>
      <c r="BD50" s="100">
        <v>8.1920302700838192</v>
      </c>
      <c r="BE50" s="100">
        <v>2310.1525361636368</v>
      </c>
      <c r="BF50" s="100">
        <v>8</v>
      </c>
      <c r="BG50" s="100">
        <v>2256</v>
      </c>
      <c r="BH50" s="100">
        <v>5.2840289893669938</v>
      </c>
      <c r="BI50" s="100">
        <v>1490.0961750014922</v>
      </c>
      <c r="BJ50" s="100">
        <v>9</v>
      </c>
      <c r="BK50" s="100">
        <v>2538</v>
      </c>
      <c r="BL50" s="100">
        <v>8</v>
      </c>
      <c r="BM50" s="100">
        <v>2256</v>
      </c>
      <c r="BN50" s="100">
        <v>6</v>
      </c>
      <c r="BO50" s="100">
        <v>1692</v>
      </c>
      <c r="BP50" s="100">
        <v>8</v>
      </c>
      <c r="BQ50" s="100">
        <v>2256</v>
      </c>
      <c r="BR50" s="100">
        <v>9</v>
      </c>
      <c r="BS50" s="100">
        <v>2538</v>
      </c>
      <c r="BT50" s="100">
        <v>8</v>
      </c>
      <c r="BU50" s="100">
        <v>2256</v>
      </c>
      <c r="BV50" s="100">
        <v>6.7049270942590686</v>
      </c>
      <c r="BW50" s="100">
        <v>1890.7894405810573</v>
      </c>
      <c r="BX50" s="100">
        <v>0</v>
      </c>
      <c r="BY50" s="100">
        <v>0</v>
      </c>
      <c r="BZ50" s="100">
        <v>2.4697762952549565</v>
      </c>
      <c r="CA50" s="100">
        <v>696.47691526189772</v>
      </c>
      <c r="CB50" s="100">
        <v>5.2357703663814545</v>
      </c>
      <c r="CC50" s="100">
        <v>1476.4872433195701</v>
      </c>
      <c r="CD50" s="100">
        <v>7</v>
      </c>
      <c r="CE50" s="100">
        <v>1974</v>
      </c>
      <c r="CF50" s="100">
        <v>11</v>
      </c>
      <c r="CG50" s="100">
        <v>3102</v>
      </c>
      <c r="CH50" s="100">
        <v>8</v>
      </c>
      <c r="CI50" s="100">
        <v>2256</v>
      </c>
      <c r="CJ50" s="100">
        <v>5</v>
      </c>
      <c r="CK50" s="100">
        <v>1410</v>
      </c>
      <c r="CL50" s="100">
        <v>7</v>
      </c>
      <c r="CM50" s="100">
        <v>1974</v>
      </c>
      <c r="CN50" s="100">
        <v>1.6928140037762291</v>
      </c>
      <c r="CO50" s="100">
        <v>477.37354906489662</v>
      </c>
      <c r="CP50" s="100">
        <v>7</v>
      </c>
      <c r="CQ50" s="100">
        <v>1974</v>
      </c>
      <c r="CR50" s="100">
        <v>11</v>
      </c>
      <c r="CS50" s="100">
        <v>3102</v>
      </c>
      <c r="CT50" s="100">
        <v>6.5538743637362726</v>
      </c>
      <c r="CU50" s="100">
        <v>1848.1925705736289</v>
      </c>
    </row>
    <row r="51" spans="2:99">
      <c r="C51" s="99" t="s">
        <v>217</v>
      </c>
      <c r="D51" s="100">
        <v>6.5201152978215822</v>
      </c>
      <c r="E51" s="100">
        <v>5570.7865104587599</v>
      </c>
      <c r="F51" s="100">
        <v>2.519440078089235</v>
      </c>
      <c r="G51" s="100">
        <v>2152.6096027194421</v>
      </c>
      <c r="H51" s="100">
        <v>6</v>
      </c>
      <c r="I51" s="100">
        <v>5126.3999999999996</v>
      </c>
      <c r="J51" s="100">
        <v>7</v>
      </c>
      <c r="K51" s="100">
        <v>5980.8</v>
      </c>
      <c r="L51" s="100">
        <v>9</v>
      </c>
      <c r="M51" s="100">
        <v>7689.5999999999995</v>
      </c>
      <c r="N51" s="100">
        <v>10</v>
      </c>
      <c r="O51" s="100">
        <v>8544</v>
      </c>
      <c r="P51" s="100">
        <v>10</v>
      </c>
      <c r="Q51" s="100">
        <v>8544</v>
      </c>
      <c r="R51" s="100">
        <v>10</v>
      </c>
      <c r="S51" s="100">
        <v>8544</v>
      </c>
      <c r="T51" s="100">
        <v>9</v>
      </c>
      <c r="U51" s="100">
        <v>7689.5999999999995</v>
      </c>
      <c r="V51" s="100">
        <v>10</v>
      </c>
      <c r="W51" s="100">
        <v>8544</v>
      </c>
      <c r="X51" s="100">
        <v>4.548805110827618</v>
      </c>
      <c r="Y51" s="100">
        <v>3886.4990866911166</v>
      </c>
      <c r="Z51" s="100">
        <v>6</v>
      </c>
      <c r="AA51" s="100">
        <v>5126.3999999999996</v>
      </c>
      <c r="AB51" s="100">
        <v>9</v>
      </c>
      <c r="AC51" s="100">
        <v>7689.5999999999995</v>
      </c>
      <c r="AD51" s="100">
        <v>7.9709908711218453</v>
      </c>
      <c r="AE51" s="100">
        <v>6810.4146002865045</v>
      </c>
      <c r="AF51" s="100">
        <v>4.1872135536572248</v>
      </c>
      <c r="AG51" s="100">
        <v>3577.5552602447328</v>
      </c>
      <c r="AH51" s="100">
        <v>6</v>
      </c>
      <c r="AI51" s="100">
        <v>5126.3999999999996</v>
      </c>
      <c r="AJ51" s="100">
        <v>3.4337177289449734</v>
      </c>
      <c r="AK51" s="100">
        <v>2933.7684276105851</v>
      </c>
      <c r="AL51" s="100">
        <v>7</v>
      </c>
      <c r="AM51" s="100">
        <v>5980.8</v>
      </c>
      <c r="AN51" s="100">
        <v>5</v>
      </c>
      <c r="AO51" s="100">
        <v>4272</v>
      </c>
      <c r="AP51" s="100">
        <v>5.6814208592027704</v>
      </c>
      <c r="AQ51" s="100">
        <v>4854.205982102847</v>
      </c>
      <c r="AR51" s="100">
        <v>7.7577866931623844E-16</v>
      </c>
      <c r="AS51" s="100">
        <v>6.6282529506379407E-13</v>
      </c>
      <c r="AT51" s="100">
        <v>10</v>
      </c>
      <c r="AU51" s="100">
        <v>8544</v>
      </c>
      <c r="AV51" s="100">
        <v>9</v>
      </c>
      <c r="AW51" s="100">
        <v>7689.5999999999995</v>
      </c>
      <c r="AX51" s="100">
        <v>11</v>
      </c>
      <c r="AY51" s="100">
        <v>9398.4</v>
      </c>
      <c r="AZ51" s="100">
        <v>8</v>
      </c>
      <c r="BA51" s="100">
        <v>6835.2</v>
      </c>
      <c r="BB51" s="100">
        <v>7</v>
      </c>
      <c r="BC51" s="100">
        <v>5980.8</v>
      </c>
      <c r="BD51" s="100">
        <v>7.2818046845189492</v>
      </c>
      <c r="BE51" s="100">
        <v>6221.5739224529898</v>
      </c>
      <c r="BF51" s="100">
        <v>8</v>
      </c>
      <c r="BG51" s="100">
        <v>6835.2</v>
      </c>
      <c r="BH51" s="100">
        <v>5.2840289893669938</v>
      </c>
      <c r="BI51" s="100">
        <v>4514.6743685151596</v>
      </c>
      <c r="BJ51" s="100">
        <v>10</v>
      </c>
      <c r="BK51" s="100">
        <v>8544</v>
      </c>
      <c r="BL51" s="100">
        <v>6</v>
      </c>
      <c r="BM51" s="100">
        <v>5126.3999999999996</v>
      </c>
      <c r="BN51" s="100">
        <v>6</v>
      </c>
      <c r="BO51" s="100">
        <v>5126.3999999999996</v>
      </c>
      <c r="BP51" s="100">
        <v>7</v>
      </c>
      <c r="BQ51" s="100">
        <v>5980.8</v>
      </c>
      <c r="BR51" s="100">
        <v>8</v>
      </c>
      <c r="BS51" s="100">
        <v>6835.2</v>
      </c>
      <c r="BT51" s="100">
        <v>9</v>
      </c>
      <c r="BU51" s="100">
        <v>7689.5999999999995</v>
      </c>
      <c r="BV51" s="100">
        <v>6.7049270942590686</v>
      </c>
      <c r="BW51" s="100">
        <v>5728.689709334948</v>
      </c>
      <c r="BX51" s="100">
        <v>0</v>
      </c>
      <c r="BY51" s="100">
        <v>0</v>
      </c>
      <c r="BZ51" s="100">
        <v>2.4697762952549565</v>
      </c>
      <c r="CA51" s="100">
        <v>2110.176866665835</v>
      </c>
      <c r="CB51" s="100">
        <v>4.363141971984545</v>
      </c>
      <c r="CC51" s="100">
        <v>3727.8685008635953</v>
      </c>
      <c r="CD51" s="100">
        <v>7</v>
      </c>
      <c r="CE51" s="100">
        <v>5980.8</v>
      </c>
      <c r="CF51" s="100">
        <v>9</v>
      </c>
      <c r="CG51" s="100">
        <v>7689.5999999999995</v>
      </c>
      <c r="CH51" s="100">
        <v>7</v>
      </c>
      <c r="CI51" s="100">
        <v>5980.8</v>
      </c>
      <c r="CJ51" s="100">
        <v>5</v>
      </c>
      <c r="CK51" s="100">
        <v>4272</v>
      </c>
      <c r="CL51" s="100">
        <v>7</v>
      </c>
      <c r="CM51" s="100">
        <v>5980.8</v>
      </c>
      <c r="CN51" s="100">
        <v>1.5047235589122037</v>
      </c>
      <c r="CO51" s="100">
        <v>1285.6358087345868</v>
      </c>
      <c r="CP51" s="100">
        <v>7</v>
      </c>
      <c r="CQ51" s="100">
        <v>5980.8</v>
      </c>
      <c r="CR51" s="100">
        <v>10</v>
      </c>
      <c r="CS51" s="100">
        <v>8544</v>
      </c>
      <c r="CT51" s="100">
        <v>5.6176065974882325</v>
      </c>
      <c r="CU51" s="100">
        <v>4799.6830768939453</v>
      </c>
    </row>
    <row r="52" spans="2:99">
      <c r="C52" s="99" t="s">
        <v>218</v>
      </c>
      <c r="D52" s="100">
        <v>6.5201152978215822</v>
      </c>
      <c r="E52" s="100">
        <v>3520.8622608236542</v>
      </c>
      <c r="F52" s="100">
        <v>2.2674960702803113</v>
      </c>
      <c r="G52" s="100">
        <v>1224.4478779513681</v>
      </c>
      <c r="H52" s="100">
        <v>6</v>
      </c>
      <c r="I52" s="100">
        <v>3240</v>
      </c>
      <c r="J52" s="100">
        <v>7</v>
      </c>
      <c r="K52" s="100">
        <v>3780</v>
      </c>
      <c r="L52" s="100">
        <v>8</v>
      </c>
      <c r="M52" s="100">
        <v>4320</v>
      </c>
      <c r="N52" s="100">
        <v>10</v>
      </c>
      <c r="O52" s="100">
        <v>5400</v>
      </c>
      <c r="P52" s="100">
        <v>10</v>
      </c>
      <c r="Q52" s="100">
        <v>5400</v>
      </c>
      <c r="R52" s="100">
        <v>10</v>
      </c>
      <c r="S52" s="100">
        <v>5400</v>
      </c>
      <c r="T52" s="100">
        <v>11</v>
      </c>
      <c r="U52" s="100">
        <v>5940</v>
      </c>
      <c r="V52" s="100">
        <v>10</v>
      </c>
      <c r="W52" s="100">
        <v>5400</v>
      </c>
      <c r="X52" s="100">
        <v>5.00368562191038</v>
      </c>
      <c r="Y52" s="100">
        <v>2701.9902358316053</v>
      </c>
      <c r="Z52" s="100">
        <v>6</v>
      </c>
      <c r="AA52" s="100">
        <v>3240</v>
      </c>
      <c r="AB52" s="100">
        <v>10</v>
      </c>
      <c r="AC52" s="100">
        <v>5400</v>
      </c>
      <c r="AD52" s="100">
        <v>9.7423221758155893</v>
      </c>
      <c r="AE52" s="100">
        <v>5260.8539749404181</v>
      </c>
      <c r="AF52" s="100">
        <v>4.885082479266762</v>
      </c>
      <c r="AG52" s="100">
        <v>2637.9445388040513</v>
      </c>
      <c r="AH52" s="100">
        <v>6</v>
      </c>
      <c r="AI52" s="100">
        <v>3240</v>
      </c>
      <c r="AJ52" s="100">
        <v>3.8152419210499704</v>
      </c>
      <c r="AK52" s="100">
        <v>2060.230637366984</v>
      </c>
      <c r="AL52" s="100">
        <v>7</v>
      </c>
      <c r="AM52" s="100">
        <v>3780</v>
      </c>
      <c r="AN52" s="100">
        <v>5</v>
      </c>
      <c r="AO52" s="100">
        <v>2700</v>
      </c>
      <c r="AP52" s="100">
        <v>5.6814208592027704</v>
      </c>
      <c r="AQ52" s="100">
        <v>3067.9672639694959</v>
      </c>
      <c r="AR52" s="100">
        <v>7.7577866931623844E-16</v>
      </c>
      <c r="AS52" s="100">
        <v>4.1892048143076877E-13</v>
      </c>
      <c r="AT52" s="100">
        <v>10</v>
      </c>
      <c r="AU52" s="100">
        <v>5400</v>
      </c>
      <c r="AV52" s="100">
        <v>9</v>
      </c>
      <c r="AW52" s="100">
        <v>4860</v>
      </c>
      <c r="AX52" s="100">
        <v>11</v>
      </c>
      <c r="AY52" s="100">
        <v>5940</v>
      </c>
      <c r="AZ52" s="100">
        <v>9</v>
      </c>
      <c r="BA52" s="100">
        <v>4860</v>
      </c>
      <c r="BB52" s="100">
        <v>7</v>
      </c>
      <c r="BC52" s="100">
        <v>3780</v>
      </c>
      <c r="BD52" s="100">
        <v>7.2818046845189492</v>
      </c>
      <c r="BE52" s="100">
        <v>3932.1745296402328</v>
      </c>
      <c r="BF52" s="100">
        <v>7</v>
      </c>
      <c r="BG52" s="100">
        <v>3780</v>
      </c>
      <c r="BH52" s="100">
        <v>5.2840289893669938</v>
      </c>
      <c r="BI52" s="100">
        <v>2853.3756542581768</v>
      </c>
      <c r="BJ52" s="100">
        <v>9</v>
      </c>
      <c r="BK52" s="100">
        <v>4860</v>
      </c>
      <c r="BL52" s="100">
        <v>7</v>
      </c>
      <c r="BM52" s="100">
        <v>3780</v>
      </c>
      <c r="BN52" s="100">
        <v>6</v>
      </c>
      <c r="BO52" s="100">
        <v>3240</v>
      </c>
      <c r="BP52" s="100">
        <v>7</v>
      </c>
      <c r="BQ52" s="100">
        <v>3780</v>
      </c>
      <c r="BR52" s="100">
        <v>8</v>
      </c>
      <c r="BS52" s="100">
        <v>4320</v>
      </c>
      <c r="BT52" s="100">
        <v>9</v>
      </c>
      <c r="BU52" s="100">
        <v>4860</v>
      </c>
      <c r="BV52" s="100">
        <v>6.7049270942590686</v>
      </c>
      <c r="BW52" s="100">
        <v>3620.6606308998971</v>
      </c>
      <c r="BX52" s="100">
        <v>0</v>
      </c>
      <c r="BY52" s="100">
        <v>0</v>
      </c>
      <c r="BZ52" s="100">
        <v>2.7441958836166185</v>
      </c>
      <c r="CA52" s="100">
        <v>1481.865777152974</v>
      </c>
      <c r="CB52" s="100">
        <v>5.2357703663814545</v>
      </c>
      <c r="CC52" s="100">
        <v>2827.3159978459853</v>
      </c>
      <c r="CD52" s="100">
        <v>7</v>
      </c>
      <c r="CE52" s="100">
        <v>3780</v>
      </c>
      <c r="CF52" s="100">
        <v>10</v>
      </c>
      <c r="CG52" s="100">
        <v>5400</v>
      </c>
      <c r="CH52" s="100">
        <v>8</v>
      </c>
      <c r="CI52" s="100">
        <v>4320</v>
      </c>
      <c r="CJ52" s="100">
        <v>5</v>
      </c>
      <c r="CK52" s="100">
        <v>2700</v>
      </c>
      <c r="CL52" s="100">
        <v>7</v>
      </c>
      <c r="CM52" s="100">
        <v>3780</v>
      </c>
      <c r="CN52" s="100">
        <v>1.6928140037762291</v>
      </c>
      <c r="CO52" s="100">
        <v>914.11956203916372</v>
      </c>
      <c r="CP52" s="100">
        <v>8</v>
      </c>
      <c r="CQ52" s="100">
        <v>4320</v>
      </c>
      <c r="CR52" s="100">
        <v>11</v>
      </c>
      <c r="CS52" s="100">
        <v>5940</v>
      </c>
      <c r="CT52" s="100">
        <v>5.6176065974882325</v>
      </c>
      <c r="CU52" s="100">
        <v>3033.5075626436455</v>
      </c>
    </row>
    <row r="53" spans="2:99">
      <c r="C53" s="99" t="s">
        <v>219</v>
      </c>
      <c r="D53" s="100">
        <v>6.5201152978215822</v>
      </c>
      <c r="E53" s="100">
        <v>2652.3829031538198</v>
      </c>
      <c r="F53" s="100">
        <v>2.519440078089235</v>
      </c>
      <c r="G53" s="100">
        <v>1024.9082237667008</v>
      </c>
      <c r="H53" s="100">
        <v>6</v>
      </c>
      <c r="I53" s="100">
        <v>2440.8000000000002</v>
      </c>
      <c r="J53" s="100">
        <v>7</v>
      </c>
      <c r="K53" s="100">
        <v>2847.6</v>
      </c>
      <c r="L53" s="100">
        <v>9</v>
      </c>
      <c r="M53" s="100">
        <v>3661.2000000000003</v>
      </c>
      <c r="N53" s="100">
        <v>11</v>
      </c>
      <c r="O53" s="100">
        <v>4474.8</v>
      </c>
      <c r="P53" s="100">
        <v>11</v>
      </c>
      <c r="Q53" s="100">
        <v>4474.8</v>
      </c>
      <c r="R53" s="100">
        <v>10</v>
      </c>
      <c r="S53" s="100">
        <v>4068</v>
      </c>
      <c r="T53" s="100">
        <v>12</v>
      </c>
      <c r="U53" s="100">
        <v>4881.6000000000004</v>
      </c>
      <c r="V53" s="100">
        <v>10</v>
      </c>
      <c r="W53" s="100">
        <v>4068</v>
      </c>
      <c r="X53" s="100">
        <v>4.548805110827618</v>
      </c>
      <c r="Y53" s="100">
        <v>1850.4539190846751</v>
      </c>
      <c r="Z53" s="100">
        <v>5</v>
      </c>
      <c r="AA53" s="100">
        <v>2034</v>
      </c>
      <c r="AB53" s="100">
        <v>10</v>
      </c>
      <c r="AC53" s="100">
        <v>4068</v>
      </c>
      <c r="AD53" s="100">
        <v>8.8566565234687165</v>
      </c>
      <c r="AE53" s="100">
        <v>3602.8878737470741</v>
      </c>
      <c r="AF53" s="100">
        <v>4.885082479266762</v>
      </c>
      <c r="AG53" s="100">
        <v>1987.2515525657188</v>
      </c>
      <c r="AH53" s="100">
        <v>7</v>
      </c>
      <c r="AI53" s="100">
        <v>2847.6</v>
      </c>
      <c r="AJ53" s="100">
        <v>3.8152419210499704</v>
      </c>
      <c r="AK53" s="100">
        <v>1552.0404134831281</v>
      </c>
      <c r="AL53" s="100">
        <v>7</v>
      </c>
      <c r="AM53" s="100">
        <v>2847.6</v>
      </c>
      <c r="AN53" s="100">
        <v>6</v>
      </c>
      <c r="AO53" s="100">
        <v>2440.8000000000002</v>
      </c>
      <c r="AP53" s="100">
        <v>5.6814208592027704</v>
      </c>
      <c r="AQ53" s="100">
        <v>2311.2020055236871</v>
      </c>
      <c r="AR53" s="100">
        <v>7.0525333574203497E-16</v>
      </c>
      <c r="AS53" s="100">
        <v>2.8689705697985985E-13</v>
      </c>
      <c r="AT53" s="100">
        <v>11</v>
      </c>
      <c r="AU53" s="100">
        <v>4474.8</v>
      </c>
      <c r="AV53" s="100">
        <v>9</v>
      </c>
      <c r="AW53" s="100">
        <v>3661.2000000000003</v>
      </c>
      <c r="AX53" s="100">
        <v>11</v>
      </c>
      <c r="AY53" s="100">
        <v>4474.8</v>
      </c>
      <c r="AZ53" s="100">
        <v>8</v>
      </c>
      <c r="BA53" s="100">
        <v>3254.4</v>
      </c>
      <c r="BB53" s="100">
        <v>8</v>
      </c>
      <c r="BC53" s="100">
        <v>3254.4</v>
      </c>
      <c r="BD53" s="100">
        <v>8.1920302700838192</v>
      </c>
      <c r="BE53" s="100">
        <v>3332.5179138700978</v>
      </c>
      <c r="BF53" s="100">
        <v>8</v>
      </c>
      <c r="BG53" s="100">
        <v>3254.4</v>
      </c>
      <c r="BH53" s="100">
        <v>5.2840289893669938</v>
      </c>
      <c r="BI53" s="100">
        <v>2149.5429928744929</v>
      </c>
      <c r="BJ53" s="100">
        <v>10</v>
      </c>
      <c r="BK53" s="100">
        <v>4068</v>
      </c>
      <c r="BL53" s="100">
        <v>7</v>
      </c>
      <c r="BM53" s="100">
        <v>2847.6</v>
      </c>
      <c r="BN53" s="100">
        <v>6</v>
      </c>
      <c r="BO53" s="100">
        <v>2440.8000000000002</v>
      </c>
      <c r="BP53" s="100">
        <v>7</v>
      </c>
      <c r="BQ53" s="100">
        <v>2847.6</v>
      </c>
      <c r="BR53" s="100">
        <v>9</v>
      </c>
      <c r="BS53" s="100">
        <v>3661.2000000000003</v>
      </c>
      <c r="BT53" s="100">
        <v>9</v>
      </c>
      <c r="BU53" s="100">
        <v>3661.2000000000003</v>
      </c>
      <c r="BV53" s="100">
        <v>6.7049270942590686</v>
      </c>
      <c r="BW53" s="100">
        <v>2727.5643419445892</v>
      </c>
      <c r="BX53" s="100">
        <v>0</v>
      </c>
      <c r="BY53" s="100">
        <v>0</v>
      </c>
      <c r="BZ53" s="100">
        <v>2.4697762952549565</v>
      </c>
      <c r="CA53" s="100">
        <v>1004.7049969097163</v>
      </c>
      <c r="CB53" s="100">
        <v>5.2357703663814545</v>
      </c>
      <c r="CC53" s="100">
        <v>2129.9113850439758</v>
      </c>
      <c r="CD53" s="100">
        <v>8</v>
      </c>
      <c r="CE53" s="100">
        <v>3254.4</v>
      </c>
      <c r="CF53" s="100">
        <v>10</v>
      </c>
      <c r="CG53" s="100">
        <v>4068</v>
      </c>
      <c r="CH53" s="100">
        <v>8</v>
      </c>
      <c r="CI53" s="100">
        <v>3254.4</v>
      </c>
      <c r="CJ53" s="100">
        <v>6</v>
      </c>
      <c r="CK53" s="100">
        <v>2440.8000000000002</v>
      </c>
      <c r="CL53" s="100">
        <v>7</v>
      </c>
      <c r="CM53" s="100">
        <v>2847.6</v>
      </c>
      <c r="CN53" s="100">
        <v>1.6928140037762291</v>
      </c>
      <c r="CO53" s="100">
        <v>688.63673673617006</v>
      </c>
      <c r="CP53" s="100">
        <v>8</v>
      </c>
      <c r="CQ53" s="100">
        <v>3254.4</v>
      </c>
      <c r="CR53" s="100">
        <v>11</v>
      </c>
      <c r="CS53" s="100">
        <v>4474.8</v>
      </c>
      <c r="CT53" s="100">
        <v>5.6176065974882325</v>
      </c>
      <c r="CU53" s="100">
        <v>2285.2423638582131</v>
      </c>
    </row>
    <row r="54" spans="2:99">
      <c r="C54" s="99" t="s">
        <v>220</v>
      </c>
      <c r="D54" s="100">
        <v>6.5201152978215822</v>
      </c>
      <c r="E54" s="100">
        <v>2182.9346017106659</v>
      </c>
      <c r="F54" s="100">
        <v>2.519440078089235</v>
      </c>
      <c r="G54" s="100">
        <v>843.50853814427592</v>
      </c>
      <c r="H54" s="100">
        <v>6</v>
      </c>
      <c r="I54" s="100">
        <v>2008.8000000000002</v>
      </c>
      <c r="J54" s="100">
        <v>7</v>
      </c>
      <c r="K54" s="100">
        <v>2343.6</v>
      </c>
      <c r="L54" s="100">
        <v>9</v>
      </c>
      <c r="M54" s="100">
        <v>3013.2000000000003</v>
      </c>
      <c r="N54" s="100">
        <v>10</v>
      </c>
      <c r="O54" s="100">
        <v>3348</v>
      </c>
      <c r="P54" s="100">
        <v>11</v>
      </c>
      <c r="Q54" s="100">
        <v>3682.8</v>
      </c>
      <c r="R54" s="100">
        <v>10</v>
      </c>
      <c r="S54" s="100">
        <v>3348</v>
      </c>
      <c r="T54" s="100">
        <v>10</v>
      </c>
      <c r="U54" s="100">
        <v>3348</v>
      </c>
      <c r="V54" s="100">
        <v>10</v>
      </c>
      <c r="W54" s="100">
        <v>3348</v>
      </c>
      <c r="X54" s="100">
        <v>4.548805110827618</v>
      </c>
      <c r="Y54" s="100">
        <v>1522.9399511050865</v>
      </c>
      <c r="Z54" s="100">
        <v>6</v>
      </c>
      <c r="AA54" s="100">
        <v>2008.8000000000002</v>
      </c>
      <c r="AB54" s="100">
        <v>9</v>
      </c>
      <c r="AC54" s="100">
        <v>3013.2000000000003</v>
      </c>
      <c r="AD54" s="100">
        <v>9.7423221758155893</v>
      </c>
      <c r="AE54" s="100">
        <v>3261.7294644630592</v>
      </c>
      <c r="AF54" s="100">
        <v>4.885082479266762</v>
      </c>
      <c r="AG54" s="100">
        <v>1635.525614058512</v>
      </c>
      <c r="AH54" s="100">
        <v>6</v>
      </c>
      <c r="AI54" s="100">
        <v>2008.8000000000002</v>
      </c>
      <c r="AJ54" s="100">
        <v>3.8152419210499704</v>
      </c>
      <c r="AK54" s="100">
        <v>1277.34299516753</v>
      </c>
      <c r="AL54" s="100">
        <v>8</v>
      </c>
      <c r="AM54" s="100">
        <v>2678.4</v>
      </c>
      <c r="AN54" s="100">
        <v>5</v>
      </c>
      <c r="AO54" s="100">
        <v>1674</v>
      </c>
      <c r="AP54" s="100">
        <v>5.6814208592027704</v>
      </c>
      <c r="AQ54" s="100">
        <v>1902.1397036610877</v>
      </c>
      <c r="AR54" s="100">
        <v>7.7577866931623844E-16</v>
      </c>
      <c r="AS54" s="100">
        <v>2.5973069848707666E-13</v>
      </c>
      <c r="AT54" s="100">
        <v>11</v>
      </c>
      <c r="AU54" s="100">
        <v>3682.8</v>
      </c>
      <c r="AV54" s="100">
        <v>10</v>
      </c>
      <c r="AW54" s="100">
        <v>3348</v>
      </c>
      <c r="AX54" s="100">
        <v>12</v>
      </c>
      <c r="AY54" s="100">
        <v>4017.6000000000004</v>
      </c>
      <c r="AZ54" s="100">
        <v>9</v>
      </c>
      <c r="BA54" s="100">
        <v>3013.2000000000003</v>
      </c>
      <c r="BB54" s="100">
        <v>7</v>
      </c>
      <c r="BC54" s="100">
        <v>2343.6</v>
      </c>
      <c r="BD54" s="100">
        <v>7.2818046845189492</v>
      </c>
      <c r="BE54" s="100">
        <v>2437.9482083769444</v>
      </c>
      <c r="BF54" s="100">
        <v>8</v>
      </c>
      <c r="BG54" s="100">
        <v>2678.4</v>
      </c>
      <c r="BH54" s="100">
        <v>5.2840289893669938</v>
      </c>
      <c r="BI54" s="100">
        <v>1769.0929056400696</v>
      </c>
      <c r="BJ54" s="100">
        <v>10</v>
      </c>
      <c r="BK54" s="100">
        <v>3348</v>
      </c>
      <c r="BL54" s="100">
        <v>7</v>
      </c>
      <c r="BM54" s="100">
        <v>2343.6</v>
      </c>
      <c r="BN54" s="100">
        <v>5</v>
      </c>
      <c r="BO54" s="100">
        <v>1674</v>
      </c>
      <c r="BP54" s="100">
        <v>7</v>
      </c>
      <c r="BQ54" s="100">
        <v>2343.6</v>
      </c>
      <c r="BR54" s="100">
        <v>10</v>
      </c>
      <c r="BS54" s="100">
        <v>3348</v>
      </c>
      <c r="BT54" s="100">
        <v>8</v>
      </c>
      <c r="BU54" s="100">
        <v>2678.4</v>
      </c>
      <c r="BV54" s="100">
        <v>5.747080366507773</v>
      </c>
      <c r="BW54" s="100">
        <v>1924.1225067068024</v>
      </c>
      <c r="BX54" s="100">
        <v>0</v>
      </c>
      <c r="BY54" s="100">
        <v>0</v>
      </c>
      <c r="BZ54" s="100">
        <v>2.7441958836166185</v>
      </c>
      <c r="CA54" s="100">
        <v>918.75678183484388</v>
      </c>
      <c r="CB54" s="100">
        <v>5.2357703663814545</v>
      </c>
      <c r="CC54" s="100">
        <v>1752.9359186645111</v>
      </c>
      <c r="CD54" s="100">
        <v>7</v>
      </c>
      <c r="CE54" s="100">
        <v>2343.6</v>
      </c>
      <c r="CF54" s="100">
        <v>10</v>
      </c>
      <c r="CG54" s="100">
        <v>3348</v>
      </c>
      <c r="CH54" s="100">
        <v>7</v>
      </c>
      <c r="CI54" s="100">
        <v>2343.6</v>
      </c>
      <c r="CJ54" s="100">
        <v>6</v>
      </c>
      <c r="CK54" s="100">
        <v>2008.8000000000002</v>
      </c>
      <c r="CL54" s="100">
        <v>8</v>
      </c>
      <c r="CM54" s="100">
        <v>2678.4</v>
      </c>
      <c r="CN54" s="100">
        <v>1.8809044486402546</v>
      </c>
      <c r="CO54" s="100">
        <v>629.72680940475732</v>
      </c>
      <c r="CP54" s="100">
        <v>8</v>
      </c>
      <c r="CQ54" s="100">
        <v>2678.4</v>
      </c>
      <c r="CR54" s="100">
        <v>11</v>
      </c>
      <c r="CS54" s="100">
        <v>3682.8</v>
      </c>
      <c r="CT54" s="100">
        <v>5.6176065974882325</v>
      </c>
      <c r="CU54" s="100">
        <v>1880.7746888390602</v>
      </c>
    </row>
    <row r="55" spans="2:99">
      <c r="C55" s="99" t="s">
        <v>221</v>
      </c>
      <c r="D55" s="100">
        <v>5.5886702552756429</v>
      </c>
      <c r="E55" s="100">
        <v>3708.6415814009169</v>
      </c>
      <c r="F55" s="100">
        <v>2.2674960702803113</v>
      </c>
      <c r="G55" s="100">
        <v>1504.7103922380147</v>
      </c>
      <c r="H55" s="100">
        <v>5</v>
      </c>
      <c r="I55" s="100">
        <v>3318</v>
      </c>
      <c r="J55" s="100">
        <v>7</v>
      </c>
      <c r="K55" s="100">
        <v>4645.2</v>
      </c>
      <c r="L55" s="100">
        <v>9</v>
      </c>
      <c r="M55" s="100">
        <v>5972.4000000000005</v>
      </c>
      <c r="N55" s="100">
        <v>9</v>
      </c>
      <c r="O55" s="100">
        <v>5972.4000000000005</v>
      </c>
      <c r="P55" s="100">
        <v>10</v>
      </c>
      <c r="Q55" s="100">
        <v>6636</v>
      </c>
      <c r="R55" s="100">
        <v>11</v>
      </c>
      <c r="S55" s="100">
        <v>7299.6</v>
      </c>
      <c r="T55" s="100">
        <v>11</v>
      </c>
      <c r="U55" s="100">
        <v>7299.6</v>
      </c>
      <c r="V55" s="100">
        <v>9</v>
      </c>
      <c r="W55" s="100">
        <v>5972.4000000000005</v>
      </c>
      <c r="X55" s="100">
        <v>4.0939245997448568</v>
      </c>
      <c r="Y55" s="100">
        <v>2716.7283643906871</v>
      </c>
      <c r="Z55" s="100">
        <v>6</v>
      </c>
      <c r="AA55" s="100">
        <v>3981.6000000000004</v>
      </c>
      <c r="AB55" s="100">
        <v>9</v>
      </c>
      <c r="AC55" s="100">
        <v>5972.4000000000005</v>
      </c>
      <c r="AD55" s="100">
        <v>7.9709908711218453</v>
      </c>
      <c r="AE55" s="100">
        <v>5289.5495420764564</v>
      </c>
      <c r="AF55" s="100">
        <v>4.885082479266762</v>
      </c>
      <c r="AG55" s="100">
        <v>3241.7407332414232</v>
      </c>
      <c r="AH55" s="100">
        <v>6</v>
      </c>
      <c r="AI55" s="100">
        <v>3981.6000000000004</v>
      </c>
      <c r="AJ55" s="100">
        <v>3.8152419210499704</v>
      </c>
      <c r="AK55" s="100">
        <v>2531.7945388087605</v>
      </c>
      <c r="AL55" s="100">
        <v>7</v>
      </c>
      <c r="AM55" s="100">
        <v>4645.2</v>
      </c>
      <c r="AN55" s="100">
        <v>6</v>
      </c>
      <c r="AO55" s="100">
        <v>3981.6000000000004</v>
      </c>
      <c r="AP55" s="100">
        <v>5.6814208592027704</v>
      </c>
      <c r="AQ55" s="100">
        <v>3770.1908821669585</v>
      </c>
      <c r="AR55" s="100">
        <v>7.0525333574203497E-16</v>
      </c>
      <c r="AS55" s="100">
        <v>4.6800611359841439E-13</v>
      </c>
      <c r="AT55" s="100">
        <v>10</v>
      </c>
      <c r="AU55" s="100">
        <v>6636</v>
      </c>
      <c r="AV55" s="100">
        <v>10</v>
      </c>
      <c r="AW55" s="100">
        <v>6636</v>
      </c>
      <c r="AX55" s="100">
        <v>11</v>
      </c>
      <c r="AY55" s="100">
        <v>7299.6</v>
      </c>
      <c r="AZ55" s="100">
        <v>8</v>
      </c>
      <c r="BA55" s="100">
        <v>5308.8</v>
      </c>
      <c r="BB55" s="100">
        <v>8</v>
      </c>
      <c r="BC55" s="100">
        <v>5308.8</v>
      </c>
      <c r="BD55" s="100">
        <v>8.1920302700838192</v>
      </c>
      <c r="BE55" s="100">
        <v>5436.2312872276225</v>
      </c>
      <c r="BF55" s="100">
        <v>8</v>
      </c>
      <c r="BG55" s="100">
        <v>5308.8</v>
      </c>
      <c r="BH55" s="100">
        <v>5.2840289893669938</v>
      </c>
      <c r="BI55" s="100">
        <v>3506.4816373439371</v>
      </c>
      <c r="BJ55" s="100">
        <v>9</v>
      </c>
      <c r="BK55" s="100">
        <v>5972.4000000000005</v>
      </c>
      <c r="BL55" s="100">
        <v>7</v>
      </c>
      <c r="BM55" s="100">
        <v>4645.2</v>
      </c>
      <c r="BN55" s="100">
        <v>6</v>
      </c>
      <c r="BO55" s="100">
        <v>3981.6000000000004</v>
      </c>
      <c r="BP55" s="100">
        <v>7</v>
      </c>
      <c r="BQ55" s="100">
        <v>4645.2</v>
      </c>
      <c r="BR55" s="100">
        <v>8</v>
      </c>
      <c r="BS55" s="100">
        <v>5308.8</v>
      </c>
      <c r="BT55" s="100">
        <v>9</v>
      </c>
      <c r="BU55" s="100">
        <v>5972.4000000000005</v>
      </c>
      <c r="BV55" s="100">
        <v>6.7049270942590686</v>
      </c>
      <c r="BW55" s="100">
        <v>4449.3896197503182</v>
      </c>
      <c r="BX55" s="100">
        <v>0</v>
      </c>
      <c r="BY55" s="100">
        <v>0</v>
      </c>
      <c r="BZ55" s="100">
        <v>2.1953567068932949</v>
      </c>
      <c r="CA55" s="100">
        <v>1456.8387106943906</v>
      </c>
      <c r="CB55" s="100">
        <v>5.2357703663814545</v>
      </c>
      <c r="CC55" s="100">
        <v>3474.4572151307334</v>
      </c>
      <c r="CD55" s="100">
        <v>8</v>
      </c>
      <c r="CE55" s="100">
        <v>5308.8</v>
      </c>
      <c r="CF55" s="100">
        <v>10</v>
      </c>
      <c r="CG55" s="100">
        <v>6636</v>
      </c>
      <c r="CH55" s="100">
        <v>8</v>
      </c>
      <c r="CI55" s="100">
        <v>5308.8</v>
      </c>
      <c r="CJ55" s="100">
        <v>6</v>
      </c>
      <c r="CK55" s="100">
        <v>3981.6000000000004</v>
      </c>
      <c r="CL55" s="100">
        <v>7</v>
      </c>
      <c r="CM55" s="100">
        <v>4645.2</v>
      </c>
      <c r="CN55" s="100">
        <v>1.8809044486402546</v>
      </c>
      <c r="CO55" s="100">
        <v>1248.168192117673</v>
      </c>
      <c r="CP55" s="100">
        <v>7</v>
      </c>
      <c r="CQ55" s="100">
        <v>4645.2</v>
      </c>
      <c r="CR55" s="100">
        <v>10</v>
      </c>
      <c r="CS55" s="100">
        <v>6636</v>
      </c>
      <c r="CT55" s="100">
        <v>5.6176065974882325</v>
      </c>
      <c r="CU55" s="100">
        <v>3727.8437380931914</v>
      </c>
    </row>
    <row r="56" spans="2:99">
      <c r="C56" s="99" t="s">
        <v>222</v>
      </c>
      <c r="D56" s="100">
        <v>6</v>
      </c>
      <c r="E56" s="100">
        <v>5889.5999999999995</v>
      </c>
      <c r="F56" s="100">
        <v>4.8903929777067532</v>
      </c>
      <c r="G56" s="100">
        <v>4800.4097469169483</v>
      </c>
      <c r="H56" s="100">
        <v>3.9276079102928625</v>
      </c>
      <c r="I56" s="100">
        <v>3855.3399247434736</v>
      </c>
      <c r="J56" s="100">
        <v>3.730424980037045</v>
      </c>
      <c r="K56" s="100">
        <v>3661.7851604043631</v>
      </c>
      <c r="L56" s="100">
        <v>8</v>
      </c>
      <c r="M56" s="100">
        <v>7852.7999999999993</v>
      </c>
      <c r="N56" s="100">
        <v>7.0137614678898084</v>
      </c>
      <c r="O56" s="100">
        <v>6884.7082568806354</v>
      </c>
      <c r="P56" s="100">
        <v>9</v>
      </c>
      <c r="Q56" s="100">
        <v>8834.4</v>
      </c>
      <c r="R56" s="100">
        <v>9.7108118498668059</v>
      </c>
      <c r="S56" s="100">
        <v>9532.132911829256</v>
      </c>
      <c r="T56" s="100">
        <v>5.9787532968722061</v>
      </c>
      <c r="U56" s="100">
        <v>5868.7442362097572</v>
      </c>
      <c r="V56" s="100">
        <v>8.5474860335195029</v>
      </c>
      <c r="W56" s="100">
        <v>8390.2122905027427</v>
      </c>
      <c r="X56" s="100">
        <v>6.9863013698629723</v>
      </c>
      <c r="Y56" s="100">
        <v>6857.7534246574933</v>
      </c>
      <c r="Z56" s="100">
        <v>6</v>
      </c>
      <c r="AA56" s="100">
        <v>5889.5999999999995</v>
      </c>
      <c r="AB56" s="100">
        <v>9.1304347826085976</v>
      </c>
      <c r="AC56" s="100">
        <v>8962.4347826085977</v>
      </c>
      <c r="AD56" s="100">
        <v>7.9274611398963248</v>
      </c>
      <c r="AE56" s="100">
        <v>7781.5958549222314</v>
      </c>
      <c r="AF56" s="100">
        <v>0.50783468750771199</v>
      </c>
      <c r="AG56" s="100">
        <v>498.49052925757002</v>
      </c>
      <c r="AH56" s="100">
        <v>6.1340206185566633</v>
      </c>
      <c r="AI56" s="100">
        <v>6021.1546391752199</v>
      </c>
      <c r="AJ56" s="100">
        <v>9</v>
      </c>
      <c r="AK56" s="100">
        <v>8834.4</v>
      </c>
      <c r="AL56" s="100">
        <v>8</v>
      </c>
      <c r="AM56" s="100">
        <v>7852.7999999999993</v>
      </c>
      <c r="AN56" s="100">
        <v>5.3987008578356743</v>
      </c>
      <c r="AO56" s="100">
        <v>5299.3647620514976</v>
      </c>
      <c r="AP56" s="100">
        <v>5.1739130434782297</v>
      </c>
      <c r="AQ56" s="100">
        <v>5078.7130434782293</v>
      </c>
      <c r="AR56" s="100">
        <v>8.2125603864733812</v>
      </c>
      <c r="AS56" s="100">
        <v>8061.4492753622699</v>
      </c>
      <c r="AT56" s="100">
        <v>9.1666666666666128</v>
      </c>
      <c r="AU56" s="100">
        <v>8997.9999999999454</v>
      </c>
      <c r="AV56" s="100">
        <v>0.4111042708395764</v>
      </c>
      <c r="AW56" s="100">
        <v>403.53995225612817</v>
      </c>
      <c r="AX56" s="100">
        <v>11</v>
      </c>
      <c r="AY56" s="100">
        <v>10797.599999999999</v>
      </c>
      <c r="AZ56" s="100">
        <v>5.3509615384614699</v>
      </c>
      <c r="BA56" s="100">
        <v>5252.5038461537788</v>
      </c>
      <c r="BB56" s="100">
        <v>7</v>
      </c>
      <c r="BC56" s="100">
        <v>6871.1999999999989</v>
      </c>
      <c r="BD56" s="100">
        <v>8</v>
      </c>
      <c r="BE56" s="100">
        <v>7852.7999999999993</v>
      </c>
      <c r="BF56" s="100">
        <v>8</v>
      </c>
      <c r="BG56" s="100">
        <v>7852.7999999999993</v>
      </c>
      <c r="BH56" s="100">
        <v>5</v>
      </c>
      <c r="BI56" s="100">
        <v>4908</v>
      </c>
      <c r="BJ56" s="100">
        <v>9.2176975446329923</v>
      </c>
      <c r="BK56" s="100">
        <v>9048.0919098117447</v>
      </c>
      <c r="BL56" s="100">
        <v>7</v>
      </c>
      <c r="BM56" s="100">
        <v>6871.1999999999989</v>
      </c>
      <c r="BN56" s="100">
        <v>6</v>
      </c>
      <c r="BO56" s="100">
        <v>5889.5999999999995</v>
      </c>
      <c r="BP56" s="100">
        <v>1.9606381727520621</v>
      </c>
      <c r="BQ56" s="100">
        <v>1924.5624303734239</v>
      </c>
      <c r="BR56" s="100">
        <v>9</v>
      </c>
      <c r="BS56" s="100">
        <v>8834.4</v>
      </c>
      <c r="BT56" s="100">
        <v>8</v>
      </c>
      <c r="BU56" s="100">
        <v>7852.7999999999993</v>
      </c>
      <c r="BV56" s="100">
        <v>7</v>
      </c>
      <c r="BW56" s="100">
        <v>6871.1999999999989</v>
      </c>
      <c r="BX56" s="100">
        <v>8</v>
      </c>
      <c r="BY56" s="100">
        <v>7852.7999999999993</v>
      </c>
      <c r="BZ56" s="100">
        <v>8</v>
      </c>
      <c r="CA56" s="100">
        <v>7852.7999999999993</v>
      </c>
      <c r="CB56" s="100">
        <v>6</v>
      </c>
      <c r="CC56" s="100">
        <v>5889.5999999999995</v>
      </c>
      <c r="CD56" s="100">
        <v>6.6913656249927635</v>
      </c>
      <c r="CE56" s="100">
        <v>6568.2444974928958</v>
      </c>
      <c r="CF56" s="100">
        <v>0</v>
      </c>
      <c r="CG56" s="100">
        <v>0</v>
      </c>
      <c r="CH56" s="100">
        <v>7</v>
      </c>
      <c r="CI56" s="100">
        <v>6871.1999999999989</v>
      </c>
      <c r="CJ56" s="100">
        <v>4.2682926829267798</v>
      </c>
      <c r="CK56" s="100">
        <v>4189.7560975609267</v>
      </c>
      <c r="CL56" s="100">
        <v>6.0406091370558013</v>
      </c>
      <c r="CM56" s="100">
        <v>5929.4619289339744</v>
      </c>
      <c r="CN56" s="100">
        <v>0.44757319809147433</v>
      </c>
      <c r="CO56" s="100">
        <v>439.33785124659119</v>
      </c>
      <c r="CP56" s="100">
        <v>7</v>
      </c>
      <c r="CQ56" s="100">
        <v>6871.1999999999989</v>
      </c>
      <c r="CR56" s="100">
        <v>9</v>
      </c>
      <c r="CS56" s="100">
        <v>8834.4</v>
      </c>
      <c r="CT56" s="100">
        <v>6</v>
      </c>
      <c r="CU56" s="100">
        <v>5889.5999999999995</v>
      </c>
    </row>
    <row r="57" spans="2:99">
      <c r="C57" s="99" t="s">
        <v>223</v>
      </c>
      <c r="D57" s="100">
        <v>5.5886702552756429</v>
      </c>
      <c r="E57" s="100">
        <v>7886.7314642449874</v>
      </c>
      <c r="F57" s="100">
        <v>2.2674960702803113</v>
      </c>
      <c r="G57" s="100">
        <v>3199.8904543795752</v>
      </c>
      <c r="H57" s="100">
        <v>5</v>
      </c>
      <c r="I57" s="100">
        <v>7056</v>
      </c>
      <c r="J57" s="100">
        <v>7</v>
      </c>
      <c r="K57" s="100">
        <v>9878.4</v>
      </c>
      <c r="L57" s="100">
        <v>9</v>
      </c>
      <c r="M57" s="100">
        <v>12700.800000000001</v>
      </c>
      <c r="N57" s="100">
        <v>10</v>
      </c>
      <c r="O57" s="100">
        <v>14112</v>
      </c>
      <c r="P57" s="100">
        <v>11</v>
      </c>
      <c r="Q57" s="100">
        <v>15523.2</v>
      </c>
      <c r="R57" s="100">
        <v>10</v>
      </c>
      <c r="S57" s="100">
        <v>14112</v>
      </c>
      <c r="T57" s="100">
        <v>11</v>
      </c>
      <c r="U57" s="100">
        <v>15523.2</v>
      </c>
      <c r="V57" s="100">
        <v>9</v>
      </c>
      <c r="W57" s="100">
        <v>12700.800000000001</v>
      </c>
      <c r="X57" s="100">
        <v>4.0939245997448568</v>
      </c>
      <c r="Y57" s="100">
        <v>5777.3463951599424</v>
      </c>
      <c r="Z57" s="100">
        <v>6</v>
      </c>
      <c r="AA57" s="100">
        <v>8467.2000000000007</v>
      </c>
      <c r="AB57" s="100">
        <v>10</v>
      </c>
      <c r="AC57" s="100">
        <v>14112</v>
      </c>
      <c r="AD57" s="100">
        <v>9.7423221758155893</v>
      </c>
      <c r="AE57" s="100">
        <v>13748.365054510959</v>
      </c>
      <c r="AF57" s="100">
        <v>4.1872135536572248</v>
      </c>
      <c r="AG57" s="100">
        <v>5908.9957669210762</v>
      </c>
      <c r="AH57" s="100">
        <v>6</v>
      </c>
      <c r="AI57" s="100">
        <v>8467.2000000000007</v>
      </c>
      <c r="AJ57" s="100">
        <v>3.8152419210499704</v>
      </c>
      <c r="AK57" s="100">
        <v>5384.0693989857182</v>
      </c>
      <c r="AL57" s="100">
        <v>7</v>
      </c>
      <c r="AM57" s="100">
        <v>9878.4</v>
      </c>
      <c r="AN57" s="100">
        <v>6</v>
      </c>
      <c r="AO57" s="100">
        <v>8467.2000000000007</v>
      </c>
      <c r="AP57" s="100">
        <v>4.9712432518024237</v>
      </c>
      <c r="AQ57" s="100">
        <v>7015.4184769435806</v>
      </c>
      <c r="AR57" s="100">
        <v>6.3472800216783141E-16</v>
      </c>
      <c r="AS57" s="100">
        <v>8.9572815665924368E-13</v>
      </c>
      <c r="AT57" s="100">
        <v>10</v>
      </c>
      <c r="AU57" s="100">
        <v>14112</v>
      </c>
      <c r="AV57" s="100">
        <v>10</v>
      </c>
      <c r="AW57" s="100">
        <v>14112</v>
      </c>
      <c r="AX57" s="100">
        <v>10</v>
      </c>
      <c r="AY57" s="100">
        <v>14112</v>
      </c>
      <c r="AZ57" s="100">
        <v>8</v>
      </c>
      <c r="BA57" s="100">
        <v>11289.6</v>
      </c>
      <c r="BB57" s="100">
        <v>7</v>
      </c>
      <c r="BC57" s="100">
        <v>9878.4</v>
      </c>
      <c r="BD57" s="100">
        <v>7.2818046845189492</v>
      </c>
      <c r="BE57" s="100">
        <v>10276.082770793142</v>
      </c>
      <c r="BF57" s="100">
        <v>7</v>
      </c>
      <c r="BG57" s="100">
        <v>9878.4</v>
      </c>
      <c r="BH57" s="100">
        <v>5.2840289893669938</v>
      </c>
      <c r="BI57" s="100">
        <v>7456.8217097947017</v>
      </c>
      <c r="BJ57" s="100">
        <v>10</v>
      </c>
      <c r="BK57" s="100">
        <v>14112</v>
      </c>
      <c r="BL57" s="100">
        <v>7</v>
      </c>
      <c r="BM57" s="100">
        <v>9878.4</v>
      </c>
      <c r="BN57" s="100">
        <v>5</v>
      </c>
      <c r="BO57" s="100">
        <v>7056</v>
      </c>
      <c r="BP57" s="100">
        <v>7</v>
      </c>
      <c r="BQ57" s="100">
        <v>9878.4</v>
      </c>
      <c r="BR57" s="100">
        <v>8</v>
      </c>
      <c r="BS57" s="100">
        <v>11289.6</v>
      </c>
      <c r="BT57" s="100">
        <v>9</v>
      </c>
      <c r="BU57" s="100">
        <v>12700.800000000001</v>
      </c>
      <c r="BV57" s="100">
        <v>6.7049270942590686</v>
      </c>
      <c r="BW57" s="100">
        <v>9461.9931154183978</v>
      </c>
      <c r="BX57" s="100">
        <v>0</v>
      </c>
      <c r="BY57" s="100">
        <v>0</v>
      </c>
      <c r="BZ57" s="100">
        <v>2.4697762952549565</v>
      </c>
      <c r="CA57" s="100">
        <v>3485.3483078637946</v>
      </c>
      <c r="CB57" s="100">
        <v>5.2357703663814545</v>
      </c>
      <c r="CC57" s="100">
        <v>7388.719141037509</v>
      </c>
      <c r="CD57" s="100">
        <v>7</v>
      </c>
      <c r="CE57" s="100">
        <v>9878.4</v>
      </c>
      <c r="CF57" s="100">
        <v>11</v>
      </c>
      <c r="CG57" s="100">
        <v>15523.2</v>
      </c>
      <c r="CH57" s="100">
        <v>7</v>
      </c>
      <c r="CI57" s="100">
        <v>9878.4</v>
      </c>
      <c r="CJ57" s="100">
        <v>5</v>
      </c>
      <c r="CK57" s="100">
        <v>7056</v>
      </c>
      <c r="CL57" s="100">
        <v>7</v>
      </c>
      <c r="CM57" s="100">
        <v>9878.4</v>
      </c>
      <c r="CN57" s="100">
        <v>1.6928140037762291</v>
      </c>
      <c r="CO57" s="100">
        <v>2388.8991221290148</v>
      </c>
      <c r="CP57" s="100">
        <v>7</v>
      </c>
      <c r="CQ57" s="100">
        <v>9878.4</v>
      </c>
      <c r="CR57" s="100">
        <v>9</v>
      </c>
      <c r="CS57" s="100">
        <v>12700.800000000001</v>
      </c>
      <c r="CT57" s="100">
        <v>4.6813388312401942</v>
      </c>
      <c r="CU57" s="100">
        <v>6606.3053586461619</v>
      </c>
    </row>
    <row r="58" spans="2:99">
      <c r="C58" s="99" t="s">
        <v>224</v>
      </c>
      <c r="D58" s="100">
        <v>4.4438068431324194</v>
      </c>
      <c r="E58" s="100">
        <v>5231.249415735484</v>
      </c>
      <c r="F58" s="100">
        <v>0.52999001012879987</v>
      </c>
      <c r="G58" s="100">
        <v>623.90423992362321</v>
      </c>
      <c r="H58" s="100">
        <v>5</v>
      </c>
      <c r="I58" s="100">
        <v>5886</v>
      </c>
      <c r="J58" s="100">
        <v>7</v>
      </c>
      <c r="K58" s="100">
        <v>8240.4</v>
      </c>
      <c r="L58" s="100">
        <v>8</v>
      </c>
      <c r="M58" s="100">
        <v>9417.6</v>
      </c>
      <c r="N58" s="100">
        <v>9</v>
      </c>
      <c r="O58" s="100">
        <v>10594.800000000001</v>
      </c>
      <c r="P58" s="100">
        <v>11</v>
      </c>
      <c r="Q58" s="100">
        <v>12949.2</v>
      </c>
      <c r="R58" s="100">
        <v>11</v>
      </c>
      <c r="S58" s="100">
        <v>12949.2</v>
      </c>
      <c r="T58" s="100">
        <v>9</v>
      </c>
      <c r="U58" s="100">
        <v>10594.800000000001</v>
      </c>
      <c r="V58" s="100">
        <v>9</v>
      </c>
      <c r="W58" s="100">
        <v>10594.800000000001</v>
      </c>
      <c r="X58" s="100">
        <v>7.808031644368211</v>
      </c>
      <c r="Y58" s="100">
        <v>9191.6148517502588</v>
      </c>
      <c r="Z58" s="100">
        <v>5</v>
      </c>
      <c r="AA58" s="100">
        <v>5886</v>
      </c>
      <c r="AB58" s="100">
        <v>10</v>
      </c>
      <c r="AC58" s="100">
        <v>11772</v>
      </c>
      <c r="AD58" s="100">
        <v>9</v>
      </c>
      <c r="AE58" s="100">
        <v>10594.800000000001</v>
      </c>
      <c r="AF58" s="100">
        <v>7</v>
      </c>
      <c r="AG58" s="100">
        <v>8240.4</v>
      </c>
      <c r="AH58" s="100">
        <v>6</v>
      </c>
      <c r="AI58" s="100">
        <v>7063.2000000000007</v>
      </c>
      <c r="AJ58" s="100">
        <v>9</v>
      </c>
      <c r="AK58" s="100">
        <v>10594.800000000001</v>
      </c>
      <c r="AL58" s="100">
        <v>8</v>
      </c>
      <c r="AM58" s="100">
        <v>9417.6</v>
      </c>
      <c r="AN58" s="100">
        <v>3.5393738966920636</v>
      </c>
      <c r="AO58" s="100">
        <v>4166.5509511858972</v>
      </c>
      <c r="AP58" s="100">
        <v>6.6976744186046036</v>
      </c>
      <c r="AQ58" s="100">
        <v>7884.5023255813394</v>
      </c>
      <c r="AR58" s="100">
        <v>11</v>
      </c>
      <c r="AS58" s="100">
        <v>12949.2</v>
      </c>
      <c r="AT58" s="100">
        <v>10</v>
      </c>
      <c r="AU58" s="100">
        <v>11772</v>
      </c>
      <c r="AV58" s="100">
        <v>10</v>
      </c>
      <c r="AW58" s="100">
        <v>11772</v>
      </c>
      <c r="AX58" s="100">
        <v>11</v>
      </c>
      <c r="AY58" s="100">
        <v>12949.2</v>
      </c>
      <c r="AZ58" s="100">
        <v>8</v>
      </c>
      <c r="BA58" s="100">
        <v>9417.6</v>
      </c>
      <c r="BB58" s="100">
        <v>8</v>
      </c>
      <c r="BC58" s="100">
        <v>9417.6</v>
      </c>
      <c r="BD58" s="100">
        <v>8</v>
      </c>
      <c r="BE58" s="100">
        <v>9417.6</v>
      </c>
      <c r="BF58" s="100">
        <v>3.8044498124422952</v>
      </c>
      <c r="BG58" s="100">
        <v>4478.5983192070698</v>
      </c>
      <c r="BH58" s="100">
        <v>5.0943396226414741</v>
      </c>
      <c r="BI58" s="100">
        <v>5997.0566037735434</v>
      </c>
      <c r="BJ58" s="100">
        <v>10</v>
      </c>
      <c r="BK58" s="100">
        <v>11772</v>
      </c>
      <c r="BL58" s="100">
        <v>7</v>
      </c>
      <c r="BM58" s="100">
        <v>8240.4</v>
      </c>
      <c r="BN58" s="100">
        <v>6</v>
      </c>
      <c r="BO58" s="100">
        <v>7063.2000000000007</v>
      </c>
      <c r="BP58" s="100">
        <v>8</v>
      </c>
      <c r="BQ58" s="100">
        <v>9417.6</v>
      </c>
      <c r="BR58" s="100">
        <v>8</v>
      </c>
      <c r="BS58" s="100">
        <v>9417.6</v>
      </c>
      <c r="BT58" s="100">
        <v>8</v>
      </c>
      <c r="BU58" s="100">
        <v>9417.6</v>
      </c>
      <c r="BV58" s="100">
        <v>6</v>
      </c>
      <c r="BW58" s="100">
        <v>7063.2000000000007</v>
      </c>
      <c r="BX58" s="100">
        <v>3.17568689928479</v>
      </c>
      <c r="BY58" s="100">
        <v>3738.4186178380551</v>
      </c>
      <c r="BZ58" s="100">
        <v>9</v>
      </c>
      <c r="CA58" s="100">
        <v>10594.800000000001</v>
      </c>
      <c r="CB58" s="100">
        <v>5</v>
      </c>
      <c r="CC58" s="100">
        <v>5886</v>
      </c>
      <c r="CD58" s="100">
        <v>7</v>
      </c>
      <c r="CE58" s="100">
        <v>8240.4</v>
      </c>
      <c r="CF58" s="100">
        <v>10</v>
      </c>
      <c r="CG58" s="100">
        <v>11772</v>
      </c>
      <c r="CH58" s="100">
        <v>7</v>
      </c>
      <c r="CI58" s="100">
        <v>8240.4</v>
      </c>
      <c r="CJ58" s="100">
        <v>4.6879832425822006</v>
      </c>
      <c r="CK58" s="100">
        <v>5518.6938731677665</v>
      </c>
      <c r="CL58" s="100">
        <v>6.2750684660730141</v>
      </c>
      <c r="CM58" s="100">
        <v>7387.0105982611522</v>
      </c>
      <c r="CN58" s="100">
        <v>8</v>
      </c>
      <c r="CO58" s="100">
        <v>9417.6</v>
      </c>
      <c r="CP58" s="100">
        <v>7</v>
      </c>
      <c r="CQ58" s="100">
        <v>8240.4</v>
      </c>
      <c r="CR58" s="100">
        <v>10.956863853570049</v>
      </c>
      <c r="CS58" s="100">
        <v>12898.420128422662</v>
      </c>
      <c r="CT58" s="100">
        <v>6</v>
      </c>
      <c r="CU58" s="100">
        <v>7063.2000000000007</v>
      </c>
    </row>
    <row r="59" spans="2:99">
      <c r="C59" s="99" t="s">
        <v>225</v>
      </c>
      <c r="D59" s="100">
        <v>5.5886702552756429</v>
      </c>
      <c r="E59" s="100">
        <v>1696.7202895016849</v>
      </c>
      <c r="F59" s="100">
        <v>2.519440078089235</v>
      </c>
      <c r="G59" s="100">
        <v>764.9020077078917</v>
      </c>
      <c r="H59" s="100">
        <v>6</v>
      </c>
      <c r="I59" s="100">
        <v>1821.6</v>
      </c>
      <c r="J59" s="100">
        <v>7</v>
      </c>
      <c r="K59" s="100">
        <v>2125.1999999999998</v>
      </c>
      <c r="L59" s="100">
        <v>9</v>
      </c>
      <c r="M59" s="100">
        <v>2732.3999999999996</v>
      </c>
      <c r="N59" s="100">
        <v>9</v>
      </c>
      <c r="O59" s="100">
        <v>2732.3999999999996</v>
      </c>
      <c r="P59" s="100">
        <v>10</v>
      </c>
      <c r="Q59" s="100">
        <v>3035.9999999999995</v>
      </c>
      <c r="R59" s="100">
        <v>12</v>
      </c>
      <c r="S59" s="100">
        <v>3643.2</v>
      </c>
      <c r="T59" s="100">
        <v>10</v>
      </c>
      <c r="U59" s="100">
        <v>3035.9999999999995</v>
      </c>
      <c r="V59" s="100">
        <v>9</v>
      </c>
      <c r="W59" s="100">
        <v>2732.3999999999996</v>
      </c>
      <c r="X59" s="100">
        <v>4.0939245997448568</v>
      </c>
      <c r="Y59" s="100">
        <v>1242.9155084825384</v>
      </c>
      <c r="Z59" s="100">
        <v>6</v>
      </c>
      <c r="AA59" s="100">
        <v>1821.6</v>
      </c>
      <c r="AB59" s="100">
        <v>10</v>
      </c>
      <c r="AC59" s="100">
        <v>3035.9999999999995</v>
      </c>
      <c r="AD59" s="100">
        <v>8.8566565234687165</v>
      </c>
      <c r="AE59" s="100">
        <v>2688.8809205251018</v>
      </c>
      <c r="AF59" s="100">
        <v>4.885082479266762</v>
      </c>
      <c r="AG59" s="100">
        <v>1483.1110407053889</v>
      </c>
      <c r="AH59" s="100">
        <v>7</v>
      </c>
      <c r="AI59" s="100">
        <v>2125.1999999999998</v>
      </c>
      <c r="AJ59" s="100">
        <v>4.1967661131549674</v>
      </c>
      <c r="AK59" s="100">
        <v>1274.138191953848</v>
      </c>
      <c r="AL59" s="100">
        <v>7</v>
      </c>
      <c r="AM59" s="100">
        <v>2125.1999999999998</v>
      </c>
      <c r="AN59" s="100">
        <v>5</v>
      </c>
      <c r="AO59" s="100">
        <v>1517.9999999999998</v>
      </c>
      <c r="AP59" s="100">
        <v>4.9712432518024237</v>
      </c>
      <c r="AQ59" s="100">
        <v>1509.2694512472156</v>
      </c>
      <c r="AR59" s="100">
        <v>7.7577866931623844E-16</v>
      </c>
      <c r="AS59" s="100">
        <v>2.3552640400440997E-13</v>
      </c>
      <c r="AT59" s="100">
        <v>11</v>
      </c>
      <c r="AU59" s="100">
        <v>3339.5999999999995</v>
      </c>
      <c r="AV59" s="100">
        <v>10</v>
      </c>
      <c r="AW59" s="100">
        <v>3035.9999999999995</v>
      </c>
      <c r="AX59" s="100">
        <v>11</v>
      </c>
      <c r="AY59" s="100">
        <v>3339.5999999999995</v>
      </c>
      <c r="AZ59" s="100">
        <v>8</v>
      </c>
      <c r="BA59" s="100">
        <v>2428.7999999999997</v>
      </c>
      <c r="BB59" s="100">
        <v>8</v>
      </c>
      <c r="BC59" s="100">
        <v>2428.7999999999997</v>
      </c>
      <c r="BD59" s="100">
        <v>7.2818046845189492</v>
      </c>
      <c r="BE59" s="100">
        <v>2210.7559022199525</v>
      </c>
      <c r="BF59" s="100">
        <v>8</v>
      </c>
      <c r="BG59" s="100">
        <v>2428.7999999999997</v>
      </c>
      <c r="BH59" s="100">
        <v>5.2840289893669938</v>
      </c>
      <c r="BI59" s="100">
        <v>1604.2312011718191</v>
      </c>
      <c r="BJ59" s="100">
        <v>10</v>
      </c>
      <c r="BK59" s="100">
        <v>3035.9999999999995</v>
      </c>
      <c r="BL59" s="100">
        <v>7</v>
      </c>
      <c r="BM59" s="100">
        <v>2125.1999999999998</v>
      </c>
      <c r="BN59" s="100">
        <v>6</v>
      </c>
      <c r="BO59" s="100">
        <v>1821.6</v>
      </c>
      <c r="BP59" s="100">
        <v>8</v>
      </c>
      <c r="BQ59" s="100">
        <v>2428.7999999999997</v>
      </c>
      <c r="BR59" s="100">
        <v>9</v>
      </c>
      <c r="BS59" s="100">
        <v>2732.3999999999996</v>
      </c>
      <c r="BT59" s="100">
        <v>9</v>
      </c>
      <c r="BU59" s="100">
        <v>2732.3999999999996</v>
      </c>
      <c r="BV59" s="100">
        <v>6.7049270942590686</v>
      </c>
      <c r="BW59" s="100">
        <v>2035.615865817053</v>
      </c>
      <c r="BX59" s="100">
        <v>0</v>
      </c>
      <c r="BY59" s="100">
        <v>0</v>
      </c>
      <c r="BZ59" s="100">
        <v>2.7441958836166185</v>
      </c>
      <c r="CA59" s="100">
        <v>833.13787026600528</v>
      </c>
      <c r="CB59" s="100">
        <v>5.2357703663814545</v>
      </c>
      <c r="CC59" s="100">
        <v>1589.5798832334094</v>
      </c>
      <c r="CD59" s="100">
        <v>7</v>
      </c>
      <c r="CE59" s="100">
        <v>2125.1999999999998</v>
      </c>
      <c r="CF59" s="100">
        <v>11</v>
      </c>
      <c r="CG59" s="100">
        <v>3339.5999999999995</v>
      </c>
      <c r="CH59" s="100">
        <v>8</v>
      </c>
      <c r="CI59" s="100">
        <v>2428.7999999999997</v>
      </c>
      <c r="CJ59" s="100">
        <v>6</v>
      </c>
      <c r="CK59" s="100">
        <v>1821.6</v>
      </c>
      <c r="CL59" s="100">
        <v>8</v>
      </c>
      <c r="CM59" s="100">
        <v>2428.7999999999997</v>
      </c>
      <c r="CN59" s="100">
        <v>1.8809044486402546</v>
      </c>
      <c r="CO59" s="100">
        <v>571.0425906071813</v>
      </c>
      <c r="CP59" s="100">
        <v>8</v>
      </c>
      <c r="CQ59" s="100">
        <v>2428.7999999999997</v>
      </c>
      <c r="CR59" s="100">
        <v>11</v>
      </c>
      <c r="CS59" s="100">
        <v>3339.5999999999995</v>
      </c>
      <c r="CT59" s="100">
        <v>6.5538743637362726</v>
      </c>
      <c r="CU59" s="100">
        <v>1989.7562568303322</v>
      </c>
    </row>
    <row r="60" spans="2:99">
      <c r="C60" s="99" t="s">
        <v>226</v>
      </c>
      <c r="D60" s="100">
        <v>5.5886702552756429</v>
      </c>
      <c r="E60" s="100">
        <v>3641.577538337609</v>
      </c>
      <c r="F60" s="100">
        <v>2.2674960702803113</v>
      </c>
      <c r="G60" s="100">
        <v>1477.5004393946508</v>
      </c>
      <c r="H60" s="100">
        <v>5</v>
      </c>
      <c r="I60" s="100">
        <v>3258</v>
      </c>
      <c r="J60" s="100">
        <v>7</v>
      </c>
      <c r="K60" s="100">
        <v>4561.2</v>
      </c>
      <c r="L60" s="100">
        <v>9</v>
      </c>
      <c r="M60" s="100">
        <v>5864.4000000000005</v>
      </c>
      <c r="N60" s="100">
        <v>11</v>
      </c>
      <c r="O60" s="100">
        <v>7167.6</v>
      </c>
      <c r="P60" s="100">
        <v>11</v>
      </c>
      <c r="Q60" s="100">
        <v>7167.6</v>
      </c>
      <c r="R60" s="100">
        <v>12</v>
      </c>
      <c r="S60" s="100">
        <v>7819.2000000000007</v>
      </c>
      <c r="T60" s="100">
        <v>10</v>
      </c>
      <c r="U60" s="100">
        <v>6516</v>
      </c>
      <c r="V60" s="100">
        <v>9</v>
      </c>
      <c r="W60" s="100">
        <v>5864.4000000000005</v>
      </c>
      <c r="X60" s="100">
        <v>4.548805110827618</v>
      </c>
      <c r="Y60" s="100">
        <v>2964.0014102152759</v>
      </c>
      <c r="Z60" s="100">
        <v>6</v>
      </c>
      <c r="AA60" s="100">
        <v>3909.6000000000004</v>
      </c>
      <c r="AB60" s="100">
        <v>10</v>
      </c>
      <c r="AC60" s="100">
        <v>6516</v>
      </c>
      <c r="AD60" s="100">
        <v>7.9709908711218453</v>
      </c>
      <c r="AE60" s="100">
        <v>5193.897651622995</v>
      </c>
      <c r="AF60" s="100">
        <v>4.885082479266762</v>
      </c>
      <c r="AG60" s="100">
        <v>3183.1197434902224</v>
      </c>
      <c r="AH60" s="100">
        <v>7</v>
      </c>
      <c r="AI60" s="100">
        <v>4561.2</v>
      </c>
      <c r="AJ60" s="100">
        <v>3.8152419210499704</v>
      </c>
      <c r="AK60" s="100">
        <v>2486.011635756161</v>
      </c>
      <c r="AL60" s="100">
        <v>8</v>
      </c>
      <c r="AM60" s="100">
        <v>5212.8</v>
      </c>
      <c r="AN60" s="100">
        <v>5</v>
      </c>
      <c r="AO60" s="100">
        <v>3258</v>
      </c>
      <c r="AP60" s="100">
        <v>5.6814208592027704</v>
      </c>
      <c r="AQ60" s="100">
        <v>3702.0138318565255</v>
      </c>
      <c r="AR60" s="100">
        <v>7.0525333574203497E-16</v>
      </c>
      <c r="AS60" s="100">
        <v>4.5954307356951001E-13</v>
      </c>
      <c r="AT60" s="100">
        <v>12</v>
      </c>
      <c r="AU60" s="100">
        <v>7819.2000000000007</v>
      </c>
      <c r="AV60" s="100">
        <v>10</v>
      </c>
      <c r="AW60" s="100">
        <v>6516</v>
      </c>
      <c r="AX60" s="100">
        <v>11</v>
      </c>
      <c r="AY60" s="100">
        <v>7167.6</v>
      </c>
      <c r="AZ60" s="100">
        <v>7</v>
      </c>
      <c r="BA60" s="100">
        <v>4561.2</v>
      </c>
      <c r="BB60" s="100">
        <v>8</v>
      </c>
      <c r="BC60" s="100">
        <v>5212.8</v>
      </c>
      <c r="BD60" s="100">
        <v>8.1920302700838192</v>
      </c>
      <c r="BE60" s="100">
        <v>5337.9269239866171</v>
      </c>
      <c r="BF60" s="100">
        <v>8</v>
      </c>
      <c r="BG60" s="100">
        <v>5212.8</v>
      </c>
      <c r="BH60" s="100">
        <v>4.403357491139162</v>
      </c>
      <c r="BI60" s="100">
        <v>2869.2277412262779</v>
      </c>
      <c r="BJ60" s="100">
        <v>10</v>
      </c>
      <c r="BK60" s="100">
        <v>6516</v>
      </c>
      <c r="BL60" s="100">
        <v>7</v>
      </c>
      <c r="BM60" s="100">
        <v>4561.2</v>
      </c>
      <c r="BN60" s="100">
        <v>6</v>
      </c>
      <c r="BO60" s="100">
        <v>3909.6000000000004</v>
      </c>
      <c r="BP60" s="100">
        <v>8</v>
      </c>
      <c r="BQ60" s="100">
        <v>5212.8</v>
      </c>
      <c r="BR60" s="100">
        <v>8</v>
      </c>
      <c r="BS60" s="100">
        <v>5212.8</v>
      </c>
      <c r="BT60" s="100">
        <v>9</v>
      </c>
      <c r="BU60" s="100">
        <v>5864.4000000000005</v>
      </c>
      <c r="BV60" s="100">
        <v>5.747080366507773</v>
      </c>
      <c r="BW60" s="100">
        <v>3744.797566816465</v>
      </c>
      <c r="BX60" s="100">
        <v>0</v>
      </c>
      <c r="BY60" s="100">
        <v>0</v>
      </c>
      <c r="BZ60" s="100">
        <v>2.4697762952549565</v>
      </c>
      <c r="CA60" s="100">
        <v>1609.3062339881296</v>
      </c>
      <c r="CB60" s="100">
        <v>4.363141971984545</v>
      </c>
      <c r="CC60" s="100">
        <v>2843.0233089451294</v>
      </c>
      <c r="CD60" s="100">
        <v>7</v>
      </c>
      <c r="CE60" s="100">
        <v>4561.2</v>
      </c>
      <c r="CF60" s="100">
        <v>10</v>
      </c>
      <c r="CG60" s="100">
        <v>6516</v>
      </c>
      <c r="CH60" s="100">
        <v>7</v>
      </c>
      <c r="CI60" s="100">
        <v>4561.2</v>
      </c>
      <c r="CJ60" s="100">
        <v>5</v>
      </c>
      <c r="CK60" s="100">
        <v>3258</v>
      </c>
      <c r="CL60" s="100">
        <v>7</v>
      </c>
      <c r="CM60" s="100">
        <v>4561.2</v>
      </c>
      <c r="CN60" s="100">
        <v>1.8809044486402546</v>
      </c>
      <c r="CO60" s="100">
        <v>1225.59733873399</v>
      </c>
      <c r="CP60" s="100">
        <v>8</v>
      </c>
      <c r="CQ60" s="100">
        <v>5212.8</v>
      </c>
      <c r="CR60" s="100">
        <v>11</v>
      </c>
      <c r="CS60" s="100">
        <v>7167.6</v>
      </c>
      <c r="CT60" s="100">
        <v>5.6176065974882325</v>
      </c>
      <c r="CU60" s="100">
        <v>3660.4324589233324</v>
      </c>
    </row>
    <row r="61" spans="2:99">
      <c r="C61" s="99" t="s">
        <v>227</v>
      </c>
      <c r="D61" s="100">
        <v>5.5886702552756429</v>
      </c>
      <c r="E61" s="100">
        <v>5318.1786149203017</v>
      </c>
      <c r="F61" s="100">
        <v>2.2674960702803113</v>
      </c>
      <c r="G61" s="100">
        <v>2157.749260478744</v>
      </c>
      <c r="H61" s="100">
        <v>6</v>
      </c>
      <c r="I61" s="100">
        <v>5709.5999999999995</v>
      </c>
      <c r="J61" s="100">
        <v>7</v>
      </c>
      <c r="K61" s="100">
        <v>6661.1999999999989</v>
      </c>
      <c r="L61" s="100">
        <v>8</v>
      </c>
      <c r="M61" s="100">
        <v>7612.7999999999993</v>
      </c>
      <c r="N61" s="100">
        <v>9</v>
      </c>
      <c r="O61" s="100">
        <v>8564.4</v>
      </c>
      <c r="P61" s="100">
        <v>10</v>
      </c>
      <c r="Q61" s="100">
        <v>9516</v>
      </c>
      <c r="R61" s="100">
        <v>11</v>
      </c>
      <c r="S61" s="100">
        <v>10467.599999999999</v>
      </c>
      <c r="T61" s="100">
        <v>11</v>
      </c>
      <c r="U61" s="100">
        <v>10467.599999999999</v>
      </c>
      <c r="V61" s="100">
        <v>10</v>
      </c>
      <c r="W61" s="100">
        <v>9516</v>
      </c>
      <c r="X61" s="100">
        <v>4.548805110827618</v>
      </c>
      <c r="Y61" s="100">
        <v>4328.6429434635611</v>
      </c>
      <c r="Z61" s="100">
        <v>6</v>
      </c>
      <c r="AA61" s="100">
        <v>5709.5999999999995</v>
      </c>
      <c r="AB61" s="100">
        <v>10</v>
      </c>
      <c r="AC61" s="100">
        <v>9516</v>
      </c>
      <c r="AD61" s="100">
        <v>9.7423221758155893</v>
      </c>
      <c r="AE61" s="100">
        <v>9270.7937825061144</v>
      </c>
      <c r="AF61" s="100">
        <v>4.885082479266762</v>
      </c>
      <c r="AG61" s="100">
        <v>4648.6444872702505</v>
      </c>
      <c r="AH61" s="100">
        <v>5</v>
      </c>
      <c r="AI61" s="100">
        <v>4758</v>
      </c>
      <c r="AJ61" s="100">
        <v>3.8152419210499704</v>
      </c>
      <c r="AK61" s="100">
        <v>3630.5842120711513</v>
      </c>
      <c r="AL61" s="100">
        <v>8</v>
      </c>
      <c r="AM61" s="100">
        <v>7612.7999999999993</v>
      </c>
      <c r="AN61" s="100">
        <v>5</v>
      </c>
      <c r="AO61" s="100">
        <v>4758</v>
      </c>
      <c r="AP61" s="100">
        <v>5.6814208592027704</v>
      </c>
      <c r="AQ61" s="100">
        <v>5406.4400896173556</v>
      </c>
      <c r="AR61" s="100">
        <v>7.0525333574203497E-16</v>
      </c>
      <c r="AS61" s="100">
        <v>6.7111907429212044E-13</v>
      </c>
      <c r="AT61" s="100">
        <v>11</v>
      </c>
      <c r="AU61" s="100">
        <v>10467.599999999999</v>
      </c>
      <c r="AV61" s="100">
        <v>10</v>
      </c>
      <c r="AW61" s="100">
        <v>9516</v>
      </c>
      <c r="AX61" s="100">
        <v>12</v>
      </c>
      <c r="AY61" s="100">
        <v>11419.199999999999</v>
      </c>
      <c r="AZ61" s="100">
        <v>8</v>
      </c>
      <c r="BA61" s="100">
        <v>7612.7999999999993</v>
      </c>
      <c r="BB61" s="100">
        <v>7</v>
      </c>
      <c r="BC61" s="100">
        <v>6661.1999999999989</v>
      </c>
      <c r="BD61" s="100">
        <v>7.2818046845189492</v>
      </c>
      <c r="BE61" s="100">
        <v>6929.365337788231</v>
      </c>
      <c r="BF61" s="100">
        <v>7</v>
      </c>
      <c r="BG61" s="100">
        <v>6661.1999999999989</v>
      </c>
      <c r="BH61" s="100">
        <v>5.2840289893669938</v>
      </c>
      <c r="BI61" s="100">
        <v>5028.2819862816305</v>
      </c>
      <c r="BJ61" s="100">
        <v>10</v>
      </c>
      <c r="BK61" s="100">
        <v>9516</v>
      </c>
      <c r="BL61" s="100">
        <v>7</v>
      </c>
      <c r="BM61" s="100">
        <v>6661.1999999999989</v>
      </c>
      <c r="BN61" s="100">
        <v>5</v>
      </c>
      <c r="BO61" s="100">
        <v>4758</v>
      </c>
      <c r="BP61" s="100">
        <v>8</v>
      </c>
      <c r="BQ61" s="100">
        <v>7612.7999999999993</v>
      </c>
      <c r="BR61" s="100">
        <v>9</v>
      </c>
      <c r="BS61" s="100">
        <v>8564.4</v>
      </c>
      <c r="BT61" s="100">
        <v>9</v>
      </c>
      <c r="BU61" s="100">
        <v>8564.4</v>
      </c>
      <c r="BV61" s="100">
        <v>5.747080366507773</v>
      </c>
      <c r="BW61" s="100">
        <v>5468.9216767687958</v>
      </c>
      <c r="BX61" s="100">
        <v>0</v>
      </c>
      <c r="BY61" s="100">
        <v>0</v>
      </c>
      <c r="BZ61" s="100">
        <v>2.4697762952549565</v>
      </c>
      <c r="CA61" s="100">
        <v>2350.2391225646165</v>
      </c>
      <c r="CB61" s="100">
        <v>4.363141971984545</v>
      </c>
      <c r="CC61" s="100">
        <v>4151.9659005404928</v>
      </c>
      <c r="CD61" s="100">
        <v>7</v>
      </c>
      <c r="CE61" s="100">
        <v>6661.1999999999989</v>
      </c>
      <c r="CF61" s="100">
        <v>11</v>
      </c>
      <c r="CG61" s="100">
        <v>10467.599999999999</v>
      </c>
      <c r="CH61" s="100">
        <v>7</v>
      </c>
      <c r="CI61" s="100">
        <v>6661.1999999999989</v>
      </c>
      <c r="CJ61" s="100">
        <v>5</v>
      </c>
      <c r="CK61" s="100">
        <v>4758</v>
      </c>
      <c r="CL61" s="100">
        <v>7</v>
      </c>
      <c r="CM61" s="100">
        <v>6661.1999999999989</v>
      </c>
      <c r="CN61" s="100">
        <v>1.6928140037762291</v>
      </c>
      <c r="CO61" s="100">
        <v>1610.8818059934595</v>
      </c>
      <c r="CP61" s="100">
        <v>7</v>
      </c>
      <c r="CQ61" s="100">
        <v>6661.1999999999989</v>
      </c>
      <c r="CR61" s="100">
        <v>9</v>
      </c>
      <c r="CS61" s="100">
        <v>8564.4</v>
      </c>
      <c r="CT61" s="100">
        <v>5.6176065974882325</v>
      </c>
      <c r="CU61" s="100">
        <v>5345.7144381698017</v>
      </c>
    </row>
    <row r="62" spans="2:99">
      <c r="C62" s="99" t="s">
        <v>228</v>
      </c>
      <c r="D62" s="100">
        <v>5</v>
      </c>
      <c r="E62" s="100">
        <v>8346</v>
      </c>
      <c r="F62" s="100">
        <v>4.3470159801837811</v>
      </c>
      <c r="G62" s="100">
        <v>7256.0390741227675</v>
      </c>
      <c r="H62" s="100">
        <v>3.9276079102928625</v>
      </c>
      <c r="I62" s="100">
        <v>6555.9631238608463</v>
      </c>
      <c r="J62" s="100">
        <v>3.730424980037045</v>
      </c>
      <c r="K62" s="100">
        <v>6226.8253766778362</v>
      </c>
      <c r="L62" s="100">
        <v>8</v>
      </c>
      <c r="M62" s="100">
        <v>13353.6</v>
      </c>
      <c r="N62" s="100">
        <v>5.7385321100916613</v>
      </c>
      <c r="O62" s="100">
        <v>9578.7577981650011</v>
      </c>
      <c r="P62" s="100">
        <v>10</v>
      </c>
      <c r="Q62" s="100">
        <v>16692</v>
      </c>
      <c r="R62" s="100">
        <v>8.9015775290445731</v>
      </c>
      <c r="S62" s="100">
        <v>14858.513211481202</v>
      </c>
      <c r="T62" s="100">
        <v>5.9787532968722061</v>
      </c>
      <c r="U62" s="100">
        <v>9979.735003139087</v>
      </c>
      <c r="V62" s="100">
        <v>8.5474860335195029</v>
      </c>
      <c r="W62" s="100">
        <v>14267.463687150754</v>
      </c>
      <c r="X62" s="100">
        <v>7.7625570776255248</v>
      </c>
      <c r="Y62" s="100">
        <v>12957.260273972526</v>
      </c>
      <c r="Z62" s="100">
        <v>6</v>
      </c>
      <c r="AA62" s="100">
        <v>10015.200000000001</v>
      </c>
      <c r="AB62" s="100">
        <v>7.3043478260868779</v>
      </c>
      <c r="AC62" s="100">
        <v>12192.417391304218</v>
      </c>
      <c r="AD62" s="100">
        <v>8.8082901554403605</v>
      </c>
      <c r="AE62" s="100">
        <v>14702.79792746105</v>
      </c>
      <c r="AF62" s="100">
        <v>0.50783468750771199</v>
      </c>
      <c r="AG62" s="100">
        <v>847.67766038787283</v>
      </c>
      <c r="AH62" s="100">
        <v>5.2577319587628555</v>
      </c>
      <c r="AI62" s="100">
        <v>8776.2061855669581</v>
      </c>
      <c r="AJ62" s="100">
        <v>10</v>
      </c>
      <c r="AK62" s="100">
        <v>16692</v>
      </c>
      <c r="AL62" s="100">
        <v>7</v>
      </c>
      <c r="AM62" s="100">
        <v>11684.4</v>
      </c>
      <c r="AN62" s="100">
        <v>4.4989173815297283</v>
      </c>
      <c r="AO62" s="100">
        <v>7509.5928932494226</v>
      </c>
      <c r="AP62" s="100">
        <v>5.1739130434782297</v>
      </c>
      <c r="AQ62" s="100">
        <v>8636.2956521738615</v>
      </c>
      <c r="AR62" s="100">
        <v>8.2125603864733812</v>
      </c>
      <c r="AS62" s="100">
        <v>13708.405797101368</v>
      </c>
      <c r="AT62" s="100">
        <v>7.4999999999999556</v>
      </c>
      <c r="AU62" s="100">
        <v>12518.999999999925</v>
      </c>
      <c r="AV62" s="100">
        <v>0.51388033854947046</v>
      </c>
      <c r="AW62" s="100">
        <v>857.76906110677612</v>
      </c>
      <c r="AX62" s="100">
        <v>11</v>
      </c>
      <c r="AY62" s="100">
        <v>18361.2</v>
      </c>
      <c r="AZ62" s="100">
        <v>5.3509615384614699</v>
      </c>
      <c r="BA62" s="100">
        <v>8931.8249999998861</v>
      </c>
      <c r="BB62" s="100">
        <v>8</v>
      </c>
      <c r="BC62" s="100">
        <v>13353.6</v>
      </c>
      <c r="BD62" s="100">
        <v>8</v>
      </c>
      <c r="BE62" s="100">
        <v>13353.6</v>
      </c>
      <c r="BF62" s="100">
        <v>8</v>
      </c>
      <c r="BG62" s="100">
        <v>13353.6</v>
      </c>
      <c r="BH62" s="100">
        <v>6</v>
      </c>
      <c r="BI62" s="100">
        <v>10015.200000000001</v>
      </c>
      <c r="BJ62" s="100">
        <v>8.2959277901696939</v>
      </c>
      <c r="BK62" s="100">
        <v>13847.562667351254</v>
      </c>
      <c r="BL62" s="100">
        <v>7</v>
      </c>
      <c r="BM62" s="100">
        <v>11684.4</v>
      </c>
      <c r="BN62" s="100">
        <v>6</v>
      </c>
      <c r="BO62" s="100">
        <v>10015.200000000001</v>
      </c>
      <c r="BP62" s="100">
        <v>2.2407293402880706</v>
      </c>
      <c r="BQ62" s="100">
        <v>3740.2254148088473</v>
      </c>
      <c r="BR62" s="100">
        <v>8</v>
      </c>
      <c r="BS62" s="100">
        <v>13353.6</v>
      </c>
      <c r="BT62" s="100">
        <v>8</v>
      </c>
      <c r="BU62" s="100">
        <v>13353.6</v>
      </c>
      <c r="BV62" s="100">
        <v>7</v>
      </c>
      <c r="BW62" s="100">
        <v>11684.4</v>
      </c>
      <c r="BX62" s="100">
        <v>6</v>
      </c>
      <c r="BY62" s="100">
        <v>10015.200000000001</v>
      </c>
      <c r="BZ62" s="100">
        <v>9</v>
      </c>
      <c r="CA62" s="100">
        <v>15022.800000000001</v>
      </c>
      <c r="CB62" s="100">
        <v>5</v>
      </c>
      <c r="CC62" s="100">
        <v>8346</v>
      </c>
      <c r="CD62" s="100">
        <v>5.7354562499937973</v>
      </c>
      <c r="CE62" s="100">
        <v>9573.6235724896469</v>
      </c>
      <c r="CF62" s="100">
        <v>0</v>
      </c>
      <c r="CG62" s="100">
        <v>0</v>
      </c>
      <c r="CH62" s="100">
        <v>6</v>
      </c>
      <c r="CI62" s="100">
        <v>10015.200000000001</v>
      </c>
      <c r="CJ62" s="100">
        <v>4.2682926829267798</v>
      </c>
      <c r="CK62" s="100">
        <v>7124.634146341381</v>
      </c>
      <c r="CL62" s="100">
        <v>6.0406091370558013</v>
      </c>
      <c r="CM62" s="100">
        <v>10082.984771573543</v>
      </c>
      <c r="CN62" s="100">
        <v>0.44757319809147433</v>
      </c>
      <c r="CO62" s="100">
        <v>747.08918225428897</v>
      </c>
      <c r="CP62" s="100">
        <v>7</v>
      </c>
      <c r="CQ62" s="100">
        <v>11684.4</v>
      </c>
      <c r="CR62" s="100">
        <v>9</v>
      </c>
      <c r="CS62" s="100">
        <v>15022.800000000001</v>
      </c>
      <c r="CT62" s="100">
        <v>6</v>
      </c>
      <c r="CU62" s="100">
        <v>10015.200000000001</v>
      </c>
    </row>
    <row r="63" spans="2:99">
      <c r="C63" s="99" t="s">
        <v>229</v>
      </c>
      <c r="D63" s="100">
        <v>6.5201152978215822</v>
      </c>
      <c r="E63" s="100">
        <v>5187.4037309468513</v>
      </c>
      <c r="F63" s="100">
        <v>2.519440078089235</v>
      </c>
      <c r="G63" s="100">
        <v>2004.4665261277953</v>
      </c>
      <c r="H63" s="100">
        <v>6</v>
      </c>
      <c r="I63" s="100">
        <v>4773.6000000000004</v>
      </c>
      <c r="J63" s="100">
        <v>7</v>
      </c>
      <c r="K63" s="100">
        <v>5569.2</v>
      </c>
      <c r="L63" s="100">
        <v>8</v>
      </c>
      <c r="M63" s="100">
        <v>6364.8</v>
      </c>
      <c r="N63" s="100">
        <v>9</v>
      </c>
      <c r="O63" s="100">
        <v>7160.4000000000005</v>
      </c>
      <c r="P63" s="100">
        <v>10</v>
      </c>
      <c r="Q63" s="100">
        <v>7956</v>
      </c>
      <c r="R63" s="100">
        <v>11</v>
      </c>
      <c r="S63" s="100">
        <v>8751.6</v>
      </c>
      <c r="T63" s="100">
        <v>10</v>
      </c>
      <c r="U63" s="100">
        <v>7956</v>
      </c>
      <c r="V63" s="100">
        <v>10</v>
      </c>
      <c r="W63" s="100">
        <v>7956</v>
      </c>
      <c r="X63" s="100">
        <v>4.0939245997448568</v>
      </c>
      <c r="Y63" s="100">
        <v>3257.1264115570079</v>
      </c>
      <c r="Z63" s="100">
        <v>6</v>
      </c>
      <c r="AA63" s="100">
        <v>4773.6000000000004</v>
      </c>
      <c r="AB63" s="100">
        <v>11</v>
      </c>
      <c r="AC63" s="100">
        <v>8751.6</v>
      </c>
      <c r="AD63" s="100">
        <v>9.7423221758155893</v>
      </c>
      <c r="AE63" s="100">
        <v>7750.9915230788829</v>
      </c>
      <c r="AF63" s="100">
        <v>4.885082479266762</v>
      </c>
      <c r="AG63" s="100">
        <v>3886.571620504636</v>
      </c>
      <c r="AH63" s="100">
        <v>5</v>
      </c>
      <c r="AI63" s="100">
        <v>3978</v>
      </c>
      <c r="AJ63" s="100">
        <v>3.4337177289449734</v>
      </c>
      <c r="AK63" s="100">
        <v>2731.8658251486208</v>
      </c>
      <c r="AL63" s="100">
        <v>8</v>
      </c>
      <c r="AM63" s="100">
        <v>6364.8</v>
      </c>
      <c r="AN63" s="100">
        <v>6</v>
      </c>
      <c r="AO63" s="100">
        <v>4773.6000000000004</v>
      </c>
      <c r="AP63" s="100">
        <v>5.6814208592027704</v>
      </c>
      <c r="AQ63" s="100">
        <v>4520.1384355817245</v>
      </c>
      <c r="AR63" s="100">
        <v>7.0525333574203497E-16</v>
      </c>
      <c r="AS63" s="100">
        <v>5.6109955391636299E-13</v>
      </c>
      <c r="AT63" s="100">
        <v>10</v>
      </c>
      <c r="AU63" s="100">
        <v>7956</v>
      </c>
      <c r="AV63" s="100">
        <v>9</v>
      </c>
      <c r="AW63" s="100">
        <v>7160.4000000000005</v>
      </c>
      <c r="AX63" s="100">
        <v>12</v>
      </c>
      <c r="AY63" s="100">
        <v>9547.2000000000007</v>
      </c>
      <c r="AZ63" s="100">
        <v>8</v>
      </c>
      <c r="BA63" s="100">
        <v>6364.8</v>
      </c>
      <c r="BB63" s="100">
        <v>7</v>
      </c>
      <c r="BC63" s="100">
        <v>5569.2</v>
      </c>
      <c r="BD63" s="100">
        <v>8.1920302700838192</v>
      </c>
      <c r="BE63" s="100">
        <v>6517.5792828786871</v>
      </c>
      <c r="BF63" s="100">
        <v>8</v>
      </c>
      <c r="BG63" s="100">
        <v>6364.8</v>
      </c>
      <c r="BH63" s="100">
        <v>4.403357491139162</v>
      </c>
      <c r="BI63" s="100">
        <v>3503.3112199503175</v>
      </c>
      <c r="BJ63" s="100">
        <v>10</v>
      </c>
      <c r="BK63" s="100">
        <v>7956</v>
      </c>
      <c r="BL63" s="100">
        <v>7</v>
      </c>
      <c r="BM63" s="100">
        <v>5569.2</v>
      </c>
      <c r="BN63" s="100">
        <v>6</v>
      </c>
      <c r="BO63" s="100">
        <v>4773.6000000000004</v>
      </c>
      <c r="BP63" s="100">
        <v>7</v>
      </c>
      <c r="BQ63" s="100">
        <v>5569.2</v>
      </c>
      <c r="BR63" s="100">
        <v>8</v>
      </c>
      <c r="BS63" s="100">
        <v>6364.8</v>
      </c>
      <c r="BT63" s="100">
        <v>9</v>
      </c>
      <c r="BU63" s="100">
        <v>7160.4000000000005</v>
      </c>
      <c r="BV63" s="100">
        <v>5.747080366507773</v>
      </c>
      <c r="BW63" s="100">
        <v>4572.3771395935846</v>
      </c>
      <c r="BX63" s="100">
        <v>0</v>
      </c>
      <c r="BY63" s="100">
        <v>0</v>
      </c>
      <c r="BZ63" s="100">
        <v>2.4697762952549565</v>
      </c>
      <c r="CA63" s="100">
        <v>1964.9540205048434</v>
      </c>
      <c r="CB63" s="100">
        <v>5.2357703663814545</v>
      </c>
      <c r="CC63" s="100">
        <v>4165.5789034930849</v>
      </c>
      <c r="CD63" s="100">
        <v>7</v>
      </c>
      <c r="CE63" s="100">
        <v>5569.2</v>
      </c>
      <c r="CF63" s="100">
        <v>11</v>
      </c>
      <c r="CG63" s="100">
        <v>8751.6</v>
      </c>
      <c r="CH63" s="100">
        <v>7</v>
      </c>
      <c r="CI63" s="100">
        <v>5569.2</v>
      </c>
      <c r="CJ63" s="100">
        <v>6</v>
      </c>
      <c r="CK63" s="100">
        <v>4773.6000000000004</v>
      </c>
      <c r="CL63" s="100">
        <v>6</v>
      </c>
      <c r="CM63" s="100">
        <v>4773.6000000000004</v>
      </c>
      <c r="CN63" s="100">
        <v>1.8809044486402546</v>
      </c>
      <c r="CO63" s="100">
        <v>1496.4475793381866</v>
      </c>
      <c r="CP63" s="100">
        <v>7</v>
      </c>
      <c r="CQ63" s="100">
        <v>5569.2</v>
      </c>
      <c r="CR63" s="100">
        <v>11</v>
      </c>
      <c r="CS63" s="100">
        <v>8751.6</v>
      </c>
      <c r="CT63" s="100">
        <v>5.6176065974882325</v>
      </c>
      <c r="CU63" s="100">
        <v>4469.3678089616378</v>
      </c>
    </row>
    <row r="64" spans="2:99">
      <c r="C64" s="99" t="s">
        <v>230</v>
      </c>
      <c r="D64" s="100">
        <v>6.5201152978215822</v>
      </c>
      <c r="E64" s="100">
        <v>6580.1003585615399</v>
      </c>
      <c r="F64" s="100">
        <v>2.2674960702803113</v>
      </c>
      <c r="G64" s="100">
        <v>2288.3570341268896</v>
      </c>
      <c r="H64" s="100">
        <v>5</v>
      </c>
      <c r="I64" s="100">
        <v>5045.9999999999991</v>
      </c>
      <c r="J64" s="100">
        <v>7</v>
      </c>
      <c r="K64" s="100">
        <v>7064.3999999999987</v>
      </c>
      <c r="L64" s="100">
        <v>9</v>
      </c>
      <c r="M64" s="100">
        <v>9082.7999999999993</v>
      </c>
      <c r="N64" s="100">
        <v>10</v>
      </c>
      <c r="O64" s="100">
        <v>10091.999999999998</v>
      </c>
      <c r="P64" s="100">
        <v>11</v>
      </c>
      <c r="Q64" s="100">
        <v>11101.199999999997</v>
      </c>
      <c r="R64" s="100">
        <v>10</v>
      </c>
      <c r="S64" s="100">
        <v>10091.999999999998</v>
      </c>
      <c r="T64" s="100">
        <v>9</v>
      </c>
      <c r="U64" s="100">
        <v>9082.7999999999993</v>
      </c>
      <c r="V64" s="100">
        <v>10</v>
      </c>
      <c r="W64" s="100">
        <v>10091.999999999998</v>
      </c>
      <c r="X64" s="100">
        <v>4.548805110827618</v>
      </c>
      <c r="Y64" s="100">
        <v>4590.6541178472316</v>
      </c>
      <c r="Z64" s="100">
        <v>6</v>
      </c>
      <c r="AA64" s="100">
        <v>6055.1999999999989</v>
      </c>
      <c r="AB64" s="100">
        <v>10</v>
      </c>
      <c r="AC64" s="100">
        <v>10091.999999999998</v>
      </c>
      <c r="AD64" s="100">
        <v>9.7423221758155893</v>
      </c>
      <c r="AE64" s="100">
        <v>9831.9515398330914</v>
      </c>
      <c r="AF64" s="100">
        <v>4.885082479266762</v>
      </c>
      <c r="AG64" s="100">
        <v>4930.0252380760157</v>
      </c>
      <c r="AH64" s="100">
        <v>6</v>
      </c>
      <c r="AI64" s="100">
        <v>6055.1999999999989</v>
      </c>
      <c r="AJ64" s="100">
        <v>3.4337177289449734</v>
      </c>
      <c r="AK64" s="100">
        <v>3465.3079320512666</v>
      </c>
      <c r="AL64" s="100">
        <v>7</v>
      </c>
      <c r="AM64" s="100">
        <v>7064.3999999999987</v>
      </c>
      <c r="AN64" s="100">
        <v>6</v>
      </c>
      <c r="AO64" s="100">
        <v>6055.1999999999989</v>
      </c>
      <c r="AP64" s="100">
        <v>5.6814208592027704</v>
      </c>
      <c r="AQ64" s="100">
        <v>5733.6899311074349</v>
      </c>
      <c r="AR64" s="100">
        <v>7.0525333574203497E-16</v>
      </c>
      <c r="AS64" s="100">
        <v>7.1174166643086153E-13</v>
      </c>
      <c r="AT64" s="100">
        <v>11</v>
      </c>
      <c r="AU64" s="100">
        <v>11101.199999999997</v>
      </c>
      <c r="AV64" s="100">
        <v>8</v>
      </c>
      <c r="AW64" s="100">
        <v>8073.5999999999985</v>
      </c>
      <c r="AX64" s="100">
        <v>11</v>
      </c>
      <c r="AY64" s="100">
        <v>11101.199999999997</v>
      </c>
      <c r="AZ64" s="100">
        <v>7</v>
      </c>
      <c r="BA64" s="100">
        <v>7064.3999999999987</v>
      </c>
      <c r="BB64" s="100">
        <v>7</v>
      </c>
      <c r="BC64" s="100">
        <v>7064.3999999999987</v>
      </c>
      <c r="BD64" s="100">
        <v>8.1920302700838192</v>
      </c>
      <c r="BE64" s="100">
        <v>8267.3969485685884</v>
      </c>
      <c r="BF64" s="100">
        <v>7</v>
      </c>
      <c r="BG64" s="100">
        <v>7064.3999999999987</v>
      </c>
      <c r="BH64" s="100">
        <v>4.403357491139162</v>
      </c>
      <c r="BI64" s="100">
        <v>4443.8683800576418</v>
      </c>
      <c r="BJ64" s="100">
        <v>9</v>
      </c>
      <c r="BK64" s="100">
        <v>9082.7999999999993</v>
      </c>
      <c r="BL64" s="100">
        <v>7</v>
      </c>
      <c r="BM64" s="100">
        <v>7064.3999999999987</v>
      </c>
      <c r="BN64" s="100">
        <v>6</v>
      </c>
      <c r="BO64" s="100">
        <v>6055.1999999999989</v>
      </c>
      <c r="BP64" s="100">
        <v>8</v>
      </c>
      <c r="BQ64" s="100">
        <v>8073.5999999999985</v>
      </c>
      <c r="BR64" s="100">
        <v>9</v>
      </c>
      <c r="BS64" s="100">
        <v>9082.7999999999993</v>
      </c>
      <c r="BT64" s="100">
        <v>9</v>
      </c>
      <c r="BU64" s="100">
        <v>9082.7999999999993</v>
      </c>
      <c r="BV64" s="100">
        <v>5.747080366507773</v>
      </c>
      <c r="BW64" s="100">
        <v>5799.9535058796437</v>
      </c>
      <c r="BX64" s="100">
        <v>0</v>
      </c>
      <c r="BY64" s="100">
        <v>0</v>
      </c>
      <c r="BZ64" s="100">
        <v>2.4697762952549565</v>
      </c>
      <c r="CA64" s="100">
        <v>2492.4982371713018</v>
      </c>
      <c r="CB64" s="100">
        <v>4.363141971984545</v>
      </c>
      <c r="CC64" s="100">
        <v>4403.2828781268017</v>
      </c>
      <c r="CD64" s="100">
        <v>8</v>
      </c>
      <c r="CE64" s="100">
        <v>8073.5999999999985</v>
      </c>
      <c r="CF64" s="100">
        <v>11</v>
      </c>
      <c r="CG64" s="100">
        <v>11101.199999999997</v>
      </c>
      <c r="CH64" s="100">
        <v>8</v>
      </c>
      <c r="CI64" s="100">
        <v>8073.5999999999985</v>
      </c>
      <c r="CJ64" s="100">
        <v>6</v>
      </c>
      <c r="CK64" s="100">
        <v>6055.1999999999989</v>
      </c>
      <c r="CL64" s="100">
        <v>6</v>
      </c>
      <c r="CM64" s="100">
        <v>6055.1999999999989</v>
      </c>
      <c r="CN64" s="100">
        <v>1.8809044486402546</v>
      </c>
      <c r="CO64" s="100">
        <v>1898.2087695677446</v>
      </c>
      <c r="CP64" s="100">
        <v>8</v>
      </c>
      <c r="CQ64" s="100">
        <v>8073.5999999999985</v>
      </c>
      <c r="CR64" s="100">
        <v>9</v>
      </c>
      <c r="CS64" s="100">
        <v>9082.7999999999993</v>
      </c>
      <c r="CT64" s="100">
        <v>6.5538743637362726</v>
      </c>
      <c r="CU64" s="100">
        <v>6614.1700078826452</v>
      </c>
    </row>
    <row r="65" spans="2:99">
      <c r="C65" s="99" t="s">
        <v>231</v>
      </c>
      <c r="D65" s="100">
        <v>5.5886702552756429</v>
      </c>
      <c r="E65" s="100">
        <v>5733.9756819128097</v>
      </c>
      <c r="F65" s="100">
        <v>2.2674960702803113</v>
      </c>
      <c r="G65" s="100">
        <v>2326.4509681075992</v>
      </c>
      <c r="H65" s="100">
        <v>6</v>
      </c>
      <c r="I65" s="100">
        <v>6156</v>
      </c>
      <c r="J65" s="100">
        <v>7</v>
      </c>
      <c r="K65" s="100">
        <v>7182</v>
      </c>
      <c r="L65" s="100">
        <v>9</v>
      </c>
      <c r="M65" s="100">
        <v>9234</v>
      </c>
      <c r="N65" s="100">
        <v>11</v>
      </c>
      <c r="O65" s="100">
        <v>11286</v>
      </c>
      <c r="P65" s="100">
        <v>11</v>
      </c>
      <c r="Q65" s="100">
        <v>11286</v>
      </c>
      <c r="R65" s="100">
        <v>10</v>
      </c>
      <c r="S65" s="100">
        <v>10260</v>
      </c>
      <c r="T65" s="100">
        <v>9</v>
      </c>
      <c r="U65" s="100">
        <v>9234</v>
      </c>
      <c r="V65" s="100">
        <v>9</v>
      </c>
      <c r="W65" s="100">
        <v>9234</v>
      </c>
      <c r="X65" s="100">
        <v>4.548805110827618</v>
      </c>
      <c r="Y65" s="100">
        <v>4667.0740437091363</v>
      </c>
      <c r="Z65" s="100">
        <v>6</v>
      </c>
      <c r="AA65" s="100">
        <v>6156</v>
      </c>
      <c r="AB65" s="100">
        <v>9</v>
      </c>
      <c r="AC65" s="100">
        <v>9234</v>
      </c>
      <c r="AD65" s="100">
        <v>8.8566565234687165</v>
      </c>
      <c r="AE65" s="100">
        <v>9086.9295930789031</v>
      </c>
      <c r="AF65" s="100">
        <v>4.885082479266762</v>
      </c>
      <c r="AG65" s="100">
        <v>5012.0946237276976</v>
      </c>
      <c r="AH65" s="100">
        <v>6</v>
      </c>
      <c r="AI65" s="100">
        <v>6156</v>
      </c>
      <c r="AJ65" s="100">
        <v>3.4337177289449734</v>
      </c>
      <c r="AK65" s="100">
        <v>3522.9943898975425</v>
      </c>
      <c r="AL65" s="100">
        <v>8</v>
      </c>
      <c r="AM65" s="100">
        <v>8208</v>
      </c>
      <c r="AN65" s="100">
        <v>6</v>
      </c>
      <c r="AO65" s="100">
        <v>6156</v>
      </c>
      <c r="AP65" s="100">
        <v>5.6814208592027704</v>
      </c>
      <c r="AQ65" s="100">
        <v>5829.1378015420423</v>
      </c>
      <c r="AR65" s="100">
        <v>7.0525333574203497E-16</v>
      </c>
      <c r="AS65" s="100">
        <v>7.2358992247132786E-13</v>
      </c>
      <c r="AT65" s="100">
        <v>10</v>
      </c>
      <c r="AU65" s="100">
        <v>10260</v>
      </c>
      <c r="AV65" s="100">
        <v>8</v>
      </c>
      <c r="AW65" s="100">
        <v>8208</v>
      </c>
      <c r="AX65" s="100">
        <v>11</v>
      </c>
      <c r="AY65" s="100">
        <v>11286</v>
      </c>
      <c r="AZ65" s="100">
        <v>8</v>
      </c>
      <c r="BA65" s="100">
        <v>8208</v>
      </c>
      <c r="BB65" s="100">
        <v>8</v>
      </c>
      <c r="BC65" s="100">
        <v>8208</v>
      </c>
      <c r="BD65" s="100">
        <v>7.2818046845189492</v>
      </c>
      <c r="BE65" s="100">
        <v>7471.1316063164422</v>
      </c>
      <c r="BF65" s="100">
        <v>7</v>
      </c>
      <c r="BG65" s="100">
        <v>7182</v>
      </c>
      <c r="BH65" s="100">
        <v>5.2840289893669938</v>
      </c>
      <c r="BI65" s="100">
        <v>5421.4137430905357</v>
      </c>
      <c r="BJ65" s="100">
        <v>10</v>
      </c>
      <c r="BK65" s="100">
        <v>10260</v>
      </c>
      <c r="BL65" s="100">
        <v>7</v>
      </c>
      <c r="BM65" s="100">
        <v>7182</v>
      </c>
      <c r="BN65" s="100">
        <v>6</v>
      </c>
      <c r="BO65" s="100">
        <v>6156</v>
      </c>
      <c r="BP65" s="100">
        <v>8</v>
      </c>
      <c r="BQ65" s="100">
        <v>8208</v>
      </c>
      <c r="BR65" s="100">
        <v>9</v>
      </c>
      <c r="BS65" s="100">
        <v>9234</v>
      </c>
      <c r="BT65" s="100">
        <v>8</v>
      </c>
      <c r="BU65" s="100">
        <v>8208</v>
      </c>
      <c r="BV65" s="100">
        <v>5.747080366507773</v>
      </c>
      <c r="BW65" s="100">
        <v>5896.5044560369752</v>
      </c>
      <c r="BX65" s="100">
        <v>0</v>
      </c>
      <c r="BY65" s="100">
        <v>0</v>
      </c>
      <c r="BZ65" s="100">
        <v>2.7441958836166185</v>
      </c>
      <c r="CA65" s="100">
        <v>2815.5449765906505</v>
      </c>
      <c r="CB65" s="100">
        <v>4.363141971984545</v>
      </c>
      <c r="CC65" s="100">
        <v>4476.5836632561432</v>
      </c>
      <c r="CD65" s="100">
        <v>7</v>
      </c>
      <c r="CE65" s="100">
        <v>7182</v>
      </c>
      <c r="CF65" s="100">
        <v>11</v>
      </c>
      <c r="CG65" s="100">
        <v>11286</v>
      </c>
      <c r="CH65" s="100">
        <v>7</v>
      </c>
      <c r="CI65" s="100">
        <v>7182</v>
      </c>
      <c r="CJ65" s="100">
        <v>6</v>
      </c>
      <c r="CK65" s="100">
        <v>6156</v>
      </c>
      <c r="CL65" s="100">
        <v>6</v>
      </c>
      <c r="CM65" s="100">
        <v>6156</v>
      </c>
      <c r="CN65" s="100">
        <v>1.5047235589122037</v>
      </c>
      <c r="CO65" s="100">
        <v>1543.846371443921</v>
      </c>
      <c r="CP65" s="100">
        <v>7</v>
      </c>
      <c r="CQ65" s="100">
        <v>7182</v>
      </c>
      <c r="CR65" s="100">
        <v>9</v>
      </c>
      <c r="CS65" s="100">
        <v>9234</v>
      </c>
      <c r="CT65" s="100">
        <v>5.6176065974882325</v>
      </c>
      <c r="CU65" s="100">
        <v>5763.6643690229266</v>
      </c>
    </row>
    <row r="66" spans="2:99">
      <c r="C66" s="99" t="s">
        <v>232</v>
      </c>
      <c r="D66" s="100">
        <v>5.5886702552756429</v>
      </c>
      <c r="E66" s="100">
        <v>6652.7530718801245</v>
      </c>
      <c r="F66" s="100">
        <v>2.2674960702803113</v>
      </c>
      <c r="G66" s="100">
        <v>2699.2273220616821</v>
      </c>
      <c r="H66" s="100">
        <v>5</v>
      </c>
      <c r="I66" s="100">
        <v>5951.9999999999991</v>
      </c>
      <c r="J66" s="100">
        <v>7</v>
      </c>
      <c r="K66" s="100">
        <v>8332.7999999999993</v>
      </c>
      <c r="L66" s="100">
        <v>9</v>
      </c>
      <c r="M66" s="100">
        <v>10713.599999999999</v>
      </c>
      <c r="N66" s="100">
        <v>11</v>
      </c>
      <c r="O66" s="100">
        <v>13094.399999999998</v>
      </c>
      <c r="P66" s="100">
        <v>10</v>
      </c>
      <c r="Q66" s="100">
        <v>11903.999999999998</v>
      </c>
      <c r="R66" s="100">
        <v>10</v>
      </c>
      <c r="S66" s="100">
        <v>11903.999999999998</v>
      </c>
      <c r="T66" s="100">
        <v>11</v>
      </c>
      <c r="U66" s="100">
        <v>13094.399999999998</v>
      </c>
      <c r="V66" s="100">
        <v>10</v>
      </c>
      <c r="W66" s="100">
        <v>11903.999999999998</v>
      </c>
      <c r="X66" s="100">
        <v>4.548805110827618</v>
      </c>
      <c r="Y66" s="100">
        <v>5414.8976039291956</v>
      </c>
      <c r="Z66" s="100">
        <v>6</v>
      </c>
      <c r="AA66" s="100">
        <v>7142.4</v>
      </c>
      <c r="AB66" s="100">
        <v>9</v>
      </c>
      <c r="AC66" s="100">
        <v>10713.599999999999</v>
      </c>
      <c r="AD66" s="100">
        <v>8.8566565234687165</v>
      </c>
      <c r="AE66" s="100">
        <v>10542.963925537159</v>
      </c>
      <c r="AF66" s="100">
        <v>4.885082479266762</v>
      </c>
      <c r="AG66" s="100">
        <v>5815.2021833191529</v>
      </c>
      <c r="AH66" s="100">
        <v>5</v>
      </c>
      <c r="AI66" s="100">
        <v>5951.9999999999991</v>
      </c>
      <c r="AJ66" s="100">
        <v>3.8152419210499704</v>
      </c>
      <c r="AK66" s="100">
        <v>4541.6639828178841</v>
      </c>
      <c r="AL66" s="100">
        <v>7</v>
      </c>
      <c r="AM66" s="100">
        <v>8332.7999999999993</v>
      </c>
      <c r="AN66" s="100">
        <v>5</v>
      </c>
      <c r="AO66" s="100">
        <v>5951.9999999999991</v>
      </c>
      <c r="AP66" s="100">
        <v>4.9712432518024237</v>
      </c>
      <c r="AQ66" s="100">
        <v>5917.7679669456047</v>
      </c>
      <c r="AR66" s="100">
        <v>7.0525333574203497E-16</v>
      </c>
      <c r="AS66" s="100">
        <v>8.3953357086731832E-13</v>
      </c>
      <c r="AT66" s="100">
        <v>11</v>
      </c>
      <c r="AU66" s="100">
        <v>13094.399999999998</v>
      </c>
      <c r="AV66" s="100">
        <v>9</v>
      </c>
      <c r="AW66" s="100">
        <v>10713.599999999999</v>
      </c>
      <c r="AX66" s="100">
        <v>11</v>
      </c>
      <c r="AY66" s="100">
        <v>13094.399999999998</v>
      </c>
      <c r="AZ66" s="100">
        <v>8</v>
      </c>
      <c r="BA66" s="100">
        <v>9523.1999999999989</v>
      </c>
      <c r="BB66" s="100">
        <v>7</v>
      </c>
      <c r="BC66" s="100">
        <v>8332.7999999999993</v>
      </c>
      <c r="BD66" s="100">
        <v>7.2818046845189492</v>
      </c>
      <c r="BE66" s="100">
        <v>8668.2602964513553</v>
      </c>
      <c r="BF66" s="100">
        <v>7</v>
      </c>
      <c r="BG66" s="100">
        <v>8332.7999999999993</v>
      </c>
      <c r="BH66" s="100">
        <v>5.2840289893669938</v>
      </c>
      <c r="BI66" s="100">
        <v>6290.1081089424688</v>
      </c>
      <c r="BJ66" s="100">
        <v>9</v>
      </c>
      <c r="BK66" s="100">
        <v>10713.599999999999</v>
      </c>
      <c r="BL66" s="100">
        <v>7</v>
      </c>
      <c r="BM66" s="100">
        <v>8332.7999999999993</v>
      </c>
      <c r="BN66" s="100">
        <v>5</v>
      </c>
      <c r="BO66" s="100">
        <v>5951.9999999999991</v>
      </c>
      <c r="BP66" s="100">
        <v>8</v>
      </c>
      <c r="BQ66" s="100">
        <v>9523.1999999999989</v>
      </c>
      <c r="BR66" s="100">
        <v>9</v>
      </c>
      <c r="BS66" s="100">
        <v>10713.599999999999</v>
      </c>
      <c r="BT66" s="100">
        <v>9</v>
      </c>
      <c r="BU66" s="100">
        <v>10713.599999999999</v>
      </c>
      <c r="BV66" s="100">
        <v>6.7049270942590686</v>
      </c>
      <c r="BW66" s="100">
        <v>7981.5452130059948</v>
      </c>
      <c r="BX66" s="100">
        <v>0</v>
      </c>
      <c r="BY66" s="100">
        <v>0</v>
      </c>
      <c r="BZ66" s="100">
        <v>2.1953567068932949</v>
      </c>
      <c r="CA66" s="100">
        <v>2613.352623885778</v>
      </c>
      <c r="CB66" s="100">
        <v>4.363141971984545</v>
      </c>
      <c r="CC66" s="100">
        <v>5193.8842034504014</v>
      </c>
      <c r="CD66" s="100">
        <v>7</v>
      </c>
      <c r="CE66" s="100">
        <v>8332.7999999999993</v>
      </c>
      <c r="CF66" s="100">
        <v>10</v>
      </c>
      <c r="CG66" s="100">
        <v>11903.999999999998</v>
      </c>
      <c r="CH66" s="100">
        <v>8</v>
      </c>
      <c r="CI66" s="100">
        <v>9523.1999999999989</v>
      </c>
      <c r="CJ66" s="100">
        <v>6</v>
      </c>
      <c r="CK66" s="100">
        <v>7142.4</v>
      </c>
      <c r="CL66" s="100">
        <v>6</v>
      </c>
      <c r="CM66" s="100">
        <v>7142.4</v>
      </c>
      <c r="CN66" s="100">
        <v>1.8809044486402546</v>
      </c>
      <c r="CO66" s="100">
        <v>2239.0286556613587</v>
      </c>
      <c r="CP66" s="100">
        <v>7</v>
      </c>
      <c r="CQ66" s="100">
        <v>8332.7999999999993</v>
      </c>
      <c r="CR66" s="100">
        <v>10</v>
      </c>
      <c r="CS66" s="100">
        <v>11903.999999999998</v>
      </c>
      <c r="CT66" s="100">
        <v>5.6176065974882325</v>
      </c>
      <c r="CU66" s="100">
        <v>6687.1988936499911</v>
      </c>
    </row>
    <row r="67" spans="2:99">
      <c r="C67" s="99" t="s">
        <v>233</v>
      </c>
      <c r="D67" s="100">
        <v>5.5886702552756429</v>
      </c>
      <c r="E67" s="100">
        <v>6277.1944307256026</v>
      </c>
      <c r="F67" s="100">
        <v>2.0155520624713876</v>
      </c>
      <c r="G67" s="100">
        <v>2263.8680765678628</v>
      </c>
      <c r="H67" s="100">
        <v>5</v>
      </c>
      <c r="I67" s="100">
        <v>5616</v>
      </c>
      <c r="J67" s="100">
        <v>7</v>
      </c>
      <c r="K67" s="100">
        <v>7862.4000000000005</v>
      </c>
      <c r="L67" s="100">
        <v>9</v>
      </c>
      <c r="M67" s="100">
        <v>10108.800000000001</v>
      </c>
      <c r="N67" s="100">
        <v>10</v>
      </c>
      <c r="O67" s="100">
        <v>11232</v>
      </c>
      <c r="P67" s="100">
        <v>11</v>
      </c>
      <c r="Q67" s="100">
        <v>12355.2</v>
      </c>
      <c r="R67" s="100">
        <v>11</v>
      </c>
      <c r="S67" s="100">
        <v>12355.2</v>
      </c>
      <c r="T67" s="100">
        <v>10</v>
      </c>
      <c r="U67" s="100">
        <v>11232</v>
      </c>
      <c r="V67" s="100">
        <v>9</v>
      </c>
      <c r="W67" s="100">
        <v>10108.800000000001</v>
      </c>
      <c r="X67" s="100">
        <v>4.0939245997448568</v>
      </c>
      <c r="Y67" s="100">
        <v>4598.2961104334236</v>
      </c>
      <c r="Z67" s="100">
        <v>6</v>
      </c>
      <c r="AA67" s="100">
        <v>6739.2000000000007</v>
      </c>
      <c r="AB67" s="100">
        <v>9</v>
      </c>
      <c r="AC67" s="100">
        <v>10108.800000000001</v>
      </c>
      <c r="AD67" s="100">
        <v>8.8566565234687165</v>
      </c>
      <c r="AE67" s="100">
        <v>9947.7966071600622</v>
      </c>
      <c r="AF67" s="100">
        <v>4.1872135536572248</v>
      </c>
      <c r="AG67" s="100">
        <v>4703.0782634677953</v>
      </c>
      <c r="AH67" s="100">
        <v>6</v>
      </c>
      <c r="AI67" s="100">
        <v>6739.2000000000007</v>
      </c>
      <c r="AJ67" s="100">
        <v>3.8152419210499704</v>
      </c>
      <c r="AK67" s="100">
        <v>4285.2797257233269</v>
      </c>
      <c r="AL67" s="100">
        <v>8</v>
      </c>
      <c r="AM67" s="100">
        <v>8985.6</v>
      </c>
      <c r="AN67" s="100">
        <v>6</v>
      </c>
      <c r="AO67" s="100">
        <v>6739.2000000000007</v>
      </c>
      <c r="AP67" s="100">
        <v>5.6814208592027704</v>
      </c>
      <c r="AQ67" s="100">
        <v>6381.3719090565519</v>
      </c>
      <c r="AR67" s="100">
        <v>7.0525333574203497E-16</v>
      </c>
      <c r="AS67" s="100">
        <v>7.9214054670545373E-13</v>
      </c>
      <c r="AT67" s="100">
        <v>10</v>
      </c>
      <c r="AU67" s="100">
        <v>11232</v>
      </c>
      <c r="AV67" s="100">
        <v>9</v>
      </c>
      <c r="AW67" s="100">
        <v>10108.800000000001</v>
      </c>
      <c r="AX67" s="100">
        <v>11</v>
      </c>
      <c r="AY67" s="100">
        <v>12355.2</v>
      </c>
      <c r="AZ67" s="100">
        <v>8</v>
      </c>
      <c r="BA67" s="100">
        <v>8985.6</v>
      </c>
      <c r="BB67" s="100">
        <v>8</v>
      </c>
      <c r="BC67" s="100">
        <v>8985.6</v>
      </c>
      <c r="BD67" s="100">
        <v>7.2818046845189492</v>
      </c>
      <c r="BE67" s="100">
        <v>8178.9230216516844</v>
      </c>
      <c r="BF67" s="100">
        <v>8</v>
      </c>
      <c r="BG67" s="100">
        <v>8985.6</v>
      </c>
      <c r="BH67" s="100">
        <v>5.2840289893669938</v>
      </c>
      <c r="BI67" s="100">
        <v>5935.0213608570075</v>
      </c>
      <c r="BJ67" s="100">
        <v>10</v>
      </c>
      <c r="BK67" s="100">
        <v>11232</v>
      </c>
      <c r="BL67" s="100">
        <v>7</v>
      </c>
      <c r="BM67" s="100">
        <v>7862.4000000000005</v>
      </c>
      <c r="BN67" s="100">
        <v>6</v>
      </c>
      <c r="BO67" s="100">
        <v>6739.2000000000007</v>
      </c>
      <c r="BP67" s="100">
        <v>7</v>
      </c>
      <c r="BQ67" s="100">
        <v>7862.4000000000005</v>
      </c>
      <c r="BR67" s="100">
        <v>8</v>
      </c>
      <c r="BS67" s="100">
        <v>8985.6</v>
      </c>
      <c r="BT67" s="100">
        <v>8</v>
      </c>
      <c r="BU67" s="100">
        <v>8985.6</v>
      </c>
      <c r="BV67" s="100">
        <v>5.747080366507773</v>
      </c>
      <c r="BW67" s="100">
        <v>6455.1206676615311</v>
      </c>
      <c r="BX67" s="100">
        <v>0</v>
      </c>
      <c r="BY67" s="100">
        <v>0</v>
      </c>
      <c r="BZ67" s="100">
        <v>2.4697762952549565</v>
      </c>
      <c r="CA67" s="100">
        <v>2774.0527348303672</v>
      </c>
      <c r="CB67" s="100">
        <v>4.363141971984545</v>
      </c>
      <c r="CC67" s="100">
        <v>4900.6810629330412</v>
      </c>
      <c r="CD67" s="100">
        <v>7</v>
      </c>
      <c r="CE67" s="100">
        <v>7862.4000000000005</v>
      </c>
      <c r="CF67" s="100">
        <v>10</v>
      </c>
      <c r="CG67" s="100">
        <v>11232</v>
      </c>
      <c r="CH67" s="100">
        <v>8</v>
      </c>
      <c r="CI67" s="100">
        <v>8985.6</v>
      </c>
      <c r="CJ67" s="100">
        <v>5</v>
      </c>
      <c r="CK67" s="100">
        <v>5616</v>
      </c>
      <c r="CL67" s="100">
        <v>7</v>
      </c>
      <c r="CM67" s="100">
        <v>7862.4000000000005</v>
      </c>
      <c r="CN67" s="100">
        <v>1.6928140037762291</v>
      </c>
      <c r="CO67" s="100">
        <v>1901.3686890414606</v>
      </c>
      <c r="CP67" s="100">
        <v>7</v>
      </c>
      <c r="CQ67" s="100">
        <v>7862.4000000000005</v>
      </c>
      <c r="CR67" s="100">
        <v>11</v>
      </c>
      <c r="CS67" s="100">
        <v>12355.2</v>
      </c>
      <c r="CT67" s="100">
        <v>5.6176065974882325</v>
      </c>
      <c r="CU67" s="100">
        <v>6309.695730298783</v>
      </c>
    </row>
    <row r="68" spans="2:99">
      <c r="C68" s="99" t="s">
        <v>234</v>
      </c>
      <c r="D68" s="100">
        <v>5.5886702552756429</v>
      </c>
      <c r="E68" s="100">
        <v>5774.214107750794</v>
      </c>
      <c r="F68" s="100">
        <v>2.519440078089235</v>
      </c>
      <c r="G68" s="100">
        <v>2603.0854886817979</v>
      </c>
      <c r="H68" s="100">
        <v>6</v>
      </c>
      <c r="I68" s="100">
        <v>6199.2000000000007</v>
      </c>
      <c r="J68" s="100">
        <v>7</v>
      </c>
      <c r="K68" s="100">
        <v>7232.4000000000005</v>
      </c>
      <c r="L68" s="100">
        <v>9</v>
      </c>
      <c r="M68" s="100">
        <v>9298.8000000000011</v>
      </c>
      <c r="N68" s="100">
        <v>9</v>
      </c>
      <c r="O68" s="100">
        <v>9298.8000000000011</v>
      </c>
      <c r="P68" s="100">
        <v>10</v>
      </c>
      <c r="Q68" s="100">
        <v>10332</v>
      </c>
      <c r="R68" s="100">
        <v>10</v>
      </c>
      <c r="S68" s="100">
        <v>10332</v>
      </c>
      <c r="T68" s="100">
        <v>9</v>
      </c>
      <c r="U68" s="100">
        <v>9298.8000000000011</v>
      </c>
      <c r="V68" s="100">
        <v>9</v>
      </c>
      <c r="W68" s="100">
        <v>9298.8000000000011</v>
      </c>
      <c r="X68" s="100">
        <v>4.548805110827618</v>
      </c>
      <c r="Y68" s="100">
        <v>4699.8254405070948</v>
      </c>
      <c r="Z68" s="100">
        <v>5</v>
      </c>
      <c r="AA68" s="100">
        <v>5166</v>
      </c>
      <c r="AB68" s="100">
        <v>9</v>
      </c>
      <c r="AC68" s="100">
        <v>9298.8000000000011</v>
      </c>
      <c r="AD68" s="100">
        <v>7.9709908711218453</v>
      </c>
      <c r="AE68" s="100">
        <v>8235.6277680430903</v>
      </c>
      <c r="AF68" s="100">
        <v>5.5829514048762992</v>
      </c>
      <c r="AG68" s="100">
        <v>5768.3053915181927</v>
      </c>
      <c r="AH68" s="100">
        <v>6</v>
      </c>
      <c r="AI68" s="100">
        <v>6199.2000000000007</v>
      </c>
      <c r="AJ68" s="100">
        <v>3.8152419210499704</v>
      </c>
      <c r="AK68" s="100">
        <v>3941.9079528288294</v>
      </c>
      <c r="AL68" s="100">
        <v>8</v>
      </c>
      <c r="AM68" s="100">
        <v>8265.6</v>
      </c>
      <c r="AN68" s="100">
        <v>6</v>
      </c>
      <c r="AO68" s="100">
        <v>6199.2000000000007</v>
      </c>
      <c r="AP68" s="100">
        <v>4.9712432518024237</v>
      </c>
      <c r="AQ68" s="100">
        <v>5136.2885277622645</v>
      </c>
      <c r="AR68" s="100">
        <v>6.3472800216783141E-16</v>
      </c>
      <c r="AS68" s="100">
        <v>6.5580097183980347E-13</v>
      </c>
      <c r="AT68" s="100">
        <v>10</v>
      </c>
      <c r="AU68" s="100">
        <v>10332</v>
      </c>
      <c r="AV68" s="100">
        <v>8</v>
      </c>
      <c r="AW68" s="100">
        <v>8265.6</v>
      </c>
      <c r="AX68" s="100">
        <v>10</v>
      </c>
      <c r="AY68" s="100">
        <v>10332</v>
      </c>
      <c r="AZ68" s="100">
        <v>8</v>
      </c>
      <c r="BA68" s="100">
        <v>8265.6</v>
      </c>
      <c r="BB68" s="100">
        <v>8</v>
      </c>
      <c r="BC68" s="100">
        <v>8265.6</v>
      </c>
      <c r="BD68" s="100">
        <v>7.2818046845189492</v>
      </c>
      <c r="BE68" s="100">
        <v>7523.5606000449789</v>
      </c>
      <c r="BF68" s="100">
        <v>7</v>
      </c>
      <c r="BG68" s="100">
        <v>7232.4000000000005</v>
      </c>
      <c r="BH68" s="100">
        <v>5.2840289893669938</v>
      </c>
      <c r="BI68" s="100">
        <v>5459.4587518139779</v>
      </c>
      <c r="BJ68" s="100">
        <v>9</v>
      </c>
      <c r="BK68" s="100">
        <v>9298.8000000000011</v>
      </c>
      <c r="BL68" s="100">
        <v>7</v>
      </c>
      <c r="BM68" s="100">
        <v>7232.4000000000005</v>
      </c>
      <c r="BN68" s="100">
        <v>5</v>
      </c>
      <c r="BO68" s="100">
        <v>5166</v>
      </c>
      <c r="BP68" s="100">
        <v>7</v>
      </c>
      <c r="BQ68" s="100">
        <v>7232.4000000000005</v>
      </c>
      <c r="BR68" s="100">
        <v>8</v>
      </c>
      <c r="BS68" s="100">
        <v>8265.6</v>
      </c>
      <c r="BT68" s="100">
        <v>9</v>
      </c>
      <c r="BU68" s="100">
        <v>9298.8000000000011</v>
      </c>
      <c r="BV68" s="100">
        <v>6.7049270942590686</v>
      </c>
      <c r="BW68" s="100">
        <v>6927.5306737884703</v>
      </c>
      <c r="BX68" s="100">
        <v>0</v>
      </c>
      <c r="BY68" s="100">
        <v>0</v>
      </c>
      <c r="BZ68" s="100">
        <v>2.1953567068932949</v>
      </c>
      <c r="CA68" s="100">
        <v>2268.2425495621524</v>
      </c>
      <c r="CB68" s="100">
        <v>4.363141971984545</v>
      </c>
      <c r="CC68" s="100">
        <v>4507.9982854544323</v>
      </c>
      <c r="CD68" s="100">
        <v>8</v>
      </c>
      <c r="CE68" s="100">
        <v>8265.6</v>
      </c>
      <c r="CF68" s="100">
        <v>10</v>
      </c>
      <c r="CG68" s="100">
        <v>10332</v>
      </c>
      <c r="CH68" s="100">
        <v>8</v>
      </c>
      <c r="CI68" s="100">
        <v>8265.6</v>
      </c>
      <c r="CJ68" s="100">
        <v>5</v>
      </c>
      <c r="CK68" s="100">
        <v>5166</v>
      </c>
      <c r="CL68" s="100">
        <v>7</v>
      </c>
      <c r="CM68" s="100">
        <v>7232.4000000000005</v>
      </c>
      <c r="CN68" s="100">
        <v>1.6928140037762291</v>
      </c>
      <c r="CO68" s="100">
        <v>1749.0154287016001</v>
      </c>
      <c r="CP68" s="100">
        <v>7</v>
      </c>
      <c r="CQ68" s="100">
        <v>7232.4000000000005</v>
      </c>
      <c r="CR68" s="100">
        <v>10</v>
      </c>
      <c r="CS68" s="100">
        <v>10332</v>
      </c>
      <c r="CT68" s="100">
        <v>6.5538743637362726</v>
      </c>
      <c r="CU68" s="100">
        <v>6771.4629926123171</v>
      </c>
    </row>
    <row r="69" spans="2:99">
      <c r="C69" s="99" t="s">
        <v>235</v>
      </c>
      <c r="D69" s="100">
        <v>6.5201152978215822</v>
      </c>
      <c r="E69" s="100">
        <v>4944.8554418678877</v>
      </c>
      <c r="F69" s="100">
        <v>2.0155520624713876</v>
      </c>
      <c r="G69" s="100">
        <v>1528.5946841783004</v>
      </c>
      <c r="H69" s="100">
        <v>5</v>
      </c>
      <c r="I69" s="100">
        <v>3792</v>
      </c>
      <c r="J69" s="100">
        <v>8</v>
      </c>
      <c r="K69" s="100">
        <v>6067.2</v>
      </c>
      <c r="L69" s="100">
        <v>9</v>
      </c>
      <c r="M69" s="100">
        <v>6825.5999999999995</v>
      </c>
      <c r="N69" s="100">
        <v>9</v>
      </c>
      <c r="O69" s="100">
        <v>6825.5999999999995</v>
      </c>
      <c r="P69" s="100">
        <v>10</v>
      </c>
      <c r="Q69" s="100">
        <v>7584</v>
      </c>
      <c r="R69" s="100">
        <v>11</v>
      </c>
      <c r="S69" s="100">
        <v>8342.4</v>
      </c>
      <c r="T69" s="100">
        <v>11</v>
      </c>
      <c r="U69" s="100">
        <v>8342.4</v>
      </c>
      <c r="V69" s="100">
        <v>10</v>
      </c>
      <c r="W69" s="100">
        <v>7584</v>
      </c>
      <c r="X69" s="100">
        <v>4.0939245997448568</v>
      </c>
      <c r="Y69" s="100">
        <v>3104.8324164464993</v>
      </c>
      <c r="Z69" s="100">
        <v>6</v>
      </c>
      <c r="AA69" s="100">
        <v>4550.3999999999996</v>
      </c>
      <c r="AB69" s="100">
        <v>10</v>
      </c>
      <c r="AC69" s="100">
        <v>7584</v>
      </c>
      <c r="AD69" s="100">
        <v>9.7423221758155893</v>
      </c>
      <c r="AE69" s="100">
        <v>7388.577138138543</v>
      </c>
      <c r="AF69" s="100">
        <v>4.885082479266762</v>
      </c>
      <c r="AG69" s="100">
        <v>3704.846552275912</v>
      </c>
      <c r="AH69" s="100">
        <v>6</v>
      </c>
      <c r="AI69" s="100">
        <v>4550.3999999999996</v>
      </c>
      <c r="AJ69" s="100">
        <v>3.8152419210499704</v>
      </c>
      <c r="AK69" s="100">
        <v>2893.4794729242976</v>
      </c>
      <c r="AL69" s="100">
        <v>8</v>
      </c>
      <c r="AM69" s="100">
        <v>6067.2</v>
      </c>
      <c r="AN69" s="100">
        <v>6</v>
      </c>
      <c r="AO69" s="100">
        <v>4550.3999999999996</v>
      </c>
      <c r="AP69" s="100">
        <v>4.9712432518024237</v>
      </c>
      <c r="AQ69" s="100">
        <v>3770.1908821669581</v>
      </c>
      <c r="AR69" s="100">
        <v>7.7577866931623844E-16</v>
      </c>
      <c r="AS69" s="100">
        <v>5.8835054280943518E-13</v>
      </c>
      <c r="AT69" s="100">
        <v>10</v>
      </c>
      <c r="AU69" s="100">
        <v>7584</v>
      </c>
      <c r="AV69" s="100">
        <v>9</v>
      </c>
      <c r="AW69" s="100">
        <v>6825.5999999999995</v>
      </c>
      <c r="AX69" s="100">
        <v>10</v>
      </c>
      <c r="AY69" s="100">
        <v>7584</v>
      </c>
      <c r="AZ69" s="100">
        <v>7</v>
      </c>
      <c r="BA69" s="100">
        <v>5308.8</v>
      </c>
      <c r="BB69" s="100">
        <v>8</v>
      </c>
      <c r="BC69" s="100">
        <v>6067.2</v>
      </c>
      <c r="BD69" s="100">
        <v>8.1920302700838192</v>
      </c>
      <c r="BE69" s="100">
        <v>6212.8357568315687</v>
      </c>
      <c r="BF69" s="100">
        <v>8</v>
      </c>
      <c r="BG69" s="100">
        <v>6067.2</v>
      </c>
      <c r="BH69" s="100">
        <v>5.2840289893669938</v>
      </c>
      <c r="BI69" s="100">
        <v>4007.4075855359279</v>
      </c>
      <c r="BJ69" s="100">
        <v>10</v>
      </c>
      <c r="BK69" s="100">
        <v>7584</v>
      </c>
      <c r="BL69" s="100">
        <v>7</v>
      </c>
      <c r="BM69" s="100">
        <v>5308.8</v>
      </c>
      <c r="BN69" s="100">
        <v>5</v>
      </c>
      <c r="BO69" s="100">
        <v>3792</v>
      </c>
      <c r="BP69" s="100">
        <v>8</v>
      </c>
      <c r="BQ69" s="100">
        <v>6067.2</v>
      </c>
      <c r="BR69" s="100">
        <v>9</v>
      </c>
      <c r="BS69" s="100">
        <v>6825.5999999999995</v>
      </c>
      <c r="BT69" s="100">
        <v>8</v>
      </c>
      <c r="BU69" s="100">
        <v>6067.2</v>
      </c>
      <c r="BV69" s="100">
        <v>5.747080366507773</v>
      </c>
      <c r="BW69" s="100">
        <v>4358.5857499594949</v>
      </c>
      <c r="BX69" s="100">
        <v>0</v>
      </c>
      <c r="BY69" s="100">
        <v>0</v>
      </c>
      <c r="BZ69" s="100">
        <v>2.4697762952549565</v>
      </c>
      <c r="CA69" s="100">
        <v>1873.0783423213588</v>
      </c>
      <c r="CB69" s="100">
        <v>5.2357703663814545</v>
      </c>
      <c r="CC69" s="100">
        <v>3970.808245863695</v>
      </c>
      <c r="CD69" s="100">
        <v>7</v>
      </c>
      <c r="CE69" s="100">
        <v>5308.8</v>
      </c>
      <c r="CF69" s="100">
        <v>11</v>
      </c>
      <c r="CG69" s="100">
        <v>8342.4</v>
      </c>
      <c r="CH69" s="100">
        <v>8</v>
      </c>
      <c r="CI69" s="100">
        <v>6067.2</v>
      </c>
      <c r="CJ69" s="100">
        <v>6</v>
      </c>
      <c r="CK69" s="100">
        <v>4550.3999999999996</v>
      </c>
      <c r="CL69" s="100">
        <v>7</v>
      </c>
      <c r="CM69" s="100">
        <v>5308.8</v>
      </c>
      <c r="CN69" s="100">
        <v>1.6928140037762291</v>
      </c>
      <c r="CO69" s="100">
        <v>1283.8301404638921</v>
      </c>
      <c r="CP69" s="100">
        <v>7</v>
      </c>
      <c r="CQ69" s="100">
        <v>5308.8</v>
      </c>
      <c r="CR69" s="100">
        <v>9</v>
      </c>
      <c r="CS69" s="100">
        <v>6825.5999999999995</v>
      </c>
      <c r="CT69" s="100">
        <v>6.5538743637362726</v>
      </c>
      <c r="CU69" s="100">
        <v>4970.4583174575891</v>
      </c>
    </row>
    <row r="70" spans="2:99">
      <c r="C70" s="99" t="s">
        <v>236</v>
      </c>
      <c r="D70" s="100">
        <v>6.5201152978215822</v>
      </c>
      <c r="E70" s="100">
        <v>3489.5657073941102</v>
      </c>
      <c r="F70" s="100">
        <v>2.519440078089235</v>
      </c>
      <c r="G70" s="100">
        <v>1348.4043297933583</v>
      </c>
      <c r="H70" s="100">
        <v>6</v>
      </c>
      <c r="I70" s="100">
        <v>3211.2</v>
      </c>
      <c r="J70" s="100">
        <v>8</v>
      </c>
      <c r="K70" s="100">
        <v>4281.5999999999995</v>
      </c>
      <c r="L70" s="100">
        <v>9</v>
      </c>
      <c r="M70" s="100">
        <v>4816.7999999999993</v>
      </c>
      <c r="N70" s="100">
        <v>11</v>
      </c>
      <c r="O70" s="100">
        <v>5887.1999999999989</v>
      </c>
      <c r="P70" s="100">
        <v>10</v>
      </c>
      <c r="Q70" s="100">
        <v>5351.9999999999991</v>
      </c>
      <c r="R70" s="100">
        <v>11</v>
      </c>
      <c r="S70" s="100">
        <v>5887.1999999999989</v>
      </c>
      <c r="T70" s="100">
        <v>9</v>
      </c>
      <c r="U70" s="100">
        <v>4816.7999999999993</v>
      </c>
      <c r="V70" s="100">
        <v>10</v>
      </c>
      <c r="W70" s="100">
        <v>5351.9999999999991</v>
      </c>
      <c r="X70" s="100">
        <v>4.548805110827618</v>
      </c>
      <c r="Y70" s="100">
        <v>2434.5204953149409</v>
      </c>
      <c r="Z70" s="100">
        <v>6</v>
      </c>
      <c r="AA70" s="100">
        <v>3211.2</v>
      </c>
      <c r="AB70" s="100">
        <v>10</v>
      </c>
      <c r="AC70" s="100">
        <v>5351.9999999999991</v>
      </c>
      <c r="AD70" s="100">
        <v>8.8566565234687165</v>
      </c>
      <c r="AE70" s="100">
        <v>4740.0825713604563</v>
      </c>
      <c r="AF70" s="100">
        <v>5.5829514048762992</v>
      </c>
      <c r="AG70" s="100">
        <v>2987.9955918897949</v>
      </c>
      <c r="AH70" s="100">
        <v>6</v>
      </c>
      <c r="AI70" s="100">
        <v>3211.2</v>
      </c>
      <c r="AJ70" s="100">
        <v>3.8152419210499704</v>
      </c>
      <c r="AK70" s="100">
        <v>2041.917476145944</v>
      </c>
      <c r="AL70" s="100">
        <v>8</v>
      </c>
      <c r="AM70" s="100">
        <v>4281.5999999999995</v>
      </c>
      <c r="AN70" s="100">
        <v>6</v>
      </c>
      <c r="AO70" s="100">
        <v>3211.2</v>
      </c>
      <c r="AP70" s="100">
        <v>5.6814208592027704</v>
      </c>
      <c r="AQ70" s="100">
        <v>3040.6964438453224</v>
      </c>
      <c r="AR70" s="100">
        <v>7.0525333574203497E-16</v>
      </c>
      <c r="AS70" s="100">
        <v>3.7745158528913709E-13</v>
      </c>
      <c r="AT70" s="100">
        <v>11</v>
      </c>
      <c r="AU70" s="100">
        <v>5887.1999999999989</v>
      </c>
      <c r="AV70" s="100">
        <v>10</v>
      </c>
      <c r="AW70" s="100">
        <v>5351.9999999999991</v>
      </c>
      <c r="AX70" s="100">
        <v>10</v>
      </c>
      <c r="AY70" s="100">
        <v>5351.9999999999991</v>
      </c>
      <c r="AZ70" s="100">
        <v>8</v>
      </c>
      <c r="BA70" s="100">
        <v>4281.5999999999995</v>
      </c>
      <c r="BB70" s="100">
        <v>7</v>
      </c>
      <c r="BC70" s="100">
        <v>3746.3999999999996</v>
      </c>
      <c r="BD70" s="100">
        <v>8.1920302700838192</v>
      </c>
      <c r="BE70" s="100">
        <v>4384.3746005488592</v>
      </c>
      <c r="BF70" s="100">
        <v>8</v>
      </c>
      <c r="BG70" s="100">
        <v>4281.5999999999995</v>
      </c>
      <c r="BH70" s="100">
        <v>5.2840289893669938</v>
      </c>
      <c r="BI70" s="100">
        <v>2828.0123151092148</v>
      </c>
      <c r="BJ70" s="100">
        <v>11</v>
      </c>
      <c r="BK70" s="100">
        <v>5887.1999999999989</v>
      </c>
      <c r="BL70" s="100">
        <v>7</v>
      </c>
      <c r="BM70" s="100">
        <v>3746.3999999999996</v>
      </c>
      <c r="BN70" s="100">
        <v>6</v>
      </c>
      <c r="BO70" s="100">
        <v>3211.2</v>
      </c>
      <c r="BP70" s="100">
        <v>7</v>
      </c>
      <c r="BQ70" s="100">
        <v>3746.3999999999996</v>
      </c>
      <c r="BR70" s="100">
        <v>9</v>
      </c>
      <c r="BS70" s="100">
        <v>4816.7999999999993</v>
      </c>
      <c r="BT70" s="100">
        <v>8</v>
      </c>
      <c r="BU70" s="100">
        <v>4281.5999999999995</v>
      </c>
      <c r="BV70" s="100">
        <v>5.747080366507773</v>
      </c>
      <c r="BW70" s="100">
        <v>3075.8374121549596</v>
      </c>
      <c r="BX70" s="100">
        <v>0</v>
      </c>
      <c r="BY70" s="100">
        <v>0</v>
      </c>
      <c r="BZ70" s="100">
        <v>2.4697762952549565</v>
      </c>
      <c r="CA70" s="100">
        <v>1321.8242732204526</v>
      </c>
      <c r="CB70" s="100">
        <v>4.363141971984545</v>
      </c>
      <c r="CC70" s="100">
        <v>2335.1535834061283</v>
      </c>
      <c r="CD70" s="100">
        <v>7</v>
      </c>
      <c r="CE70" s="100">
        <v>3746.3999999999996</v>
      </c>
      <c r="CF70" s="100">
        <v>11</v>
      </c>
      <c r="CG70" s="100">
        <v>5887.1999999999989</v>
      </c>
      <c r="CH70" s="100">
        <v>7</v>
      </c>
      <c r="CI70" s="100">
        <v>3746.3999999999996</v>
      </c>
      <c r="CJ70" s="100">
        <v>6</v>
      </c>
      <c r="CK70" s="100">
        <v>3211.2</v>
      </c>
      <c r="CL70" s="100">
        <v>7</v>
      </c>
      <c r="CM70" s="100">
        <v>3746.3999999999996</v>
      </c>
      <c r="CN70" s="100">
        <v>1.6928140037762291</v>
      </c>
      <c r="CO70" s="100">
        <v>905.99405482103771</v>
      </c>
      <c r="CP70" s="100">
        <v>8</v>
      </c>
      <c r="CQ70" s="100">
        <v>4281.5999999999995</v>
      </c>
      <c r="CR70" s="100">
        <v>10</v>
      </c>
      <c r="CS70" s="100">
        <v>5351.9999999999991</v>
      </c>
      <c r="CT70" s="100">
        <v>6.5538743637362726</v>
      </c>
      <c r="CU70" s="100">
        <v>3507.6335594716525</v>
      </c>
    </row>
    <row r="71" spans="2:99">
      <c r="B71" s="99" t="s">
        <v>130</v>
      </c>
      <c r="C71" s="99" t="s">
        <v>237</v>
      </c>
      <c r="D71" s="100">
        <v>5.925075790843227</v>
      </c>
      <c r="E71" s="100">
        <v>3341.7427460355802</v>
      </c>
      <c r="F71" s="100">
        <v>0.76554112574159983</v>
      </c>
      <c r="G71" s="100">
        <v>431.7651949182623</v>
      </c>
      <c r="H71" s="100">
        <v>13</v>
      </c>
      <c r="I71" s="100">
        <v>7332</v>
      </c>
      <c r="J71" s="100">
        <v>9</v>
      </c>
      <c r="K71" s="100">
        <v>5076</v>
      </c>
      <c r="L71" s="100">
        <v>9</v>
      </c>
      <c r="M71" s="100">
        <v>5076</v>
      </c>
      <c r="N71" s="100">
        <v>9</v>
      </c>
      <c r="O71" s="100">
        <v>5076</v>
      </c>
      <c r="P71" s="100">
        <v>10</v>
      </c>
      <c r="Q71" s="100">
        <v>5640</v>
      </c>
      <c r="R71" s="100">
        <v>8</v>
      </c>
      <c r="S71" s="100">
        <v>4512</v>
      </c>
      <c r="T71" s="100">
        <v>10</v>
      </c>
      <c r="U71" s="100">
        <v>5640</v>
      </c>
      <c r="V71" s="100">
        <v>10</v>
      </c>
      <c r="W71" s="100">
        <v>5640</v>
      </c>
      <c r="X71" s="100">
        <v>6.2464253154945686</v>
      </c>
      <c r="Y71" s="100">
        <v>3522.9838779389365</v>
      </c>
      <c r="Z71" s="100">
        <v>8</v>
      </c>
      <c r="AA71" s="100">
        <v>4512</v>
      </c>
      <c r="AB71" s="100">
        <v>8</v>
      </c>
      <c r="AC71" s="100">
        <v>4512</v>
      </c>
      <c r="AD71" s="100">
        <v>8</v>
      </c>
      <c r="AE71" s="100">
        <v>4512</v>
      </c>
      <c r="AF71" s="100">
        <v>10</v>
      </c>
      <c r="AG71" s="100">
        <v>5640</v>
      </c>
      <c r="AH71" s="100">
        <v>12</v>
      </c>
      <c r="AI71" s="100">
        <v>6768</v>
      </c>
      <c r="AJ71" s="100">
        <v>11</v>
      </c>
      <c r="AK71" s="100">
        <v>6204</v>
      </c>
      <c r="AL71" s="100">
        <v>13</v>
      </c>
      <c r="AM71" s="100">
        <v>7332</v>
      </c>
      <c r="AN71" s="100">
        <v>7.7866225727225391</v>
      </c>
      <c r="AO71" s="100">
        <v>4391.6551310155119</v>
      </c>
      <c r="AP71" s="100">
        <v>10.046511627906906</v>
      </c>
      <c r="AQ71" s="100">
        <v>5666.2325581394953</v>
      </c>
      <c r="AR71" s="100">
        <v>12</v>
      </c>
      <c r="AS71" s="100">
        <v>6768</v>
      </c>
      <c r="AT71" s="100">
        <v>9</v>
      </c>
      <c r="AU71" s="100">
        <v>5076</v>
      </c>
      <c r="AV71" s="100">
        <v>8</v>
      </c>
      <c r="AW71" s="100">
        <v>4512</v>
      </c>
      <c r="AX71" s="100">
        <v>13</v>
      </c>
      <c r="AY71" s="100">
        <v>7332</v>
      </c>
      <c r="AZ71" s="100">
        <v>10</v>
      </c>
      <c r="BA71" s="100">
        <v>5640</v>
      </c>
      <c r="BB71" s="100">
        <v>8</v>
      </c>
      <c r="BC71" s="100">
        <v>4512</v>
      </c>
      <c r="BD71" s="100">
        <v>10</v>
      </c>
      <c r="BE71" s="100">
        <v>5640</v>
      </c>
      <c r="BF71" s="100">
        <v>7.0654067945356909</v>
      </c>
      <c r="BG71" s="100">
        <v>3984.8894321181297</v>
      </c>
      <c r="BH71" s="100">
        <v>11.037735849056528</v>
      </c>
      <c r="BI71" s="100">
        <v>6225.2830188678818</v>
      </c>
      <c r="BJ71" s="100">
        <v>10</v>
      </c>
      <c r="BK71" s="100">
        <v>5640</v>
      </c>
      <c r="BL71" s="100">
        <v>8</v>
      </c>
      <c r="BM71" s="100">
        <v>4512</v>
      </c>
      <c r="BN71" s="100">
        <v>9</v>
      </c>
      <c r="BO71" s="100">
        <v>5076</v>
      </c>
      <c r="BP71" s="100">
        <v>10</v>
      </c>
      <c r="BQ71" s="100">
        <v>5640</v>
      </c>
      <c r="BR71" s="100">
        <v>12</v>
      </c>
      <c r="BS71" s="100">
        <v>6768</v>
      </c>
      <c r="BT71" s="100">
        <v>12</v>
      </c>
      <c r="BU71" s="100">
        <v>6768</v>
      </c>
      <c r="BV71" s="100">
        <v>9</v>
      </c>
      <c r="BW71" s="100">
        <v>5076</v>
      </c>
      <c r="BX71" s="100">
        <v>6.8050433556102643</v>
      </c>
      <c r="BY71" s="100">
        <v>3838.0444525641892</v>
      </c>
      <c r="BZ71" s="100">
        <v>10</v>
      </c>
      <c r="CA71" s="100">
        <v>5640</v>
      </c>
      <c r="CB71" s="100">
        <v>8</v>
      </c>
      <c r="CC71" s="100">
        <v>4512</v>
      </c>
      <c r="CD71" s="100">
        <v>14</v>
      </c>
      <c r="CE71" s="100">
        <v>7896</v>
      </c>
      <c r="CF71" s="100">
        <v>8</v>
      </c>
      <c r="CG71" s="100">
        <v>4512</v>
      </c>
      <c r="CH71" s="100">
        <v>13</v>
      </c>
      <c r="CI71" s="100">
        <v>7332</v>
      </c>
      <c r="CJ71" s="100">
        <v>9.3759664851644011</v>
      </c>
      <c r="CK71" s="100">
        <v>5288.045097632722</v>
      </c>
      <c r="CL71" s="100">
        <v>9.860821875257594</v>
      </c>
      <c r="CM71" s="100">
        <v>5561.5035376452834</v>
      </c>
      <c r="CN71" s="100">
        <v>12</v>
      </c>
      <c r="CO71" s="100">
        <v>6768</v>
      </c>
      <c r="CP71" s="100">
        <v>10</v>
      </c>
      <c r="CQ71" s="100">
        <v>5640</v>
      </c>
      <c r="CR71" s="100">
        <v>12.94902091785551</v>
      </c>
      <c r="CS71" s="100">
        <v>7303.2477976705077</v>
      </c>
      <c r="CT71" s="100">
        <v>16</v>
      </c>
      <c r="CU71" s="100">
        <v>9024</v>
      </c>
    </row>
    <row r="72" spans="2:99">
      <c r="C72" s="99" t="s">
        <v>238</v>
      </c>
      <c r="D72" s="100">
        <v>5.925075790843227</v>
      </c>
      <c r="E72" s="100">
        <v>440.82563883873604</v>
      </c>
      <c r="F72" s="100">
        <v>0.82442890464479979</v>
      </c>
      <c r="G72" s="100">
        <v>61.3375105055731</v>
      </c>
      <c r="H72" s="100">
        <v>12</v>
      </c>
      <c r="I72" s="100">
        <v>892.8</v>
      </c>
      <c r="J72" s="100">
        <v>10</v>
      </c>
      <c r="K72" s="100">
        <v>743.99999999999989</v>
      </c>
      <c r="L72" s="100">
        <v>11</v>
      </c>
      <c r="M72" s="100">
        <v>818.39999999999986</v>
      </c>
      <c r="N72" s="100">
        <v>10</v>
      </c>
      <c r="O72" s="100">
        <v>743.99999999999989</v>
      </c>
      <c r="P72" s="100">
        <v>10</v>
      </c>
      <c r="Q72" s="100">
        <v>743.99999999999989</v>
      </c>
      <c r="R72" s="100">
        <v>8</v>
      </c>
      <c r="S72" s="100">
        <v>595.19999999999993</v>
      </c>
      <c r="T72" s="100">
        <v>10</v>
      </c>
      <c r="U72" s="100">
        <v>743.99999999999989</v>
      </c>
      <c r="V72" s="100">
        <v>11</v>
      </c>
      <c r="W72" s="100">
        <v>818.39999999999986</v>
      </c>
      <c r="X72" s="100">
        <v>7.808031644368211</v>
      </c>
      <c r="Y72" s="100">
        <v>580.9175543409948</v>
      </c>
      <c r="Z72" s="100">
        <v>8</v>
      </c>
      <c r="AA72" s="100">
        <v>595.19999999999993</v>
      </c>
      <c r="AB72" s="100">
        <v>7</v>
      </c>
      <c r="AC72" s="100">
        <v>520.79999999999995</v>
      </c>
      <c r="AD72" s="100">
        <v>8</v>
      </c>
      <c r="AE72" s="100">
        <v>595.19999999999993</v>
      </c>
      <c r="AF72" s="100">
        <v>13</v>
      </c>
      <c r="AG72" s="100">
        <v>967.19999999999993</v>
      </c>
      <c r="AH72" s="100">
        <v>13</v>
      </c>
      <c r="AI72" s="100">
        <v>967.19999999999993</v>
      </c>
      <c r="AJ72" s="100">
        <v>12</v>
      </c>
      <c r="AK72" s="100">
        <v>892.8</v>
      </c>
      <c r="AL72" s="100">
        <v>12</v>
      </c>
      <c r="AM72" s="100">
        <v>892.8</v>
      </c>
      <c r="AN72" s="100">
        <v>9.2023721313993647</v>
      </c>
      <c r="AO72" s="100">
        <v>684.65648657611268</v>
      </c>
      <c r="AP72" s="100">
        <v>10.88372093023248</v>
      </c>
      <c r="AQ72" s="100">
        <v>809.74883720929643</v>
      </c>
      <c r="AR72" s="100">
        <v>11</v>
      </c>
      <c r="AS72" s="100">
        <v>818.39999999999986</v>
      </c>
      <c r="AT72" s="100">
        <v>10</v>
      </c>
      <c r="AU72" s="100">
        <v>743.99999999999989</v>
      </c>
      <c r="AV72" s="100">
        <v>9</v>
      </c>
      <c r="AW72" s="100">
        <v>669.59999999999991</v>
      </c>
      <c r="AX72" s="100">
        <v>13</v>
      </c>
      <c r="AY72" s="100">
        <v>967.19999999999993</v>
      </c>
      <c r="AZ72" s="100">
        <v>9</v>
      </c>
      <c r="BA72" s="100">
        <v>669.59999999999991</v>
      </c>
      <c r="BB72" s="100">
        <v>8</v>
      </c>
      <c r="BC72" s="100">
        <v>595.19999999999993</v>
      </c>
      <c r="BD72" s="100">
        <v>11</v>
      </c>
      <c r="BE72" s="100">
        <v>818.39999999999986</v>
      </c>
      <c r="BF72" s="100">
        <v>7.0654067945356909</v>
      </c>
      <c r="BG72" s="100">
        <v>525.6662655134553</v>
      </c>
      <c r="BH72" s="100">
        <v>11.037735849056528</v>
      </c>
      <c r="BI72" s="100">
        <v>821.20754716980559</v>
      </c>
      <c r="BJ72" s="100">
        <v>11</v>
      </c>
      <c r="BK72" s="100">
        <v>818.39999999999986</v>
      </c>
      <c r="BL72" s="100">
        <v>7</v>
      </c>
      <c r="BM72" s="100">
        <v>520.79999999999995</v>
      </c>
      <c r="BN72" s="100">
        <v>11</v>
      </c>
      <c r="BO72" s="100">
        <v>818.39999999999986</v>
      </c>
      <c r="BP72" s="100">
        <v>10</v>
      </c>
      <c r="BQ72" s="100">
        <v>743.99999999999989</v>
      </c>
      <c r="BR72" s="100">
        <v>11</v>
      </c>
      <c r="BS72" s="100">
        <v>818.39999999999986</v>
      </c>
      <c r="BT72" s="100">
        <v>13</v>
      </c>
      <c r="BU72" s="100">
        <v>967.19999999999993</v>
      </c>
      <c r="BV72" s="100">
        <v>10</v>
      </c>
      <c r="BW72" s="100">
        <v>743.99999999999989</v>
      </c>
      <c r="BX72" s="100">
        <v>6.35137379856958</v>
      </c>
      <c r="BY72" s="100">
        <v>472.54221061357669</v>
      </c>
      <c r="BZ72" s="100">
        <v>10</v>
      </c>
      <c r="CA72" s="100">
        <v>743.99999999999989</v>
      </c>
      <c r="CB72" s="100">
        <v>8</v>
      </c>
      <c r="CC72" s="100">
        <v>595.19999999999993</v>
      </c>
      <c r="CD72" s="100">
        <v>14</v>
      </c>
      <c r="CE72" s="100">
        <v>1041.5999999999999</v>
      </c>
      <c r="CF72" s="100">
        <v>8</v>
      </c>
      <c r="CG72" s="100">
        <v>595.19999999999993</v>
      </c>
      <c r="CH72" s="100">
        <v>15</v>
      </c>
      <c r="CI72" s="100">
        <v>1115.9999999999998</v>
      </c>
      <c r="CJ72" s="100">
        <v>10.157297025594769</v>
      </c>
      <c r="CK72" s="100">
        <v>755.70289870425074</v>
      </c>
      <c r="CL72" s="100">
        <v>9.860821875257594</v>
      </c>
      <c r="CM72" s="100">
        <v>733.64514751916488</v>
      </c>
      <c r="CN72" s="100">
        <v>13</v>
      </c>
      <c r="CO72" s="100">
        <v>967.19999999999993</v>
      </c>
      <c r="CP72" s="100">
        <v>12</v>
      </c>
      <c r="CQ72" s="100">
        <v>892.8</v>
      </c>
      <c r="CR72" s="100">
        <v>11.952942385712781</v>
      </c>
      <c r="CS72" s="100">
        <v>889.29891349703075</v>
      </c>
      <c r="CT72" s="100">
        <v>14</v>
      </c>
      <c r="CU72" s="100">
        <v>1041.5999999999999</v>
      </c>
    </row>
    <row r="73" spans="2:99">
      <c r="C73" s="99" t="s">
        <v>239</v>
      </c>
      <c r="D73" s="100">
        <v>5.1844413169878232</v>
      </c>
      <c r="E73" s="100">
        <v>2899.1395844595904</v>
      </c>
      <c r="F73" s="100">
        <v>0.76554112574159983</v>
      </c>
      <c r="G73" s="100">
        <v>428.09059751470255</v>
      </c>
      <c r="H73" s="100">
        <v>12</v>
      </c>
      <c r="I73" s="100">
        <v>6710.4</v>
      </c>
      <c r="J73" s="100">
        <v>10</v>
      </c>
      <c r="K73" s="100">
        <v>5591.9999999999991</v>
      </c>
      <c r="L73" s="100">
        <v>11</v>
      </c>
      <c r="M73" s="100">
        <v>6151.1999999999989</v>
      </c>
      <c r="N73" s="100">
        <v>11</v>
      </c>
      <c r="O73" s="100">
        <v>6151.1999999999989</v>
      </c>
      <c r="P73" s="100">
        <v>11</v>
      </c>
      <c r="Q73" s="100">
        <v>6151.1999999999989</v>
      </c>
      <c r="R73" s="100">
        <v>8</v>
      </c>
      <c r="S73" s="100">
        <v>4473.5999999999995</v>
      </c>
      <c r="T73" s="100">
        <v>9</v>
      </c>
      <c r="U73" s="100">
        <v>5032.7999999999993</v>
      </c>
      <c r="V73" s="100">
        <v>11</v>
      </c>
      <c r="W73" s="100">
        <v>6151.1999999999989</v>
      </c>
      <c r="X73" s="100">
        <v>6.2464253154945686</v>
      </c>
      <c r="Y73" s="100">
        <v>3493.0010364245622</v>
      </c>
      <c r="Z73" s="100">
        <v>8</v>
      </c>
      <c r="AA73" s="100">
        <v>4473.5999999999995</v>
      </c>
      <c r="AB73" s="100">
        <v>7</v>
      </c>
      <c r="AC73" s="100">
        <v>3914.3999999999996</v>
      </c>
      <c r="AD73" s="100">
        <v>8</v>
      </c>
      <c r="AE73" s="100">
        <v>4473.5999999999995</v>
      </c>
      <c r="AF73" s="100">
        <v>10</v>
      </c>
      <c r="AG73" s="100">
        <v>5591.9999999999991</v>
      </c>
      <c r="AH73" s="100">
        <v>13</v>
      </c>
      <c r="AI73" s="100">
        <v>7269.5999999999995</v>
      </c>
      <c r="AJ73" s="100">
        <v>10</v>
      </c>
      <c r="AK73" s="100">
        <v>5591.9999999999991</v>
      </c>
      <c r="AL73" s="100">
        <v>13</v>
      </c>
      <c r="AM73" s="100">
        <v>7269.5999999999995</v>
      </c>
      <c r="AN73" s="100">
        <v>9.2023721313993647</v>
      </c>
      <c r="AO73" s="100">
        <v>5145.9664958785243</v>
      </c>
      <c r="AP73" s="100">
        <v>10.88372093023248</v>
      </c>
      <c r="AQ73" s="100">
        <v>6086.176744186002</v>
      </c>
      <c r="AR73" s="100">
        <v>11</v>
      </c>
      <c r="AS73" s="100">
        <v>6151.1999999999989</v>
      </c>
      <c r="AT73" s="100">
        <v>9</v>
      </c>
      <c r="AU73" s="100">
        <v>5032.7999999999993</v>
      </c>
      <c r="AV73" s="100">
        <v>8</v>
      </c>
      <c r="AW73" s="100">
        <v>4473.5999999999995</v>
      </c>
      <c r="AX73" s="100">
        <v>13</v>
      </c>
      <c r="AY73" s="100">
        <v>7269.5999999999995</v>
      </c>
      <c r="AZ73" s="100">
        <v>11</v>
      </c>
      <c r="BA73" s="100">
        <v>6151.1999999999989</v>
      </c>
      <c r="BB73" s="100">
        <v>9</v>
      </c>
      <c r="BC73" s="100">
        <v>5032.7999999999993</v>
      </c>
      <c r="BD73" s="100">
        <v>10</v>
      </c>
      <c r="BE73" s="100">
        <v>5591.9999999999991</v>
      </c>
      <c r="BF73" s="100">
        <v>5.9784211338378928</v>
      </c>
      <c r="BG73" s="100">
        <v>3343.1330980421494</v>
      </c>
      <c r="BH73" s="100">
        <v>10.188679245282948</v>
      </c>
      <c r="BI73" s="100">
        <v>5697.5094339622237</v>
      </c>
      <c r="BJ73" s="100">
        <v>11</v>
      </c>
      <c r="BK73" s="100">
        <v>6151.1999999999989</v>
      </c>
      <c r="BL73" s="100">
        <v>8</v>
      </c>
      <c r="BM73" s="100">
        <v>4473.5999999999995</v>
      </c>
      <c r="BN73" s="100">
        <v>10</v>
      </c>
      <c r="BO73" s="100">
        <v>5591.9999999999991</v>
      </c>
      <c r="BP73" s="100">
        <v>11</v>
      </c>
      <c r="BQ73" s="100">
        <v>6151.1999999999989</v>
      </c>
      <c r="BR73" s="100">
        <v>11</v>
      </c>
      <c r="BS73" s="100">
        <v>6151.1999999999989</v>
      </c>
      <c r="BT73" s="100">
        <v>13</v>
      </c>
      <c r="BU73" s="100">
        <v>7269.5999999999995</v>
      </c>
      <c r="BV73" s="100">
        <v>9</v>
      </c>
      <c r="BW73" s="100">
        <v>5032.7999999999993</v>
      </c>
      <c r="BX73" s="100">
        <v>5.8977042415288956</v>
      </c>
      <c r="BY73" s="100">
        <v>3297.9962118629578</v>
      </c>
      <c r="BZ73" s="100">
        <v>11</v>
      </c>
      <c r="CA73" s="100">
        <v>6151.1999999999989</v>
      </c>
      <c r="CB73" s="100">
        <v>8</v>
      </c>
      <c r="CC73" s="100">
        <v>4473.5999999999995</v>
      </c>
      <c r="CD73" s="100">
        <v>12</v>
      </c>
      <c r="CE73" s="100">
        <v>6710.4</v>
      </c>
      <c r="CF73" s="100">
        <v>8</v>
      </c>
      <c r="CG73" s="100">
        <v>4473.5999999999995</v>
      </c>
      <c r="CH73" s="100">
        <v>13</v>
      </c>
      <c r="CI73" s="100">
        <v>7269.5999999999995</v>
      </c>
      <c r="CJ73" s="100">
        <v>9.3759664851644011</v>
      </c>
      <c r="CK73" s="100">
        <v>5243.0404585039323</v>
      </c>
      <c r="CL73" s="100">
        <v>9.860821875257594</v>
      </c>
      <c r="CM73" s="100">
        <v>5514.1715926440456</v>
      </c>
      <c r="CN73" s="100">
        <v>12</v>
      </c>
      <c r="CO73" s="100">
        <v>6710.4</v>
      </c>
      <c r="CP73" s="100">
        <v>11</v>
      </c>
      <c r="CQ73" s="100">
        <v>6151.1999999999989</v>
      </c>
      <c r="CR73" s="100">
        <v>12.94902091785551</v>
      </c>
      <c r="CS73" s="100">
        <v>7241.0924972647999</v>
      </c>
      <c r="CT73" s="100">
        <v>15</v>
      </c>
      <c r="CU73" s="100">
        <v>8387.9999999999982</v>
      </c>
    </row>
    <row r="74" spans="2:99">
      <c r="C74" s="99" t="s">
        <v>240</v>
      </c>
      <c r="D74" s="100">
        <v>5.1844413169878232</v>
      </c>
      <c r="E74" s="100">
        <v>2090.3667390094902</v>
      </c>
      <c r="F74" s="100">
        <v>0.76554112574159983</v>
      </c>
      <c r="G74" s="100">
        <v>308.66618189901305</v>
      </c>
      <c r="H74" s="100">
        <v>12</v>
      </c>
      <c r="I74" s="100">
        <v>4838.3999999999996</v>
      </c>
      <c r="J74" s="100">
        <v>10</v>
      </c>
      <c r="K74" s="100">
        <v>4032</v>
      </c>
      <c r="L74" s="100">
        <v>10</v>
      </c>
      <c r="M74" s="100">
        <v>4032</v>
      </c>
      <c r="N74" s="100">
        <v>11</v>
      </c>
      <c r="O74" s="100">
        <v>4435.2</v>
      </c>
      <c r="P74" s="100">
        <v>10</v>
      </c>
      <c r="Q74" s="100">
        <v>4032</v>
      </c>
      <c r="R74" s="100">
        <v>9</v>
      </c>
      <c r="S74" s="100">
        <v>3628.7999999999997</v>
      </c>
      <c r="T74" s="100">
        <v>10</v>
      </c>
      <c r="U74" s="100">
        <v>4032</v>
      </c>
      <c r="V74" s="100">
        <v>10</v>
      </c>
      <c r="W74" s="100">
        <v>4032</v>
      </c>
      <c r="X74" s="100">
        <v>7.0272284799313898</v>
      </c>
      <c r="Y74" s="100">
        <v>2833.3785231083361</v>
      </c>
      <c r="Z74" s="100">
        <v>9</v>
      </c>
      <c r="AA74" s="100">
        <v>3628.7999999999997</v>
      </c>
      <c r="AB74" s="100">
        <v>8</v>
      </c>
      <c r="AC74" s="100">
        <v>3225.6</v>
      </c>
      <c r="AD74" s="100">
        <v>8</v>
      </c>
      <c r="AE74" s="100">
        <v>3225.6</v>
      </c>
      <c r="AF74" s="100">
        <v>11</v>
      </c>
      <c r="AG74" s="100">
        <v>4435.2</v>
      </c>
      <c r="AH74" s="100">
        <v>11</v>
      </c>
      <c r="AI74" s="100">
        <v>4435.2</v>
      </c>
      <c r="AJ74" s="100">
        <v>10</v>
      </c>
      <c r="AK74" s="100">
        <v>4032</v>
      </c>
      <c r="AL74" s="100">
        <v>12</v>
      </c>
      <c r="AM74" s="100">
        <v>4838.3999999999996</v>
      </c>
      <c r="AN74" s="100">
        <v>8.4944973520609519</v>
      </c>
      <c r="AO74" s="100">
        <v>3424.9813323509757</v>
      </c>
      <c r="AP74" s="100">
        <v>10.88372093023248</v>
      </c>
      <c r="AQ74" s="100">
        <v>4388.3162790697361</v>
      </c>
      <c r="AR74" s="100">
        <v>11</v>
      </c>
      <c r="AS74" s="100">
        <v>4435.2</v>
      </c>
      <c r="AT74" s="100">
        <v>10</v>
      </c>
      <c r="AU74" s="100">
        <v>4032</v>
      </c>
      <c r="AV74" s="100">
        <v>8</v>
      </c>
      <c r="AW74" s="100">
        <v>3225.6</v>
      </c>
      <c r="AX74" s="100">
        <v>13</v>
      </c>
      <c r="AY74" s="100">
        <v>5241.5999999999995</v>
      </c>
      <c r="AZ74" s="100">
        <v>10</v>
      </c>
      <c r="BA74" s="100">
        <v>4032</v>
      </c>
      <c r="BB74" s="100">
        <v>8</v>
      </c>
      <c r="BC74" s="100">
        <v>3225.6</v>
      </c>
      <c r="BD74" s="100">
        <v>10</v>
      </c>
      <c r="BE74" s="100">
        <v>4032</v>
      </c>
      <c r="BF74" s="100">
        <v>6.5219139641867914</v>
      </c>
      <c r="BG74" s="100">
        <v>2629.635710360114</v>
      </c>
      <c r="BH74" s="100">
        <v>10.188679245282948</v>
      </c>
      <c r="BI74" s="100">
        <v>4108.0754716980846</v>
      </c>
      <c r="BJ74" s="100">
        <v>12</v>
      </c>
      <c r="BK74" s="100">
        <v>4838.3999999999996</v>
      </c>
      <c r="BL74" s="100">
        <v>8</v>
      </c>
      <c r="BM74" s="100">
        <v>3225.6</v>
      </c>
      <c r="BN74" s="100">
        <v>10</v>
      </c>
      <c r="BO74" s="100">
        <v>4032</v>
      </c>
      <c r="BP74" s="100">
        <v>9</v>
      </c>
      <c r="BQ74" s="100">
        <v>3628.7999999999997</v>
      </c>
      <c r="BR74" s="100">
        <v>12</v>
      </c>
      <c r="BS74" s="100">
        <v>4838.3999999999996</v>
      </c>
      <c r="BT74" s="100">
        <v>13</v>
      </c>
      <c r="BU74" s="100">
        <v>5241.5999999999995</v>
      </c>
      <c r="BV74" s="100">
        <v>9</v>
      </c>
      <c r="BW74" s="100">
        <v>3628.7999999999997</v>
      </c>
      <c r="BX74" s="100">
        <v>6.8050433556102643</v>
      </c>
      <c r="BY74" s="100">
        <v>2743.7934809820586</v>
      </c>
      <c r="BZ74" s="100">
        <v>9</v>
      </c>
      <c r="CA74" s="100">
        <v>3628.7999999999997</v>
      </c>
      <c r="CB74" s="100">
        <v>9</v>
      </c>
      <c r="CC74" s="100">
        <v>3628.7999999999997</v>
      </c>
      <c r="CD74" s="100">
        <v>13</v>
      </c>
      <c r="CE74" s="100">
        <v>5241.5999999999995</v>
      </c>
      <c r="CF74" s="100">
        <v>8</v>
      </c>
      <c r="CG74" s="100">
        <v>3225.6</v>
      </c>
      <c r="CH74" s="100">
        <v>13</v>
      </c>
      <c r="CI74" s="100">
        <v>5241.5999999999995</v>
      </c>
      <c r="CJ74" s="100">
        <v>10.938627566025136</v>
      </c>
      <c r="CK74" s="100">
        <v>4410.4546346213347</v>
      </c>
      <c r="CL74" s="100">
        <v>9.860821875257594</v>
      </c>
      <c r="CM74" s="100">
        <v>3975.8833801038618</v>
      </c>
      <c r="CN74" s="100">
        <v>13</v>
      </c>
      <c r="CO74" s="100">
        <v>5241.5999999999995</v>
      </c>
      <c r="CP74" s="100">
        <v>12</v>
      </c>
      <c r="CQ74" s="100">
        <v>4838.3999999999996</v>
      </c>
      <c r="CR74" s="100">
        <v>12.94902091785551</v>
      </c>
      <c r="CS74" s="100">
        <v>5221.0452340793418</v>
      </c>
      <c r="CT74" s="100">
        <v>15</v>
      </c>
      <c r="CU74" s="100">
        <v>6048</v>
      </c>
    </row>
    <row r="75" spans="2:99">
      <c r="C75" s="99" t="s">
        <v>241</v>
      </c>
      <c r="D75" s="100">
        <v>5.925075790843227</v>
      </c>
      <c r="E75" s="100">
        <v>3811.0087486703633</v>
      </c>
      <c r="F75" s="100">
        <v>0.88331668354799975</v>
      </c>
      <c r="G75" s="100">
        <v>568.14929085807341</v>
      </c>
      <c r="H75" s="100">
        <v>13</v>
      </c>
      <c r="I75" s="100">
        <v>8361.5999999999985</v>
      </c>
      <c r="J75" s="100">
        <v>9</v>
      </c>
      <c r="K75" s="100">
        <v>5788.7999999999993</v>
      </c>
      <c r="L75" s="100">
        <v>11</v>
      </c>
      <c r="M75" s="100">
        <v>7075.1999999999989</v>
      </c>
      <c r="N75" s="100">
        <v>11</v>
      </c>
      <c r="O75" s="100">
        <v>7075.1999999999989</v>
      </c>
      <c r="P75" s="100">
        <v>9</v>
      </c>
      <c r="Q75" s="100">
        <v>5788.7999999999993</v>
      </c>
      <c r="R75" s="100">
        <v>8</v>
      </c>
      <c r="S75" s="100">
        <v>5145.5999999999995</v>
      </c>
      <c r="T75" s="100">
        <v>10</v>
      </c>
      <c r="U75" s="100">
        <v>6431.9999999999991</v>
      </c>
      <c r="V75" s="100">
        <v>10</v>
      </c>
      <c r="W75" s="100">
        <v>6431.9999999999991</v>
      </c>
      <c r="X75" s="100">
        <v>7.0272284799313898</v>
      </c>
      <c r="Y75" s="100">
        <v>4519.9133582918694</v>
      </c>
      <c r="Z75" s="100">
        <v>7</v>
      </c>
      <c r="AA75" s="100">
        <v>4502.3999999999996</v>
      </c>
      <c r="AB75" s="100">
        <v>7</v>
      </c>
      <c r="AC75" s="100">
        <v>4502.3999999999996</v>
      </c>
      <c r="AD75" s="100">
        <v>8</v>
      </c>
      <c r="AE75" s="100">
        <v>5145.5999999999995</v>
      </c>
      <c r="AF75" s="100">
        <v>11</v>
      </c>
      <c r="AG75" s="100">
        <v>7075.1999999999989</v>
      </c>
      <c r="AH75" s="100">
        <v>12</v>
      </c>
      <c r="AI75" s="100">
        <v>7718.4</v>
      </c>
      <c r="AJ75" s="100">
        <v>10</v>
      </c>
      <c r="AK75" s="100">
        <v>6431.9999999999991</v>
      </c>
      <c r="AL75" s="100">
        <v>14</v>
      </c>
      <c r="AM75" s="100">
        <v>9004.7999999999993</v>
      </c>
      <c r="AN75" s="100">
        <v>8.4944973520609519</v>
      </c>
      <c r="AO75" s="100">
        <v>5463.6606968456035</v>
      </c>
      <c r="AP75" s="100">
        <v>10.88372093023248</v>
      </c>
      <c r="AQ75" s="100">
        <v>7000.40930232553</v>
      </c>
      <c r="AR75" s="100">
        <v>11</v>
      </c>
      <c r="AS75" s="100">
        <v>7075.1999999999989</v>
      </c>
      <c r="AT75" s="100">
        <v>10</v>
      </c>
      <c r="AU75" s="100">
        <v>6431.9999999999991</v>
      </c>
      <c r="AV75" s="100">
        <v>8</v>
      </c>
      <c r="AW75" s="100">
        <v>5145.5999999999995</v>
      </c>
      <c r="AX75" s="100">
        <v>11</v>
      </c>
      <c r="AY75" s="100">
        <v>7075.1999999999989</v>
      </c>
      <c r="AZ75" s="100">
        <v>9</v>
      </c>
      <c r="BA75" s="100">
        <v>5788.7999999999993</v>
      </c>
      <c r="BB75" s="100">
        <v>8</v>
      </c>
      <c r="BC75" s="100">
        <v>5145.5999999999995</v>
      </c>
      <c r="BD75" s="100">
        <v>9</v>
      </c>
      <c r="BE75" s="100">
        <v>5788.7999999999993</v>
      </c>
      <c r="BF75" s="100">
        <v>6.5219139641867914</v>
      </c>
      <c r="BG75" s="100">
        <v>4194.8950617649434</v>
      </c>
      <c r="BH75" s="100">
        <v>11.037735849056528</v>
      </c>
      <c r="BI75" s="100">
        <v>7099.4716981131578</v>
      </c>
      <c r="BJ75" s="100">
        <v>10</v>
      </c>
      <c r="BK75" s="100">
        <v>6431.9999999999991</v>
      </c>
      <c r="BL75" s="100">
        <v>9</v>
      </c>
      <c r="BM75" s="100">
        <v>5788.7999999999993</v>
      </c>
      <c r="BN75" s="100">
        <v>10</v>
      </c>
      <c r="BO75" s="100">
        <v>6431.9999999999991</v>
      </c>
      <c r="BP75" s="100">
        <v>9</v>
      </c>
      <c r="BQ75" s="100">
        <v>5788.7999999999993</v>
      </c>
      <c r="BR75" s="100">
        <v>10</v>
      </c>
      <c r="BS75" s="100">
        <v>6431.9999999999991</v>
      </c>
      <c r="BT75" s="100">
        <v>12</v>
      </c>
      <c r="BU75" s="100">
        <v>7718.4</v>
      </c>
      <c r="BV75" s="100">
        <v>10</v>
      </c>
      <c r="BW75" s="100">
        <v>6431.9999999999991</v>
      </c>
      <c r="BX75" s="100">
        <v>6.8050433556102643</v>
      </c>
      <c r="BY75" s="100">
        <v>4377.0038863285217</v>
      </c>
      <c r="BZ75" s="100">
        <v>9</v>
      </c>
      <c r="CA75" s="100">
        <v>5788.7999999999993</v>
      </c>
      <c r="CB75" s="100">
        <v>7</v>
      </c>
      <c r="CC75" s="100">
        <v>4502.3999999999996</v>
      </c>
      <c r="CD75" s="100">
        <v>12</v>
      </c>
      <c r="CE75" s="100">
        <v>7718.4</v>
      </c>
      <c r="CF75" s="100">
        <v>8</v>
      </c>
      <c r="CG75" s="100">
        <v>5145.5999999999995</v>
      </c>
      <c r="CH75" s="100">
        <v>14</v>
      </c>
      <c r="CI75" s="100">
        <v>9004.7999999999993</v>
      </c>
      <c r="CJ75" s="100">
        <v>9.3759664851644011</v>
      </c>
      <c r="CK75" s="100">
        <v>6030.6216432577421</v>
      </c>
      <c r="CL75" s="100">
        <v>10.75726022755374</v>
      </c>
      <c r="CM75" s="100">
        <v>6919.0697783625646</v>
      </c>
      <c r="CN75" s="100">
        <v>13</v>
      </c>
      <c r="CO75" s="100">
        <v>8361.5999999999985</v>
      </c>
      <c r="CP75" s="100">
        <v>12</v>
      </c>
      <c r="CQ75" s="100">
        <v>7718.4</v>
      </c>
      <c r="CR75" s="100">
        <v>11.952942385712781</v>
      </c>
      <c r="CS75" s="100">
        <v>7688.1325424904599</v>
      </c>
      <c r="CT75" s="100">
        <v>13</v>
      </c>
      <c r="CU75" s="100">
        <v>8361.5999999999985</v>
      </c>
    </row>
    <row r="76" spans="2:99">
      <c r="C76" s="99" t="s">
        <v>242</v>
      </c>
      <c r="D76" s="100">
        <v>5.925075790843227</v>
      </c>
      <c r="E76" s="100">
        <v>4614.4490259087052</v>
      </c>
      <c r="F76" s="100">
        <v>0.82442890464479979</v>
      </c>
      <c r="G76" s="100">
        <v>642.06523093737007</v>
      </c>
      <c r="H76" s="100">
        <v>12</v>
      </c>
      <c r="I76" s="100">
        <v>9345.5999999999985</v>
      </c>
      <c r="J76" s="100">
        <v>9</v>
      </c>
      <c r="K76" s="100">
        <v>7009.2</v>
      </c>
      <c r="L76" s="100">
        <v>9</v>
      </c>
      <c r="M76" s="100">
        <v>7009.2</v>
      </c>
      <c r="N76" s="100">
        <v>9</v>
      </c>
      <c r="O76" s="100">
        <v>7009.2</v>
      </c>
      <c r="P76" s="100">
        <v>10</v>
      </c>
      <c r="Q76" s="100">
        <v>7788</v>
      </c>
      <c r="R76" s="100">
        <v>8</v>
      </c>
      <c r="S76" s="100">
        <v>6230.4</v>
      </c>
      <c r="T76" s="100">
        <v>9</v>
      </c>
      <c r="U76" s="100">
        <v>7009.2</v>
      </c>
      <c r="V76" s="100">
        <v>11</v>
      </c>
      <c r="W76" s="100">
        <v>8566.7999999999993</v>
      </c>
      <c r="X76" s="100">
        <v>6.2464253154945686</v>
      </c>
      <c r="Y76" s="100">
        <v>4864.7160357071698</v>
      </c>
      <c r="Z76" s="100">
        <v>8</v>
      </c>
      <c r="AA76" s="100">
        <v>6230.4</v>
      </c>
      <c r="AB76" s="100">
        <v>7</v>
      </c>
      <c r="AC76" s="100">
        <v>5451.5999999999995</v>
      </c>
      <c r="AD76" s="100">
        <v>8</v>
      </c>
      <c r="AE76" s="100">
        <v>6230.4</v>
      </c>
      <c r="AF76" s="100">
        <v>10</v>
      </c>
      <c r="AG76" s="100">
        <v>7788</v>
      </c>
      <c r="AH76" s="100">
        <v>13</v>
      </c>
      <c r="AI76" s="100">
        <v>10124.4</v>
      </c>
      <c r="AJ76" s="100">
        <v>11</v>
      </c>
      <c r="AK76" s="100">
        <v>8566.7999999999993</v>
      </c>
      <c r="AL76" s="100">
        <v>14</v>
      </c>
      <c r="AM76" s="100">
        <v>10903.199999999999</v>
      </c>
      <c r="AN76" s="100">
        <v>8.4944973520609519</v>
      </c>
      <c r="AO76" s="100">
        <v>6615.5145377850686</v>
      </c>
      <c r="AP76" s="100">
        <v>10.046511627906906</v>
      </c>
      <c r="AQ76" s="100">
        <v>7824.2232558138976</v>
      </c>
      <c r="AR76" s="100">
        <v>10</v>
      </c>
      <c r="AS76" s="100">
        <v>7788</v>
      </c>
      <c r="AT76" s="100">
        <v>9</v>
      </c>
      <c r="AU76" s="100">
        <v>7009.2</v>
      </c>
      <c r="AV76" s="100">
        <v>8</v>
      </c>
      <c r="AW76" s="100">
        <v>6230.4</v>
      </c>
      <c r="AX76" s="100">
        <v>11</v>
      </c>
      <c r="AY76" s="100">
        <v>8566.7999999999993</v>
      </c>
      <c r="AZ76" s="100">
        <v>10</v>
      </c>
      <c r="BA76" s="100">
        <v>7788</v>
      </c>
      <c r="BB76" s="100">
        <v>7</v>
      </c>
      <c r="BC76" s="100">
        <v>5451.5999999999995</v>
      </c>
      <c r="BD76" s="100">
        <v>9</v>
      </c>
      <c r="BE76" s="100">
        <v>7009.2</v>
      </c>
      <c r="BF76" s="100">
        <v>7.0654067945356909</v>
      </c>
      <c r="BG76" s="100">
        <v>5502.5388115843962</v>
      </c>
      <c r="BH76" s="100">
        <v>9.3396226415093704</v>
      </c>
      <c r="BI76" s="100">
        <v>7273.698113207497</v>
      </c>
      <c r="BJ76" s="100">
        <v>10</v>
      </c>
      <c r="BK76" s="100">
        <v>7788</v>
      </c>
      <c r="BL76" s="100">
        <v>8</v>
      </c>
      <c r="BM76" s="100">
        <v>6230.4</v>
      </c>
      <c r="BN76" s="100">
        <v>10</v>
      </c>
      <c r="BO76" s="100">
        <v>7788</v>
      </c>
      <c r="BP76" s="100">
        <v>10</v>
      </c>
      <c r="BQ76" s="100">
        <v>7788</v>
      </c>
      <c r="BR76" s="100">
        <v>12</v>
      </c>
      <c r="BS76" s="100">
        <v>9345.5999999999985</v>
      </c>
      <c r="BT76" s="100">
        <v>11</v>
      </c>
      <c r="BU76" s="100">
        <v>8566.7999999999993</v>
      </c>
      <c r="BV76" s="100">
        <v>10</v>
      </c>
      <c r="BW76" s="100">
        <v>7788</v>
      </c>
      <c r="BX76" s="100">
        <v>5.8977042415288956</v>
      </c>
      <c r="BY76" s="100">
        <v>4593.1320633027035</v>
      </c>
      <c r="BZ76" s="100">
        <v>9</v>
      </c>
      <c r="CA76" s="100">
        <v>7009.2</v>
      </c>
      <c r="CB76" s="100">
        <v>8</v>
      </c>
      <c r="CC76" s="100">
        <v>6230.4</v>
      </c>
      <c r="CD76" s="100">
        <v>13</v>
      </c>
      <c r="CE76" s="100">
        <v>10124.4</v>
      </c>
      <c r="CF76" s="100">
        <v>8</v>
      </c>
      <c r="CG76" s="100">
        <v>6230.4</v>
      </c>
      <c r="CH76" s="100">
        <v>14</v>
      </c>
      <c r="CI76" s="100">
        <v>10903.199999999999</v>
      </c>
      <c r="CJ76" s="100">
        <v>9.3759664851644011</v>
      </c>
      <c r="CK76" s="100">
        <v>7302.0026986460352</v>
      </c>
      <c r="CL76" s="100">
        <v>9.860821875257594</v>
      </c>
      <c r="CM76" s="100">
        <v>7679.6080764506141</v>
      </c>
      <c r="CN76" s="100">
        <v>12</v>
      </c>
      <c r="CO76" s="100">
        <v>9345.5999999999985</v>
      </c>
      <c r="CP76" s="100">
        <v>11</v>
      </c>
      <c r="CQ76" s="100">
        <v>8566.7999999999993</v>
      </c>
      <c r="CR76" s="100">
        <v>10.956863853570049</v>
      </c>
      <c r="CS76" s="100">
        <v>8533.2055691603528</v>
      </c>
      <c r="CT76" s="100">
        <v>15</v>
      </c>
      <c r="CU76" s="100">
        <v>11682</v>
      </c>
    </row>
    <row r="77" spans="2:99">
      <c r="C77" s="99" t="s">
        <v>243</v>
      </c>
      <c r="D77" s="100">
        <v>5.1844413169878232</v>
      </c>
      <c r="E77" s="100">
        <v>1443.3484626494098</v>
      </c>
      <c r="F77" s="100">
        <v>0.82442890464479979</v>
      </c>
      <c r="G77" s="100">
        <v>229.52100705311224</v>
      </c>
      <c r="H77" s="100">
        <v>12</v>
      </c>
      <c r="I77" s="100">
        <v>3340.7999999999997</v>
      </c>
      <c r="J77" s="100">
        <v>10</v>
      </c>
      <c r="K77" s="100">
        <v>2784</v>
      </c>
      <c r="L77" s="100">
        <v>10</v>
      </c>
      <c r="M77" s="100">
        <v>2784</v>
      </c>
      <c r="N77" s="100">
        <v>10</v>
      </c>
      <c r="O77" s="100">
        <v>2784</v>
      </c>
      <c r="P77" s="100">
        <v>11</v>
      </c>
      <c r="Q77" s="100">
        <v>3062.3999999999996</v>
      </c>
      <c r="R77" s="100">
        <v>9</v>
      </c>
      <c r="S77" s="100">
        <v>2505.6</v>
      </c>
      <c r="T77" s="100">
        <v>9</v>
      </c>
      <c r="U77" s="100">
        <v>2505.6</v>
      </c>
      <c r="V77" s="100">
        <v>11</v>
      </c>
      <c r="W77" s="100">
        <v>3062.3999999999996</v>
      </c>
      <c r="X77" s="100">
        <v>7.808031644368211</v>
      </c>
      <c r="Y77" s="100">
        <v>2173.7560097921096</v>
      </c>
      <c r="Z77" s="100">
        <v>9</v>
      </c>
      <c r="AA77" s="100">
        <v>2505.6</v>
      </c>
      <c r="AB77" s="100">
        <v>8</v>
      </c>
      <c r="AC77" s="100">
        <v>2227.1999999999998</v>
      </c>
      <c r="AD77" s="100">
        <v>8</v>
      </c>
      <c r="AE77" s="100">
        <v>2227.1999999999998</v>
      </c>
      <c r="AF77" s="100">
        <v>12</v>
      </c>
      <c r="AG77" s="100">
        <v>3340.7999999999997</v>
      </c>
      <c r="AH77" s="100">
        <v>11</v>
      </c>
      <c r="AI77" s="100">
        <v>3062.3999999999996</v>
      </c>
      <c r="AJ77" s="100">
        <v>10</v>
      </c>
      <c r="AK77" s="100">
        <v>2784</v>
      </c>
      <c r="AL77" s="100">
        <v>13</v>
      </c>
      <c r="AM77" s="100">
        <v>3619.2</v>
      </c>
      <c r="AN77" s="100">
        <v>9.2023721313993647</v>
      </c>
      <c r="AO77" s="100">
        <v>2561.9404013815829</v>
      </c>
      <c r="AP77" s="100">
        <v>10.046511627906906</v>
      </c>
      <c r="AQ77" s="100">
        <v>2796.9488372092824</v>
      </c>
      <c r="AR77" s="100">
        <v>12</v>
      </c>
      <c r="AS77" s="100">
        <v>3340.7999999999997</v>
      </c>
      <c r="AT77" s="100">
        <v>11</v>
      </c>
      <c r="AU77" s="100">
        <v>3062.3999999999996</v>
      </c>
      <c r="AV77" s="100">
        <v>8</v>
      </c>
      <c r="AW77" s="100">
        <v>2227.1999999999998</v>
      </c>
      <c r="AX77" s="100">
        <v>12</v>
      </c>
      <c r="AY77" s="100">
        <v>3340.7999999999997</v>
      </c>
      <c r="AZ77" s="100">
        <v>10</v>
      </c>
      <c r="BA77" s="100">
        <v>2784</v>
      </c>
      <c r="BB77" s="100">
        <v>7</v>
      </c>
      <c r="BC77" s="100">
        <v>1948.7999999999997</v>
      </c>
      <c r="BD77" s="100">
        <v>10</v>
      </c>
      <c r="BE77" s="100">
        <v>2784</v>
      </c>
      <c r="BF77" s="100">
        <v>7.0654067945356909</v>
      </c>
      <c r="BG77" s="100">
        <v>1967.0092515987362</v>
      </c>
      <c r="BH77" s="100">
        <v>11.886792452830106</v>
      </c>
      <c r="BI77" s="100">
        <v>3309.2830188679013</v>
      </c>
      <c r="BJ77" s="100">
        <v>11</v>
      </c>
      <c r="BK77" s="100">
        <v>3062.3999999999996</v>
      </c>
      <c r="BL77" s="100">
        <v>8</v>
      </c>
      <c r="BM77" s="100">
        <v>2227.1999999999998</v>
      </c>
      <c r="BN77" s="100">
        <v>10</v>
      </c>
      <c r="BO77" s="100">
        <v>2784</v>
      </c>
      <c r="BP77" s="100">
        <v>10</v>
      </c>
      <c r="BQ77" s="100">
        <v>2784</v>
      </c>
      <c r="BR77" s="100">
        <v>12</v>
      </c>
      <c r="BS77" s="100">
        <v>3340.7999999999997</v>
      </c>
      <c r="BT77" s="100">
        <v>13</v>
      </c>
      <c r="BU77" s="100">
        <v>3619.2</v>
      </c>
      <c r="BV77" s="100">
        <v>10</v>
      </c>
      <c r="BW77" s="100">
        <v>2784</v>
      </c>
      <c r="BX77" s="100">
        <v>7.2587129126509486</v>
      </c>
      <c r="BY77" s="100">
        <v>2020.825674882024</v>
      </c>
      <c r="BZ77" s="100">
        <v>10</v>
      </c>
      <c r="CA77" s="100">
        <v>2784</v>
      </c>
      <c r="CB77" s="100">
        <v>8</v>
      </c>
      <c r="CC77" s="100">
        <v>2227.1999999999998</v>
      </c>
      <c r="CD77" s="100">
        <v>14</v>
      </c>
      <c r="CE77" s="100">
        <v>3897.5999999999995</v>
      </c>
      <c r="CF77" s="100">
        <v>8</v>
      </c>
      <c r="CG77" s="100">
        <v>2227.1999999999998</v>
      </c>
      <c r="CH77" s="100">
        <v>15</v>
      </c>
      <c r="CI77" s="100">
        <v>4176</v>
      </c>
      <c r="CJ77" s="100">
        <v>9.3759664851644011</v>
      </c>
      <c r="CK77" s="100">
        <v>2610.269069469769</v>
      </c>
      <c r="CL77" s="100">
        <v>10.75726022755374</v>
      </c>
      <c r="CM77" s="100">
        <v>2994.8212473509611</v>
      </c>
      <c r="CN77" s="100">
        <v>13</v>
      </c>
      <c r="CO77" s="100">
        <v>3619.2</v>
      </c>
      <c r="CP77" s="100">
        <v>11</v>
      </c>
      <c r="CQ77" s="100">
        <v>3062.3999999999996</v>
      </c>
      <c r="CR77" s="100">
        <v>10.956863853570049</v>
      </c>
      <c r="CS77" s="100">
        <v>3050.3908968339015</v>
      </c>
      <c r="CT77" s="100">
        <v>15</v>
      </c>
      <c r="CU77" s="100">
        <v>4176</v>
      </c>
    </row>
    <row r="78" spans="2:99">
      <c r="C78" s="99" t="s">
        <v>244</v>
      </c>
      <c r="D78" s="100">
        <v>5.925075790843227</v>
      </c>
      <c r="E78" s="100">
        <v>3270.6418365454615</v>
      </c>
      <c r="F78" s="100">
        <v>0.76554112574159983</v>
      </c>
      <c r="G78" s="100">
        <v>422.57870140936308</v>
      </c>
      <c r="H78" s="100">
        <v>14</v>
      </c>
      <c r="I78" s="100">
        <v>7728</v>
      </c>
      <c r="J78" s="100">
        <v>10</v>
      </c>
      <c r="K78" s="100">
        <v>5520</v>
      </c>
      <c r="L78" s="100">
        <v>9</v>
      </c>
      <c r="M78" s="100">
        <v>4968</v>
      </c>
      <c r="N78" s="100">
        <v>11</v>
      </c>
      <c r="O78" s="100">
        <v>6072</v>
      </c>
      <c r="P78" s="100">
        <v>9</v>
      </c>
      <c r="Q78" s="100">
        <v>4968</v>
      </c>
      <c r="R78" s="100">
        <v>9</v>
      </c>
      <c r="S78" s="100">
        <v>4968</v>
      </c>
      <c r="T78" s="100">
        <v>10</v>
      </c>
      <c r="U78" s="100">
        <v>5520</v>
      </c>
      <c r="V78" s="100">
        <v>11</v>
      </c>
      <c r="W78" s="100">
        <v>6072</v>
      </c>
      <c r="X78" s="100">
        <v>7.0272284799313898</v>
      </c>
      <c r="Y78" s="100">
        <v>3879.030120922127</v>
      </c>
      <c r="Z78" s="100">
        <v>8</v>
      </c>
      <c r="AA78" s="100">
        <v>4416</v>
      </c>
      <c r="AB78" s="100">
        <v>7</v>
      </c>
      <c r="AC78" s="100">
        <v>3864</v>
      </c>
      <c r="AD78" s="100">
        <v>8</v>
      </c>
      <c r="AE78" s="100">
        <v>4416</v>
      </c>
      <c r="AF78" s="100">
        <v>12</v>
      </c>
      <c r="AG78" s="100">
        <v>6624</v>
      </c>
      <c r="AH78" s="100">
        <v>11</v>
      </c>
      <c r="AI78" s="100">
        <v>6072</v>
      </c>
      <c r="AJ78" s="100">
        <v>11</v>
      </c>
      <c r="AK78" s="100">
        <v>6072</v>
      </c>
      <c r="AL78" s="100">
        <v>12</v>
      </c>
      <c r="AM78" s="100">
        <v>6624</v>
      </c>
      <c r="AN78" s="100">
        <v>8.4944973520609519</v>
      </c>
      <c r="AO78" s="100">
        <v>4688.9625383376451</v>
      </c>
      <c r="AP78" s="100">
        <v>10.88372093023248</v>
      </c>
      <c r="AQ78" s="100">
        <v>6007.8139534883285</v>
      </c>
      <c r="AR78" s="100">
        <v>11</v>
      </c>
      <c r="AS78" s="100">
        <v>6072</v>
      </c>
      <c r="AT78" s="100">
        <v>10</v>
      </c>
      <c r="AU78" s="100">
        <v>5520</v>
      </c>
      <c r="AV78" s="100">
        <v>8</v>
      </c>
      <c r="AW78" s="100">
        <v>4416</v>
      </c>
      <c r="AX78" s="100">
        <v>12</v>
      </c>
      <c r="AY78" s="100">
        <v>6624</v>
      </c>
      <c r="AZ78" s="100">
        <v>11</v>
      </c>
      <c r="BA78" s="100">
        <v>6072</v>
      </c>
      <c r="BB78" s="100">
        <v>9</v>
      </c>
      <c r="BC78" s="100">
        <v>4968</v>
      </c>
      <c r="BD78" s="100">
        <v>10</v>
      </c>
      <c r="BE78" s="100">
        <v>5520</v>
      </c>
      <c r="BF78" s="100">
        <v>7.0654067945356909</v>
      </c>
      <c r="BG78" s="100">
        <v>3900.1045505837014</v>
      </c>
      <c r="BH78" s="100">
        <v>11.037735849056528</v>
      </c>
      <c r="BI78" s="100">
        <v>6092.8301886792033</v>
      </c>
      <c r="BJ78" s="100">
        <v>11</v>
      </c>
      <c r="BK78" s="100">
        <v>6072</v>
      </c>
      <c r="BL78" s="100">
        <v>8</v>
      </c>
      <c r="BM78" s="100">
        <v>4416</v>
      </c>
      <c r="BN78" s="100">
        <v>10</v>
      </c>
      <c r="BO78" s="100">
        <v>5520</v>
      </c>
      <c r="BP78" s="100">
        <v>11</v>
      </c>
      <c r="BQ78" s="100">
        <v>6072</v>
      </c>
      <c r="BR78" s="100">
        <v>10</v>
      </c>
      <c r="BS78" s="100">
        <v>5520</v>
      </c>
      <c r="BT78" s="100">
        <v>12</v>
      </c>
      <c r="BU78" s="100">
        <v>6624</v>
      </c>
      <c r="BV78" s="100">
        <v>9</v>
      </c>
      <c r="BW78" s="100">
        <v>4968</v>
      </c>
      <c r="BX78" s="100">
        <v>6.8050433556102643</v>
      </c>
      <c r="BY78" s="100">
        <v>3756.3839322968661</v>
      </c>
      <c r="BZ78" s="100">
        <v>11</v>
      </c>
      <c r="CA78" s="100">
        <v>6072</v>
      </c>
      <c r="CB78" s="100">
        <v>9</v>
      </c>
      <c r="CC78" s="100">
        <v>4968</v>
      </c>
      <c r="CD78" s="100">
        <v>14</v>
      </c>
      <c r="CE78" s="100">
        <v>7728</v>
      </c>
      <c r="CF78" s="100">
        <v>7</v>
      </c>
      <c r="CG78" s="100">
        <v>3864</v>
      </c>
      <c r="CH78" s="100">
        <v>14</v>
      </c>
      <c r="CI78" s="100">
        <v>7728</v>
      </c>
      <c r="CJ78" s="100">
        <v>9.3759664851644011</v>
      </c>
      <c r="CK78" s="100">
        <v>5175.5334998107492</v>
      </c>
      <c r="CL78" s="100">
        <v>10.75726022755374</v>
      </c>
      <c r="CM78" s="100">
        <v>5938.007645609664</v>
      </c>
      <c r="CN78" s="100">
        <v>13</v>
      </c>
      <c r="CO78" s="100">
        <v>7176</v>
      </c>
      <c r="CP78" s="100">
        <v>12</v>
      </c>
      <c r="CQ78" s="100">
        <v>6624</v>
      </c>
      <c r="CR78" s="100">
        <v>12.94902091785551</v>
      </c>
      <c r="CS78" s="100">
        <v>7147.859546656241</v>
      </c>
      <c r="CT78" s="100">
        <v>16</v>
      </c>
      <c r="CU78" s="100">
        <v>8832</v>
      </c>
    </row>
    <row r="79" spans="2:99">
      <c r="C79" s="99" t="s">
        <v>245</v>
      </c>
      <c r="D79" s="100">
        <v>5.925075790843227</v>
      </c>
      <c r="E79" s="100">
        <v>4486.4673888264915</v>
      </c>
      <c r="F79" s="100">
        <v>0.88331668354799975</v>
      </c>
      <c r="G79" s="100">
        <v>668.8473927825454</v>
      </c>
      <c r="H79" s="100">
        <v>13</v>
      </c>
      <c r="I79" s="100">
        <v>9843.5999999999985</v>
      </c>
      <c r="J79" s="100">
        <v>9</v>
      </c>
      <c r="K79" s="100">
        <v>6814.7999999999993</v>
      </c>
      <c r="L79" s="100">
        <v>10</v>
      </c>
      <c r="M79" s="100">
        <v>7571.9999999999991</v>
      </c>
      <c r="N79" s="100">
        <v>11</v>
      </c>
      <c r="O79" s="100">
        <v>8329.1999999999989</v>
      </c>
      <c r="P79" s="100">
        <v>10</v>
      </c>
      <c r="Q79" s="100">
        <v>7571.9999999999991</v>
      </c>
      <c r="R79" s="100">
        <v>9</v>
      </c>
      <c r="S79" s="100">
        <v>6814.7999999999993</v>
      </c>
      <c r="T79" s="100">
        <v>9</v>
      </c>
      <c r="U79" s="100">
        <v>6814.7999999999993</v>
      </c>
      <c r="V79" s="100">
        <v>9</v>
      </c>
      <c r="W79" s="100">
        <v>6814.7999999999993</v>
      </c>
      <c r="X79" s="100">
        <v>7.0272284799313898</v>
      </c>
      <c r="Y79" s="100">
        <v>5321.0174050040478</v>
      </c>
      <c r="Z79" s="100">
        <v>8</v>
      </c>
      <c r="AA79" s="100">
        <v>6057.5999999999995</v>
      </c>
      <c r="AB79" s="100">
        <v>8</v>
      </c>
      <c r="AC79" s="100">
        <v>6057.5999999999995</v>
      </c>
      <c r="AD79" s="100">
        <v>9</v>
      </c>
      <c r="AE79" s="100">
        <v>6814.7999999999993</v>
      </c>
      <c r="AF79" s="100">
        <v>11</v>
      </c>
      <c r="AG79" s="100">
        <v>8329.1999999999989</v>
      </c>
      <c r="AH79" s="100">
        <v>12</v>
      </c>
      <c r="AI79" s="100">
        <v>9086.4</v>
      </c>
      <c r="AJ79" s="100">
        <v>11</v>
      </c>
      <c r="AK79" s="100">
        <v>8329.1999999999989</v>
      </c>
      <c r="AL79" s="100">
        <v>13</v>
      </c>
      <c r="AM79" s="100">
        <v>9843.5999999999985</v>
      </c>
      <c r="AN79" s="100">
        <v>8.4944973520609519</v>
      </c>
      <c r="AO79" s="100">
        <v>6432.0333949805527</v>
      </c>
      <c r="AP79" s="100">
        <v>9.20930232558133</v>
      </c>
      <c r="AQ79" s="100">
        <v>6973.2837209301824</v>
      </c>
      <c r="AR79" s="100">
        <v>10</v>
      </c>
      <c r="AS79" s="100">
        <v>7571.9999999999991</v>
      </c>
      <c r="AT79" s="100">
        <v>10</v>
      </c>
      <c r="AU79" s="100">
        <v>7571.9999999999991</v>
      </c>
      <c r="AV79" s="100">
        <v>7</v>
      </c>
      <c r="AW79" s="100">
        <v>5300.4</v>
      </c>
      <c r="AX79" s="100">
        <v>12</v>
      </c>
      <c r="AY79" s="100">
        <v>9086.4</v>
      </c>
      <c r="AZ79" s="100">
        <v>9</v>
      </c>
      <c r="BA79" s="100">
        <v>6814.7999999999993</v>
      </c>
      <c r="BB79" s="100">
        <v>8</v>
      </c>
      <c r="BC79" s="100">
        <v>6057.5999999999995</v>
      </c>
      <c r="BD79" s="100">
        <v>10</v>
      </c>
      <c r="BE79" s="100">
        <v>7571.9999999999991</v>
      </c>
      <c r="BF79" s="100">
        <v>7.0654067945356909</v>
      </c>
      <c r="BG79" s="100">
        <v>5349.9260248224246</v>
      </c>
      <c r="BH79" s="100">
        <v>11.037735849056528</v>
      </c>
      <c r="BI79" s="100">
        <v>8357.7735849056025</v>
      </c>
      <c r="BJ79" s="100">
        <v>11</v>
      </c>
      <c r="BK79" s="100">
        <v>8329.1999999999989</v>
      </c>
      <c r="BL79" s="100">
        <v>9</v>
      </c>
      <c r="BM79" s="100">
        <v>6814.7999999999993</v>
      </c>
      <c r="BN79" s="100">
        <v>10</v>
      </c>
      <c r="BO79" s="100">
        <v>7571.9999999999991</v>
      </c>
      <c r="BP79" s="100">
        <v>9</v>
      </c>
      <c r="BQ79" s="100">
        <v>6814.7999999999993</v>
      </c>
      <c r="BR79" s="100">
        <v>10</v>
      </c>
      <c r="BS79" s="100">
        <v>7571.9999999999991</v>
      </c>
      <c r="BT79" s="100">
        <v>11</v>
      </c>
      <c r="BU79" s="100">
        <v>8329.1999999999989</v>
      </c>
      <c r="BV79" s="100">
        <v>9</v>
      </c>
      <c r="BW79" s="100">
        <v>6814.7999999999993</v>
      </c>
      <c r="BX79" s="100">
        <v>6.35137379856958</v>
      </c>
      <c r="BY79" s="100">
        <v>4809.2602402768853</v>
      </c>
      <c r="BZ79" s="100">
        <v>10</v>
      </c>
      <c r="CA79" s="100">
        <v>7571.9999999999991</v>
      </c>
      <c r="CB79" s="100">
        <v>8</v>
      </c>
      <c r="CC79" s="100">
        <v>6057.5999999999995</v>
      </c>
      <c r="CD79" s="100">
        <v>13</v>
      </c>
      <c r="CE79" s="100">
        <v>9843.5999999999985</v>
      </c>
      <c r="CF79" s="100">
        <v>7</v>
      </c>
      <c r="CG79" s="100">
        <v>5300.4</v>
      </c>
      <c r="CH79" s="100">
        <v>13</v>
      </c>
      <c r="CI79" s="100">
        <v>9843.5999999999985</v>
      </c>
      <c r="CJ79" s="100">
        <v>9.3759664851644011</v>
      </c>
      <c r="CK79" s="100">
        <v>7099.481822566484</v>
      </c>
      <c r="CL79" s="100">
        <v>9.860821875257594</v>
      </c>
      <c r="CM79" s="100">
        <v>7466.6143239450494</v>
      </c>
      <c r="CN79" s="100">
        <v>13</v>
      </c>
      <c r="CO79" s="100">
        <v>9843.5999999999985</v>
      </c>
      <c r="CP79" s="100">
        <v>11</v>
      </c>
      <c r="CQ79" s="100">
        <v>8329.1999999999989</v>
      </c>
      <c r="CR79" s="100">
        <v>12.94902091785551</v>
      </c>
      <c r="CS79" s="100">
        <v>9804.9986390001905</v>
      </c>
      <c r="CT79" s="100">
        <v>15</v>
      </c>
      <c r="CU79" s="100">
        <v>11357.999999999998</v>
      </c>
    </row>
    <row r="80" spans="2:99">
      <c r="C80" s="99" t="s">
        <v>246</v>
      </c>
      <c r="D80" s="100">
        <v>5.925075790843227</v>
      </c>
      <c r="E80" s="100">
        <v>4770.8710267869656</v>
      </c>
      <c r="F80" s="100">
        <v>0.76554112574159983</v>
      </c>
      <c r="G80" s="100">
        <v>616.41371444713616</v>
      </c>
      <c r="H80" s="100">
        <v>13</v>
      </c>
      <c r="I80" s="100">
        <v>10467.599999999999</v>
      </c>
      <c r="J80" s="100">
        <v>9</v>
      </c>
      <c r="K80" s="100">
        <v>7246.7999999999993</v>
      </c>
      <c r="L80" s="100">
        <v>9</v>
      </c>
      <c r="M80" s="100">
        <v>7246.7999999999993</v>
      </c>
      <c r="N80" s="100">
        <v>11</v>
      </c>
      <c r="O80" s="100">
        <v>8857.1999999999989</v>
      </c>
      <c r="P80" s="100">
        <v>11</v>
      </c>
      <c r="Q80" s="100">
        <v>8857.1999999999989</v>
      </c>
      <c r="R80" s="100">
        <v>9</v>
      </c>
      <c r="S80" s="100">
        <v>7246.7999999999993</v>
      </c>
      <c r="T80" s="100">
        <v>8</v>
      </c>
      <c r="U80" s="100">
        <v>6441.5999999999995</v>
      </c>
      <c r="V80" s="100">
        <v>10</v>
      </c>
      <c r="W80" s="100">
        <v>8051.9999999999991</v>
      </c>
      <c r="X80" s="100">
        <v>7.808031644368211</v>
      </c>
      <c r="Y80" s="100">
        <v>6287.0270800452827</v>
      </c>
      <c r="Z80" s="100">
        <v>7</v>
      </c>
      <c r="AA80" s="100">
        <v>5636.4</v>
      </c>
      <c r="AB80" s="100">
        <v>8</v>
      </c>
      <c r="AC80" s="100">
        <v>6441.5999999999995</v>
      </c>
      <c r="AD80" s="100">
        <v>7</v>
      </c>
      <c r="AE80" s="100">
        <v>5636.4</v>
      </c>
      <c r="AF80" s="100">
        <v>12</v>
      </c>
      <c r="AG80" s="100">
        <v>9662.4</v>
      </c>
      <c r="AH80" s="100">
        <v>12</v>
      </c>
      <c r="AI80" s="100">
        <v>9662.4</v>
      </c>
      <c r="AJ80" s="100">
        <v>10</v>
      </c>
      <c r="AK80" s="100">
        <v>8051.9999999999991</v>
      </c>
      <c r="AL80" s="100">
        <v>14</v>
      </c>
      <c r="AM80" s="100">
        <v>11272.8</v>
      </c>
      <c r="AN80" s="100">
        <v>8.4944973520609519</v>
      </c>
      <c r="AO80" s="100">
        <v>6839.7692678794783</v>
      </c>
      <c r="AP80" s="100">
        <v>10.88372093023248</v>
      </c>
      <c r="AQ80" s="100">
        <v>8763.5720930231928</v>
      </c>
      <c r="AR80" s="100">
        <v>12</v>
      </c>
      <c r="AS80" s="100">
        <v>9662.4</v>
      </c>
      <c r="AT80" s="100">
        <v>10</v>
      </c>
      <c r="AU80" s="100">
        <v>8051.9999999999991</v>
      </c>
      <c r="AV80" s="100">
        <v>7</v>
      </c>
      <c r="AW80" s="100">
        <v>5636.4</v>
      </c>
      <c r="AX80" s="100">
        <v>11</v>
      </c>
      <c r="AY80" s="100">
        <v>8857.1999999999989</v>
      </c>
      <c r="AZ80" s="100">
        <v>10</v>
      </c>
      <c r="BA80" s="100">
        <v>8051.9999999999991</v>
      </c>
      <c r="BB80" s="100">
        <v>7</v>
      </c>
      <c r="BC80" s="100">
        <v>5636.4</v>
      </c>
      <c r="BD80" s="100">
        <v>10</v>
      </c>
      <c r="BE80" s="100">
        <v>8051.9999999999991</v>
      </c>
      <c r="BF80" s="100">
        <v>6.5219139641867914</v>
      </c>
      <c r="BG80" s="100">
        <v>5251.4451239632035</v>
      </c>
      <c r="BH80" s="100">
        <v>9.3396226415093704</v>
      </c>
      <c r="BI80" s="100">
        <v>7520.2641509433442</v>
      </c>
      <c r="BJ80" s="100">
        <v>10</v>
      </c>
      <c r="BK80" s="100">
        <v>8051.9999999999991</v>
      </c>
      <c r="BL80" s="100">
        <v>8</v>
      </c>
      <c r="BM80" s="100">
        <v>6441.5999999999995</v>
      </c>
      <c r="BN80" s="100">
        <v>10</v>
      </c>
      <c r="BO80" s="100">
        <v>8051.9999999999991</v>
      </c>
      <c r="BP80" s="100">
        <v>9</v>
      </c>
      <c r="BQ80" s="100">
        <v>7246.7999999999993</v>
      </c>
      <c r="BR80" s="100">
        <v>12</v>
      </c>
      <c r="BS80" s="100">
        <v>9662.4</v>
      </c>
      <c r="BT80" s="100">
        <v>12</v>
      </c>
      <c r="BU80" s="100">
        <v>9662.4</v>
      </c>
      <c r="BV80" s="100">
        <v>9</v>
      </c>
      <c r="BW80" s="100">
        <v>7246.7999999999993</v>
      </c>
      <c r="BX80" s="100">
        <v>5.8977042415288956</v>
      </c>
      <c r="BY80" s="100">
        <v>4748.8314552790662</v>
      </c>
      <c r="BZ80" s="100">
        <v>10</v>
      </c>
      <c r="CA80" s="100">
        <v>8051.9999999999991</v>
      </c>
      <c r="CB80" s="100">
        <v>8</v>
      </c>
      <c r="CC80" s="100">
        <v>6441.5999999999995</v>
      </c>
      <c r="CD80" s="100">
        <v>13</v>
      </c>
      <c r="CE80" s="100">
        <v>10467.599999999999</v>
      </c>
      <c r="CF80" s="100">
        <v>9</v>
      </c>
      <c r="CG80" s="100">
        <v>7246.7999999999993</v>
      </c>
      <c r="CH80" s="100">
        <v>14</v>
      </c>
      <c r="CI80" s="100">
        <v>11272.8</v>
      </c>
      <c r="CJ80" s="100">
        <v>9.3759664851644011</v>
      </c>
      <c r="CK80" s="100">
        <v>7549.5282138543753</v>
      </c>
      <c r="CL80" s="100">
        <v>10.75726022755374</v>
      </c>
      <c r="CM80" s="100">
        <v>8661.7459352262704</v>
      </c>
      <c r="CN80" s="100">
        <v>13</v>
      </c>
      <c r="CO80" s="100">
        <v>10467.599999999999</v>
      </c>
      <c r="CP80" s="100">
        <v>11</v>
      </c>
      <c r="CQ80" s="100">
        <v>8857.1999999999989</v>
      </c>
      <c r="CR80" s="100">
        <v>11.952942385712781</v>
      </c>
      <c r="CS80" s="100">
        <v>9624.509208975931</v>
      </c>
      <c r="CT80" s="100">
        <v>15</v>
      </c>
      <c r="CU80" s="100">
        <v>12077.999999999998</v>
      </c>
    </row>
    <row r="81" spans="2:99">
      <c r="C81" s="99" t="s">
        <v>247</v>
      </c>
      <c r="D81" s="100">
        <v>5.925075790843227</v>
      </c>
      <c r="E81" s="100">
        <v>4465.1371159794562</v>
      </c>
      <c r="F81" s="100">
        <v>0.76554112574159983</v>
      </c>
      <c r="G81" s="100">
        <v>576.91179235886966</v>
      </c>
      <c r="H81" s="100">
        <v>12</v>
      </c>
      <c r="I81" s="100">
        <v>9043.2000000000007</v>
      </c>
      <c r="J81" s="100">
        <v>9</v>
      </c>
      <c r="K81" s="100">
        <v>6782.4000000000005</v>
      </c>
      <c r="L81" s="100">
        <v>10</v>
      </c>
      <c r="M81" s="100">
        <v>7536</v>
      </c>
      <c r="N81" s="100">
        <v>10</v>
      </c>
      <c r="O81" s="100">
        <v>7536</v>
      </c>
      <c r="P81" s="100">
        <v>9</v>
      </c>
      <c r="Q81" s="100">
        <v>6782.4000000000005</v>
      </c>
      <c r="R81" s="100">
        <v>8</v>
      </c>
      <c r="S81" s="100">
        <v>6028.8</v>
      </c>
      <c r="T81" s="100">
        <v>8</v>
      </c>
      <c r="U81" s="100">
        <v>6028.8</v>
      </c>
      <c r="V81" s="100">
        <v>9</v>
      </c>
      <c r="W81" s="100">
        <v>6782.4000000000005</v>
      </c>
      <c r="X81" s="100">
        <v>7.0272284799313898</v>
      </c>
      <c r="Y81" s="100">
        <v>5295.7193824762953</v>
      </c>
      <c r="Z81" s="100">
        <v>7</v>
      </c>
      <c r="AA81" s="100">
        <v>5275.2</v>
      </c>
      <c r="AB81" s="100">
        <v>7</v>
      </c>
      <c r="AC81" s="100">
        <v>5275.2</v>
      </c>
      <c r="AD81" s="100">
        <v>8</v>
      </c>
      <c r="AE81" s="100">
        <v>6028.8</v>
      </c>
      <c r="AF81" s="100">
        <v>11</v>
      </c>
      <c r="AG81" s="100">
        <v>8289.6</v>
      </c>
      <c r="AH81" s="100">
        <v>12</v>
      </c>
      <c r="AI81" s="100">
        <v>9043.2000000000007</v>
      </c>
      <c r="AJ81" s="100">
        <v>10</v>
      </c>
      <c r="AK81" s="100">
        <v>7536</v>
      </c>
      <c r="AL81" s="100">
        <v>12</v>
      </c>
      <c r="AM81" s="100">
        <v>9043.2000000000007</v>
      </c>
      <c r="AN81" s="100">
        <v>7.7866225727225391</v>
      </c>
      <c r="AO81" s="100">
        <v>5867.9987708037061</v>
      </c>
      <c r="AP81" s="100">
        <v>10.046511627906906</v>
      </c>
      <c r="AQ81" s="100">
        <v>7571.0511627906444</v>
      </c>
      <c r="AR81" s="100">
        <v>11</v>
      </c>
      <c r="AS81" s="100">
        <v>8289.6</v>
      </c>
      <c r="AT81" s="100">
        <v>9</v>
      </c>
      <c r="AU81" s="100">
        <v>6782.4000000000005</v>
      </c>
      <c r="AV81" s="100">
        <v>7</v>
      </c>
      <c r="AW81" s="100">
        <v>5275.2</v>
      </c>
      <c r="AX81" s="100">
        <v>11</v>
      </c>
      <c r="AY81" s="100">
        <v>8289.6</v>
      </c>
      <c r="AZ81" s="100">
        <v>10</v>
      </c>
      <c r="BA81" s="100">
        <v>7536</v>
      </c>
      <c r="BB81" s="100">
        <v>8</v>
      </c>
      <c r="BC81" s="100">
        <v>6028.8</v>
      </c>
      <c r="BD81" s="100">
        <v>10</v>
      </c>
      <c r="BE81" s="100">
        <v>7536</v>
      </c>
      <c r="BF81" s="100">
        <v>7.0654067945356909</v>
      </c>
      <c r="BG81" s="100">
        <v>5324.4905603620964</v>
      </c>
      <c r="BH81" s="100">
        <v>11.037735849056528</v>
      </c>
      <c r="BI81" s="100">
        <v>8318.0377358490005</v>
      </c>
      <c r="BJ81" s="100">
        <v>11</v>
      </c>
      <c r="BK81" s="100">
        <v>8289.6</v>
      </c>
      <c r="BL81" s="100">
        <v>7</v>
      </c>
      <c r="BM81" s="100">
        <v>5275.2</v>
      </c>
      <c r="BN81" s="100">
        <v>9</v>
      </c>
      <c r="BO81" s="100">
        <v>6782.4000000000005</v>
      </c>
      <c r="BP81" s="100">
        <v>9</v>
      </c>
      <c r="BQ81" s="100">
        <v>6782.4000000000005</v>
      </c>
      <c r="BR81" s="100">
        <v>12</v>
      </c>
      <c r="BS81" s="100">
        <v>9043.2000000000007</v>
      </c>
      <c r="BT81" s="100">
        <v>12</v>
      </c>
      <c r="BU81" s="100">
        <v>9043.2000000000007</v>
      </c>
      <c r="BV81" s="100">
        <v>8</v>
      </c>
      <c r="BW81" s="100">
        <v>6028.8</v>
      </c>
      <c r="BX81" s="100">
        <v>5.8977042415288956</v>
      </c>
      <c r="BY81" s="100">
        <v>4444.5099164161757</v>
      </c>
      <c r="BZ81" s="100">
        <v>11</v>
      </c>
      <c r="CA81" s="100">
        <v>8289.6</v>
      </c>
      <c r="CB81" s="100">
        <v>7</v>
      </c>
      <c r="CC81" s="100">
        <v>5275.2</v>
      </c>
      <c r="CD81" s="100">
        <v>13</v>
      </c>
      <c r="CE81" s="100">
        <v>9796.8000000000011</v>
      </c>
      <c r="CF81" s="100">
        <v>8</v>
      </c>
      <c r="CG81" s="100">
        <v>6028.8</v>
      </c>
      <c r="CH81" s="100">
        <v>12</v>
      </c>
      <c r="CI81" s="100">
        <v>9043.2000000000007</v>
      </c>
      <c r="CJ81" s="100">
        <v>9.3759664851644011</v>
      </c>
      <c r="CK81" s="100">
        <v>7065.7283432198928</v>
      </c>
      <c r="CL81" s="100">
        <v>10.75726022755374</v>
      </c>
      <c r="CM81" s="100">
        <v>8106.6713074844984</v>
      </c>
      <c r="CN81" s="100">
        <v>12</v>
      </c>
      <c r="CO81" s="100">
        <v>9043.2000000000007</v>
      </c>
      <c r="CP81" s="100">
        <v>12</v>
      </c>
      <c r="CQ81" s="100">
        <v>9043.2000000000007</v>
      </c>
      <c r="CR81" s="100">
        <v>10.956863853570049</v>
      </c>
      <c r="CS81" s="100">
        <v>8257.0926000503896</v>
      </c>
      <c r="CT81" s="100">
        <v>14</v>
      </c>
      <c r="CU81" s="100">
        <v>10550.4</v>
      </c>
    </row>
    <row r="82" spans="2:99">
      <c r="C82" s="99" t="s">
        <v>248</v>
      </c>
      <c r="D82" s="100">
        <v>5.925075790843227</v>
      </c>
      <c r="E82" s="100">
        <v>3014.6785623810333</v>
      </c>
      <c r="F82" s="100">
        <v>0.76554112574159983</v>
      </c>
      <c r="G82" s="100">
        <v>389.50732477732589</v>
      </c>
      <c r="H82" s="100">
        <v>12</v>
      </c>
      <c r="I82" s="100">
        <v>6105.5999999999985</v>
      </c>
      <c r="J82" s="100">
        <v>9</v>
      </c>
      <c r="K82" s="100">
        <v>4579.1999999999989</v>
      </c>
      <c r="L82" s="100">
        <v>10</v>
      </c>
      <c r="M82" s="100">
        <v>5087.9999999999991</v>
      </c>
      <c r="N82" s="100">
        <v>11</v>
      </c>
      <c r="O82" s="100">
        <v>5596.7999999999993</v>
      </c>
      <c r="P82" s="100">
        <v>11</v>
      </c>
      <c r="Q82" s="100">
        <v>5596.7999999999993</v>
      </c>
      <c r="R82" s="100">
        <v>8</v>
      </c>
      <c r="S82" s="100">
        <v>4070.3999999999992</v>
      </c>
      <c r="T82" s="100">
        <v>9</v>
      </c>
      <c r="U82" s="100">
        <v>4579.1999999999989</v>
      </c>
      <c r="V82" s="100">
        <v>11</v>
      </c>
      <c r="W82" s="100">
        <v>5596.7999999999993</v>
      </c>
      <c r="X82" s="100">
        <v>7.0272284799313898</v>
      </c>
      <c r="Y82" s="100">
        <v>3575.4538505890905</v>
      </c>
      <c r="Z82" s="100">
        <v>7</v>
      </c>
      <c r="AA82" s="100">
        <v>3561.5999999999995</v>
      </c>
      <c r="AB82" s="100">
        <v>8</v>
      </c>
      <c r="AC82" s="100">
        <v>4070.3999999999992</v>
      </c>
      <c r="AD82" s="100">
        <v>8</v>
      </c>
      <c r="AE82" s="100">
        <v>4070.3999999999992</v>
      </c>
      <c r="AF82" s="100">
        <v>11</v>
      </c>
      <c r="AG82" s="100">
        <v>5596.7999999999993</v>
      </c>
      <c r="AH82" s="100">
        <v>11</v>
      </c>
      <c r="AI82" s="100">
        <v>5596.7999999999993</v>
      </c>
      <c r="AJ82" s="100">
        <v>11</v>
      </c>
      <c r="AK82" s="100">
        <v>5596.7999999999993</v>
      </c>
      <c r="AL82" s="100">
        <v>13</v>
      </c>
      <c r="AM82" s="100">
        <v>6614.3999999999987</v>
      </c>
      <c r="AN82" s="100">
        <v>8.4944973520609519</v>
      </c>
      <c r="AO82" s="100">
        <v>4322.0002527286115</v>
      </c>
      <c r="AP82" s="100">
        <v>10.88372093023248</v>
      </c>
      <c r="AQ82" s="100">
        <v>5537.6372093022846</v>
      </c>
      <c r="AR82" s="100">
        <v>12</v>
      </c>
      <c r="AS82" s="100">
        <v>6105.5999999999985</v>
      </c>
      <c r="AT82" s="100">
        <v>11</v>
      </c>
      <c r="AU82" s="100">
        <v>5596.7999999999993</v>
      </c>
      <c r="AV82" s="100">
        <v>7</v>
      </c>
      <c r="AW82" s="100">
        <v>3561.5999999999995</v>
      </c>
      <c r="AX82" s="100">
        <v>12</v>
      </c>
      <c r="AY82" s="100">
        <v>6105.5999999999985</v>
      </c>
      <c r="AZ82" s="100">
        <v>10</v>
      </c>
      <c r="BA82" s="100">
        <v>5087.9999999999991</v>
      </c>
      <c r="BB82" s="100">
        <v>8</v>
      </c>
      <c r="BC82" s="100">
        <v>4070.3999999999992</v>
      </c>
      <c r="BD82" s="100">
        <v>10</v>
      </c>
      <c r="BE82" s="100">
        <v>5087.9999999999991</v>
      </c>
      <c r="BF82" s="100">
        <v>5.9784211338378928</v>
      </c>
      <c r="BG82" s="100">
        <v>3041.8206728967193</v>
      </c>
      <c r="BH82" s="100">
        <v>10.188679245282948</v>
      </c>
      <c r="BI82" s="100">
        <v>5183.9999999999627</v>
      </c>
      <c r="BJ82" s="100">
        <v>10</v>
      </c>
      <c r="BK82" s="100">
        <v>5087.9999999999991</v>
      </c>
      <c r="BL82" s="100">
        <v>8</v>
      </c>
      <c r="BM82" s="100">
        <v>4070.3999999999992</v>
      </c>
      <c r="BN82" s="100">
        <v>10</v>
      </c>
      <c r="BO82" s="100">
        <v>5087.9999999999991</v>
      </c>
      <c r="BP82" s="100">
        <v>10</v>
      </c>
      <c r="BQ82" s="100">
        <v>5087.9999999999991</v>
      </c>
      <c r="BR82" s="100">
        <v>10</v>
      </c>
      <c r="BS82" s="100">
        <v>5087.9999999999991</v>
      </c>
      <c r="BT82" s="100">
        <v>12</v>
      </c>
      <c r="BU82" s="100">
        <v>6105.5999999999985</v>
      </c>
      <c r="BV82" s="100">
        <v>9</v>
      </c>
      <c r="BW82" s="100">
        <v>4579.1999999999989</v>
      </c>
      <c r="BX82" s="100">
        <v>6.35137379856958</v>
      </c>
      <c r="BY82" s="100">
        <v>3231.5789887122014</v>
      </c>
      <c r="BZ82" s="100">
        <v>10</v>
      </c>
      <c r="CA82" s="100">
        <v>5087.9999999999991</v>
      </c>
      <c r="CB82" s="100">
        <v>8</v>
      </c>
      <c r="CC82" s="100">
        <v>4070.3999999999992</v>
      </c>
      <c r="CD82" s="100">
        <v>13</v>
      </c>
      <c r="CE82" s="100">
        <v>6614.3999999999987</v>
      </c>
      <c r="CF82" s="100">
        <v>8</v>
      </c>
      <c r="CG82" s="100">
        <v>4070.3999999999992</v>
      </c>
      <c r="CH82" s="100">
        <v>14</v>
      </c>
      <c r="CI82" s="100">
        <v>7123.1999999999989</v>
      </c>
      <c r="CJ82" s="100">
        <v>10.157297025594769</v>
      </c>
      <c r="CK82" s="100">
        <v>5168.0327266226177</v>
      </c>
      <c r="CL82" s="100">
        <v>9.860821875257594</v>
      </c>
      <c r="CM82" s="100">
        <v>5017.1861701310627</v>
      </c>
      <c r="CN82" s="100">
        <v>12</v>
      </c>
      <c r="CO82" s="100">
        <v>6105.5999999999985</v>
      </c>
      <c r="CP82" s="100">
        <v>11</v>
      </c>
      <c r="CQ82" s="100">
        <v>5596.7999999999993</v>
      </c>
      <c r="CR82" s="100">
        <v>11.952942385712781</v>
      </c>
      <c r="CS82" s="100">
        <v>6081.657085850662</v>
      </c>
      <c r="CT82" s="100">
        <v>15</v>
      </c>
      <c r="CU82" s="100">
        <v>7631.9999999999982</v>
      </c>
    </row>
    <row r="83" spans="2:99">
      <c r="C83" s="99" t="s">
        <v>249</v>
      </c>
      <c r="D83" s="100">
        <v>5.925075790843227</v>
      </c>
      <c r="E83" s="100">
        <v>5097.935210441512</v>
      </c>
      <c r="F83" s="100">
        <v>0.88331668354799975</v>
      </c>
      <c r="G83" s="100">
        <v>760.00567452469897</v>
      </c>
      <c r="H83" s="100">
        <v>12</v>
      </c>
      <c r="I83" s="100">
        <v>10324.799999999999</v>
      </c>
      <c r="J83" s="100">
        <v>10</v>
      </c>
      <c r="K83" s="100">
        <v>8604</v>
      </c>
      <c r="L83" s="100">
        <v>9</v>
      </c>
      <c r="M83" s="100">
        <v>7743.5999999999995</v>
      </c>
      <c r="N83" s="100">
        <v>10</v>
      </c>
      <c r="O83" s="100">
        <v>8604</v>
      </c>
      <c r="P83" s="100">
        <v>10</v>
      </c>
      <c r="Q83" s="100">
        <v>8604</v>
      </c>
      <c r="R83" s="100">
        <v>10</v>
      </c>
      <c r="S83" s="100">
        <v>8604</v>
      </c>
      <c r="T83" s="100">
        <v>9</v>
      </c>
      <c r="U83" s="100">
        <v>7743.5999999999995</v>
      </c>
      <c r="V83" s="100">
        <v>11</v>
      </c>
      <c r="W83" s="100">
        <v>9464.4</v>
      </c>
      <c r="X83" s="100">
        <v>7.0272284799313898</v>
      </c>
      <c r="Y83" s="100">
        <v>6046.2273841329679</v>
      </c>
      <c r="Z83" s="100">
        <v>8</v>
      </c>
      <c r="AA83" s="100">
        <v>6883.2</v>
      </c>
      <c r="AB83" s="100">
        <v>7</v>
      </c>
      <c r="AC83" s="100">
        <v>6022.8</v>
      </c>
      <c r="AD83" s="100">
        <v>7</v>
      </c>
      <c r="AE83" s="100">
        <v>6022.8</v>
      </c>
      <c r="AF83" s="100">
        <v>11</v>
      </c>
      <c r="AG83" s="100">
        <v>9464.4</v>
      </c>
      <c r="AH83" s="100">
        <v>13</v>
      </c>
      <c r="AI83" s="100">
        <v>11185.199999999999</v>
      </c>
      <c r="AJ83" s="100">
        <v>10</v>
      </c>
      <c r="AK83" s="100">
        <v>8604</v>
      </c>
      <c r="AL83" s="100">
        <v>12</v>
      </c>
      <c r="AM83" s="100">
        <v>10324.799999999999</v>
      </c>
      <c r="AN83" s="100">
        <v>8.4944973520609519</v>
      </c>
      <c r="AO83" s="100">
        <v>7308.6655217132429</v>
      </c>
      <c r="AP83" s="100">
        <v>10.046511627906906</v>
      </c>
      <c r="AQ83" s="100">
        <v>8644.0186046511008</v>
      </c>
      <c r="AR83" s="100">
        <v>10</v>
      </c>
      <c r="AS83" s="100">
        <v>8604</v>
      </c>
      <c r="AT83" s="100">
        <v>10</v>
      </c>
      <c r="AU83" s="100">
        <v>8604</v>
      </c>
      <c r="AV83" s="100">
        <v>8</v>
      </c>
      <c r="AW83" s="100">
        <v>6883.2</v>
      </c>
      <c r="AX83" s="100">
        <v>11</v>
      </c>
      <c r="AY83" s="100">
        <v>9464.4</v>
      </c>
      <c r="AZ83" s="100">
        <v>11</v>
      </c>
      <c r="BA83" s="100">
        <v>9464.4</v>
      </c>
      <c r="BB83" s="100">
        <v>7</v>
      </c>
      <c r="BC83" s="100">
        <v>6022.8</v>
      </c>
      <c r="BD83" s="100">
        <v>11</v>
      </c>
      <c r="BE83" s="100">
        <v>9464.4</v>
      </c>
      <c r="BF83" s="100">
        <v>7.0654067945356909</v>
      </c>
      <c r="BG83" s="100">
        <v>6079.0760060185085</v>
      </c>
      <c r="BH83" s="100">
        <v>11.037735849056528</v>
      </c>
      <c r="BI83" s="100">
        <v>9496.8679245282365</v>
      </c>
      <c r="BJ83" s="100">
        <v>10</v>
      </c>
      <c r="BK83" s="100">
        <v>8604</v>
      </c>
      <c r="BL83" s="100">
        <v>8</v>
      </c>
      <c r="BM83" s="100">
        <v>6883.2</v>
      </c>
      <c r="BN83" s="100">
        <v>10</v>
      </c>
      <c r="BO83" s="100">
        <v>8604</v>
      </c>
      <c r="BP83" s="100">
        <v>9</v>
      </c>
      <c r="BQ83" s="100">
        <v>7743.5999999999995</v>
      </c>
      <c r="BR83" s="100">
        <v>11</v>
      </c>
      <c r="BS83" s="100">
        <v>9464.4</v>
      </c>
      <c r="BT83" s="100">
        <v>13</v>
      </c>
      <c r="BU83" s="100">
        <v>11185.199999999999</v>
      </c>
      <c r="BV83" s="100">
        <v>9</v>
      </c>
      <c r="BW83" s="100">
        <v>7743.5999999999995</v>
      </c>
      <c r="BX83" s="100">
        <v>6.8050433556102643</v>
      </c>
      <c r="BY83" s="100">
        <v>5855.0593031670714</v>
      </c>
      <c r="BZ83" s="100">
        <v>11</v>
      </c>
      <c r="CA83" s="100">
        <v>9464.4</v>
      </c>
      <c r="CB83" s="100">
        <v>8</v>
      </c>
      <c r="CC83" s="100">
        <v>6883.2</v>
      </c>
      <c r="CD83" s="100">
        <v>13</v>
      </c>
      <c r="CE83" s="100">
        <v>11185.199999999999</v>
      </c>
      <c r="CF83" s="100">
        <v>8</v>
      </c>
      <c r="CG83" s="100">
        <v>6883.2</v>
      </c>
      <c r="CH83" s="100">
        <v>12</v>
      </c>
      <c r="CI83" s="100">
        <v>10324.799999999999</v>
      </c>
      <c r="CJ83" s="100">
        <v>9.3759664851644011</v>
      </c>
      <c r="CK83" s="100">
        <v>8067.0815638354507</v>
      </c>
      <c r="CL83" s="100">
        <v>8.9643835229614499</v>
      </c>
      <c r="CM83" s="100">
        <v>7712.955583156031</v>
      </c>
      <c r="CN83" s="100">
        <v>13</v>
      </c>
      <c r="CO83" s="100">
        <v>11185.199999999999</v>
      </c>
      <c r="CP83" s="100">
        <v>12</v>
      </c>
      <c r="CQ83" s="100">
        <v>10324.799999999999</v>
      </c>
      <c r="CR83" s="100">
        <v>11.952942385712781</v>
      </c>
      <c r="CS83" s="100">
        <v>10284.311628667276</v>
      </c>
      <c r="CT83" s="100">
        <v>13</v>
      </c>
      <c r="CU83" s="100">
        <v>11185.199999999999</v>
      </c>
    </row>
    <row r="84" spans="2:99">
      <c r="C84" s="99" t="s">
        <v>250</v>
      </c>
      <c r="D84" s="100">
        <v>5.925075790843227</v>
      </c>
      <c r="E84" s="100">
        <v>4628.6692078067281</v>
      </c>
      <c r="F84" s="100">
        <v>0.88331668354799975</v>
      </c>
      <c r="G84" s="100">
        <v>690.04699318769735</v>
      </c>
      <c r="H84" s="100">
        <v>14</v>
      </c>
      <c r="I84" s="100">
        <v>10936.8</v>
      </c>
      <c r="J84" s="100">
        <v>10</v>
      </c>
      <c r="K84" s="100">
        <v>7811.9999999999991</v>
      </c>
      <c r="L84" s="100">
        <v>10</v>
      </c>
      <c r="M84" s="100">
        <v>7811.9999999999991</v>
      </c>
      <c r="N84" s="100">
        <v>10</v>
      </c>
      <c r="O84" s="100">
        <v>7811.9999999999991</v>
      </c>
      <c r="P84" s="100">
        <v>10</v>
      </c>
      <c r="Q84" s="100">
        <v>7811.9999999999991</v>
      </c>
      <c r="R84" s="100">
        <v>9</v>
      </c>
      <c r="S84" s="100">
        <v>7030.7999999999993</v>
      </c>
      <c r="T84" s="100">
        <v>9</v>
      </c>
      <c r="U84" s="100">
        <v>7030.7999999999993</v>
      </c>
      <c r="V84" s="100">
        <v>10</v>
      </c>
      <c r="W84" s="100">
        <v>7811.9999999999991</v>
      </c>
      <c r="X84" s="100">
        <v>6.2464253154945686</v>
      </c>
      <c r="Y84" s="100">
        <v>4879.7074564643563</v>
      </c>
      <c r="Z84" s="100">
        <v>8</v>
      </c>
      <c r="AA84" s="100">
        <v>6249.5999999999995</v>
      </c>
      <c r="AB84" s="100">
        <v>8</v>
      </c>
      <c r="AC84" s="100">
        <v>6249.5999999999995</v>
      </c>
      <c r="AD84" s="100">
        <v>7</v>
      </c>
      <c r="AE84" s="100">
        <v>5468.4</v>
      </c>
      <c r="AF84" s="100">
        <v>11</v>
      </c>
      <c r="AG84" s="100">
        <v>8593.1999999999989</v>
      </c>
      <c r="AH84" s="100">
        <v>12</v>
      </c>
      <c r="AI84" s="100">
        <v>9374.4</v>
      </c>
      <c r="AJ84" s="100">
        <v>11</v>
      </c>
      <c r="AK84" s="100">
        <v>8593.1999999999989</v>
      </c>
      <c r="AL84" s="100">
        <v>12</v>
      </c>
      <c r="AM84" s="100">
        <v>9374.4</v>
      </c>
      <c r="AN84" s="100">
        <v>7.7866225727225391</v>
      </c>
      <c r="AO84" s="100">
        <v>6082.9095538108468</v>
      </c>
      <c r="AP84" s="100">
        <v>10.046511627906906</v>
      </c>
      <c r="AQ84" s="100">
        <v>7848.3348837208741</v>
      </c>
      <c r="AR84" s="100">
        <v>10</v>
      </c>
      <c r="AS84" s="100">
        <v>7811.9999999999991</v>
      </c>
      <c r="AT84" s="100">
        <v>11</v>
      </c>
      <c r="AU84" s="100">
        <v>8593.1999999999989</v>
      </c>
      <c r="AV84" s="100">
        <v>7</v>
      </c>
      <c r="AW84" s="100">
        <v>5468.4</v>
      </c>
      <c r="AX84" s="100">
        <v>12</v>
      </c>
      <c r="AY84" s="100">
        <v>9374.4</v>
      </c>
      <c r="AZ84" s="100">
        <v>10</v>
      </c>
      <c r="BA84" s="100">
        <v>7811.9999999999991</v>
      </c>
      <c r="BB84" s="100">
        <v>7</v>
      </c>
      <c r="BC84" s="100">
        <v>5468.4</v>
      </c>
      <c r="BD84" s="100">
        <v>11</v>
      </c>
      <c r="BE84" s="100">
        <v>8593.1999999999989</v>
      </c>
      <c r="BF84" s="100">
        <v>7.0654067945356909</v>
      </c>
      <c r="BG84" s="100">
        <v>5519.495787891281</v>
      </c>
      <c r="BH84" s="100">
        <v>11.037735849056528</v>
      </c>
      <c r="BI84" s="100">
        <v>8622.6792452829595</v>
      </c>
      <c r="BJ84" s="100">
        <v>10</v>
      </c>
      <c r="BK84" s="100">
        <v>7811.9999999999991</v>
      </c>
      <c r="BL84" s="100">
        <v>8</v>
      </c>
      <c r="BM84" s="100">
        <v>6249.5999999999995</v>
      </c>
      <c r="BN84" s="100">
        <v>9</v>
      </c>
      <c r="BO84" s="100">
        <v>7030.7999999999993</v>
      </c>
      <c r="BP84" s="100">
        <v>10</v>
      </c>
      <c r="BQ84" s="100">
        <v>7811.9999999999991</v>
      </c>
      <c r="BR84" s="100">
        <v>11</v>
      </c>
      <c r="BS84" s="100">
        <v>8593.1999999999989</v>
      </c>
      <c r="BT84" s="100">
        <v>12</v>
      </c>
      <c r="BU84" s="100">
        <v>9374.4</v>
      </c>
      <c r="BV84" s="100">
        <v>10</v>
      </c>
      <c r="BW84" s="100">
        <v>7811.9999999999991</v>
      </c>
      <c r="BX84" s="100">
        <v>6.35137379856958</v>
      </c>
      <c r="BY84" s="100">
        <v>4961.6932114425554</v>
      </c>
      <c r="BZ84" s="100">
        <v>10</v>
      </c>
      <c r="CA84" s="100">
        <v>7811.9999999999991</v>
      </c>
      <c r="CB84" s="100">
        <v>9</v>
      </c>
      <c r="CC84" s="100">
        <v>7030.7999999999993</v>
      </c>
      <c r="CD84" s="100">
        <v>14</v>
      </c>
      <c r="CE84" s="100">
        <v>10936.8</v>
      </c>
      <c r="CF84" s="100">
        <v>8</v>
      </c>
      <c r="CG84" s="100">
        <v>6249.5999999999995</v>
      </c>
      <c r="CH84" s="100">
        <v>14</v>
      </c>
      <c r="CI84" s="100">
        <v>10936.8</v>
      </c>
      <c r="CJ84" s="100">
        <v>9.3759664851644011</v>
      </c>
      <c r="CK84" s="100">
        <v>7324.5050182104296</v>
      </c>
      <c r="CL84" s="100">
        <v>10.75726022755374</v>
      </c>
      <c r="CM84" s="100">
        <v>8403.57168976498</v>
      </c>
      <c r="CN84" s="100">
        <v>12</v>
      </c>
      <c r="CO84" s="100">
        <v>9374.4</v>
      </c>
      <c r="CP84" s="100">
        <v>12</v>
      </c>
      <c r="CQ84" s="100">
        <v>9374.4</v>
      </c>
      <c r="CR84" s="100">
        <v>12.94902091785551</v>
      </c>
      <c r="CS84" s="100">
        <v>10115.775141028724</v>
      </c>
      <c r="CT84" s="100">
        <v>15</v>
      </c>
      <c r="CU84" s="100">
        <v>11717.999999999998</v>
      </c>
    </row>
    <row r="85" spans="2:99">
      <c r="C85" s="99" t="s">
        <v>251</v>
      </c>
      <c r="D85" s="100">
        <v>5.925075790843227</v>
      </c>
      <c r="E85" s="100">
        <v>888.761368626484</v>
      </c>
      <c r="F85" s="100">
        <v>0.82442890464479979</v>
      </c>
      <c r="G85" s="100">
        <v>123.66433569671997</v>
      </c>
      <c r="H85" s="100">
        <v>13</v>
      </c>
      <c r="I85" s="100">
        <v>1950</v>
      </c>
      <c r="J85" s="100">
        <v>11</v>
      </c>
      <c r="K85" s="100">
        <v>1650</v>
      </c>
      <c r="L85" s="100">
        <v>9</v>
      </c>
      <c r="M85" s="100">
        <v>1350</v>
      </c>
      <c r="N85" s="100">
        <v>11</v>
      </c>
      <c r="O85" s="100">
        <v>1650</v>
      </c>
      <c r="P85" s="100">
        <v>10</v>
      </c>
      <c r="Q85" s="100">
        <v>1500</v>
      </c>
      <c r="R85" s="100">
        <v>10</v>
      </c>
      <c r="S85" s="100">
        <v>1500</v>
      </c>
      <c r="T85" s="100">
        <v>9</v>
      </c>
      <c r="U85" s="100">
        <v>1350</v>
      </c>
      <c r="V85" s="100">
        <v>10</v>
      </c>
      <c r="W85" s="100">
        <v>1500</v>
      </c>
      <c r="X85" s="100">
        <v>7.0272284799313898</v>
      </c>
      <c r="Y85" s="100">
        <v>1054.0842719897084</v>
      </c>
      <c r="Z85" s="100">
        <v>8</v>
      </c>
      <c r="AA85" s="100">
        <v>1200</v>
      </c>
      <c r="AB85" s="100">
        <v>7</v>
      </c>
      <c r="AC85" s="100">
        <v>1050</v>
      </c>
      <c r="AD85" s="100">
        <v>9</v>
      </c>
      <c r="AE85" s="100">
        <v>1350</v>
      </c>
      <c r="AF85" s="100">
        <v>11</v>
      </c>
      <c r="AG85" s="100">
        <v>1650</v>
      </c>
      <c r="AH85" s="100">
        <v>11</v>
      </c>
      <c r="AI85" s="100">
        <v>1650</v>
      </c>
      <c r="AJ85" s="100">
        <v>11</v>
      </c>
      <c r="AK85" s="100">
        <v>1650</v>
      </c>
      <c r="AL85" s="100">
        <v>12</v>
      </c>
      <c r="AM85" s="100">
        <v>1800</v>
      </c>
      <c r="AN85" s="100">
        <v>8.4944973520609519</v>
      </c>
      <c r="AO85" s="100">
        <v>1274.1746028091427</v>
      </c>
      <c r="AP85" s="100">
        <v>10.88372093023248</v>
      </c>
      <c r="AQ85" s="100">
        <v>1632.558139534872</v>
      </c>
      <c r="AR85" s="100">
        <v>10</v>
      </c>
      <c r="AS85" s="100">
        <v>1500</v>
      </c>
      <c r="AT85" s="100">
        <v>10</v>
      </c>
      <c r="AU85" s="100">
        <v>1500</v>
      </c>
      <c r="AV85" s="100">
        <v>8</v>
      </c>
      <c r="AW85" s="100">
        <v>1200</v>
      </c>
      <c r="AX85" s="100">
        <v>13</v>
      </c>
      <c r="AY85" s="100">
        <v>1950</v>
      </c>
      <c r="AZ85" s="100">
        <v>9</v>
      </c>
      <c r="BA85" s="100">
        <v>1350</v>
      </c>
      <c r="BB85" s="100">
        <v>9</v>
      </c>
      <c r="BC85" s="100">
        <v>1350</v>
      </c>
      <c r="BD85" s="100">
        <v>11</v>
      </c>
      <c r="BE85" s="100">
        <v>1650</v>
      </c>
      <c r="BF85" s="100">
        <v>7.0654067945356909</v>
      </c>
      <c r="BG85" s="100">
        <v>1059.8110191803537</v>
      </c>
      <c r="BH85" s="100">
        <v>10.188679245282948</v>
      </c>
      <c r="BI85" s="100">
        <v>1528.3018867924422</v>
      </c>
      <c r="BJ85" s="100">
        <v>11</v>
      </c>
      <c r="BK85" s="100">
        <v>1650</v>
      </c>
      <c r="BL85" s="100">
        <v>8</v>
      </c>
      <c r="BM85" s="100">
        <v>1200</v>
      </c>
      <c r="BN85" s="100">
        <v>9</v>
      </c>
      <c r="BO85" s="100">
        <v>1350</v>
      </c>
      <c r="BP85" s="100">
        <v>9</v>
      </c>
      <c r="BQ85" s="100">
        <v>1350</v>
      </c>
      <c r="BR85" s="100">
        <v>12</v>
      </c>
      <c r="BS85" s="100">
        <v>1800</v>
      </c>
      <c r="BT85" s="100">
        <v>12</v>
      </c>
      <c r="BU85" s="100">
        <v>1800</v>
      </c>
      <c r="BV85" s="100">
        <v>9</v>
      </c>
      <c r="BW85" s="100">
        <v>1350</v>
      </c>
      <c r="BX85" s="100">
        <v>7.2587129126509486</v>
      </c>
      <c r="BY85" s="100">
        <v>1088.8069368976423</v>
      </c>
      <c r="BZ85" s="100">
        <v>11</v>
      </c>
      <c r="CA85" s="100">
        <v>1650</v>
      </c>
      <c r="CB85" s="100">
        <v>8</v>
      </c>
      <c r="CC85" s="100">
        <v>1200</v>
      </c>
      <c r="CD85" s="100">
        <v>14</v>
      </c>
      <c r="CE85" s="100">
        <v>2100</v>
      </c>
      <c r="CF85" s="100">
        <v>8</v>
      </c>
      <c r="CG85" s="100">
        <v>1200</v>
      </c>
      <c r="CH85" s="100">
        <v>13</v>
      </c>
      <c r="CI85" s="100">
        <v>1950</v>
      </c>
      <c r="CJ85" s="100">
        <v>10.157297025594769</v>
      </c>
      <c r="CK85" s="100">
        <v>1523.5945538392152</v>
      </c>
      <c r="CL85" s="100">
        <v>10.75726022755374</v>
      </c>
      <c r="CM85" s="100">
        <v>1613.589034133061</v>
      </c>
      <c r="CN85" s="100">
        <v>12</v>
      </c>
      <c r="CO85" s="100">
        <v>1800</v>
      </c>
      <c r="CP85" s="100">
        <v>12</v>
      </c>
      <c r="CQ85" s="100">
        <v>1800</v>
      </c>
      <c r="CR85" s="100">
        <v>13.945099449998242</v>
      </c>
      <c r="CS85" s="100">
        <v>2091.7649174997364</v>
      </c>
      <c r="CT85" s="100">
        <v>14</v>
      </c>
      <c r="CU85" s="100">
        <v>2100</v>
      </c>
    </row>
    <row r="86" spans="2:99">
      <c r="C86" s="99" t="s">
        <v>252</v>
      </c>
      <c r="D86" s="100">
        <v>5.925075790843227</v>
      </c>
      <c r="E86" s="100">
        <v>3199.5409270553428</v>
      </c>
      <c r="F86" s="100">
        <v>0.82442890464479979</v>
      </c>
      <c r="G86" s="100">
        <v>445.19160850819191</v>
      </c>
      <c r="H86" s="100">
        <v>12</v>
      </c>
      <c r="I86" s="100">
        <v>6480</v>
      </c>
      <c r="J86" s="100">
        <v>10</v>
      </c>
      <c r="K86" s="100">
        <v>5400</v>
      </c>
      <c r="L86" s="100">
        <v>10</v>
      </c>
      <c r="M86" s="100">
        <v>5400</v>
      </c>
      <c r="N86" s="100">
        <v>11</v>
      </c>
      <c r="O86" s="100">
        <v>5940</v>
      </c>
      <c r="P86" s="100">
        <v>11</v>
      </c>
      <c r="Q86" s="100">
        <v>5940</v>
      </c>
      <c r="R86" s="100">
        <v>9</v>
      </c>
      <c r="S86" s="100">
        <v>4860</v>
      </c>
      <c r="T86" s="100">
        <v>9</v>
      </c>
      <c r="U86" s="100">
        <v>4860</v>
      </c>
      <c r="V86" s="100">
        <v>10</v>
      </c>
      <c r="W86" s="100">
        <v>5400</v>
      </c>
      <c r="X86" s="100">
        <v>6.2464253154945686</v>
      </c>
      <c r="Y86" s="100">
        <v>3373.0696703670669</v>
      </c>
      <c r="Z86" s="100">
        <v>7</v>
      </c>
      <c r="AA86" s="100">
        <v>3780</v>
      </c>
      <c r="AB86" s="100">
        <v>8</v>
      </c>
      <c r="AC86" s="100">
        <v>4320</v>
      </c>
      <c r="AD86" s="100">
        <v>7</v>
      </c>
      <c r="AE86" s="100">
        <v>3780</v>
      </c>
      <c r="AF86" s="100">
        <v>12</v>
      </c>
      <c r="AG86" s="100">
        <v>6480</v>
      </c>
      <c r="AH86" s="100">
        <v>12</v>
      </c>
      <c r="AI86" s="100">
        <v>6480</v>
      </c>
      <c r="AJ86" s="100">
        <v>10</v>
      </c>
      <c r="AK86" s="100">
        <v>5400</v>
      </c>
      <c r="AL86" s="100">
        <v>12</v>
      </c>
      <c r="AM86" s="100">
        <v>6480</v>
      </c>
      <c r="AN86" s="100">
        <v>7.7866225727225391</v>
      </c>
      <c r="AO86" s="100">
        <v>4204.776189270171</v>
      </c>
      <c r="AP86" s="100">
        <v>10.88372093023248</v>
      </c>
      <c r="AQ86" s="100">
        <v>5877.2093023255393</v>
      </c>
      <c r="AR86" s="100">
        <v>10</v>
      </c>
      <c r="AS86" s="100">
        <v>5400</v>
      </c>
      <c r="AT86" s="100">
        <v>11</v>
      </c>
      <c r="AU86" s="100">
        <v>5940</v>
      </c>
      <c r="AV86" s="100">
        <v>8</v>
      </c>
      <c r="AW86" s="100">
        <v>4320</v>
      </c>
      <c r="AX86" s="100">
        <v>13</v>
      </c>
      <c r="AY86" s="100">
        <v>7020</v>
      </c>
      <c r="AZ86" s="100">
        <v>11</v>
      </c>
      <c r="BA86" s="100">
        <v>5940</v>
      </c>
      <c r="BB86" s="100">
        <v>8</v>
      </c>
      <c r="BC86" s="100">
        <v>4320</v>
      </c>
      <c r="BD86" s="100">
        <v>10</v>
      </c>
      <c r="BE86" s="100">
        <v>5400</v>
      </c>
      <c r="BF86" s="100">
        <v>7.0654067945356909</v>
      </c>
      <c r="BG86" s="100">
        <v>3815.3196690492732</v>
      </c>
      <c r="BH86" s="100">
        <v>10.188679245282948</v>
      </c>
      <c r="BI86" s="100">
        <v>5501.8867924527922</v>
      </c>
      <c r="BJ86" s="100">
        <v>10</v>
      </c>
      <c r="BK86" s="100">
        <v>5400</v>
      </c>
      <c r="BL86" s="100">
        <v>9</v>
      </c>
      <c r="BM86" s="100">
        <v>4860</v>
      </c>
      <c r="BN86" s="100">
        <v>9</v>
      </c>
      <c r="BO86" s="100">
        <v>4860</v>
      </c>
      <c r="BP86" s="100">
        <v>10</v>
      </c>
      <c r="BQ86" s="100">
        <v>5400</v>
      </c>
      <c r="BR86" s="100">
        <v>11</v>
      </c>
      <c r="BS86" s="100">
        <v>5940</v>
      </c>
      <c r="BT86" s="100">
        <v>13</v>
      </c>
      <c r="BU86" s="100">
        <v>7020</v>
      </c>
      <c r="BV86" s="100">
        <v>10</v>
      </c>
      <c r="BW86" s="100">
        <v>5400</v>
      </c>
      <c r="BX86" s="100">
        <v>6.8050433556102643</v>
      </c>
      <c r="BY86" s="100">
        <v>3674.7234120295429</v>
      </c>
      <c r="BZ86" s="100">
        <v>10</v>
      </c>
      <c r="CA86" s="100">
        <v>5400</v>
      </c>
      <c r="CB86" s="100">
        <v>9</v>
      </c>
      <c r="CC86" s="100">
        <v>4860</v>
      </c>
      <c r="CD86" s="100">
        <v>12</v>
      </c>
      <c r="CE86" s="100">
        <v>6480</v>
      </c>
      <c r="CF86" s="100">
        <v>9</v>
      </c>
      <c r="CG86" s="100">
        <v>4860</v>
      </c>
      <c r="CH86" s="100">
        <v>12</v>
      </c>
      <c r="CI86" s="100">
        <v>6480</v>
      </c>
      <c r="CJ86" s="100">
        <v>9.3759664851644011</v>
      </c>
      <c r="CK86" s="100">
        <v>5063.0219019887763</v>
      </c>
      <c r="CL86" s="100">
        <v>9.860821875257594</v>
      </c>
      <c r="CM86" s="100">
        <v>5324.8438126391011</v>
      </c>
      <c r="CN86" s="100">
        <v>13</v>
      </c>
      <c r="CO86" s="100">
        <v>7020</v>
      </c>
      <c r="CP86" s="100">
        <v>10</v>
      </c>
      <c r="CQ86" s="100">
        <v>5400</v>
      </c>
      <c r="CR86" s="100">
        <v>10.956863853570049</v>
      </c>
      <c r="CS86" s="100">
        <v>5916.7064809278263</v>
      </c>
      <c r="CT86" s="100">
        <v>14</v>
      </c>
      <c r="CU86" s="100">
        <v>7560</v>
      </c>
    </row>
    <row r="87" spans="2:99">
      <c r="B87" s="99" t="s">
        <v>131</v>
      </c>
      <c r="C87" s="99" t="s">
        <v>253</v>
      </c>
      <c r="D87" s="100">
        <v>9</v>
      </c>
      <c r="E87" s="100">
        <v>9666</v>
      </c>
      <c r="F87" s="100">
        <v>4.8903929777067532</v>
      </c>
      <c r="G87" s="100">
        <v>5252.2820580570533</v>
      </c>
      <c r="H87" s="100">
        <v>7.855215820585725</v>
      </c>
      <c r="I87" s="100">
        <v>8436.5017913090687</v>
      </c>
      <c r="J87" s="100">
        <v>3.1975071257460388</v>
      </c>
      <c r="K87" s="100">
        <v>3434.1226530512458</v>
      </c>
      <c r="L87" s="100">
        <v>8</v>
      </c>
      <c r="M87" s="100">
        <v>8592</v>
      </c>
      <c r="N87" s="100">
        <v>5.1009174311925882</v>
      </c>
      <c r="O87" s="100">
        <v>5478.38532110084</v>
      </c>
      <c r="P87" s="100">
        <v>6</v>
      </c>
      <c r="Q87" s="100">
        <v>6444</v>
      </c>
      <c r="R87" s="100">
        <v>6.4738745665778712</v>
      </c>
      <c r="S87" s="100">
        <v>6952.9412845046336</v>
      </c>
      <c r="T87" s="100">
        <v>5.3808779671849862</v>
      </c>
      <c r="U87" s="100">
        <v>5779.0629367566753</v>
      </c>
      <c r="V87" s="100">
        <v>8.5474860335195029</v>
      </c>
      <c r="W87" s="100">
        <v>9179.9999999999454</v>
      </c>
      <c r="X87" s="100">
        <v>5.4337899543378674</v>
      </c>
      <c r="Y87" s="100">
        <v>5835.8904109588693</v>
      </c>
      <c r="Z87" s="100">
        <v>6</v>
      </c>
      <c r="AA87" s="100">
        <v>6444</v>
      </c>
      <c r="AB87" s="100">
        <v>8.2173913043477373</v>
      </c>
      <c r="AC87" s="100">
        <v>8825.4782608694695</v>
      </c>
      <c r="AD87" s="100">
        <v>5.2849740932642169</v>
      </c>
      <c r="AE87" s="100">
        <v>5676.0621761657685</v>
      </c>
      <c r="AF87" s="100">
        <v>0.6529303125099154</v>
      </c>
      <c r="AG87" s="100">
        <v>701.24715563564916</v>
      </c>
      <c r="AH87" s="100">
        <v>6.1340206185566633</v>
      </c>
      <c r="AI87" s="100">
        <v>6587.9381443298562</v>
      </c>
      <c r="AJ87" s="100">
        <v>10</v>
      </c>
      <c r="AK87" s="100">
        <v>10740</v>
      </c>
      <c r="AL87" s="100">
        <v>8</v>
      </c>
      <c r="AM87" s="100">
        <v>8592</v>
      </c>
      <c r="AN87" s="100">
        <v>5.3987008578356743</v>
      </c>
      <c r="AO87" s="100">
        <v>5798.2047213155138</v>
      </c>
      <c r="AP87" s="100">
        <v>7.3913043478260425</v>
      </c>
      <c r="AQ87" s="100">
        <v>7938.2608695651697</v>
      </c>
      <c r="AR87" s="100">
        <v>4.9275362318840292</v>
      </c>
      <c r="AS87" s="100">
        <v>5292.1739130434471</v>
      </c>
      <c r="AT87" s="100">
        <v>6.6666666666666261</v>
      </c>
      <c r="AU87" s="100">
        <v>7159.9999999999563</v>
      </c>
      <c r="AV87" s="100">
        <v>0.56526837240441752</v>
      </c>
      <c r="AW87" s="100">
        <v>607.09823196234447</v>
      </c>
      <c r="AX87" s="100">
        <v>10</v>
      </c>
      <c r="AY87" s="100">
        <v>10740</v>
      </c>
      <c r="AZ87" s="100">
        <v>7.6442307692306724</v>
      </c>
      <c r="BA87" s="100">
        <v>8209.9038461537421</v>
      </c>
      <c r="BB87" s="100">
        <v>9</v>
      </c>
      <c r="BC87" s="100">
        <v>9666</v>
      </c>
      <c r="BD87" s="100">
        <v>10</v>
      </c>
      <c r="BE87" s="100">
        <v>10740</v>
      </c>
      <c r="BF87" s="100">
        <v>9</v>
      </c>
      <c r="BG87" s="100">
        <v>9666</v>
      </c>
      <c r="BH87" s="100">
        <v>8</v>
      </c>
      <c r="BI87" s="100">
        <v>8592</v>
      </c>
      <c r="BJ87" s="100">
        <v>8.2959277901696939</v>
      </c>
      <c r="BK87" s="100">
        <v>8909.8264466422515</v>
      </c>
      <c r="BL87" s="100">
        <v>8</v>
      </c>
      <c r="BM87" s="100">
        <v>8592</v>
      </c>
      <c r="BN87" s="100">
        <v>7</v>
      </c>
      <c r="BO87" s="100">
        <v>7518</v>
      </c>
      <c r="BP87" s="100">
        <v>1.6805470052160532</v>
      </c>
      <c r="BQ87" s="100">
        <v>1804.9074836020411</v>
      </c>
      <c r="BR87" s="100">
        <v>7</v>
      </c>
      <c r="BS87" s="100">
        <v>7518</v>
      </c>
      <c r="BT87" s="100">
        <v>11</v>
      </c>
      <c r="BU87" s="100">
        <v>11814</v>
      </c>
      <c r="BV87" s="100">
        <v>8</v>
      </c>
      <c r="BW87" s="100">
        <v>8592</v>
      </c>
      <c r="BX87" s="100">
        <v>8</v>
      </c>
      <c r="BY87" s="100">
        <v>8592</v>
      </c>
      <c r="BZ87" s="100">
        <v>10</v>
      </c>
      <c r="CA87" s="100">
        <v>10740</v>
      </c>
      <c r="CB87" s="100">
        <v>9</v>
      </c>
      <c r="CC87" s="100">
        <v>9666</v>
      </c>
      <c r="CD87" s="100">
        <v>8.6031843749906969</v>
      </c>
      <c r="CE87" s="100">
        <v>9239.8200187400089</v>
      </c>
      <c r="CF87" s="100">
        <v>0</v>
      </c>
      <c r="CG87" s="100">
        <v>0</v>
      </c>
      <c r="CH87" s="100">
        <v>8</v>
      </c>
      <c r="CI87" s="100">
        <v>8592</v>
      </c>
      <c r="CJ87" s="100">
        <v>7.6829268292682036</v>
      </c>
      <c r="CK87" s="100">
        <v>8251.4634146340504</v>
      </c>
      <c r="CL87" s="100">
        <v>9.4923857868019734</v>
      </c>
      <c r="CM87" s="100">
        <v>10194.822335025319</v>
      </c>
      <c r="CN87" s="100">
        <v>0.5967642641219657</v>
      </c>
      <c r="CO87" s="100">
        <v>640.9248196669912</v>
      </c>
      <c r="CP87" s="100">
        <v>11</v>
      </c>
      <c r="CQ87" s="100">
        <v>11814</v>
      </c>
      <c r="CR87" s="100">
        <v>11</v>
      </c>
      <c r="CS87" s="100">
        <v>11814</v>
      </c>
      <c r="CT87" s="100">
        <v>9</v>
      </c>
      <c r="CU87" s="100">
        <v>9666</v>
      </c>
    </row>
    <row r="88" spans="2:99">
      <c r="C88" s="99" t="s">
        <v>254</v>
      </c>
      <c r="D88" s="100">
        <v>11</v>
      </c>
      <c r="E88" s="100">
        <v>10916.4</v>
      </c>
      <c r="F88" s="100">
        <v>4.8903929777067532</v>
      </c>
      <c r="G88" s="100">
        <v>4853.2259910761813</v>
      </c>
      <c r="H88" s="100">
        <v>7.855215820585725</v>
      </c>
      <c r="I88" s="100">
        <v>7795.5161803492729</v>
      </c>
      <c r="J88" s="100">
        <v>3.1975071257460388</v>
      </c>
      <c r="K88" s="100">
        <v>3173.206071590369</v>
      </c>
      <c r="L88" s="100">
        <v>9</v>
      </c>
      <c r="M88" s="100">
        <v>8931.6</v>
      </c>
      <c r="N88" s="100">
        <v>5.1009174311925882</v>
      </c>
      <c r="O88" s="100">
        <v>5062.1504587155241</v>
      </c>
      <c r="P88" s="100">
        <v>7</v>
      </c>
      <c r="Q88" s="100">
        <v>6946.8</v>
      </c>
      <c r="R88" s="100">
        <v>8.0923432082223385</v>
      </c>
      <c r="S88" s="100">
        <v>8030.8413998398482</v>
      </c>
      <c r="T88" s="100">
        <v>5.3808779671849862</v>
      </c>
      <c r="U88" s="100">
        <v>5339.9832946343804</v>
      </c>
      <c r="V88" s="100">
        <v>8.5474860335195029</v>
      </c>
      <c r="W88" s="100">
        <v>8482.5251396647545</v>
      </c>
      <c r="X88" s="100">
        <v>5.4337899543378674</v>
      </c>
      <c r="Y88" s="100">
        <v>5392.4931506848998</v>
      </c>
      <c r="Z88" s="100">
        <v>6</v>
      </c>
      <c r="AA88" s="100">
        <v>5954.4</v>
      </c>
      <c r="AB88" s="100">
        <v>9.1304347826085976</v>
      </c>
      <c r="AC88" s="100">
        <v>9061.0434782607717</v>
      </c>
      <c r="AD88" s="100">
        <v>5.2849740932642169</v>
      </c>
      <c r="AE88" s="100">
        <v>5244.8082901554089</v>
      </c>
      <c r="AF88" s="100">
        <v>0.6529303125099154</v>
      </c>
      <c r="AG88" s="100">
        <v>647.96804213484006</v>
      </c>
      <c r="AH88" s="100">
        <v>6.1340206185566633</v>
      </c>
      <c r="AI88" s="100">
        <v>6087.4020618556324</v>
      </c>
      <c r="AJ88" s="100">
        <v>10</v>
      </c>
      <c r="AK88" s="100">
        <v>9924</v>
      </c>
      <c r="AL88" s="100">
        <v>8</v>
      </c>
      <c r="AM88" s="100">
        <v>7939.2</v>
      </c>
      <c r="AN88" s="100">
        <v>5.3987008578356743</v>
      </c>
      <c r="AO88" s="100">
        <v>5357.6707313161232</v>
      </c>
      <c r="AP88" s="100">
        <v>7.3913043478260425</v>
      </c>
      <c r="AQ88" s="100">
        <v>7335.1304347825644</v>
      </c>
      <c r="AR88" s="100">
        <v>4.9275362318840292</v>
      </c>
      <c r="AS88" s="100">
        <v>4890.0869565217108</v>
      </c>
      <c r="AT88" s="100">
        <v>4.9999999999999698</v>
      </c>
      <c r="AU88" s="100">
        <v>4961.99999999997</v>
      </c>
      <c r="AV88" s="100">
        <v>0.51388033854947046</v>
      </c>
      <c r="AW88" s="100">
        <v>509.97484797649446</v>
      </c>
      <c r="AX88" s="100">
        <v>9</v>
      </c>
      <c r="AY88" s="100">
        <v>8931.6</v>
      </c>
      <c r="AZ88" s="100">
        <v>6.8798076923076046</v>
      </c>
      <c r="BA88" s="100">
        <v>6827.5211538460662</v>
      </c>
      <c r="BB88" s="100">
        <v>9</v>
      </c>
      <c r="BC88" s="100">
        <v>8931.6</v>
      </c>
      <c r="BD88" s="100">
        <v>10</v>
      </c>
      <c r="BE88" s="100">
        <v>9924</v>
      </c>
      <c r="BF88" s="100">
        <v>8</v>
      </c>
      <c r="BG88" s="100">
        <v>7939.2</v>
      </c>
      <c r="BH88" s="100">
        <v>8</v>
      </c>
      <c r="BI88" s="100">
        <v>7939.2</v>
      </c>
      <c r="BJ88" s="100">
        <v>8.2959277901696939</v>
      </c>
      <c r="BK88" s="100">
        <v>8232.878738964404</v>
      </c>
      <c r="BL88" s="100">
        <v>8</v>
      </c>
      <c r="BM88" s="100">
        <v>7939.2</v>
      </c>
      <c r="BN88" s="100">
        <v>7</v>
      </c>
      <c r="BO88" s="100">
        <v>6946.8</v>
      </c>
      <c r="BP88" s="100">
        <v>1.9606381727520621</v>
      </c>
      <c r="BQ88" s="100">
        <v>1945.7373226391464</v>
      </c>
      <c r="BR88" s="100">
        <v>7</v>
      </c>
      <c r="BS88" s="100">
        <v>6946.8</v>
      </c>
      <c r="BT88" s="100">
        <v>12</v>
      </c>
      <c r="BU88" s="100">
        <v>11908.8</v>
      </c>
      <c r="BV88" s="100">
        <v>9</v>
      </c>
      <c r="BW88" s="100">
        <v>8931.6</v>
      </c>
      <c r="BX88" s="100">
        <v>8</v>
      </c>
      <c r="BY88" s="100">
        <v>7939.2</v>
      </c>
      <c r="BZ88" s="100">
        <v>12</v>
      </c>
      <c r="CA88" s="100">
        <v>11908.8</v>
      </c>
      <c r="CB88" s="100">
        <v>9</v>
      </c>
      <c r="CC88" s="100">
        <v>8931.6</v>
      </c>
      <c r="CD88" s="100">
        <v>7.6472749999917298</v>
      </c>
      <c r="CE88" s="100">
        <v>7589.1557099917927</v>
      </c>
      <c r="CF88" s="100">
        <v>0</v>
      </c>
      <c r="CG88" s="100">
        <v>0</v>
      </c>
      <c r="CH88" s="100">
        <v>8</v>
      </c>
      <c r="CI88" s="100">
        <v>7939.2</v>
      </c>
      <c r="CJ88" s="100">
        <v>6.8292682926828485</v>
      </c>
      <c r="CK88" s="100">
        <v>6777.3658536584589</v>
      </c>
      <c r="CL88" s="100">
        <v>9.4923857868019734</v>
      </c>
      <c r="CM88" s="100">
        <v>9420.2436548222777</v>
      </c>
      <c r="CN88" s="100">
        <v>0.64649461946546294</v>
      </c>
      <c r="CO88" s="100">
        <v>641.58126035752537</v>
      </c>
      <c r="CP88" s="100">
        <v>13</v>
      </c>
      <c r="CQ88" s="100">
        <v>12901.199999999999</v>
      </c>
      <c r="CR88" s="100">
        <v>11</v>
      </c>
      <c r="CS88" s="100">
        <v>10916.4</v>
      </c>
      <c r="CT88" s="100">
        <v>10</v>
      </c>
      <c r="CU88" s="100">
        <v>9924</v>
      </c>
    </row>
    <row r="89" spans="2:99">
      <c r="C89" s="99" t="s">
        <v>255</v>
      </c>
      <c r="D89" s="100">
        <v>10</v>
      </c>
      <c r="E89" s="100">
        <v>10620</v>
      </c>
      <c r="F89" s="100">
        <v>4.3470159801837811</v>
      </c>
      <c r="G89" s="100">
        <v>4616.5309709551757</v>
      </c>
      <c r="H89" s="100">
        <v>7.0696942385271528</v>
      </c>
      <c r="I89" s="100">
        <v>7508.0152813158365</v>
      </c>
      <c r="J89" s="100">
        <v>3.1975071257460388</v>
      </c>
      <c r="K89" s="100">
        <v>3395.752567542293</v>
      </c>
      <c r="L89" s="100">
        <v>8</v>
      </c>
      <c r="M89" s="100">
        <v>8496</v>
      </c>
      <c r="N89" s="100">
        <v>5.1009174311925882</v>
      </c>
      <c r="O89" s="100">
        <v>5417.1743119265284</v>
      </c>
      <c r="P89" s="100">
        <v>7</v>
      </c>
      <c r="Q89" s="100">
        <v>7434</v>
      </c>
      <c r="R89" s="100">
        <v>7.2831088874001058</v>
      </c>
      <c r="S89" s="100">
        <v>7734.6616384189119</v>
      </c>
      <c r="T89" s="100">
        <v>4.7830026374977654</v>
      </c>
      <c r="U89" s="100">
        <v>5079.5488010226272</v>
      </c>
      <c r="V89" s="100">
        <v>9.4972067039105568</v>
      </c>
      <c r="W89" s="100">
        <v>10086.033519553012</v>
      </c>
      <c r="X89" s="100">
        <v>5.4337899543378674</v>
      </c>
      <c r="Y89" s="100">
        <v>5770.6849315068148</v>
      </c>
      <c r="Z89" s="100">
        <v>6</v>
      </c>
      <c r="AA89" s="100">
        <v>6372</v>
      </c>
      <c r="AB89" s="100">
        <v>9.1304347826085976</v>
      </c>
      <c r="AC89" s="100">
        <v>9696.5217391303304</v>
      </c>
      <c r="AD89" s="100">
        <v>5.2849740932642169</v>
      </c>
      <c r="AE89" s="100">
        <v>5612.642487046598</v>
      </c>
      <c r="AF89" s="100">
        <v>0.72547812501101716</v>
      </c>
      <c r="AG89" s="100">
        <v>770.45776876170021</v>
      </c>
      <c r="AH89" s="100">
        <v>6.1340206185566633</v>
      </c>
      <c r="AI89" s="100">
        <v>6514.3298969071766</v>
      </c>
      <c r="AJ89" s="100">
        <v>10</v>
      </c>
      <c r="AK89" s="100">
        <v>10620</v>
      </c>
      <c r="AL89" s="100">
        <v>8</v>
      </c>
      <c r="AM89" s="100">
        <v>8496</v>
      </c>
      <c r="AN89" s="100">
        <v>5.3987008578356743</v>
      </c>
      <c r="AO89" s="100">
        <v>5733.4203110214858</v>
      </c>
      <c r="AP89" s="100">
        <v>8.1304347826086474</v>
      </c>
      <c r="AQ89" s="100">
        <v>8634.5217391303831</v>
      </c>
      <c r="AR89" s="100">
        <v>4.9275362318840292</v>
      </c>
      <c r="AS89" s="100">
        <v>5233.043478260839</v>
      </c>
      <c r="AT89" s="100">
        <v>5.8333333333332984</v>
      </c>
      <c r="AU89" s="100">
        <v>6194.9999999999627</v>
      </c>
      <c r="AV89" s="100">
        <v>0.51388033854947046</v>
      </c>
      <c r="AW89" s="100">
        <v>545.74091953953769</v>
      </c>
      <c r="AX89" s="100">
        <v>9</v>
      </c>
      <c r="AY89" s="100">
        <v>9558</v>
      </c>
      <c r="AZ89" s="100">
        <v>6.8798076923076046</v>
      </c>
      <c r="BA89" s="100">
        <v>7306.3557692306758</v>
      </c>
      <c r="BB89" s="100">
        <v>9</v>
      </c>
      <c r="BC89" s="100">
        <v>9558</v>
      </c>
      <c r="BD89" s="100">
        <v>11</v>
      </c>
      <c r="BE89" s="100">
        <v>11682</v>
      </c>
      <c r="BF89" s="100">
        <v>9</v>
      </c>
      <c r="BG89" s="100">
        <v>9558</v>
      </c>
      <c r="BH89" s="100">
        <v>8</v>
      </c>
      <c r="BI89" s="100">
        <v>8496</v>
      </c>
      <c r="BJ89" s="100">
        <v>8.2959277901696939</v>
      </c>
      <c r="BK89" s="100">
        <v>8810.2753131602149</v>
      </c>
      <c r="BL89" s="100">
        <v>7</v>
      </c>
      <c r="BM89" s="100">
        <v>7434</v>
      </c>
      <c r="BN89" s="100">
        <v>7</v>
      </c>
      <c r="BO89" s="100">
        <v>7434</v>
      </c>
      <c r="BP89" s="100">
        <v>1.9606381727520621</v>
      </c>
      <c r="BQ89" s="100">
        <v>2082.1977394626902</v>
      </c>
      <c r="BR89" s="100">
        <v>7</v>
      </c>
      <c r="BS89" s="100">
        <v>7434</v>
      </c>
      <c r="BT89" s="100">
        <v>10</v>
      </c>
      <c r="BU89" s="100">
        <v>10620</v>
      </c>
      <c r="BV89" s="100">
        <v>8</v>
      </c>
      <c r="BW89" s="100">
        <v>8496</v>
      </c>
      <c r="BX89" s="100">
        <v>8</v>
      </c>
      <c r="BY89" s="100">
        <v>8496</v>
      </c>
      <c r="BZ89" s="100">
        <v>10</v>
      </c>
      <c r="CA89" s="100">
        <v>10620</v>
      </c>
      <c r="CB89" s="100">
        <v>10</v>
      </c>
      <c r="CC89" s="100">
        <v>10620</v>
      </c>
      <c r="CD89" s="100">
        <v>7.6472749999917298</v>
      </c>
      <c r="CE89" s="100">
        <v>8121.4060499912166</v>
      </c>
      <c r="CF89" s="100">
        <v>0</v>
      </c>
      <c r="CG89" s="100">
        <v>0</v>
      </c>
      <c r="CH89" s="100">
        <v>8</v>
      </c>
      <c r="CI89" s="100">
        <v>8496</v>
      </c>
      <c r="CJ89" s="100">
        <v>7.6829268292682036</v>
      </c>
      <c r="CK89" s="100">
        <v>8159.268292682832</v>
      </c>
      <c r="CL89" s="100">
        <v>10.355329949238516</v>
      </c>
      <c r="CM89" s="100">
        <v>10997.360406091304</v>
      </c>
      <c r="CN89" s="100">
        <v>0.54703390877846858</v>
      </c>
      <c r="CO89" s="100">
        <v>580.9500111227336</v>
      </c>
      <c r="CP89" s="100">
        <v>12</v>
      </c>
      <c r="CQ89" s="100">
        <v>12744</v>
      </c>
      <c r="CR89" s="100">
        <v>9</v>
      </c>
      <c r="CS89" s="100">
        <v>9558</v>
      </c>
      <c r="CT89" s="100">
        <v>11</v>
      </c>
      <c r="CU89" s="100">
        <v>11682</v>
      </c>
    </row>
    <row r="90" spans="2:99">
      <c r="C90" s="99" t="s">
        <v>256</v>
      </c>
      <c r="D90" s="100">
        <v>11</v>
      </c>
      <c r="E90" s="100">
        <v>12196.8</v>
      </c>
      <c r="F90" s="100">
        <v>4.3470159801837811</v>
      </c>
      <c r="G90" s="100">
        <v>4819.9713188277765</v>
      </c>
      <c r="H90" s="100">
        <v>7.0696942385271528</v>
      </c>
      <c r="I90" s="100">
        <v>7838.8769716789066</v>
      </c>
      <c r="J90" s="100">
        <v>3.1975071257460388</v>
      </c>
      <c r="K90" s="100">
        <v>3545.3959010272079</v>
      </c>
      <c r="L90" s="100">
        <v>8</v>
      </c>
      <c r="M90" s="100">
        <v>8870.4</v>
      </c>
      <c r="N90" s="100">
        <v>5.1009174311925882</v>
      </c>
      <c r="O90" s="100">
        <v>5655.8972477063417</v>
      </c>
      <c r="P90" s="100">
        <v>6</v>
      </c>
      <c r="Q90" s="100">
        <v>6652.7999999999993</v>
      </c>
      <c r="R90" s="100">
        <v>6.4738745665778712</v>
      </c>
      <c r="S90" s="100">
        <v>7178.2321194215428</v>
      </c>
      <c r="T90" s="100">
        <v>5.3808779671849862</v>
      </c>
      <c r="U90" s="100">
        <v>5966.3174900147123</v>
      </c>
      <c r="V90" s="100">
        <v>10.446927374301612</v>
      </c>
      <c r="W90" s="100">
        <v>11583.553072625627</v>
      </c>
      <c r="X90" s="100">
        <v>5.4337899543378674</v>
      </c>
      <c r="Y90" s="100">
        <v>6024.9863013698268</v>
      </c>
      <c r="Z90" s="100">
        <v>6</v>
      </c>
      <c r="AA90" s="100">
        <v>6652.7999999999993</v>
      </c>
      <c r="AB90" s="100">
        <v>8.2173913043477373</v>
      </c>
      <c r="AC90" s="100">
        <v>9111.4434782607714</v>
      </c>
      <c r="AD90" s="100">
        <v>5.2849740932642169</v>
      </c>
      <c r="AE90" s="100">
        <v>5859.9792746113635</v>
      </c>
      <c r="AF90" s="100">
        <v>0.72547812501101716</v>
      </c>
      <c r="AG90" s="100">
        <v>804.41014501221582</v>
      </c>
      <c r="AH90" s="100">
        <v>6.1340206185566633</v>
      </c>
      <c r="AI90" s="100">
        <v>6801.4020618556278</v>
      </c>
      <c r="AJ90" s="100">
        <v>10</v>
      </c>
      <c r="AK90" s="100">
        <v>11088</v>
      </c>
      <c r="AL90" s="100">
        <v>8</v>
      </c>
      <c r="AM90" s="100">
        <v>8870.4</v>
      </c>
      <c r="AN90" s="100">
        <v>5.3987008578356743</v>
      </c>
      <c r="AO90" s="100">
        <v>5986.0795111681955</v>
      </c>
      <c r="AP90" s="100">
        <v>8.1304347826086474</v>
      </c>
      <c r="AQ90" s="100">
        <v>9015.0260869564681</v>
      </c>
      <c r="AR90" s="100">
        <v>4.9275362318840292</v>
      </c>
      <c r="AS90" s="100">
        <v>5463.6521739130112</v>
      </c>
      <c r="AT90" s="100">
        <v>5.8333333333332984</v>
      </c>
      <c r="AU90" s="100">
        <v>6467.9999999999609</v>
      </c>
      <c r="AV90" s="100">
        <v>0.56526837240441752</v>
      </c>
      <c r="AW90" s="100">
        <v>626.76957132201812</v>
      </c>
      <c r="AX90" s="100">
        <v>10</v>
      </c>
      <c r="AY90" s="100">
        <v>11088</v>
      </c>
      <c r="AZ90" s="100">
        <v>7.6442307692306724</v>
      </c>
      <c r="BA90" s="100">
        <v>8475.9230769229689</v>
      </c>
      <c r="BB90" s="100">
        <v>9</v>
      </c>
      <c r="BC90" s="100">
        <v>9979.1999999999989</v>
      </c>
      <c r="BD90" s="100">
        <v>10</v>
      </c>
      <c r="BE90" s="100">
        <v>11088</v>
      </c>
      <c r="BF90" s="100">
        <v>9</v>
      </c>
      <c r="BG90" s="100">
        <v>9979.1999999999989</v>
      </c>
      <c r="BH90" s="100">
        <v>9</v>
      </c>
      <c r="BI90" s="100">
        <v>9979.1999999999989</v>
      </c>
      <c r="BJ90" s="100">
        <v>8.2959277901696939</v>
      </c>
      <c r="BK90" s="100">
        <v>9198.5247337401561</v>
      </c>
      <c r="BL90" s="100">
        <v>8</v>
      </c>
      <c r="BM90" s="100">
        <v>8870.4</v>
      </c>
      <c r="BN90" s="100">
        <v>7</v>
      </c>
      <c r="BO90" s="100">
        <v>7761.5999999999995</v>
      </c>
      <c r="BP90" s="100">
        <v>1.9606381727520621</v>
      </c>
      <c r="BQ90" s="100">
        <v>2173.9556059474862</v>
      </c>
      <c r="BR90" s="100">
        <v>6</v>
      </c>
      <c r="BS90" s="100">
        <v>6652.7999999999993</v>
      </c>
      <c r="BT90" s="100">
        <v>11</v>
      </c>
      <c r="BU90" s="100">
        <v>12196.8</v>
      </c>
      <c r="BV90" s="100">
        <v>9</v>
      </c>
      <c r="BW90" s="100">
        <v>9979.1999999999989</v>
      </c>
      <c r="BX90" s="100">
        <v>8</v>
      </c>
      <c r="BY90" s="100">
        <v>8870.4</v>
      </c>
      <c r="BZ90" s="100">
        <v>10</v>
      </c>
      <c r="CA90" s="100">
        <v>11088</v>
      </c>
      <c r="CB90" s="100">
        <v>10</v>
      </c>
      <c r="CC90" s="100">
        <v>11088</v>
      </c>
      <c r="CD90" s="100">
        <v>6.6913656249927635</v>
      </c>
      <c r="CE90" s="100">
        <v>7419.3862049919762</v>
      </c>
      <c r="CF90" s="100">
        <v>0</v>
      </c>
      <c r="CG90" s="100">
        <v>0</v>
      </c>
      <c r="CH90" s="100">
        <v>9</v>
      </c>
      <c r="CI90" s="100">
        <v>9979.1999999999989</v>
      </c>
      <c r="CJ90" s="100">
        <v>6.8292682926828485</v>
      </c>
      <c r="CK90" s="100">
        <v>7572.2926829267417</v>
      </c>
      <c r="CL90" s="100">
        <v>8.6294416243654304</v>
      </c>
      <c r="CM90" s="100">
        <v>9568.3248730963896</v>
      </c>
      <c r="CN90" s="100">
        <v>0.5967642641219657</v>
      </c>
      <c r="CO90" s="100">
        <v>661.69221605843552</v>
      </c>
      <c r="CP90" s="100">
        <v>11</v>
      </c>
      <c r="CQ90" s="100">
        <v>12196.8</v>
      </c>
      <c r="CR90" s="100">
        <v>9</v>
      </c>
      <c r="CS90" s="100">
        <v>9979.1999999999989</v>
      </c>
      <c r="CT90" s="100">
        <v>10</v>
      </c>
      <c r="CU90" s="100">
        <v>11088</v>
      </c>
    </row>
    <row r="91" spans="2:99">
      <c r="C91" s="99" t="s">
        <v>257</v>
      </c>
      <c r="D91" s="100">
        <v>11</v>
      </c>
      <c r="E91" s="100">
        <v>12500.399999999998</v>
      </c>
      <c r="F91" s="100">
        <v>4.3470159801837811</v>
      </c>
      <c r="G91" s="100">
        <v>4939.9489598808486</v>
      </c>
      <c r="H91" s="100">
        <v>7.855215820585725</v>
      </c>
      <c r="I91" s="100">
        <v>8926.6672585136166</v>
      </c>
      <c r="J91" s="100">
        <v>3.1975071257460388</v>
      </c>
      <c r="K91" s="100">
        <v>3633.647097697798</v>
      </c>
      <c r="L91" s="100">
        <v>9</v>
      </c>
      <c r="M91" s="100">
        <v>10227.599999999999</v>
      </c>
      <c r="N91" s="100">
        <v>4.4633027522935143</v>
      </c>
      <c r="O91" s="100">
        <v>5072.0972477063488</v>
      </c>
      <c r="P91" s="100">
        <v>7</v>
      </c>
      <c r="Q91" s="100">
        <v>7954.7999999999993</v>
      </c>
      <c r="R91" s="100">
        <v>6.4738745665778712</v>
      </c>
      <c r="S91" s="100">
        <v>7356.9110574590923</v>
      </c>
      <c r="T91" s="100">
        <v>4.7830026374977654</v>
      </c>
      <c r="U91" s="100">
        <v>5435.4041972524601</v>
      </c>
      <c r="V91" s="100">
        <v>8.5474860335195029</v>
      </c>
      <c r="W91" s="100">
        <v>9713.3631284915627</v>
      </c>
      <c r="X91" s="100">
        <v>5.4337899543378674</v>
      </c>
      <c r="Y91" s="100">
        <v>6174.9589041095514</v>
      </c>
      <c r="Z91" s="100">
        <v>6</v>
      </c>
      <c r="AA91" s="100">
        <v>6818.4</v>
      </c>
      <c r="AB91" s="100">
        <v>9.1304347826085976</v>
      </c>
      <c r="AC91" s="100">
        <v>10375.826086956409</v>
      </c>
      <c r="AD91" s="100">
        <v>4.4041450777201803</v>
      </c>
      <c r="AE91" s="100">
        <v>5004.870466321212</v>
      </c>
      <c r="AF91" s="100">
        <v>0.72547812501101716</v>
      </c>
      <c r="AG91" s="100">
        <v>824.43334126251978</v>
      </c>
      <c r="AH91" s="100">
        <v>6.1340206185566633</v>
      </c>
      <c r="AI91" s="100">
        <v>6970.7010309277912</v>
      </c>
      <c r="AJ91" s="100">
        <v>9</v>
      </c>
      <c r="AK91" s="100">
        <v>10227.599999999999</v>
      </c>
      <c r="AL91" s="100">
        <v>7</v>
      </c>
      <c r="AM91" s="100">
        <v>7954.7999999999993</v>
      </c>
      <c r="AN91" s="100">
        <v>4.4989173815297283</v>
      </c>
      <c r="AO91" s="100">
        <v>5112.5697123703831</v>
      </c>
      <c r="AP91" s="100">
        <v>7.3913043478260425</v>
      </c>
      <c r="AQ91" s="100">
        <v>8399.4782608695132</v>
      </c>
      <c r="AR91" s="100">
        <v>4.1062801932366906</v>
      </c>
      <c r="AS91" s="100">
        <v>4666.3768115941748</v>
      </c>
      <c r="AT91" s="100">
        <v>6.6666666666666261</v>
      </c>
      <c r="AU91" s="100">
        <v>7575.9999999999527</v>
      </c>
      <c r="AV91" s="100">
        <v>0.51388033854947046</v>
      </c>
      <c r="AW91" s="100">
        <v>583.97361672761815</v>
      </c>
      <c r="AX91" s="100">
        <v>10</v>
      </c>
      <c r="AY91" s="100">
        <v>11363.999999999998</v>
      </c>
      <c r="AZ91" s="100">
        <v>6.8798076923076046</v>
      </c>
      <c r="BA91" s="100">
        <v>7818.2134615383611</v>
      </c>
      <c r="BB91" s="100">
        <v>8</v>
      </c>
      <c r="BC91" s="100">
        <v>9091.1999999999989</v>
      </c>
      <c r="BD91" s="100">
        <v>11</v>
      </c>
      <c r="BE91" s="100">
        <v>12500.399999999998</v>
      </c>
      <c r="BF91" s="100">
        <v>9</v>
      </c>
      <c r="BG91" s="100">
        <v>10227.599999999999</v>
      </c>
      <c r="BH91" s="100">
        <v>9</v>
      </c>
      <c r="BI91" s="100">
        <v>10227.599999999999</v>
      </c>
      <c r="BJ91" s="100">
        <v>9.2176975446329923</v>
      </c>
      <c r="BK91" s="100">
        <v>10474.991489720931</v>
      </c>
      <c r="BL91" s="100">
        <v>8</v>
      </c>
      <c r="BM91" s="100">
        <v>9091.1999999999989</v>
      </c>
      <c r="BN91" s="100">
        <v>7</v>
      </c>
      <c r="BO91" s="100">
        <v>7954.7999999999993</v>
      </c>
      <c r="BP91" s="100">
        <v>1.6805470052160532</v>
      </c>
      <c r="BQ91" s="100">
        <v>1909.7736167275225</v>
      </c>
      <c r="BR91" s="100">
        <v>7</v>
      </c>
      <c r="BS91" s="100">
        <v>7954.7999999999993</v>
      </c>
      <c r="BT91" s="100">
        <v>11</v>
      </c>
      <c r="BU91" s="100">
        <v>12500.399999999998</v>
      </c>
      <c r="BV91" s="100">
        <v>8</v>
      </c>
      <c r="BW91" s="100">
        <v>9091.1999999999989</v>
      </c>
      <c r="BX91" s="100">
        <v>8</v>
      </c>
      <c r="BY91" s="100">
        <v>9091.1999999999989</v>
      </c>
      <c r="BZ91" s="100">
        <v>12</v>
      </c>
      <c r="CA91" s="100">
        <v>13636.8</v>
      </c>
      <c r="CB91" s="100">
        <v>9</v>
      </c>
      <c r="CC91" s="100">
        <v>10227.599999999999</v>
      </c>
      <c r="CD91" s="100">
        <v>6.6913656249927635</v>
      </c>
      <c r="CE91" s="100">
        <v>7604.067896241776</v>
      </c>
      <c r="CF91" s="100">
        <v>0</v>
      </c>
      <c r="CG91" s="100">
        <v>0</v>
      </c>
      <c r="CH91" s="100">
        <v>9</v>
      </c>
      <c r="CI91" s="100">
        <v>10227.599999999999</v>
      </c>
      <c r="CJ91" s="100">
        <v>7.6829268292682036</v>
      </c>
      <c r="CK91" s="100">
        <v>8730.8780487803851</v>
      </c>
      <c r="CL91" s="100">
        <v>9.4923857868019734</v>
      </c>
      <c r="CM91" s="100">
        <v>10787.147208121762</v>
      </c>
      <c r="CN91" s="100">
        <v>0.5967642641219657</v>
      </c>
      <c r="CO91" s="100">
        <v>678.16290974820174</v>
      </c>
      <c r="CP91" s="100">
        <v>12</v>
      </c>
      <c r="CQ91" s="100">
        <v>13636.8</v>
      </c>
      <c r="CR91" s="100">
        <v>10</v>
      </c>
      <c r="CS91" s="100">
        <v>11363.999999999998</v>
      </c>
      <c r="CT91" s="100">
        <v>11</v>
      </c>
      <c r="CU91" s="100">
        <v>12500.399999999998</v>
      </c>
    </row>
    <row r="92" spans="2:99">
      <c r="C92" s="99" t="s">
        <v>258</v>
      </c>
      <c r="D92" s="100">
        <v>9</v>
      </c>
      <c r="E92" s="100">
        <v>7063.2</v>
      </c>
      <c r="F92" s="100">
        <v>4.3470159801837811</v>
      </c>
      <c r="G92" s="100">
        <v>3411.5381412482311</v>
      </c>
      <c r="H92" s="100">
        <v>7.0696942385271528</v>
      </c>
      <c r="I92" s="100">
        <v>5548.296038396109</v>
      </c>
      <c r="J92" s="100">
        <v>3.1975071257460388</v>
      </c>
      <c r="K92" s="100">
        <v>2509.403592285491</v>
      </c>
      <c r="L92" s="100">
        <v>8</v>
      </c>
      <c r="M92" s="100">
        <v>6278.4</v>
      </c>
      <c r="N92" s="100">
        <v>5.1009174311925882</v>
      </c>
      <c r="O92" s="100">
        <v>4003.199999999943</v>
      </c>
      <c r="P92" s="100">
        <v>8</v>
      </c>
      <c r="Q92" s="100">
        <v>6278.4</v>
      </c>
      <c r="R92" s="100">
        <v>7.2831088874001058</v>
      </c>
      <c r="S92" s="100">
        <v>5715.7838548316031</v>
      </c>
      <c r="T92" s="100">
        <v>4.7830026374977654</v>
      </c>
      <c r="U92" s="100">
        <v>3753.7004699082463</v>
      </c>
      <c r="V92" s="100">
        <v>8.5474860335195029</v>
      </c>
      <c r="W92" s="100">
        <v>6708.0670391061058</v>
      </c>
      <c r="X92" s="100">
        <v>6.2100456621004199</v>
      </c>
      <c r="Y92" s="100">
        <v>4873.643835616409</v>
      </c>
      <c r="Z92" s="100">
        <v>7</v>
      </c>
      <c r="AA92" s="100">
        <v>5493.5999999999995</v>
      </c>
      <c r="AB92" s="100">
        <v>10.043478260869458</v>
      </c>
      <c r="AC92" s="100">
        <v>7882.1217391303499</v>
      </c>
      <c r="AD92" s="100">
        <v>5.2849740932642169</v>
      </c>
      <c r="AE92" s="100">
        <v>4147.6476683937572</v>
      </c>
      <c r="AF92" s="100">
        <v>0.6529303125099154</v>
      </c>
      <c r="AG92" s="100">
        <v>512.41970925778162</v>
      </c>
      <c r="AH92" s="100">
        <v>7.0103092783504728</v>
      </c>
      <c r="AI92" s="100">
        <v>5501.690721649451</v>
      </c>
      <c r="AJ92" s="100">
        <v>9</v>
      </c>
      <c r="AK92" s="100">
        <v>7063.2</v>
      </c>
      <c r="AL92" s="100">
        <v>7</v>
      </c>
      <c r="AM92" s="100">
        <v>5493.5999999999995</v>
      </c>
      <c r="AN92" s="100">
        <v>5.3987008578356743</v>
      </c>
      <c r="AO92" s="100">
        <v>4236.9004332294371</v>
      </c>
      <c r="AP92" s="100">
        <v>8.8695652173912514</v>
      </c>
      <c r="AQ92" s="100">
        <v>6960.8347826086538</v>
      </c>
      <c r="AR92" s="100">
        <v>5.748792270531367</v>
      </c>
      <c r="AS92" s="100">
        <v>4511.6521739130167</v>
      </c>
      <c r="AT92" s="100">
        <v>4.9999999999999698</v>
      </c>
      <c r="AU92" s="100">
        <v>3923.9999999999759</v>
      </c>
      <c r="AV92" s="100">
        <v>0.56526837240441752</v>
      </c>
      <c r="AW92" s="100">
        <v>443.62261866298684</v>
      </c>
      <c r="AX92" s="100">
        <v>10</v>
      </c>
      <c r="AY92" s="100">
        <v>7848</v>
      </c>
      <c r="AZ92" s="100">
        <v>6.8798076923076046</v>
      </c>
      <c r="BA92" s="100">
        <v>5399.2730769230075</v>
      </c>
      <c r="BB92" s="100">
        <v>8</v>
      </c>
      <c r="BC92" s="100">
        <v>6278.4</v>
      </c>
      <c r="BD92" s="100">
        <v>11</v>
      </c>
      <c r="BE92" s="100">
        <v>8632.7999999999993</v>
      </c>
      <c r="BF92" s="100">
        <v>10</v>
      </c>
      <c r="BG92" s="100">
        <v>7848</v>
      </c>
      <c r="BH92" s="100">
        <v>9</v>
      </c>
      <c r="BI92" s="100">
        <v>7063.2</v>
      </c>
      <c r="BJ92" s="100">
        <v>8.2959277901696939</v>
      </c>
      <c r="BK92" s="100">
        <v>6510.6441297251758</v>
      </c>
      <c r="BL92" s="100">
        <v>8</v>
      </c>
      <c r="BM92" s="100">
        <v>6278.4</v>
      </c>
      <c r="BN92" s="100">
        <v>6</v>
      </c>
      <c r="BO92" s="100">
        <v>4708.7999999999993</v>
      </c>
      <c r="BP92" s="100">
        <v>1.9606381727520621</v>
      </c>
      <c r="BQ92" s="100">
        <v>1538.7088379758181</v>
      </c>
      <c r="BR92" s="100">
        <v>6</v>
      </c>
      <c r="BS92" s="100">
        <v>4708.7999999999993</v>
      </c>
      <c r="BT92" s="100">
        <v>10</v>
      </c>
      <c r="BU92" s="100">
        <v>7848</v>
      </c>
      <c r="BV92" s="100">
        <v>9</v>
      </c>
      <c r="BW92" s="100">
        <v>7063.2</v>
      </c>
      <c r="BX92" s="100">
        <v>8</v>
      </c>
      <c r="BY92" s="100">
        <v>6278.4</v>
      </c>
      <c r="BZ92" s="100">
        <v>11</v>
      </c>
      <c r="CA92" s="100">
        <v>8632.7999999999993</v>
      </c>
      <c r="CB92" s="100">
        <v>9</v>
      </c>
      <c r="CC92" s="100">
        <v>7063.2</v>
      </c>
      <c r="CD92" s="100">
        <v>7.6472749999917298</v>
      </c>
      <c r="CE92" s="100">
        <v>6001.5814199935094</v>
      </c>
      <c r="CF92" s="100">
        <v>0</v>
      </c>
      <c r="CG92" s="100">
        <v>0</v>
      </c>
      <c r="CH92" s="100">
        <v>8</v>
      </c>
      <c r="CI92" s="100">
        <v>6278.4</v>
      </c>
      <c r="CJ92" s="100">
        <v>6.8292682926828485</v>
      </c>
      <c r="CK92" s="100">
        <v>5359.6097560974995</v>
      </c>
      <c r="CL92" s="100">
        <v>10.355329949238516</v>
      </c>
      <c r="CM92" s="100">
        <v>8126.8629441623871</v>
      </c>
      <c r="CN92" s="100">
        <v>0.54703390877846858</v>
      </c>
      <c r="CO92" s="100">
        <v>429.31221160934211</v>
      </c>
      <c r="CP92" s="100">
        <v>12</v>
      </c>
      <c r="CQ92" s="100">
        <v>9417.5999999999985</v>
      </c>
      <c r="CR92" s="100">
        <v>10</v>
      </c>
      <c r="CS92" s="100">
        <v>7848</v>
      </c>
      <c r="CT92" s="100">
        <v>10</v>
      </c>
      <c r="CU92" s="100">
        <v>7848</v>
      </c>
    </row>
    <row r="93" spans="2:99">
      <c r="C93" s="99" t="s">
        <v>259</v>
      </c>
      <c r="D93" s="100">
        <v>10</v>
      </c>
      <c r="E93" s="100">
        <v>6936</v>
      </c>
      <c r="F93" s="100">
        <v>4.3470159801837811</v>
      </c>
      <c r="G93" s="100">
        <v>3015.0902838554707</v>
      </c>
      <c r="H93" s="100">
        <v>7.0696942385271528</v>
      </c>
      <c r="I93" s="100">
        <v>4903.5399238424334</v>
      </c>
      <c r="J93" s="100">
        <v>3.730424980037045</v>
      </c>
      <c r="K93" s="100">
        <v>2587.4227661536947</v>
      </c>
      <c r="L93" s="100">
        <v>9</v>
      </c>
      <c r="M93" s="100">
        <v>6242.4000000000005</v>
      </c>
      <c r="N93" s="100">
        <v>5.1009174311925882</v>
      </c>
      <c r="O93" s="100">
        <v>3537.9963302751794</v>
      </c>
      <c r="P93" s="100">
        <v>7</v>
      </c>
      <c r="Q93" s="100">
        <v>4855.2</v>
      </c>
      <c r="R93" s="100">
        <v>6.4738745665778712</v>
      </c>
      <c r="S93" s="100">
        <v>4490.2793993784117</v>
      </c>
      <c r="T93" s="100">
        <v>4.7830026374977654</v>
      </c>
      <c r="U93" s="100">
        <v>3317.4906293684503</v>
      </c>
      <c r="V93" s="100">
        <v>10.446927374301612</v>
      </c>
      <c r="W93" s="100">
        <v>7245.9888268155983</v>
      </c>
      <c r="X93" s="100">
        <v>6.2100456621004199</v>
      </c>
      <c r="Y93" s="100">
        <v>4307.2876712328516</v>
      </c>
      <c r="Z93" s="100">
        <v>6</v>
      </c>
      <c r="AA93" s="100">
        <v>4161.6000000000004</v>
      </c>
      <c r="AB93" s="100">
        <v>9.1304347826085976</v>
      </c>
      <c r="AC93" s="100">
        <v>6332.8695652173237</v>
      </c>
      <c r="AD93" s="100">
        <v>4.4041450777201803</v>
      </c>
      <c r="AE93" s="100">
        <v>3054.7150259067171</v>
      </c>
      <c r="AF93" s="100">
        <v>0.6529303125099154</v>
      </c>
      <c r="AG93" s="100">
        <v>452.87246475687732</v>
      </c>
      <c r="AH93" s="100">
        <v>7.0103092783504728</v>
      </c>
      <c r="AI93" s="100">
        <v>4862.3505154638879</v>
      </c>
      <c r="AJ93" s="100">
        <v>9</v>
      </c>
      <c r="AK93" s="100">
        <v>6242.4000000000005</v>
      </c>
      <c r="AL93" s="100">
        <v>9</v>
      </c>
      <c r="AM93" s="100">
        <v>6242.4000000000005</v>
      </c>
      <c r="AN93" s="100">
        <v>5.3987008578356743</v>
      </c>
      <c r="AO93" s="100">
        <v>3744.5389149948237</v>
      </c>
      <c r="AP93" s="100">
        <v>8.1304347826086474</v>
      </c>
      <c r="AQ93" s="100">
        <v>5639.2695652173579</v>
      </c>
      <c r="AR93" s="100">
        <v>4.9275362318840292</v>
      </c>
      <c r="AS93" s="100">
        <v>3417.739130434763</v>
      </c>
      <c r="AT93" s="100">
        <v>4.9999999999999698</v>
      </c>
      <c r="AU93" s="100">
        <v>3467.9999999999791</v>
      </c>
      <c r="AV93" s="100">
        <v>0.56526837240441752</v>
      </c>
      <c r="AW93" s="100">
        <v>392.07014309970401</v>
      </c>
      <c r="AX93" s="100">
        <v>9</v>
      </c>
      <c r="AY93" s="100">
        <v>6242.4000000000005</v>
      </c>
      <c r="AZ93" s="100">
        <v>6.8798076923076046</v>
      </c>
      <c r="BA93" s="100">
        <v>4771.834615384555</v>
      </c>
      <c r="BB93" s="100">
        <v>8</v>
      </c>
      <c r="BC93" s="100">
        <v>5548.8</v>
      </c>
      <c r="BD93" s="100">
        <v>11</v>
      </c>
      <c r="BE93" s="100">
        <v>7629.6</v>
      </c>
      <c r="BF93" s="100">
        <v>9</v>
      </c>
      <c r="BG93" s="100">
        <v>6242.4000000000005</v>
      </c>
      <c r="BH93" s="100">
        <v>9</v>
      </c>
      <c r="BI93" s="100">
        <v>6242.4000000000005</v>
      </c>
      <c r="BJ93" s="100">
        <v>8.2959277901696939</v>
      </c>
      <c r="BK93" s="100">
        <v>5754.0555152616998</v>
      </c>
      <c r="BL93" s="100">
        <v>8</v>
      </c>
      <c r="BM93" s="100">
        <v>5548.8</v>
      </c>
      <c r="BN93" s="100">
        <v>6</v>
      </c>
      <c r="BO93" s="100">
        <v>4161.6000000000004</v>
      </c>
      <c r="BP93" s="100">
        <v>1.6805470052160532</v>
      </c>
      <c r="BQ93" s="100">
        <v>1165.6274028178545</v>
      </c>
      <c r="BR93" s="100">
        <v>7</v>
      </c>
      <c r="BS93" s="100">
        <v>4855.2</v>
      </c>
      <c r="BT93" s="100">
        <v>10</v>
      </c>
      <c r="BU93" s="100">
        <v>6936</v>
      </c>
      <c r="BV93" s="100">
        <v>8</v>
      </c>
      <c r="BW93" s="100">
        <v>5548.8</v>
      </c>
      <c r="BX93" s="100">
        <v>8</v>
      </c>
      <c r="BY93" s="100">
        <v>5548.8</v>
      </c>
      <c r="BZ93" s="100">
        <v>12</v>
      </c>
      <c r="CA93" s="100">
        <v>8323.2000000000007</v>
      </c>
      <c r="CB93" s="100">
        <v>9</v>
      </c>
      <c r="CC93" s="100">
        <v>6242.4000000000005</v>
      </c>
      <c r="CD93" s="100">
        <v>8.6031843749906969</v>
      </c>
      <c r="CE93" s="100">
        <v>5967.1686824935477</v>
      </c>
      <c r="CF93" s="100">
        <v>0</v>
      </c>
      <c r="CG93" s="100">
        <v>0</v>
      </c>
      <c r="CH93" s="100">
        <v>9</v>
      </c>
      <c r="CI93" s="100">
        <v>6242.4000000000005</v>
      </c>
      <c r="CJ93" s="100">
        <v>7.6829268292682036</v>
      </c>
      <c r="CK93" s="100">
        <v>5328.8780487804261</v>
      </c>
      <c r="CL93" s="100">
        <v>9.4923857868019734</v>
      </c>
      <c r="CM93" s="100">
        <v>6583.9187817258489</v>
      </c>
      <c r="CN93" s="100">
        <v>0.5967642641219657</v>
      </c>
      <c r="CO93" s="100">
        <v>413.91569359499545</v>
      </c>
      <c r="CP93" s="100">
        <v>11</v>
      </c>
      <c r="CQ93" s="100">
        <v>7629.6</v>
      </c>
      <c r="CR93" s="100">
        <v>10</v>
      </c>
      <c r="CS93" s="100">
        <v>6936</v>
      </c>
      <c r="CT93" s="100">
        <v>11</v>
      </c>
      <c r="CU93" s="100">
        <v>7629.6</v>
      </c>
    </row>
    <row r="94" spans="2:99">
      <c r="C94" s="99" t="s">
        <v>260</v>
      </c>
      <c r="D94" s="100">
        <v>9</v>
      </c>
      <c r="E94" s="100">
        <v>10735.199999999999</v>
      </c>
      <c r="F94" s="100">
        <v>4.3470159801837811</v>
      </c>
      <c r="G94" s="100">
        <v>5185.1206611632142</v>
      </c>
      <c r="H94" s="100">
        <v>7.855215820585725</v>
      </c>
      <c r="I94" s="100">
        <v>9369.701430794652</v>
      </c>
      <c r="J94" s="100">
        <v>3.1975071257460388</v>
      </c>
      <c r="K94" s="100">
        <v>3813.9864995898747</v>
      </c>
      <c r="L94" s="100">
        <v>8</v>
      </c>
      <c r="M94" s="100">
        <v>9542.4</v>
      </c>
      <c r="N94" s="100">
        <v>5.1009174311925882</v>
      </c>
      <c r="O94" s="100">
        <v>6084.3743119265191</v>
      </c>
      <c r="P94" s="100">
        <v>6</v>
      </c>
      <c r="Q94" s="100">
        <v>7156.7999999999993</v>
      </c>
      <c r="R94" s="100">
        <v>8.0923432082223385</v>
      </c>
      <c r="S94" s="100">
        <v>9652.5469787676047</v>
      </c>
      <c r="T94" s="100">
        <v>5.3808779671849862</v>
      </c>
      <c r="U94" s="100">
        <v>6418.3112392582516</v>
      </c>
      <c r="V94" s="100">
        <v>10.446927374301612</v>
      </c>
      <c r="W94" s="100">
        <v>12461.094972066963</v>
      </c>
      <c r="X94" s="100">
        <v>6.2100456621004199</v>
      </c>
      <c r="Y94" s="100">
        <v>7407.3424657533806</v>
      </c>
      <c r="Z94" s="100">
        <v>6</v>
      </c>
      <c r="AA94" s="100">
        <v>7156.7999999999993</v>
      </c>
      <c r="AB94" s="100">
        <v>8.2173913043477373</v>
      </c>
      <c r="AC94" s="100">
        <v>9801.7043478259802</v>
      </c>
      <c r="AD94" s="100">
        <v>5.2849740932642169</v>
      </c>
      <c r="AE94" s="100">
        <v>6303.9170984455577</v>
      </c>
      <c r="AF94" s="100">
        <v>0.6529303125099154</v>
      </c>
      <c r="AG94" s="100">
        <v>778.81527676182702</v>
      </c>
      <c r="AH94" s="100">
        <v>6.1340206185566633</v>
      </c>
      <c r="AI94" s="100">
        <v>7316.6597938143877</v>
      </c>
      <c r="AJ94" s="100">
        <v>9</v>
      </c>
      <c r="AK94" s="100">
        <v>10735.199999999999</v>
      </c>
      <c r="AL94" s="100">
        <v>8</v>
      </c>
      <c r="AM94" s="100">
        <v>9542.4</v>
      </c>
      <c r="AN94" s="100">
        <v>5.3987008578356743</v>
      </c>
      <c r="AO94" s="100">
        <v>6439.5703832263916</v>
      </c>
      <c r="AP94" s="100">
        <v>7.3913043478260425</v>
      </c>
      <c r="AQ94" s="100">
        <v>8816.3478260869033</v>
      </c>
      <c r="AR94" s="100">
        <v>4.9275362318840292</v>
      </c>
      <c r="AS94" s="100">
        <v>5877.5652173912695</v>
      </c>
      <c r="AT94" s="100">
        <v>5.8333333333332984</v>
      </c>
      <c r="AU94" s="100">
        <v>6957.9999999999582</v>
      </c>
      <c r="AV94" s="100">
        <v>0.51388033854947046</v>
      </c>
      <c r="AW94" s="100">
        <v>612.95646782180836</v>
      </c>
      <c r="AX94" s="100">
        <v>10</v>
      </c>
      <c r="AY94" s="100">
        <v>11928</v>
      </c>
      <c r="AZ94" s="100">
        <v>7.6442307692306724</v>
      </c>
      <c r="BA94" s="100">
        <v>9118.0384615383464</v>
      </c>
      <c r="BB94" s="100">
        <v>8</v>
      </c>
      <c r="BC94" s="100">
        <v>9542.4</v>
      </c>
      <c r="BD94" s="100">
        <v>10</v>
      </c>
      <c r="BE94" s="100">
        <v>11928</v>
      </c>
      <c r="BF94" s="100">
        <v>10</v>
      </c>
      <c r="BG94" s="100">
        <v>11928</v>
      </c>
      <c r="BH94" s="100">
        <v>9</v>
      </c>
      <c r="BI94" s="100">
        <v>10735.199999999999</v>
      </c>
      <c r="BJ94" s="100">
        <v>9.2176975446329923</v>
      </c>
      <c r="BK94" s="100">
        <v>10994.869631238233</v>
      </c>
      <c r="BL94" s="100">
        <v>8</v>
      </c>
      <c r="BM94" s="100">
        <v>9542.4</v>
      </c>
      <c r="BN94" s="100">
        <v>6</v>
      </c>
      <c r="BO94" s="100">
        <v>7156.7999999999993</v>
      </c>
      <c r="BP94" s="100">
        <v>1.6805470052160532</v>
      </c>
      <c r="BQ94" s="100">
        <v>2004.5564678217081</v>
      </c>
      <c r="BR94" s="100">
        <v>7</v>
      </c>
      <c r="BS94" s="100">
        <v>8349.6</v>
      </c>
      <c r="BT94" s="100">
        <v>11</v>
      </c>
      <c r="BU94" s="100">
        <v>13120.8</v>
      </c>
      <c r="BV94" s="100">
        <v>8</v>
      </c>
      <c r="BW94" s="100">
        <v>9542.4</v>
      </c>
      <c r="BX94" s="100">
        <v>8</v>
      </c>
      <c r="BY94" s="100">
        <v>9542.4</v>
      </c>
      <c r="BZ94" s="100">
        <v>11</v>
      </c>
      <c r="CA94" s="100">
        <v>13120.8</v>
      </c>
      <c r="CB94" s="100">
        <v>9</v>
      </c>
      <c r="CC94" s="100">
        <v>10735.199999999999</v>
      </c>
      <c r="CD94" s="100">
        <v>7.6472749999917298</v>
      </c>
      <c r="CE94" s="100">
        <v>9121.6696199901344</v>
      </c>
      <c r="CF94" s="100">
        <v>0</v>
      </c>
      <c r="CG94" s="100">
        <v>0</v>
      </c>
      <c r="CH94" s="100">
        <v>9</v>
      </c>
      <c r="CI94" s="100">
        <v>10735.199999999999</v>
      </c>
      <c r="CJ94" s="100">
        <v>7.6829268292682036</v>
      </c>
      <c r="CK94" s="100">
        <v>9164.195121951112</v>
      </c>
      <c r="CL94" s="100">
        <v>9.4923857868019734</v>
      </c>
      <c r="CM94" s="100">
        <v>11322.517766497393</v>
      </c>
      <c r="CN94" s="100">
        <v>0.54703390877846858</v>
      </c>
      <c r="CO94" s="100">
        <v>652.50204639095728</v>
      </c>
      <c r="CP94" s="100">
        <v>11</v>
      </c>
      <c r="CQ94" s="100">
        <v>13120.8</v>
      </c>
      <c r="CR94" s="100">
        <v>10</v>
      </c>
      <c r="CS94" s="100">
        <v>11928</v>
      </c>
      <c r="CT94" s="100">
        <v>10</v>
      </c>
      <c r="CU94" s="100">
        <v>11928</v>
      </c>
    </row>
    <row r="95" spans="2:99">
      <c r="B95" s="99" t="s">
        <v>132</v>
      </c>
      <c r="C95" s="99" t="s">
        <v>261</v>
      </c>
      <c r="D95" s="100">
        <v>11</v>
      </c>
      <c r="E95" s="100">
        <v>3616.8</v>
      </c>
      <c r="F95" s="100">
        <v>6.5205239702756721</v>
      </c>
      <c r="G95" s="100">
        <v>2143.9482814266412</v>
      </c>
      <c r="H95" s="100">
        <v>10.211780566761442</v>
      </c>
      <c r="I95" s="100">
        <v>3357.6334503511625</v>
      </c>
      <c r="J95" s="100">
        <v>4.796260688619058</v>
      </c>
      <c r="K95" s="100">
        <v>1577.0105144179463</v>
      </c>
      <c r="L95" s="100">
        <v>11</v>
      </c>
      <c r="M95" s="100">
        <v>3616.8</v>
      </c>
      <c r="N95" s="100">
        <v>7.6513761467888814</v>
      </c>
      <c r="O95" s="100">
        <v>2515.7724770641844</v>
      </c>
      <c r="P95" s="100">
        <v>11</v>
      </c>
      <c r="Q95" s="100">
        <v>3616.8</v>
      </c>
      <c r="R95" s="100">
        <v>5.6646402457556375</v>
      </c>
      <c r="S95" s="100">
        <v>1862.5337128044537</v>
      </c>
      <c r="T95" s="100">
        <v>6.5766286265594269</v>
      </c>
      <c r="U95" s="100">
        <v>2162.3954924127397</v>
      </c>
      <c r="V95" s="100">
        <v>6.6480446927373906</v>
      </c>
      <c r="W95" s="100">
        <v>2185.8770949720542</v>
      </c>
      <c r="X95" s="100">
        <v>10.091324200913183</v>
      </c>
      <c r="Y95" s="100">
        <v>3318.0273972602549</v>
      </c>
      <c r="Z95" s="100">
        <v>8</v>
      </c>
      <c r="AA95" s="100">
        <v>2630.4</v>
      </c>
      <c r="AB95" s="100">
        <v>9.1304347826085976</v>
      </c>
      <c r="AC95" s="100">
        <v>3002.0869565217072</v>
      </c>
      <c r="AD95" s="100">
        <v>10.569948186528434</v>
      </c>
      <c r="AE95" s="100">
        <v>3475.398963730549</v>
      </c>
      <c r="AF95" s="100">
        <v>0.50783468750771199</v>
      </c>
      <c r="AG95" s="100">
        <v>166.9760452525357</v>
      </c>
      <c r="AH95" s="100">
        <v>9.6391752577319014</v>
      </c>
      <c r="AI95" s="100">
        <v>3169.3608247422494</v>
      </c>
      <c r="AJ95" s="100">
        <v>7</v>
      </c>
      <c r="AK95" s="100">
        <v>2301.6</v>
      </c>
      <c r="AL95" s="100">
        <v>10</v>
      </c>
      <c r="AM95" s="100">
        <v>3288</v>
      </c>
      <c r="AN95" s="100">
        <v>7.1982678104475655</v>
      </c>
      <c r="AO95" s="100">
        <v>2366.7904560751595</v>
      </c>
      <c r="AP95" s="100">
        <v>9.6086956521738554</v>
      </c>
      <c r="AQ95" s="100">
        <v>3159.3391304347638</v>
      </c>
      <c r="AR95" s="100">
        <v>11.497584541062734</v>
      </c>
      <c r="AS95" s="100">
        <v>3780.4057971014272</v>
      </c>
      <c r="AT95" s="100">
        <v>9.9999999999999396</v>
      </c>
      <c r="AU95" s="100">
        <v>3287.9999999999804</v>
      </c>
      <c r="AV95" s="100">
        <v>0.66804444011431163</v>
      </c>
      <c r="AW95" s="100">
        <v>219.65301190958567</v>
      </c>
      <c r="AX95" s="100">
        <v>8</v>
      </c>
      <c r="AY95" s="100">
        <v>2630.4</v>
      </c>
      <c r="AZ95" s="100">
        <v>8.4086538461537401</v>
      </c>
      <c r="BA95" s="100">
        <v>2764.7653846153498</v>
      </c>
      <c r="BB95" s="100">
        <v>9</v>
      </c>
      <c r="BC95" s="100">
        <v>2959.2000000000003</v>
      </c>
      <c r="BD95" s="100">
        <v>10</v>
      </c>
      <c r="BE95" s="100">
        <v>3288</v>
      </c>
      <c r="BF95" s="100">
        <v>12</v>
      </c>
      <c r="BG95" s="100">
        <v>3945.6000000000004</v>
      </c>
      <c r="BH95" s="100">
        <v>13</v>
      </c>
      <c r="BI95" s="100">
        <v>4274.4000000000005</v>
      </c>
      <c r="BJ95" s="100">
        <v>8.2959277901696939</v>
      </c>
      <c r="BK95" s="100">
        <v>2727.7010574077954</v>
      </c>
      <c r="BL95" s="100">
        <v>8</v>
      </c>
      <c r="BM95" s="100">
        <v>2630.4</v>
      </c>
      <c r="BN95" s="100">
        <v>8</v>
      </c>
      <c r="BO95" s="100">
        <v>2630.4</v>
      </c>
      <c r="BP95" s="100">
        <v>2.2407293402880706</v>
      </c>
      <c r="BQ95" s="100">
        <v>736.75180708671758</v>
      </c>
      <c r="BR95" s="100">
        <v>7</v>
      </c>
      <c r="BS95" s="100">
        <v>2301.6</v>
      </c>
      <c r="BT95" s="100">
        <v>7</v>
      </c>
      <c r="BU95" s="100">
        <v>2301.6</v>
      </c>
      <c r="BV95" s="100">
        <v>10</v>
      </c>
      <c r="BW95" s="100">
        <v>3288</v>
      </c>
      <c r="BX95" s="100">
        <v>11</v>
      </c>
      <c r="BY95" s="100">
        <v>3616.8</v>
      </c>
      <c r="BZ95" s="100">
        <v>11</v>
      </c>
      <c r="CA95" s="100">
        <v>3616.8</v>
      </c>
      <c r="CB95" s="100">
        <v>14</v>
      </c>
      <c r="CC95" s="100">
        <v>4603.2</v>
      </c>
      <c r="CD95" s="100">
        <v>10.515003124988629</v>
      </c>
      <c r="CE95" s="100">
        <v>3457.3330274962614</v>
      </c>
      <c r="CF95" s="100">
        <v>0</v>
      </c>
      <c r="CG95" s="100">
        <v>0</v>
      </c>
      <c r="CH95" s="100">
        <v>9</v>
      </c>
      <c r="CI95" s="100">
        <v>2959.2000000000003</v>
      </c>
      <c r="CJ95" s="100">
        <v>11.097560975609628</v>
      </c>
      <c r="CK95" s="100">
        <v>3648.8780487804461</v>
      </c>
      <c r="CL95" s="100">
        <v>7.7664974619288873</v>
      </c>
      <c r="CM95" s="100">
        <v>2553.6243654822183</v>
      </c>
      <c r="CN95" s="100">
        <v>0.64649461946546294</v>
      </c>
      <c r="CO95" s="100">
        <v>212.56743088024422</v>
      </c>
      <c r="CP95" s="100">
        <v>9</v>
      </c>
      <c r="CQ95" s="100">
        <v>2959.2000000000003</v>
      </c>
      <c r="CR95" s="100">
        <v>8</v>
      </c>
      <c r="CS95" s="100">
        <v>2630.4</v>
      </c>
      <c r="CT95" s="100">
        <v>10</v>
      </c>
      <c r="CU95" s="100">
        <v>3288</v>
      </c>
    </row>
    <row r="96" spans="2:99">
      <c r="C96" s="99" t="s">
        <v>262</v>
      </c>
      <c r="D96" s="100">
        <v>12</v>
      </c>
      <c r="E96" s="100">
        <v>8337.5999999999985</v>
      </c>
      <c r="F96" s="100">
        <v>5.4337699752297262</v>
      </c>
      <c r="G96" s="100">
        <v>3775.3833787896133</v>
      </c>
      <c r="H96" s="100">
        <v>8.640737402644298</v>
      </c>
      <c r="I96" s="100">
        <v>6003.5843473572577</v>
      </c>
      <c r="J96" s="100">
        <v>4.796260688619058</v>
      </c>
      <c r="K96" s="100">
        <v>3332.4419264525213</v>
      </c>
      <c r="L96" s="100">
        <v>10</v>
      </c>
      <c r="M96" s="100">
        <v>6948</v>
      </c>
      <c r="N96" s="100">
        <v>8.2889908256879554</v>
      </c>
      <c r="O96" s="100">
        <v>5759.1908256879915</v>
      </c>
      <c r="P96" s="100">
        <v>9</v>
      </c>
      <c r="Q96" s="100">
        <v>6253.2</v>
      </c>
      <c r="R96" s="100">
        <v>6.4738745665778712</v>
      </c>
      <c r="S96" s="100">
        <v>4498.0480488583044</v>
      </c>
      <c r="T96" s="100">
        <v>6.5766286265594269</v>
      </c>
      <c r="U96" s="100">
        <v>4569.4415697334898</v>
      </c>
      <c r="V96" s="100">
        <v>6.6480446927373906</v>
      </c>
      <c r="W96" s="100">
        <v>4619.061452513939</v>
      </c>
      <c r="X96" s="100">
        <v>10.091324200913183</v>
      </c>
      <c r="Y96" s="100">
        <v>7011.4520547944794</v>
      </c>
      <c r="Z96" s="100">
        <v>8</v>
      </c>
      <c r="AA96" s="100">
        <v>5558.4</v>
      </c>
      <c r="AB96" s="100">
        <v>9.1304347826085976</v>
      </c>
      <c r="AC96" s="100">
        <v>6343.8260869564529</v>
      </c>
      <c r="AD96" s="100">
        <v>9.689119170984398</v>
      </c>
      <c r="AE96" s="100">
        <v>6731.9999999999591</v>
      </c>
      <c r="AF96" s="100">
        <v>0.50783468750771199</v>
      </c>
      <c r="AG96" s="100">
        <v>352.84354088035826</v>
      </c>
      <c r="AH96" s="100">
        <v>10.515463917525711</v>
      </c>
      <c r="AI96" s="100">
        <v>7306.1443298968634</v>
      </c>
      <c r="AJ96" s="100">
        <v>7</v>
      </c>
      <c r="AK96" s="100">
        <v>4863.5999999999995</v>
      </c>
      <c r="AL96" s="100">
        <v>11</v>
      </c>
      <c r="AM96" s="100">
        <v>7642.7999999999993</v>
      </c>
      <c r="AN96" s="100">
        <v>8.0980512867535115</v>
      </c>
      <c r="AO96" s="100">
        <v>5626.5260340363393</v>
      </c>
      <c r="AP96" s="100">
        <v>8.8695652173912514</v>
      </c>
      <c r="AQ96" s="100">
        <v>6162.5739130434413</v>
      </c>
      <c r="AR96" s="100">
        <v>9.8550724637680585</v>
      </c>
      <c r="AS96" s="100">
        <v>6847.304347826047</v>
      </c>
      <c r="AT96" s="100">
        <v>9.9999999999999396</v>
      </c>
      <c r="AU96" s="100">
        <v>6947.9999999999573</v>
      </c>
      <c r="AV96" s="100">
        <v>0.61665640625936469</v>
      </c>
      <c r="AW96" s="100">
        <v>428.45287106900656</v>
      </c>
      <c r="AX96" s="100">
        <v>7</v>
      </c>
      <c r="AY96" s="100">
        <v>4863.5999999999995</v>
      </c>
      <c r="AZ96" s="100">
        <v>8.4086538461537401</v>
      </c>
      <c r="BA96" s="100">
        <v>5842.3326923076183</v>
      </c>
      <c r="BB96" s="100">
        <v>9</v>
      </c>
      <c r="BC96" s="100">
        <v>6253.2</v>
      </c>
      <c r="BD96" s="100">
        <v>11</v>
      </c>
      <c r="BE96" s="100">
        <v>7642.7999999999993</v>
      </c>
      <c r="BF96" s="100">
        <v>11</v>
      </c>
      <c r="BG96" s="100">
        <v>7642.7999999999993</v>
      </c>
      <c r="BH96" s="100">
        <v>12</v>
      </c>
      <c r="BI96" s="100">
        <v>8337.5999999999985</v>
      </c>
      <c r="BJ96" s="100">
        <v>9.2176975446329923</v>
      </c>
      <c r="BK96" s="100">
        <v>6404.4562540110028</v>
      </c>
      <c r="BL96" s="100">
        <v>8</v>
      </c>
      <c r="BM96" s="100">
        <v>5558.4</v>
      </c>
      <c r="BN96" s="100">
        <v>7</v>
      </c>
      <c r="BO96" s="100">
        <v>4863.5999999999995</v>
      </c>
      <c r="BP96" s="100">
        <v>1.9606381727520621</v>
      </c>
      <c r="BQ96" s="100">
        <v>1362.2514024281327</v>
      </c>
      <c r="BR96" s="100">
        <v>7</v>
      </c>
      <c r="BS96" s="100">
        <v>4863.5999999999995</v>
      </c>
      <c r="BT96" s="100">
        <v>7</v>
      </c>
      <c r="BU96" s="100">
        <v>4863.5999999999995</v>
      </c>
      <c r="BV96" s="100">
        <v>10</v>
      </c>
      <c r="BW96" s="100">
        <v>6948</v>
      </c>
      <c r="BX96" s="100">
        <v>11</v>
      </c>
      <c r="BY96" s="100">
        <v>7642.7999999999993</v>
      </c>
      <c r="BZ96" s="100">
        <v>11</v>
      </c>
      <c r="CA96" s="100">
        <v>7642.7999999999993</v>
      </c>
      <c r="CB96" s="100">
        <v>14</v>
      </c>
      <c r="CC96" s="100">
        <v>9727.1999999999989</v>
      </c>
      <c r="CD96" s="100">
        <v>9.5590937499896622</v>
      </c>
      <c r="CE96" s="100">
        <v>6641.6583374928168</v>
      </c>
      <c r="CF96" s="100">
        <v>0</v>
      </c>
      <c r="CG96" s="100">
        <v>0</v>
      </c>
      <c r="CH96" s="100">
        <v>7</v>
      </c>
      <c r="CI96" s="100">
        <v>4863.5999999999995</v>
      </c>
      <c r="CJ96" s="100">
        <v>9.3902439024389164</v>
      </c>
      <c r="CK96" s="100">
        <v>6524.3414634145583</v>
      </c>
      <c r="CL96" s="100">
        <v>7.7664974619288873</v>
      </c>
      <c r="CM96" s="100">
        <v>5396.1624365481903</v>
      </c>
      <c r="CN96" s="100">
        <v>0.64649461946546294</v>
      </c>
      <c r="CO96" s="100">
        <v>449.1844616046036</v>
      </c>
      <c r="CP96" s="100">
        <v>9</v>
      </c>
      <c r="CQ96" s="100">
        <v>6253.2</v>
      </c>
      <c r="CR96" s="100">
        <v>8</v>
      </c>
      <c r="CS96" s="100">
        <v>5558.4</v>
      </c>
      <c r="CT96" s="100">
        <v>8</v>
      </c>
      <c r="CU96" s="100">
        <v>5558.4</v>
      </c>
    </row>
    <row r="97" spans="2:99">
      <c r="C97" s="99" t="s">
        <v>263</v>
      </c>
      <c r="D97" s="100">
        <v>11</v>
      </c>
      <c r="E97" s="100">
        <v>4316.3999999999996</v>
      </c>
      <c r="F97" s="100">
        <v>7.0639009677986442</v>
      </c>
      <c r="G97" s="100">
        <v>2771.8747397641878</v>
      </c>
      <c r="H97" s="100">
        <v>10.211780566761442</v>
      </c>
      <c r="I97" s="100">
        <v>4007.1026943971897</v>
      </c>
      <c r="J97" s="100">
        <v>4.796260688619058</v>
      </c>
      <c r="K97" s="100">
        <v>1882.0526942141182</v>
      </c>
      <c r="L97" s="100">
        <v>12</v>
      </c>
      <c r="M97" s="100">
        <v>4708.7999999999993</v>
      </c>
      <c r="N97" s="100">
        <v>8.2889908256879554</v>
      </c>
      <c r="O97" s="100">
        <v>3252.5999999999535</v>
      </c>
      <c r="P97" s="100">
        <v>11</v>
      </c>
      <c r="Q97" s="100">
        <v>4316.3999999999996</v>
      </c>
      <c r="R97" s="100">
        <v>6.4738745665778712</v>
      </c>
      <c r="S97" s="100">
        <v>2540.3483799251567</v>
      </c>
      <c r="T97" s="100">
        <v>7.1745039562466477</v>
      </c>
      <c r="U97" s="100">
        <v>2815.2753524311843</v>
      </c>
      <c r="V97" s="100">
        <v>7.5977653631284463</v>
      </c>
      <c r="W97" s="100">
        <v>2981.3631284916023</v>
      </c>
      <c r="X97" s="100">
        <v>10.091324200913183</v>
      </c>
      <c r="Y97" s="100">
        <v>3959.8356164383326</v>
      </c>
      <c r="Z97" s="100">
        <v>8</v>
      </c>
      <c r="AA97" s="100">
        <v>3139.2</v>
      </c>
      <c r="AB97" s="100">
        <v>9.1304347826085976</v>
      </c>
      <c r="AC97" s="100">
        <v>3582.7826086956134</v>
      </c>
      <c r="AD97" s="100">
        <v>11.450777202072471</v>
      </c>
      <c r="AE97" s="100">
        <v>4493.284974093237</v>
      </c>
      <c r="AF97" s="100">
        <v>0.50783468750771199</v>
      </c>
      <c r="AG97" s="100">
        <v>199.27433137802618</v>
      </c>
      <c r="AH97" s="100">
        <v>9.6391752577319014</v>
      </c>
      <c r="AI97" s="100">
        <v>3782.412371133998</v>
      </c>
      <c r="AJ97" s="100">
        <v>7</v>
      </c>
      <c r="AK97" s="100">
        <v>2746.7999999999997</v>
      </c>
      <c r="AL97" s="100">
        <v>11</v>
      </c>
      <c r="AM97" s="100">
        <v>4316.3999999999996</v>
      </c>
      <c r="AN97" s="100">
        <v>8.0980512867535115</v>
      </c>
      <c r="AO97" s="100">
        <v>3177.6753249220778</v>
      </c>
      <c r="AP97" s="100">
        <v>9.6086956521738554</v>
      </c>
      <c r="AQ97" s="100">
        <v>3770.4521739130205</v>
      </c>
      <c r="AR97" s="100">
        <v>9.8550724637680585</v>
      </c>
      <c r="AS97" s="100">
        <v>3867.1304347825858</v>
      </c>
      <c r="AT97" s="100">
        <v>10.833333333333268</v>
      </c>
      <c r="AU97" s="100">
        <v>4250.9999999999745</v>
      </c>
      <c r="AV97" s="100">
        <v>0.66804444011431163</v>
      </c>
      <c r="AW97" s="100">
        <v>262.14063830085587</v>
      </c>
      <c r="AX97" s="100">
        <v>8</v>
      </c>
      <c r="AY97" s="100">
        <v>3139.2</v>
      </c>
      <c r="AZ97" s="100">
        <v>9.1730769230768079</v>
      </c>
      <c r="BA97" s="100">
        <v>3599.5153846153394</v>
      </c>
      <c r="BB97" s="100">
        <v>9</v>
      </c>
      <c r="BC97" s="100">
        <v>3531.6</v>
      </c>
      <c r="BD97" s="100">
        <v>11</v>
      </c>
      <c r="BE97" s="100">
        <v>4316.3999999999996</v>
      </c>
      <c r="BF97" s="100">
        <v>12</v>
      </c>
      <c r="BG97" s="100">
        <v>4708.7999999999993</v>
      </c>
      <c r="BH97" s="100">
        <v>14</v>
      </c>
      <c r="BI97" s="100">
        <v>5493.5999999999995</v>
      </c>
      <c r="BJ97" s="100">
        <v>9.2176975446329923</v>
      </c>
      <c r="BK97" s="100">
        <v>3617.0245165139859</v>
      </c>
      <c r="BL97" s="100">
        <v>8</v>
      </c>
      <c r="BM97" s="100">
        <v>3139.2</v>
      </c>
      <c r="BN97" s="100">
        <v>8</v>
      </c>
      <c r="BO97" s="100">
        <v>3139.2</v>
      </c>
      <c r="BP97" s="100">
        <v>1.9606381727520621</v>
      </c>
      <c r="BQ97" s="100">
        <v>769.35441898790907</v>
      </c>
      <c r="BR97" s="100">
        <v>7</v>
      </c>
      <c r="BS97" s="100">
        <v>2746.7999999999997</v>
      </c>
      <c r="BT97" s="100">
        <v>8</v>
      </c>
      <c r="BU97" s="100">
        <v>3139.2</v>
      </c>
      <c r="BV97" s="100">
        <v>11</v>
      </c>
      <c r="BW97" s="100">
        <v>4316.3999999999996</v>
      </c>
      <c r="BX97" s="100">
        <v>11</v>
      </c>
      <c r="BY97" s="100">
        <v>4316.3999999999996</v>
      </c>
      <c r="BZ97" s="100">
        <v>10</v>
      </c>
      <c r="CA97" s="100">
        <v>3924</v>
      </c>
      <c r="CB97" s="100">
        <v>14</v>
      </c>
      <c r="CC97" s="100">
        <v>5493.5999999999995</v>
      </c>
      <c r="CD97" s="100">
        <v>9.5590937499896622</v>
      </c>
      <c r="CE97" s="100">
        <v>3750.9883874959432</v>
      </c>
      <c r="CF97" s="100">
        <v>0</v>
      </c>
      <c r="CG97" s="100">
        <v>0</v>
      </c>
      <c r="CH97" s="100">
        <v>8</v>
      </c>
      <c r="CI97" s="100">
        <v>3139.2</v>
      </c>
      <c r="CJ97" s="100">
        <v>9.3902439024389164</v>
      </c>
      <c r="CK97" s="100">
        <v>3684.7317073170307</v>
      </c>
      <c r="CL97" s="100">
        <v>6.9035532994923434</v>
      </c>
      <c r="CM97" s="100">
        <v>2708.9543147207955</v>
      </c>
      <c r="CN97" s="100">
        <v>0.64649461946546294</v>
      </c>
      <c r="CO97" s="100">
        <v>253.68448867824765</v>
      </c>
      <c r="CP97" s="100">
        <v>9</v>
      </c>
      <c r="CQ97" s="100">
        <v>3531.6</v>
      </c>
      <c r="CR97" s="100">
        <v>8</v>
      </c>
      <c r="CS97" s="100">
        <v>3139.2</v>
      </c>
      <c r="CT97" s="100">
        <v>8</v>
      </c>
      <c r="CU97" s="100">
        <v>3139.2</v>
      </c>
    </row>
    <row r="98" spans="2:99">
      <c r="C98" s="99" t="s">
        <v>264</v>
      </c>
      <c r="D98" s="100">
        <v>11</v>
      </c>
      <c r="E98" s="100">
        <v>5781.6</v>
      </c>
      <c r="F98" s="100">
        <v>6.5205239702756721</v>
      </c>
      <c r="G98" s="100">
        <v>3427.1873987768936</v>
      </c>
      <c r="H98" s="100">
        <v>10.211780566761442</v>
      </c>
      <c r="I98" s="100">
        <v>5367.3118658898147</v>
      </c>
      <c r="J98" s="100">
        <v>4.796260688619058</v>
      </c>
      <c r="K98" s="100">
        <v>2520.9146179381769</v>
      </c>
      <c r="L98" s="100">
        <v>11</v>
      </c>
      <c r="M98" s="100">
        <v>5781.6</v>
      </c>
      <c r="N98" s="100">
        <v>7.6513761467888814</v>
      </c>
      <c r="O98" s="100">
        <v>4021.5633027522363</v>
      </c>
      <c r="P98" s="100">
        <v>10</v>
      </c>
      <c r="Q98" s="100">
        <v>5256</v>
      </c>
      <c r="R98" s="100">
        <v>5.6646402457556375</v>
      </c>
      <c r="S98" s="100">
        <v>2977.3349131691634</v>
      </c>
      <c r="T98" s="100">
        <v>7.7723792859338685</v>
      </c>
      <c r="U98" s="100">
        <v>4085.1625526868415</v>
      </c>
      <c r="V98" s="100">
        <v>7.5977653631284463</v>
      </c>
      <c r="W98" s="100">
        <v>3993.3854748603117</v>
      </c>
      <c r="X98" s="100">
        <v>9.3150684931506298</v>
      </c>
      <c r="Y98" s="100">
        <v>4895.9999999999709</v>
      </c>
      <c r="Z98" s="100">
        <v>8</v>
      </c>
      <c r="AA98" s="100">
        <v>4204.8</v>
      </c>
      <c r="AB98" s="100">
        <v>9.1304347826085976</v>
      </c>
      <c r="AC98" s="100">
        <v>4798.9565217390791</v>
      </c>
      <c r="AD98" s="100">
        <v>11.450777202072471</v>
      </c>
      <c r="AE98" s="100">
        <v>6018.528497409291</v>
      </c>
      <c r="AF98" s="100">
        <v>0.50783468750771199</v>
      </c>
      <c r="AG98" s="100">
        <v>266.91791175405342</v>
      </c>
      <c r="AH98" s="100">
        <v>9.6391752577319014</v>
      </c>
      <c r="AI98" s="100">
        <v>5066.3505154638879</v>
      </c>
      <c r="AJ98" s="100">
        <v>7</v>
      </c>
      <c r="AK98" s="100">
        <v>3679.2000000000003</v>
      </c>
      <c r="AL98" s="100">
        <v>10</v>
      </c>
      <c r="AM98" s="100">
        <v>5256</v>
      </c>
      <c r="AN98" s="100">
        <v>8.0980512867535115</v>
      </c>
      <c r="AO98" s="100">
        <v>4256.335756317646</v>
      </c>
      <c r="AP98" s="100">
        <v>8.8695652173912514</v>
      </c>
      <c r="AQ98" s="100">
        <v>4661.8434782608419</v>
      </c>
      <c r="AR98" s="100">
        <v>11.497584541062734</v>
      </c>
      <c r="AS98" s="100">
        <v>6043.1304347825735</v>
      </c>
      <c r="AT98" s="100">
        <v>10.833333333333268</v>
      </c>
      <c r="AU98" s="100">
        <v>5693.9999999999663</v>
      </c>
      <c r="AV98" s="100">
        <v>0.61665640625936469</v>
      </c>
      <c r="AW98" s="100">
        <v>324.11460712992209</v>
      </c>
      <c r="AX98" s="100">
        <v>8</v>
      </c>
      <c r="AY98" s="100">
        <v>4204.8</v>
      </c>
      <c r="AZ98" s="100">
        <v>7.6442307692306724</v>
      </c>
      <c r="BA98" s="100">
        <v>4017.8076923076414</v>
      </c>
      <c r="BB98" s="100">
        <v>9</v>
      </c>
      <c r="BC98" s="100">
        <v>4730.4000000000005</v>
      </c>
      <c r="BD98" s="100">
        <v>10</v>
      </c>
      <c r="BE98" s="100">
        <v>5256</v>
      </c>
      <c r="BF98" s="100">
        <v>10</v>
      </c>
      <c r="BG98" s="100">
        <v>5256</v>
      </c>
      <c r="BH98" s="100">
        <v>12</v>
      </c>
      <c r="BI98" s="100">
        <v>6307.2000000000007</v>
      </c>
      <c r="BJ98" s="100">
        <v>9.2176975446329923</v>
      </c>
      <c r="BK98" s="100">
        <v>4844.8218294591006</v>
      </c>
      <c r="BL98" s="100">
        <v>8</v>
      </c>
      <c r="BM98" s="100">
        <v>4204.8</v>
      </c>
      <c r="BN98" s="100">
        <v>8</v>
      </c>
      <c r="BO98" s="100">
        <v>4204.8</v>
      </c>
      <c r="BP98" s="100">
        <v>1.9606381727520621</v>
      </c>
      <c r="BQ98" s="100">
        <v>1030.5114235984838</v>
      </c>
      <c r="BR98" s="100">
        <v>7</v>
      </c>
      <c r="BS98" s="100">
        <v>3679.2000000000003</v>
      </c>
      <c r="BT98" s="100">
        <v>7</v>
      </c>
      <c r="BU98" s="100">
        <v>3679.2000000000003</v>
      </c>
      <c r="BV98" s="100">
        <v>10</v>
      </c>
      <c r="BW98" s="100">
        <v>5256</v>
      </c>
      <c r="BX98" s="100">
        <v>11</v>
      </c>
      <c r="BY98" s="100">
        <v>5781.6</v>
      </c>
      <c r="BZ98" s="100">
        <v>11</v>
      </c>
      <c r="CA98" s="100">
        <v>5781.6</v>
      </c>
      <c r="CB98" s="100">
        <v>13</v>
      </c>
      <c r="CC98" s="100">
        <v>6832.8</v>
      </c>
      <c r="CD98" s="100">
        <v>9.5590937499896622</v>
      </c>
      <c r="CE98" s="100">
        <v>5024.2596749945669</v>
      </c>
      <c r="CF98" s="100">
        <v>0</v>
      </c>
      <c r="CG98" s="100">
        <v>0</v>
      </c>
      <c r="CH98" s="100">
        <v>7</v>
      </c>
      <c r="CI98" s="100">
        <v>3679.2000000000003</v>
      </c>
      <c r="CJ98" s="100">
        <v>10.243902439024273</v>
      </c>
      <c r="CK98" s="100">
        <v>5384.1951219511584</v>
      </c>
      <c r="CL98" s="100">
        <v>7.7664974619288873</v>
      </c>
      <c r="CM98" s="100">
        <v>4082.0710659898232</v>
      </c>
      <c r="CN98" s="100">
        <v>0.54703390877846858</v>
      </c>
      <c r="CO98" s="100">
        <v>287.5210224539631</v>
      </c>
      <c r="CP98" s="100">
        <v>9</v>
      </c>
      <c r="CQ98" s="100">
        <v>4730.4000000000005</v>
      </c>
      <c r="CR98" s="100">
        <v>8</v>
      </c>
      <c r="CS98" s="100">
        <v>4204.8</v>
      </c>
      <c r="CT98" s="100">
        <v>8</v>
      </c>
      <c r="CU98" s="100">
        <v>4204.8</v>
      </c>
    </row>
    <row r="99" spans="2:99">
      <c r="C99" s="99" t="s">
        <v>265</v>
      </c>
      <c r="D99" s="100">
        <v>10</v>
      </c>
      <c r="E99" s="100">
        <v>42084</v>
      </c>
      <c r="F99" s="100">
        <v>5.4337699752297262</v>
      </c>
      <c r="G99" s="100">
        <v>22867.477563756776</v>
      </c>
      <c r="H99" s="100">
        <v>7.0696942385271528</v>
      </c>
      <c r="I99" s="100">
        <v>29752.101233417667</v>
      </c>
      <c r="J99" s="100">
        <v>3.730424980037045</v>
      </c>
      <c r="K99" s="100">
        <v>15699.120485987898</v>
      </c>
      <c r="L99" s="100">
        <v>9</v>
      </c>
      <c r="M99" s="100">
        <v>37875.599999999999</v>
      </c>
      <c r="N99" s="100">
        <v>5.7385321100916613</v>
      </c>
      <c r="O99" s="100">
        <v>24150.038532109746</v>
      </c>
      <c r="P99" s="100">
        <v>8</v>
      </c>
      <c r="Q99" s="100">
        <v>33667.199999999997</v>
      </c>
      <c r="R99" s="100">
        <v>4.855405924933403</v>
      </c>
      <c r="S99" s="100">
        <v>20433.490294489729</v>
      </c>
      <c r="T99" s="100">
        <v>5.3808779671849862</v>
      </c>
      <c r="U99" s="100">
        <v>22644.886837101294</v>
      </c>
      <c r="V99" s="100">
        <v>5.6983240223463341</v>
      </c>
      <c r="W99" s="100">
        <v>23980.826815642311</v>
      </c>
      <c r="X99" s="100">
        <v>8.5388127853880782</v>
      </c>
      <c r="Y99" s="100">
        <v>35934.739726027183</v>
      </c>
      <c r="Z99" s="100">
        <v>7</v>
      </c>
      <c r="AA99" s="100">
        <v>29458.799999999996</v>
      </c>
      <c r="AB99" s="100">
        <v>7.3043478260868779</v>
      </c>
      <c r="AC99" s="100">
        <v>30739.617391304015</v>
      </c>
      <c r="AD99" s="100">
        <v>7.9274611398963248</v>
      </c>
      <c r="AE99" s="100">
        <v>33361.92746113969</v>
      </c>
      <c r="AF99" s="100">
        <v>0.43528687500661029</v>
      </c>
      <c r="AG99" s="100">
        <v>1831.8612847778186</v>
      </c>
      <c r="AH99" s="100">
        <v>8.7628865979380919</v>
      </c>
      <c r="AI99" s="100">
        <v>36877.731958762663</v>
      </c>
      <c r="AJ99" s="100">
        <v>6</v>
      </c>
      <c r="AK99" s="100">
        <v>25250.399999999998</v>
      </c>
      <c r="AL99" s="100">
        <v>9</v>
      </c>
      <c r="AM99" s="100">
        <v>37875.599999999999</v>
      </c>
      <c r="AN99" s="100">
        <v>6.2984843341416195</v>
      </c>
      <c r="AO99" s="100">
        <v>26506.541471801589</v>
      </c>
      <c r="AP99" s="100">
        <v>6.6521739130434385</v>
      </c>
      <c r="AQ99" s="100">
        <v>27995.008695652003</v>
      </c>
      <c r="AR99" s="100">
        <v>8.2125603864733812</v>
      </c>
      <c r="AS99" s="100">
        <v>34561.739130434573</v>
      </c>
      <c r="AT99" s="100">
        <v>7.4999999999999556</v>
      </c>
      <c r="AU99" s="100">
        <v>31562.999999999811</v>
      </c>
      <c r="AV99" s="100">
        <v>0.51388033854947046</v>
      </c>
      <c r="AW99" s="100">
        <v>2162.6140167515914</v>
      </c>
      <c r="AX99" s="100">
        <v>6</v>
      </c>
      <c r="AY99" s="100">
        <v>25250.399999999998</v>
      </c>
      <c r="AZ99" s="100">
        <v>6.1153846153845377</v>
      </c>
      <c r="BA99" s="100">
        <v>25735.984615384285</v>
      </c>
      <c r="BB99" s="100">
        <v>8</v>
      </c>
      <c r="BC99" s="100">
        <v>33667.199999999997</v>
      </c>
      <c r="BD99" s="100">
        <v>9</v>
      </c>
      <c r="BE99" s="100">
        <v>37875.599999999999</v>
      </c>
      <c r="BF99" s="100">
        <v>9</v>
      </c>
      <c r="BG99" s="100">
        <v>37875.599999999999</v>
      </c>
      <c r="BH99" s="100">
        <v>12</v>
      </c>
      <c r="BI99" s="100">
        <v>50500.799999999996</v>
      </c>
      <c r="BJ99" s="100">
        <v>7.3741580357063929</v>
      </c>
      <c r="BK99" s="100">
        <v>31033.406677466781</v>
      </c>
      <c r="BL99" s="100">
        <v>6</v>
      </c>
      <c r="BM99" s="100">
        <v>25250.399999999998</v>
      </c>
      <c r="BN99" s="100">
        <v>6</v>
      </c>
      <c r="BO99" s="100">
        <v>25250.399999999998</v>
      </c>
      <c r="BP99" s="100">
        <v>1.6805470052160532</v>
      </c>
      <c r="BQ99" s="100">
        <v>7072.4140167512378</v>
      </c>
      <c r="BR99" s="100">
        <v>6</v>
      </c>
      <c r="BS99" s="100">
        <v>25250.399999999998</v>
      </c>
      <c r="BT99" s="100">
        <v>6</v>
      </c>
      <c r="BU99" s="100">
        <v>25250.399999999998</v>
      </c>
      <c r="BV99" s="100">
        <v>9</v>
      </c>
      <c r="BW99" s="100">
        <v>37875.599999999999</v>
      </c>
      <c r="BX99" s="100">
        <v>9</v>
      </c>
      <c r="BY99" s="100">
        <v>37875.599999999999</v>
      </c>
      <c r="BZ99" s="100">
        <v>8</v>
      </c>
      <c r="CA99" s="100">
        <v>33667.199999999997</v>
      </c>
      <c r="CB99" s="100">
        <v>11</v>
      </c>
      <c r="CC99" s="100">
        <v>46292.399999999994</v>
      </c>
      <c r="CD99" s="100">
        <v>7.6472749999917298</v>
      </c>
      <c r="CE99" s="100">
        <v>32182.792109965194</v>
      </c>
      <c r="CF99" s="100">
        <v>0</v>
      </c>
      <c r="CG99" s="100">
        <v>0</v>
      </c>
      <c r="CH99" s="100">
        <v>6</v>
      </c>
      <c r="CI99" s="100">
        <v>25250.399999999998</v>
      </c>
      <c r="CJ99" s="100">
        <v>7.6829268292682036</v>
      </c>
      <c r="CK99" s="100">
        <v>32332.829268292306</v>
      </c>
      <c r="CL99" s="100">
        <v>6.0406091370558013</v>
      </c>
      <c r="CM99" s="100">
        <v>25421.299492385631</v>
      </c>
      <c r="CN99" s="100">
        <v>0.54703390877846858</v>
      </c>
      <c r="CO99" s="100">
        <v>2302.137501703307</v>
      </c>
      <c r="CP99" s="100">
        <v>8</v>
      </c>
      <c r="CQ99" s="100">
        <v>33667.199999999997</v>
      </c>
      <c r="CR99" s="100">
        <v>6</v>
      </c>
      <c r="CS99" s="100">
        <v>25250.399999999998</v>
      </c>
      <c r="CT99" s="100">
        <v>7</v>
      </c>
      <c r="CU99" s="100">
        <v>29458.799999999996</v>
      </c>
    </row>
    <row r="100" spans="2:99">
      <c r="C100" s="99" t="s">
        <v>266</v>
      </c>
      <c r="D100" s="100">
        <v>10</v>
      </c>
      <c r="E100" s="100">
        <v>3240</v>
      </c>
      <c r="F100" s="100">
        <v>6.5205239702756721</v>
      </c>
      <c r="G100" s="100">
        <v>2112.6497663693176</v>
      </c>
      <c r="H100" s="100">
        <v>9.426258984702871</v>
      </c>
      <c r="I100" s="100">
        <v>3054.1079110437304</v>
      </c>
      <c r="J100" s="100">
        <v>4.2633428343280517</v>
      </c>
      <c r="K100" s="100">
        <v>1381.3230783222887</v>
      </c>
      <c r="L100" s="100">
        <v>12</v>
      </c>
      <c r="M100" s="100">
        <v>3888</v>
      </c>
      <c r="N100" s="100">
        <v>8.2889908256879554</v>
      </c>
      <c r="O100" s="100">
        <v>2685.6330275228975</v>
      </c>
      <c r="P100" s="100">
        <v>9</v>
      </c>
      <c r="Q100" s="100">
        <v>2916</v>
      </c>
      <c r="R100" s="100">
        <v>6.4738745665778712</v>
      </c>
      <c r="S100" s="100">
        <v>2097.5353595712304</v>
      </c>
      <c r="T100" s="100">
        <v>7.7723792859338685</v>
      </c>
      <c r="U100" s="100">
        <v>2518.2508886425735</v>
      </c>
      <c r="V100" s="100">
        <v>7.5977653631284463</v>
      </c>
      <c r="W100" s="100">
        <v>2461.6759776536164</v>
      </c>
      <c r="X100" s="100">
        <v>10.867579908675735</v>
      </c>
      <c r="Y100" s="100">
        <v>3521.095890410938</v>
      </c>
      <c r="Z100" s="100">
        <v>9</v>
      </c>
      <c r="AA100" s="100">
        <v>2916</v>
      </c>
      <c r="AB100" s="100">
        <v>10.043478260869458</v>
      </c>
      <c r="AC100" s="100">
        <v>3254.0869565217045</v>
      </c>
      <c r="AD100" s="100">
        <v>10.569948186528434</v>
      </c>
      <c r="AE100" s="100">
        <v>3424.6632124352127</v>
      </c>
      <c r="AF100" s="100">
        <v>0.58038250000881375</v>
      </c>
      <c r="AG100" s="100">
        <v>188.04393000285566</v>
      </c>
      <c r="AH100" s="100">
        <v>9.6391752577319014</v>
      </c>
      <c r="AI100" s="100">
        <v>3123.0927835051361</v>
      </c>
      <c r="AJ100" s="100">
        <v>6</v>
      </c>
      <c r="AK100" s="100">
        <v>1944</v>
      </c>
      <c r="AL100" s="100">
        <v>10</v>
      </c>
      <c r="AM100" s="100">
        <v>3240</v>
      </c>
      <c r="AN100" s="100">
        <v>8.0980512867535115</v>
      </c>
      <c r="AO100" s="100">
        <v>2623.7686169081376</v>
      </c>
      <c r="AP100" s="100">
        <v>9.6086956521738554</v>
      </c>
      <c r="AQ100" s="100">
        <v>3113.2173913043293</v>
      </c>
      <c r="AR100" s="100">
        <v>9.8550724637680585</v>
      </c>
      <c r="AS100" s="100">
        <v>3193.0434782608509</v>
      </c>
      <c r="AT100" s="100">
        <v>9.1666666666666128</v>
      </c>
      <c r="AU100" s="100">
        <v>2969.9999999999827</v>
      </c>
      <c r="AV100" s="100">
        <v>0.66804444011431163</v>
      </c>
      <c r="AW100" s="100">
        <v>216.44639859703696</v>
      </c>
      <c r="AX100" s="100">
        <v>7</v>
      </c>
      <c r="AY100" s="100">
        <v>2268</v>
      </c>
      <c r="AZ100" s="100">
        <v>9.1730769230768079</v>
      </c>
      <c r="BA100" s="100">
        <v>2972.0769230768856</v>
      </c>
      <c r="BB100" s="100">
        <v>9</v>
      </c>
      <c r="BC100" s="100">
        <v>2916</v>
      </c>
      <c r="BD100" s="100">
        <v>12</v>
      </c>
      <c r="BE100" s="100">
        <v>3888</v>
      </c>
      <c r="BF100" s="100">
        <v>11</v>
      </c>
      <c r="BG100" s="100">
        <v>3564</v>
      </c>
      <c r="BH100" s="100">
        <v>13</v>
      </c>
      <c r="BI100" s="100">
        <v>4212</v>
      </c>
      <c r="BJ100" s="100">
        <v>9.2176975446329923</v>
      </c>
      <c r="BK100" s="100">
        <v>2986.5340044610894</v>
      </c>
      <c r="BL100" s="100">
        <v>8</v>
      </c>
      <c r="BM100" s="100">
        <v>2592</v>
      </c>
      <c r="BN100" s="100">
        <v>7</v>
      </c>
      <c r="BO100" s="100">
        <v>2268</v>
      </c>
      <c r="BP100" s="100">
        <v>1.9606381727520621</v>
      </c>
      <c r="BQ100" s="100">
        <v>635.24676797166808</v>
      </c>
      <c r="BR100" s="100">
        <v>8</v>
      </c>
      <c r="BS100" s="100">
        <v>2592</v>
      </c>
      <c r="BT100" s="100">
        <v>7</v>
      </c>
      <c r="BU100" s="100">
        <v>2268</v>
      </c>
      <c r="BV100" s="100">
        <v>10</v>
      </c>
      <c r="BW100" s="100">
        <v>3240</v>
      </c>
      <c r="BX100" s="100">
        <v>11</v>
      </c>
      <c r="BY100" s="100">
        <v>3564</v>
      </c>
      <c r="BZ100" s="100">
        <v>10</v>
      </c>
      <c r="CA100" s="100">
        <v>3240</v>
      </c>
      <c r="CB100" s="100">
        <v>14</v>
      </c>
      <c r="CC100" s="100">
        <v>4536</v>
      </c>
      <c r="CD100" s="100">
        <v>10.515003124988629</v>
      </c>
      <c r="CE100" s="100">
        <v>3406.8610124963161</v>
      </c>
      <c r="CF100" s="100">
        <v>0</v>
      </c>
      <c r="CG100" s="100">
        <v>0</v>
      </c>
      <c r="CH100" s="100">
        <v>8</v>
      </c>
      <c r="CI100" s="100">
        <v>2592</v>
      </c>
      <c r="CJ100" s="100">
        <v>10.243902439024273</v>
      </c>
      <c r="CK100" s="100">
        <v>3319.0243902438647</v>
      </c>
      <c r="CL100" s="100">
        <v>7.7664974619288873</v>
      </c>
      <c r="CM100" s="100">
        <v>2516.3451776649595</v>
      </c>
      <c r="CN100" s="100">
        <v>0.64649461946546294</v>
      </c>
      <c r="CO100" s="100">
        <v>209.46425670681</v>
      </c>
      <c r="CP100" s="100">
        <v>10</v>
      </c>
      <c r="CQ100" s="100">
        <v>3240</v>
      </c>
      <c r="CR100" s="100">
        <v>7</v>
      </c>
      <c r="CS100" s="100">
        <v>2268</v>
      </c>
      <c r="CT100" s="100">
        <v>8</v>
      </c>
      <c r="CU100" s="100">
        <v>2592</v>
      </c>
    </row>
    <row r="101" spans="2:99">
      <c r="C101" s="99" t="s">
        <v>267</v>
      </c>
      <c r="D101" s="100">
        <v>12</v>
      </c>
      <c r="E101" s="100">
        <v>8683.2000000000007</v>
      </c>
      <c r="F101" s="100">
        <v>5.9771469727526991</v>
      </c>
      <c r="G101" s="100">
        <v>4325.0635494838534</v>
      </c>
      <c r="H101" s="100">
        <v>8.640737402644298</v>
      </c>
      <c r="I101" s="100">
        <v>6252.4375845534141</v>
      </c>
      <c r="J101" s="100">
        <v>4.2633428343280517</v>
      </c>
      <c r="K101" s="100">
        <v>3084.9548749197784</v>
      </c>
      <c r="L101" s="100">
        <v>12</v>
      </c>
      <c r="M101" s="100">
        <v>8683.2000000000007</v>
      </c>
      <c r="N101" s="100">
        <v>7.6513761467888814</v>
      </c>
      <c r="O101" s="100">
        <v>5536.535779816435</v>
      </c>
      <c r="P101" s="100">
        <v>9</v>
      </c>
      <c r="Q101" s="100">
        <v>6512.4000000000005</v>
      </c>
      <c r="R101" s="100">
        <v>5.6646402457556375</v>
      </c>
      <c r="S101" s="100">
        <v>4098.9336818287793</v>
      </c>
      <c r="T101" s="100">
        <v>7.7723792859338685</v>
      </c>
      <c r="U101" s="100">
        <v>5624.0936513017477</v>
      </c>
      <c r="V101" s="100">
        <v>7.5977653631284463</v>
      </c>
      <c r="W101" s="100">
        <v>5497.743016759744</v>
      </c>
      <c r="X101" s="100">
        <v>10.091324200913183</v>
      </c>
      <c r="Y101" s="100">
        <v>7302.0821917807798</v>
      </c>
      <c r="Z101" s="100">
        <v>8</v>
      </c>
      <c r="AA101" s="100">
        <v>5788.8</v>
      </c>
      <c r="AB101" s="100">
        <v>9.1304347826085976</v>
      </c>
      <c r="AC101" s="100">
        <v>6606.7826086955811</v>
      </c>
      <c r="AD101" s="100">
        <v>9.689119170984398</v>
      </c>
      <c r="AE101" s="100">
        <v>7011.0466321243102</v>
      </c>
      <c r="AF101" s="100">
        <v>0.58038250000881375</v>
      </c>
      <c r="AG101" s="100">
        <v>419.96477700637763</v>
      </c>
      <c r="AH101" s="100">
        <v>9.6391752577319014</v>
      </c>
      <c r="AI101" s="100">
        <v>6974.9072164948038</v>
      </c>
      <c r="AJ101" s="100">
        <v>7</v>
      </c>
      <c r="AK101" s="100">
        <v>5065.2</v>
      </c>
      <c r="AL101" s="100">
        <v>11</v>
      </c>
      <c r="AM101" s="100">
        <v>7959.6</v>
      </c>
      <c r="AN101" s="100">
        <v>8.0980512867535115</v>
      </c>
      <c r="AO101" s="100">
        <v>5859.7499110948411</v>
      </c>
      <c r="AP101" s="100">
        <v>8.8695652173912514</v>
      </c>
      <c r="AQ101" s="100">
        <v>6418.01739130431</v>
      </c>
      <c r="AR101" s="100">
        <v>9.8550724637680585</v>
      </c>
      <c r="AS101" s="100">
        <v>7131.1304347825671</v>
      </c>
      <c r="AT101" s="100">
        <v>9.9999999999999396</v>
      </c>
      <c r="AU101" s="100">
        <v>7235.9999999999563</v>
      </c>
      <c r="AV101" s="100">
        <v>0.66804444011431163</v>
      </c>
      <c r="AW101" s="100">
        <v>483.39695686671593</v>
      </c>
      <c r="AX101" s="100">
        <v>8</v>
      </c>
      <c r="AY101" s="100">
        <v>5788.8</v>
      </c>
      <c r="AZ101" s="100">
        <v>8.4086538461537401</v>
      </c>
      <c r="BA101" s="100">
        <v>6084.5019230768467</v>
      </c>
      <c r="BB101" s="100">
        <v>9</v>
      </c>
      <c r="BC101" s="100">
        <v>6512.4000000000005</v>
      </c>
      <c r="BD101" s="100">
        <v>10</v>
      </c>
      <c r="BE101" s="100">
        <v>7236</v>
      </c>
      <c r="BF101" s="100">
        <v>12</v>
      </c>
      <c r="BG101" s="100">
        <v>8683.2000000000007</v>
      </c>
      <c r="BH101" s="100">
        <v>13</v>
      </c>
      <c r="BI101" s="100">
        <v>9406.8000000000011</v>
      </c>
      <c r="BJ101" s="100">
        <v>7.3741580357063929</v>
      </c>
      <c r="BK101" s="100">
        <v>5335.9407546371458</v>
      </c>
      <c r="BL101" s="100">
        <v>8</v>
      </c>
      <c r="BM101" s="100">
        <v>5788.8</v>
      </c>
      <c r="BN101" s="100">
        <v>8</v>
      </c>
      <c r="BO101" s="100">
        <v>5788.8</v>
      </c>
      <c r="BP101" s="100">
        <v>1.9606381727520621</v>
      </c>
      <c r="BQ101" s="100">
        <v>1418.7177818033922</v>
      </c>
      <c r="BR101" s="100">
        <v>7</v>
      </c>
      <c r="BS101" s="100">
        <v>5065.2</v>
      </c>
      <c r="BT101" s="100">
        <v>7</v>
      </c>
      <c r="BU101" s="100">
        <v>5065.2</v>
      </c>
      <c r="BV101" s="100">
        <v>11</v>
      </c>
      <c r="BW101" s="100">
        <v>7959.6</v>
      </c>
      <c r="BX101" s="100">
        <v>9</v>
      </c>
      <c r="BY101" s="100">
        <v>6512.4000000000005</v>
      </c>
      <c r="BZ101" s="100">
        <v>10</v>
      </c>
      <c r="CA101" s="100">
        <v>7236</v>
      </c>
      <c r="CB101" s="100">
        <v>14</v>
      </c>
      <c r="CC101" s="100">
        <v>10130.4</v>
      </c>
      <c r="CD101" s="100">
        <v>9.5590937499896622</v>
      </c>
      <c r="CE101" s="100">
        <v>6916.9602374925198</v>
      </c>
      <c r="CF101" s="100">
        <v>0</v>
      </c>
      <c r="CG101" s="100">
        <v>0</v>
      </c>
      <c r="CH101" s="100">
        <v>8</v>
      </c>
      <c r="CI101" s="100">
        <v>5788.8</v>
      </c>
      <c r="CJ101" s="100">
        <v>9.3902439024389164</v>
      </c>
      <c r="CK101" s="100">
        <v>6794.7804878048</v>
      </c>
      <c r="CL101" s="100">
        <v>7.7664974619288873</v>
      </c>
      <c r="CM101" s="100">
        <v>5619.8375634517433</v>
      </c>
      <c r="CN101" s="100">
        <v>0.5967642641219657</v>
      </c>
      <c r="CO101" s="100">
        <v>431.81862151865442</v>
      </c>
      <c r="CP101" s="100">
        <v>9</v>
      </c>
      <c r="CQ101" s="100">
        <v>6512.4000000000005</v>
      </c>
      <c r="CR101" s="100">
        <v>8</v>
      </c>
      <c r="CS101" s="100">
        <v>5788.8</v>
      </c>
      <c r="CT101" s="100">
        <v>9</v>
      </c>
      <c r="CU101" s="100">
        <v>6512.4000000000005</v>
      </c>
    </row>
    <row r="102" spans="2:99">
      <c r="C102" s="99" t="s">
        <v>268</v>
      </c>
      <c r="D102" s="100">
        <v>11</v>
      </c>
      <c r="E102" s="100">
        <v>5847.6</v>
      </c>
      <c r="F102" s="100">
        <v>6.5205239702756721</v>
      </c>
      <c r="G102" s="100">
        <v>3466.3105425985473</v>
      </c>
      <c r="H102" s="100">
        <v>10.211780566761442</v>
      </c>
      <c r="I102" s="100">
        <v>5428.5825492903832</v>
      </c>
      <c r="J102" s="100">
        <v>4.2633428343280517</v>
      </c>
      <c r="K102" s="100">
        <v>2266.3930507287923</v>
      </c>
      <c r="L102" s="100">
        <v>10</v>
      </c>
      <c r="M102" s="100">
        <v>5316</v>
      </c>
      <c r="N102" s="100">
        <v>7.6513761467888814</v>
      </c>
      <c r="O102" s="100">
        <v>4067.4715596329697</v>
      </c>
      <c r="P102" s="100">
        <v>9</v>
      </c>
      <c r="Q102" s="100">
        <v>4784.4000000000005</v>
      </c>
      <c r="R102" s="100">
        <v>6.4738745665778712</v>
      </c>
      <c r="S102" s="100">
        <v>3441.5117195927965</v>
      </c>
      <c r="T102" s="100">
        <v>7.1745039562466477</v>
      </c>
      <c r="U102" s="100">
        <v>3813.9663031407181</v>
      </c>
      <c r="V102" s="100">
        <v>7.5977653631284463</v>
      </c>
      <c r="W102" s="100">
        <v>4038.972067039082</v>
      </c>
      <c r="X102" s="100">
        <v>10.091324200913183</v>
      </c>
      <c r="Y102" s="100">
        <v>5364.5479452054487</v>
      </c>
      <c r="Z102" s="100">
        <v>9</v>
      </c>
      <c r="AA102" s="100">
        <v>4784.4000000000005</v>
      </c>
      <c r="AB102" s="100">
        <v>10.043478260869458</v>
      </c>
      <c r="AC102" s="100">
        <v>5339.1130434782044</v>
      </c>
      <c r="AD102" s="100">
        <v>9.689119170984398</v>
      </c>
      <c r="AE102" s="100">
        <v>5150.7357512953058</v>
      </c>
      <c r="AF102" s="100">
        <v>0.58038250000881375</v>
      </c>
      <c r="AG102" s="100">
        <v>308.53133700468538</v>
      </c>
      <c r="AH102" s="100">
        <v>10.515463917525711</v>
      </c>
      <c r="AI102" s="100">
        <v>5590.0206185566685</v>
      </c>
      <c r="AJ102" s="100">
        <v>7</v>
      </c>
      <c r="AK102" s="100">
        <v>3721.2000000000003</v>
      </c>
      <c r="AL102" s="100">
        <v>10</v>
      </c>
      <c r="AM102" s="100">
        <v>5316</v>
      </c>
      <c r="AN102" s="100">
        <v>8.0980512867535115</v>
      </c>
      <c r="AO102" s="100">
        <v>4304.9240640381668</v>
      </c>
      <c r="AP102" s="100">
        <v>8.1304347826086474</v>
      </c>
      <c r="AQ102" s="100">
        <v>4322.1391304347571</v>
      </c>
      <c r="AR102" s="100">
        <v>10.676328502415396</v>
      </c>
      <c r="AS102" s="100">
        <v>5675.5362318840253</v>
      </c>
      <c r="AT102" s="100">
        <v>9.1666666666666128</v>
      </c>
      <c r="AU102" s="100">
        <v>4872.9999999999718</v>
      </c>
      <c r="AV102" s="100">
        <v>0.61665640625936469</v>
      </c>
      <c r="AW102" s="100">
        <v>327.81454556747826</v>
      </c>
      <c r="AX102" s="100">
        <v>7</v>
      </c>
      <c r="AY102" s="100">
        <v>3721.2000000000003</v>
      </c>
      <c r="AZ102" s="100">
        <v>8.4086538461537401</v>
      </c>
      <c r="BA102" s="100">
        <v>4470.0403846153285</v>
      </c>
      <c r="BB102" s="100">
        <v>9</v>
      </c>
      <c r="BC102" s="100">
        <v>4784.4000000000005</v>
      </c>
      <c r="BD102" s="100">
        <v>10</v>
      </c>
      <c r="BE102" s="100">
        <v>5316</v>
      </c>
      <c r="BF102" s="100">
        <v>11</v>
      </c>
      <c r="BG102" s="100">
        <v>5847.6</v>
      </c>
      <c r="BH102" s="100">
        <v>13</v>
      </c>
      <c r="BI102" s="100">
        <v>6910.8</v>
      </c>
      <c r="BJ102" s="100">
        <v>9.2176975446329923</v>
      </c>
      <c r="BK102" s="100">
        <v>4900.128014726899</v>
      </c>
      <c r="BL102" s="100">
        <v>8</v>
      </c>
      <c r="BM102" s="100">
        <v>4252.8</v>
      </c>
      <c r="BN102" s="100">
        <v>8</v>
      </c>
      <c r="BO102" s="100">
        <v>4252.8</v>
      </c>
      <c r="BP102" s="100">
        <v>1.9606381727520621</v>
      </c>
      <c r="BQ102" s="100">
        <v>1042.2752526349961</v>
      </c>
      <c r="BR102" s="100">
        <v>8</v>
      </c>
      <c r="BS102" s="100">
        <v>4252.8</v>
      </c>
      <c r="BT102" s="100">
        <v>7</v>
      </c>
      <c r="BU102" s="100">
        <v>3721.2000000000003</v>
      </c>
      <c r="BV102" s="100">
        <v>10</v>
      </c>
      <c r="BW102" s="100">
        <v>5316</v>
      </c>
      <c r="BX102" s="100">
        <v>10</v>
      </c>
      <c r="BY102" s="100">
        <v>5316</v>
      </c>
      <c r="BZ102" s="100">
        <v>11</v>
      </c>
      <c r="CA102" s="100">
        <v>5847.6</v>
      </c>
      <c r="CB102" s="100">
        <v>12</v>
      </c>
      <c r="CC102" s="100">
        <v>6379.2000000000007</v>
      </c>
      <c r="CD102" s="100">
        <v>9.5590937499896622</v>
      </c>
      <c r="CE102" s="100">
        <v>5081.6142374945048</v>
      </c>
      <c r="CF102" s="100">
        <v>0</v>
      </c>
      <c r="CG102" s="100">
        <v>0</v>
      </c>
      <c r="CH102" s="100">
        <v>8</v>
      </c>
      <c r="CI102" s="100">
        <v>4252.8</v>
      </c>
      <c r="CJ102" s="100">
        <v>11.097560975609628</v>
      </c>
      <c r="CK102" s="100">
        <v>5899.4634146340786</v>
      </c>
      <c r="CL102" s="100">
        <v>7.7664974619288873</v>
      </c>
      <c r="CM102" s="100">
        <v>4128.6700507613969</v>
      </c>
      <c r="CN102" s="100">
        <v>0.64649461946546294</v>
      </c>
      <c r="CO102" s="100">
        <v>343.67653970784011</v>
      </c>
      <c r="CP102" s="100">
        <v>8</v>
      </c>
      <c r="CQ102" s="100">
        <v>4252.8</v>
      </c>
      <c r="CR102" s="100">
        <v>7</v>
      </c>
      <c r="CS102" s="100">
        <v>3721.2000000000003</v>
      </c>
      <c r="CT102" s="100">
        <v>10</v>
      </c>
      <c r="CU102" s="100">
        <v>5316</v>
      </c>
    </row>
    <row r="103" spans="2:99">
      <c r="C103" s="99" t="s">
        <v>269</v>
      </c>
      <c r="D103" s="100">
        <v>12</v>
      </c>
      <c r="E103" s="100">
        <v>7070.4</v>
      </c>
      <c r="F103" s="100">
        <v>5.9771469727526991</v>
      </c>
      <c r="G103" s="100">
        <v>3521.7349963458901</v>
      </c>
      <c r="H103" s="100">
        <v>9.426258984702871</v>
      </c>
      <c r="I103" s="100">
        <v>5553.9517937869314</v>
      </c>
      <c r="J103" s="100">
        <v>4.796260688619058</v>
      </c>
      <c r="K103" s="100">
        <v>2825.9567977343486</v>
      </c>
      <c r="L103" s="100">
        <v>10</v>
      </c>
      <c r="M103" s="100">
        <v>5891.9999999999991</v>
      </c>
      <c r="N103" s="100">
        <v>8.2889908256879554</v>
      </c>
      <c r="O103" s="100">
        <v>4883.8733944953428</v>
      </c>
      <c r="P103" s="100">
        <v>9</v>
      </c>
      <c r="Q103" s="100">
        <v>5302.7999999999993</v>
      </c>
      <c r="R103" s="100">
        <v>4.855405924933403</v>
      </c>
      <c r="S103" s="100">
        <v>2860.8051709707606</v>
      </c>
      <c r="T103" s="100">
        <v>7.1745039562466477</v>
      </c>
      <c r="U103" s="100">
        <v>4227.2177310205243</v>
      </c>
      <c r="V103" s="100">
        <v>6.6480446927373906</v>
      </c>
      <c r="W103" s="100">
        <v>3917.0279329608702</v>
      </c>
      <c r="X103" s="100">
        <v>10.867579908675735</v>
      </c>
      <c r="Y103" s="100">
        <v>6403.1780821917419</v>
      </c>
      <c r="Z103" s="100">
        <v>8</v>
      </c>
      <c r="AA103" s="100">
        <v>4713.5999999999995</v>
      </c>
      <c r="AB103" s="100">
        <v>8.2173913043477373</v>
      </c>
      <c r="AC103" s="100">
        <v>4841.6869565216866</v>
      </c>
      <c r="AD103" s="100">
        <v>9.689119170984398</v>
      </c>
      <c r="AE103" s="100">
        <v>5708.8290155440063</v>
      </c>
      <c r="AF103" s="100">
        <v>0.58038250000881375</v>
      </c>
      <c r="AG103" s="100">
        <v>341.96136900519303</v>
      </c>
      <c r="AH103" s="100">
        <v>10.515463917525711</v>
      </c>
      <c r="AI103" s="100">
        <v>6195.7113402061486</v>
      </c>
      <c r="AJ103" s="100">
        <v>6</v>
      </c>
      <c r="AK103" s="100">
        <v>3535.2</v>
      </c>
      <c r="AL103" s="100">
        <v>11</v>
      </c>
      <c r="AM103" s="100">
        <v>6481.1999999999989</v>
      </c>
      <c r="AN103" s="100">
        <v>8.0980512867535115</v>
      </c>
      <c r="AO103" s="100">
        <v>4771.3718181551685</v>
      </c>
      <c r="AP103" s="100">
        <v>8.8695652173912514</v>
      </c>
      <c r="AQ103" s="100">
        <v>5225.9478260869246</v>
      </c>
      <c r="AR103" s="100">
        <v>10.676328502415396</v>
      </c>
      <c r="AS103" s="100">
        <v>6290.4927536231507</v>
      </c>
      <c r="AT103" s="100">
        <v>9.9999999999999396</v>
      </c>
      <c r="AU103" s="100">
        <v>5891.9999999999636</v>
      </c>
      <c r="AV103" s="100">
        <v>0.71943247396925869</v>
      </c>
      <c r="AW103" s="100">
        <v>423.88961366268717</v>
      </c>
      <c r="AX103" s="100">
        <v>7</v>
      </c>
      <c r="AY103" s="100">
        <v>4124.3999999999996</v>
      </c>
      <c r="AZ103" s="100">
        <v>8.4086538461537401</v>
      </c>
      <c r="BA103" s="100">
        <v>4954.3788461537833</v>
      </c>
      <c r="BB103" s="100">
        <v>10</v>
      </c>
      <c r="BC103" s="100">
        <v>5891.9999999999991</v>
      </c>
      <c r="BD103" s="100">
        <v>10</v>
      </c>
      <c r="BE103" s="100">
        <v>5891.9999999999991</v>
      </c>
      <c r="BF103" s="100">
        <v>10</v>
      </c>
      <c r="BG103" s="100">
        <v>5891.9999999999991</v>
      </c>
      <c r="BH103" s="100">
        <v>12</v>
      </c>
      <c r="BI103" s="100">
        <v>7070.4</v>
      </c>
      <c r="BJ103" s="100">
        <v>8.2959277901696939</v>
      </c>
      <c r="BK103" s="100">
        <v>4887.9606539679835</v>
      </c>
      <c r="BL103" s="100">
        <v>8</v>
      </c>
      <c r="BM103" s="100">
        <v>4713.5999999999995</v>
      </c>
      <c r="BN103" s="100">
        <v>8</v>
      </c>
      <c r="BO103" s="100">
        <v>4713.5999999999995</v>
      </c>
      <c r="BP103" s="100">
        <v>1.9606381727520621</v>
      </c>
      <c r="BQ103" s="100">
        <v>1155.2080113855147</v>
      </c>
      <c r="BR103" s="100">
        <v>8</v>
      </c>
      <c r="BS103" s="100">
        <v>4713.5999999999995</v>
      </c>
      <c r="BT103" s="100">
        <v>7</v>
      </c>
      <c r="BU103" s="100">
        <v>4124.3999999999996</v>
      </c>
      <c r="BV103" s="100">
        <v>11</v>
      </c>
      <c r="BW103" s="100">
        <v>6481.1999999999989</v>
      </c>
      <c r="BX103" s="100">
        <v>11</v>
      </c>
      <c r="BY103" s="100">
        <v>6481.1999999999989</v>
      </c>
      <c r="BZ103" s="100">
        <v>11</v>
      </c>
      <c r="CA103" s="100">
        <v>6481.1999999999989</v>
      </c>
      <c r="CB103" s="100">
        <v>13</v>
      </c>
      <c r="CC103" s="100">
        <v>7659.5999999999995</v>
      </c>
      <c r="CD103" s="100">
        <v>10.515003124988629</v>
      </c>
      <c r="CE103" s="100">
        <v>6195.4398412432993</v>
      </c>
      <c r="CF103" s="100">
        <v>0</v>
      </c>
      <c r="CG103" s="100">
        <v>0</v>
      </c>
      <c r="CH103" s="100">
        <v>7</v>
      </c>
      <c r="CI103" s="100">
        <v>4124.3999999999996</v>
      </c>
      <c r="CJ103" s="100">
        <v>10.243902439024273</v>
      </c>
      <c r="CK103" s="100">
        <v>6035.707317073101</v>
      </c>
      <c r="CL103" s="100">
        <v>6.9035532994923434</v>
      </c>
      <c r="CM103" s="100">
        <v>4067.5736040608881</v>
      </c>
      <c r="CN103" s="100">
        <v>0.54703390877846858</v>
      </c>
      <c r="CO103" s="100">
        <v>322.31237905227363</v>
      </c>
      <c r="CP103" s="100">
        <v>10</v>
      </c>
      <c r="CQ103" s="100">
        <v>5891.9999999999991</v>
      </c>
      <c r="CR103" s="100">
        <v>7</v>
      </c>
      <c r="CS103" s="100">
        <v>4124.3999999999996</v>
      </c>
      <c r="CT103" s="100">
        <v>10</v>
      </c>
      <c r="CU103" s="100">
        <v>5891.9999999999991</v>
      </c>
    </row>
    <row r="104" spans="2:99">
      <c r="C104" s="99" t="s">
        <v>270</v>
      </c>
      <c r="D104" s="100">
        <v>10</v>
      </c>
      <c r="E104" s="100">
        <v>6324</v>
      </c>
      <c r="F104" s="100">
        <v>5.4337699752297262</v>
      </c>
      <c r="G104" s="100">
        <v>3436.3161323352788</v>
      </c>
      <c r="H104" s="100">
        <v>9.426258984702871</v>
      </c>
      <c r="I104" s="100">
        <v>5961.1661819260953</v>
      </c>
      <c r="J104" s="100">
        <v>4.796260688619058</v>
      </c>
      <c r="K104" s="100">
        <v>3033.1552594826921</v>
      </c>
      <c r="L104" s="100">
        <v>10</v>
      </c>
      <c r="M104" s="100">
        <v>6324</v>
      </c>
      <c r="N104" s="100">
        <v>8.2889908256879554</v>
      </c>
      <c r="O104" s="100">
        <v>5241.9577981650627</v>
      </c>
      <c r="P104" s="100">
        <v>11</v>
      </c>
      <c r="Q104" s="100">
        <v>6956.4</v>
      </c>
      <c r="R104" s="100">
        <v>5.6646402457556375</v>
      </c>
      <c r="S104" s="100">
        <v>3582.3184914158651</v>
      </c>
      <c r="T104" s="100">
        <v>7.7723792859338685</v>
      </c>
      <c r="U104" s="100">
        <v>4915.2526604245786</v>
      </c>
      <c r="V104" s="100">
        <v>6.6480446927373906</v>
      </c>
      <c r="W104" s="100">
        <v>4204.2234636871253</v>
      </c>
      <c r="X104" s="100">
        <v>10.091324200913183</v>
      </c>
      <c r="Y104" s="100">
        <v>6381.7534246574969</v>
      </c>
      <c r="Z104" s="100">
        <v>9</v>
      </c>
      <c r="AA104" s="100">
        <v>5691.5999999999995</v>
      </c>
      <c r="AB104" s="100">
        <v>10.043478260869458</v>
      </c>
      <c r="AC104" s="100">
        <v>6351.495652173845</v>
      </c>
      <c r="AD104" s="100">
        <v>10.569948186528434</v>
      </c>
      <c r="AE104" s="100">
        <v>6684.4352331605814</v>
      </c>
      <c r="AF104" s="100">
        <v>0.58038250000881375</v>
      </c>
      <c r="AG104" s="100">
        <v>367.03389300557382</v>
      </c>
      <c r="AH104" s="100">
        <v>9.6391752577319014</v>
      </c>
      <c r="AI104" s="100">
        <v>6095.8144329896541</v>
      </c>
      <c r="AJ104" s="100">
        <v>7</v>
      </c>
      <c r="AK104" s="100">
        <v>4426.8</v>
      </c>
      <c r="AL104" s="100">
        <v>11</v>
      </c>
      <c r="AM104" s="100">
        <v>6956.4</v>
      </c>
      <c r="AN104" s="100">
        <v>8.0980512867535115</v>
      </c>
      <c r="AO104" s="100">
        <v>5121.2076337429207</v>
      </c>
      <c r="AP104" s="100">
        <v>8.8695652173912514</v>
      </c>
      <c r="AQ104" s="100">
        <v>5609.1130434782272</v>
      </c>
      <c r="AR104" s="100">
        <v>10.676328502415396</v>
      </c>
      <c r="AS104" s="100">
        <v>6751.710144927496</v>
      </c>
      <c r="AT104" s="100">
        <v>9.9999999999999396</v>
      </c>
      <c r="AU104" s="100">
        <v>6323.9999999999618</v>
      </c>
      <c r="AV104" s="100">
        <v>0.61665640625936469</v>
      </c>
      <c r="AW104" s="100">
        <v>389.9735113184222</v>
      </c>
      <c r="AX104" s="100">
        <v>8</v>
      </c>
      <c r="AY104" s="100">
        <v>5059.2</v>
      </c>
      <c r="AZ104" s="100">
        <v>8.4086538461537401</v>
      </c>
      <c r="BA104" s="100">
        <v>5317.6326923076249</v>
      </c>
      <c r="BB104" s="100">
        <v>10</v>
      </c>
      <c r="BC104" s="100">
        <v>6324</v>
      </c>
      <c r="BD104" s="100">
        <v>11</v>
      </c>
      <c r="BE104" s="100">
        <v>6956.4</v>
      </c>
      <c r="BF104" s="100">
        <v>12</v>
      </c>
      <c r="BG104" s="100">
        <v>7588.7999999999993</v>
      </c>
      <c r="BH104" s="100">
        <v>14</v>
      </c>
      <c r="BI104" s="100">
        <v>8853.6</v>
      </c>
      <c r="BJ104" s="100">
        <v>9.2176975446329923</v>
      </c>
      <c r="BK104" s="100">
        <v>5829.2719272259037</v>
      </c>
      <c r="BL104" s="100">
        <v>8</v>
      </c>
      <c r="BM104" s="100">
        <v>5059.2</v>
      </c>
      <c r="BN104" s="100">
        <v>8</v>
      </c>
      <c r="BO104" s="100">
        <v>5059.2</v>
      </c>
      <c r="BP104" s="100">
        <v>1.9606381727520621</v>
      </c>
      <c r="BQ104" s="100">
        <v>1239.9075804484041</v>
      </c>
      <c r="BR104" s="100">
        <v>7</v>
      </c>
      <c r="BS104" s="100">
        <v>4426.8</v>
      </c>
      <c r="BT104" s="100">
        <v>8</v>
      </c>
      <c r="BU104" s="100">
        <v>5059.2</v>
      </c>
      <c r="BV104" s="100">
        <v>11</v>
      </c>
      <c r="BW104" s="100">
        <v>6956.4</v>
      </c>
      <c r="BX104" s="100">
        <v>11</v>
      </c>
      <c r="BY104" s="100">
        <v>6956.4</v>
      </c>
      <c r="BZ104" s="100">
        <v>10</v>
      </c>
      <c r="CA104" s="100">
        <v>6324</v>
      </c>
      <c r="CB104" s="100">
        <v>12</v>
      </c>
      <c r="CC104" s="100">
        <v>7588.7999999999993</v>
      </c>
      <c r="CD104" s="100">
        <v>9.5590937499896622</v>
      </c>
      <c r="CE104" s="100">
        <v>6045.170887493462</v>
      </c>
      <c r="CF104" s="100">
        <v>0</v>
      </c>
      <c r="CG104" s="100">
        <v>0</v>
      </c>
      <c r="CH104" s="100">
        <v>9</v>
      </c>
      <c r="CI104" s="100">
        <v>5691.5999999999995</v>
      </c>
      <c r="CJ104" s="100">
        <v>9.3902439024389164</v>
      </c>
      <c r="CK104" s="100">
        <v>5938.3902439023705</v>
      </c>
      <c r="CL104" s="100">
        <v>7.7664974619288873</v>
      </c>
      <c r="CM104" s="100">
        <v>4911.5329949238285</v>
      </c>
      <c r="CN104" s="100">
        <v>0.64649461946546294</v>
      </c>
      <c r="CO104" s="100">
        <v>408.84319734995876</v>
      </c>
      <c r="CP104" s="100">
        <v>9</v>
      </c>
      <c r="CQ104" s="100">
        <v>5691.5999999999995</v>
      </c>
      <c r="CR104" s="100">
        <v>7</v>
      </c>
      <c r="CS104" s="100">
        <v>4426.8</v>
      </c>
      <c r="CT104" s="100">
        <v>9</v>
      </c>
      <c r="CU104" s="100">
        <v>5691.5999999999995</v>
      </c>
    </row>
    <row r="105" spans="2:99">
      <c r="C105" s="99" t="s">
        <v>271</v>
      </c>
      <c r="D105" s="100">
        <v>10</v>
      </c>
      <c r="E105" s="100">
        <v>5568</v>
      </c>
      <c r="F105" s="100">
        <v>6.5205239702756721</v>
      </c>
      <c r="G105" s="100">
        <v>3630.6277466494939</v>
      </c>
      <c r="H105" s="100">
        <v>8.640737402644298</v>
      </c>
      <c r="I105" s="100">
        <v>4811.1625857923445</v>
      </c>
      <c r="J105" s="100">
        <v>4.796260688619058</v>
      </c>
      <c r="K105" s="100">
        <v>2670.5579514230913</v>
      </c>
      <c r="L105" s="100">
        <v>11</v>
      </c>
      <c r="M105" s="100">
        <v>6124.7999999999993</v>
      </c>
      <c r="N105" s="100">
        <v>8.2889908256879554</v>
      </c>
      <c r="O105" s="100">
        <v>4615.3100917430529</v>
      </c>
      <c r="P105" s="100">
        <v>9</v>
      </c>
      <c r="Q105" s="100">
        <v>5011.2</v>
      </c>
      <c r="R105" s="100">
        <v>6.4738745665778712</v>
      </c>
      <c r="S105" s="100">
        <v>3604.6533586705582</v>
      </c>
      <c r="T105" s="100">
        <v>6.5766286265594269</v>
      </c>
      <c r="U105" s="100">
        <v>3661.8668192682885</v>
      </c>
      <c r="V105" s="100">
        <v>7.5977653631284463</v>
      </c>
      <c r="W105" s="100">
        <v>4230.435754189919</v>
      </c>
      <c r="X105" s="100">
        <v>9.3150684931506298</v>
      </c>
      <c r="Y105" s="100">
        <v>5186.6301369862704</v>
      </c>
      <c r="Z105" s="100">
        <v>8</v>
      </c>
      <c r="AA105" s="100">
        <v>4454.3999999999996</v>
      </c>
      <c r="AB105" s="100">
        <v>10.043478260869458</v>
      </c>
      <c r="AC105" s="100">
        <v>5592.2086956521134</v>
      </c>
      <c r="AD105" s="100">
        <v>11.450777202072471</v>
      </c>
      <c r="AE105" s="100">
        <v>6375.7927461139516</v>
      </c>
      <c r="AF105" s="100">
        <v>0.50783468750771199</v>
      </c>
      <c r="AG105" s="100">
        <v>282.76235400429402</v>
      </c>
      <c r="AH105" s="100">
        <v>9.6391752577319014</v>
      </c>
      <c r="AI105" s="100">
        <v>5367.0927835051225</v>
      </c>
      <c r="AJ105" s="100">
        <v>6</v>
      </c>
      <c r="AK105" s="100">
        <v>3340.7999999999997</v>
      </c>
      <c r="AL105" s="100">
        <v>10</v>
      </c>
      <c r="AM105" s="100">
        <v>5568</v>
      </c>
      <c r="AN105" s="100">
        <v>7.1982678104475655</v>
      </c>
      <c r="AO105" s="100">
        <v>4007.9955168572042</v>
      </c>
      <c r="AP105" s="100">
        <v>8.8695652173912514</v>
      </c>
      <c r="AQ105" s="100">
        <v>4938.5739130434486</v>
      </c>
      <c r="AR105" s="100">
        <v>11.497584541062734</v>
      </c>
      <c r="AS105" s="100">
        <v>6401.8550724637298</v>
      </c>
      <c r="AT105" s="100">
        <v>9.9999999999999396</v>
      </c>
      <c r="AU105" s="100">
        <v>5567.9999999999663</v>
      </c>
      <c r="AV105" s="100">
        <v>0.71943247396925869</v>
      </c>
      <c r="AW105" s="100">
        <v>400.58000150608319</v>
      </c>
      <c r="AX105" s="100">
        <v>8</v>
      </c>
      <c r="AY105" s="100">
        <v>4454.3999999999996</v>
      </c>
      <c r="AZ105" s="100">
        <v>8.4086538461537401</v>
      </c>
      <c r="BA105" s="100">
        <v>4681.9384615384024</v>
      </c>
      <c r="BB105" s="100">
        <v>9</v>
      </c>
      <c r="BC105" s="100">
        <v>5011.2</v>
      </c>
      <c r="BD105" s="100">
        <v>10</v>
      </c>
      <c r="BE105" s="100">
        <v>5568</v>
      </c>
      <c r="BF105" s="100">
        <v>11</v>
      </c>
      <c r="BG105" s="100">
        <v>6124.7999999999993</v>
      </c>
      <c r="BH105" s="100">
        <v>12</v>
      </c>
      <c r="BI105" s="100">
        <v>6681.5999999999995</v>
      </c>
      <c r="BJ105" s="100">
        <v>8.2959277901696939</v>
      </c>
      <c r="BK105" s="100">
        <v>4619.1725935664854</v>
      </c>
      <c r="BL105" s="100">
        <v>8</v>
      </c>
      <c r="BM105" s="100">
        <v>4454.3999999999996</v>
      </c>
      <c r="BN105" s="100">
        <v>8</v>
      </c>
      <c r="BO105" s="100">
        <v>4454.3999999999996</v>
      </c>
      <c r="BP105" s="100">
        <v>1.9606381727520621</v>
      </c>
      <c r="BQ105" s="100">
        <v>1091.6833345883481</v>
      </c>
      <c r="BR105" s="100">
        <v>8</v>
      </c>
      <c r="BS105" s="100">
        <v>4454.3999999999996</v>
      </c>
      <c r="BT105" s="100">
        <v>7</v>
      </c>
      <c r="BU105" s="100">
        <v>3897.5999999999995</v>
      </c>
      <c r="BV105" s="100">
        <v>11</v>
      </c>
      <c r="BW105" s="100">
        <v>6124.7999999999993</v>
      </c>
      <c r="BX105" s="100">
        <v>11</v>
      </c>
      <c r="BY105" s="100">
        <v>6124.7999999999993</v>
      </c>
      <c r="BZ105" s="100">
        <v>10</v>
      </c>
      <c r="CA105" s="100">
        <v>5568</v>
      </c>
      <c r="CB105" s="100">
        <v>13</v>
      </c>
      <c r="CC105" s="100">
        <v>7238.4</v>
      </c>
      <c r="CD105" s="100">
        <v>10.515003124988629</v>
      </c>
      <c r="CE105" s="100">
        <v>5854.7537399936682</v>
      </c>
      <c r="CF105" s="100">
        <v>0</v>
      </c>
      <c r="CG105" s="100">
        <v>0</v>
      </c>
      <c r="CH105" s="100">
        <v>7</v>
      </c>
      <c r="CI105" s="100">
        <v>3897.5999999999995</v>
      </c>
      <c r="CJ105" s="100">
        <v>9.3902439024389164</v>
      </c>
      <c r="CK105" s="100">
        <v>5228.4878048779883</v>
      </c>
      <c r="CL105" s="100">
        <v>6.9035532994923434</v>
      </c>
      <c r="CM105" s="100">
        <v>3843.8984771573364</v>
      </c>
      <c r="CN105" s="100">
        <v>0.64649461946546294</v>
      </c>
      <c r="CO105" s="100">
        <v>359.96820411836973</v>
      </c>
      <c r="CP105" s="100">
        <v>9</v>
      </c>
      <c r="CQ105" s="100">
        <v>5011.2</v>
      </c>
      <c r="CR105" s="100">
        <v>7</v>
      </c>
      <c r="CS105" s="100">
        <v>3897.5999999999995</v>
      </c>
      <c r="CT105" s="100">
        <v>9</v>
      </c>
      <c r="CU105" s="100">
        <v>5011.2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381.89050151021814</v>
      </c>
      <c r="E109" s="100">
        <f>SUM(L$6:L$19)+SUM(N$6:N$19)+SUM(P$6:P$19)+SUM(R$6:R$19)</f>
        <v>453</v>
      </c>
      <c r="F109" s="100">
        <f>SUM(T$6:T$19)+SUM(V$6:V$19)+SUM(X$6:X$19)+SUM(Z$6:Z$19)</f>
        <v>468.30757315260723</v>
      </c>
      <c r="G109" s="100">
        <f>SUM(AB$6:AB$19)+SUM(AD$6:AD$19)+SUM(AF$6:AF$19)+SUM(AH$6:AH$19)</f>
        <v>487.5247736494274</v>
      </c>
      <c r="H109" s="100">
        <f>SUM(AJ$6:AJ$19)+SUM(AL$6:AL$19)+SUM(AN$6:AN$19)+SUM(AP$6:AP$19)</f>
        <v>386.12536536346903</v>
      </c>
      <c r="I109" s="100">
        <f>SUM(AR$6:AR$19)+SUM(AT$6:AT$19)+SUM(AV$6:AV$19)+SUM(AX$6:AX$19)</f>
        <v>342</v>
      </c>
      <c r="J109" s="100">
        <f>SUM(AZ$6:AZ$19)+SUM(BB$6:BB$19)+SUM(BD$6:BD$19)+SUM(BF$6:BF$19)</f>
        <v>516.81564251924931</v>
      </c>
      <c r="K109" s="100">
        <f>SUM(BH$6:BH$19)+SUM(BJ$6:BJ$19)+SUM(BL$6:BL$19)+SUM(BN$6:BN$19)</f>
        <v>465.3797633422771</v>
      </c>
      <c r="L109" s="100">
        <f>SUM(BP$6:BP$19)+SUM(BR$6:BR$19)+SUM(BT$6:BT$19)+SUM(BV$6:BV$19)</f>
        <v>571.30930824642496</v>
      </c>
      <c r="M109" s="100">
        <f>SUM(BX$6:BX$19)+SUM(BZ$6:BZ$19)+SUM(CB$6:CB$19)+SUM(CD$6:CD$19)</f>
        <v>328.17055454096572</v>
      </c>
      <c r="N109" s="100">
        <f>SUM(CF$6:CF$19)+SUM(CH$6:CH$19)+SUM(CJ$6:CJ$19)+SUM(CL$6:CL$19)</f>
        <v>585</v>
      </c>
      <c r="O109" s="100">
        <f>SUM(CN$6:CN$19)+SUM(CP$6:CP$19)+SUM(CR$6:CR$19)+SUM(CT$6:CT$19)</f>
        <v>486.42069038483282</v>
      </c>
    </row>
    <row r="110" spans="2:99">
      <c r="C110" s="99" t="s">
        <v>127</v>
      </c>
      <c r="D110" s="100">
        <f>SUM(D$20:D$36)+SUM(F$20:F$36)+SUM(H$20:H$36)+SUM(J$20:J$36)</f>
        <v>815.61451183243514</v>
      </c>
      <c r="E110" s="100">
        <f>SUM(L$20:L$36)+SUM(N$20:N$36)+SUM(P$20:P$36)+SUM(R$20:R$36)</f>
        <v>1142</v>
      </c>
      <c r="F110" s="100">
        <f>SUM(T$20:T$36)+SUM(V$20:V$36)+SUM(X$20:X$36)+SUM(Z$20:Z$36)</f>
        <v>990.26156163769735</v>
      </c>
      <c r="G110" s="100">
        <f>SUM(AB$20:AB$36)+SUM(AD$20:AD$36)+SUM(AF$20:AF$36)+SUM(AH$20:AH$36)</f>
        <v>996.09562047376392</v>
      </c>
      <c r="H110" s="100">
        <f>SUM(AJ$20:AJ$36)+SUM(AL$20:AL$36)+SUM(AN$20:AN$36)+SUM(AP$20:AP$36)</f>
        <v>815.9874595588235</v>
      </c>
      <c r="I110" s="100">
        <f>SUM(AR$20:AR$36)+SUM(AT$20:AT$36)+SUM(AV$20:AV$36)+SUM(AX$20:AX$36)</f>
        <v>905</v>
      </c>
      <c r="J110" s="100">
        <f>SUM(AZ$20:AZ$36)+SUM(BB$20:BB$36)+SUM(BD$20:BD$36)+SUM(BF$20:BF$36)</f>
        <v>1017.942861257325</v>
      </c>
      <c r="K110" s="100">
        <f>SUM(BH$20:BH$36)+SUM(BJ$20:BJ$36)+SUM(BL$20:BL$36)+SUM(BN$20:BN$36)</f>
        <v>1128.5712320480973</v>
      </c>
      <c r="L110" s="100">
        <f>SUM(BP$20:BP$36)+SUM(BR$20:BR$36)+SUM(BT$20:BT$36)+SUM(BV$20:BV$36)</f>
        <v>1239.2768294512332</v>
      </c>
      <c r="M110" s="100">
        <f>SUM(BX$20:BX$36)+SUM(BZ$20:BZ$36)+SUM(CB$20:CB$36)+SUM(CD$20:CD$36)</f>
        <v>591.27179463145308</v>
      </c>
      <c r="N110" s="100">
        <f>SUM(CF$20:CF$36)+SUM(CH$20:CH$36)+SUM(CJ$20:CJ$36)+SUM(CL$20:CL$36)</f>
        <v>1226</v>
      </c>
      <c r="O110" s="100">
        <f>SUM(CN$20:CN$36)+SUM(CP$20:CP$36)+SUM(CR$20:CR$36)+SUM(CT$20:CT$36)</f>
        <v>1044.6680770385378</v>
      </c>
    </row>
    <row r="111" spans="2:99">
      <c r="C111" s="99" t="s">
        <v>128</v>
      </c>
      <c r="D111" s="100">
        <f>SUM(D$37:D$48)+SUM(F$37:F$48)+SUM(H$37:H$48)+SUM(J$37:J$48)</f>
        <v>467.28165997633477</v>
      </c>
      <c r="E111" s="100">
        <f>SUM(L$37:L$48)+SUM(N$37:N$48)+SUM(P$37:P$48)+SUM(R$37:R$48)</f>
        <v>565</v>
      </c>
      <c r="F111" s="100">
        <f>SUM(T$37:T$48)+SUM(V$37:V$48)+SUM(X$37:X$48)+SUM(Z$37:Z$48)</f>
        <v>406.85269264152447</v>
      </c>
      <c r="G111" s="100">
        <f>SUM(AB$37:AB$48)+SUM(AD$37:AD$48)+SUM(AF$37:AF$48)+SUM(AH$37:AH$48)</f>
        <v>453.58096014478696</v>
      </c>
      <c r="H111" s="100">
        <f>SUM(AJ$37:AJ$48)+SUM(AL$37:AL$48)+SUM(AN$37:AN$48)+SUM(AP$37:AP$48)</f>
        <v>423.62676882350951</v>
      </c>
      <c r="I111" s="100">
        <f>SUM(AR$37:AR$48)+SUM(AT$37:AT$48)+SUM(AV$37:AV$48)+SUM(AX$37:AX$48)</f>
        <v>395</v>
      </c>
      <c r="J111" s="100">
        <f>SUM(AZ$37:AZ$48)+SUM(BB$37:BB$48)+SUM(BD$37:BD$48)+SUM(BF$37:BF$48)</f>
        <v>494.61113080795189</v>
      </c>
      <c r="K111" s="100">
        <f>SUM(BH$37:BH$48)+SUM(BJ$37:BJ$48)+SUM(BL$37:BL$48)+SUM(BN$37:BN$48)</f>
        <v>399.2772222962007</v>
      </c>
      <c r="L111" s="100">
        <f>SUM(BP$37:BP$48)+SUM(BR$37:BR$48)+SUM(BT$37:BT$48)+SUM(BV$37:BV$48)</f>
        <v>499.14069515743006</v>
      </c>
      <c r="M111" s="100">
        <f>SUM(BX$37:BX$48)+SUM(BZ$37:BZ$48)+SUM(CB$37:CB$48)+SUM(CD$37:CD$48)</f>
        <v>239.50802329094014</v>
      </c>
      <c r="N111" s="100">
        <f>SUM(CF$37:CF$48)+SUM(CH$37:CH$48)+SUM(CJ$37:CJ$48)+SUM(CL$37:CL$48)</f>
        <v>513</v>
      </c>
      <c r="O111" s="100">
        <f>SUM(CN$37:CN$48)+SUM(CP$37:CP$48)+SUM(CR$37:CR$48)+SUM(CT$37:CT$48)</f>
        <v>404.47388178944095</v>
      </c>
    </row>
    <row r="112" spans="2:99">
      <c r="C112" s="99" t="s">
        <v>129</v>
      </c>
      <c r="D112" s="100">
        <f>SUM(D$49:D$70)+SUM(F$49:F$70)+SUM(H$49:H$70)+SUM(J$49:J$70)</f>
        <v>450.67480894505962</v>
      </c>
      <c r="E112" s="100">
        <f>SUM(L$49:L$70)+SUM(N$49:N$70)+SUM(P$49:P$70)+SUM(R$49:R$70)</f>
        <v>863.36468295689292</v>
      </c>
      <c r="F112" s="100">
        <f>SUM(T$49:T$70)+SUM(V$49:V$70)+SUM(X$49:X$70)+SUM(Z$49:Z$70)</f>
        <v>659.24068667205484</v>
      </c>
      <c r="G112" s="100">
        <f>SUM(AB$49:AB$70)+SUM(AD$49:AD$70)+SUM(AF$49:AF$70)+SUM(AH$49:AH$70)</f>
        <v>643.7740515893837</v>
      </c>
      <c r="H112" s="100">
        <f>SUM(AJ$49:AJ$70)+SUM(AL$49:AL$70)+SUM(AN$49:AN$70)+SUM(AP$49:AP$70)</f>
        <v>509.74527689371723</v>
      </c>
      <c r="I112" s="100">
        <f>SUM(AR$49:AR$70)+SUM(AT$49:AT$70)+SUM(AV$49:AV$70)+SUM(AX$49:AX$70)</f>
        <v>695.01677204900238</v>
      </c>
      <c r="J112" s="100">
        <f>SUM(AZ$49:AZ$70)+SUM(BB$49:BB$70)+SUM(BD$49:BD$70)+SUM(BF$49:BF$70)</f>
        <v>665.66511170766762</v>
      </c>
      <c r="K112" s="100">
        <f>SUM(BH$49:BH$70)+SUM(BJ$49:BJ$70)+SUM(BL$49:BL$70)+SUM(BN$49:BN$70)</f>
        <v>606.17281189400796</v>
      </c>
      <c r="L112" s="100">
        <f>SUM(BP$49:BP$70)+SUM(BR$49:BR$70)+SUM(BT$49:BT$70)+SUM(BV$49:BV$70)</f>
        <v>670.26943465994168</v>
      </c>
      <c r="M112" s="100">
        <f>SUM(BX$49:BX$70)+SUM(BZ$49:BZ$70)+SUM(CB$49:CB$70)+SUM(CD$49:CD$70)</f>
        <v>364.35246917884172</v>
      </c>
      <c r="N112" s="100">
        <f>SUM(CF$49:CF$70)+SUM(CH$49:CH$70)+SUM(CJ$49:CJ$70)+SUM(CL$49:CL$70)</f>
        <v>636.54390705727565</v>
      </c>
      <c r="O112" s="100">
        <f>SUM(CN$49:CN$70)+SUM(CP$49:CP$70)+SUM(CR$49:CR$70)+SUM(CT$49:CT$70)</f>
        <v>565.02215744950092</v>
      </c>
    </row>
    <row r="113" spans="2:15">
      <c r="C113" s="99" t="s">
        <v>130</v>
      </c>
      <c r="D113" s="100">
        <f>SUM(D$71:D$86)+SUM(F$71:F$86)+SUM(H$71:H$86)+SUM(J$71:J$86)</f>
        <v>460.59350836953257</v>
      </c>
      <c r="E113" s="100">
        <f>SUM(L$71:L$86)+SUM(N$71:N$86)+SUM(P$71:P$86)+SUM(R$71:R$86)</f>
        <v>625</v>
      </c>
      <c r="F113" s="100">
        <f>SUM(T$71:T$86)+SUM(V$71:V$86)+SUM(X$71:X$86)+SUM(Z$71:Z$86)</f>
        <v>547.8740493500286</v>
      </c>
      <c r="G113" s="100">
        <f>SUM(AB$71:AB$86)+SUM(AD$71:AD$86)+SUM(AF$71:AF$86)+SUM(AH$71:AH$86)</f>
        <v>616</v>
      </c>
      <c r="H113" s="100">
        <f>SUM(AJ$71:AJ$86)+SUM(AL$71:AL$86)+SUM(AN$71:AN$86)+SUM(AP$71:AP$86)</f>
        <v>674.64594331875196</v>
      </c>
      <c r="I113" s="100">
        <f>SUM(AR$71:AR$86)+SUM(AT$71:AT$86)+SUM(AV$71:AV$86)+SUM(AX$71:AX$86)</f>
        <v>651</v>
      </c>
      <c r="J113" s="100">
        <f>SUM(AZ$71:AZ$86)+SUM(BB$71:BB$86)+SUM(BD$71:BD$86)+SUM(BF$71:BF$86)</f>
        <v>557.24205890012877</v>
      </c>
      <c r="K113" s="100">
        <f>SUM(BH$71:BH$86)+SUM(BJ$71:BJ$86)+SUM(BL$71:BL$86)+SUM(BN$71:BN$86)</f>
        <v>623.81132075471578</v>
      </c>
      <c r="L113" s="100">
        <f>SUM(BP$71:BP$86)+SUM(BR$71:BR$86)+SUM(BT$71:BT$86)+SUM(BV$71:BV$86)</f>
        <v>679</v>
      </c>
      <c r="M113" s="100">
        <f>SUM(BX$71:BX$86)+SUM(BZ$71:BZ$86)+SUM(CB$71:CB$86)+SUM(CD$71:CD$86)</f>
        <v>607.34399811935737</v>
      </c>
      <c r="N113" s="100">
        <f>SUM(CF$71:CF$86)+SUM(CH$71:CH$86)+SUM(CJ$71:CJ$86)+SUM(CL$71:CL$86)</f>
        <v>660.07389658268062</v>
      </c>
      <c r="O113" s="100">
        <f>SUM(CN$71:CN$86)+SUM(CP$71:CP$86)+SUM(CR$71:CR$86)+SUM(CT$71:CT$86)</f>
        <v>812.23139229997537</v>
      </c>
    </row>
    <row r="114" spans="2:15">
      <c r="C114" s="99" t="s">
        <v>131</v>
      </c>
      <c r="D114" s="100">
        <f>SUM(D$87:D$94)+SUM(F$87:F$94)+SUM(H$87:H$94)+SUM(J$87:J$94)</f>
        <v>201.67549693322701</v>
      </c>
      <c r="E114" s="100">
        <f>SUM(L$87:L$94)+SUM(N$87:N$94)+SUM(P$87:P$94)+SUM(R$87:R$94)</f>
        <v>217.81612722819801</v>
      </c>
      <c r="F114" s="100">
        <f>SUM(T$87:T$94)+SUM(V$87:V$94)+SUM(X$87:X$94)+SUM(Z$87:Z$94)</f>
        <v>210.48254213761501</v>
      </c>
      <c r="G114" s="100">
        <f>SUM(AB$87:AB$94)+SUM(AD$87:AD$94)+SUM(AF$87:AF$94)+SUM(AH$87:AH$94)</f>
        <v>168.00135422499625</v>
      </c>
      <c r="H114" s="100">
        <f>SUM(AJ$87:AJ$94)+SUM(AL$87:AL$94)+SUM(AN$87:AN$94)+SUM(AP$87:AP$94)</f>
        <v>244.1159103429008</v>
      </c>
      <c r="I114" s="100">
        <f>SUM(AR$87:AR$94)+SUM(AT$87:AT$94)+SUM(AV$87:AV$94)+SUM(AX$87:AX$94)</f>
        <v>166.57021803222085</v>
      </c>
      <c r="J114" s="100">
        <f>SUM(AZ$87:AZ$94)+SUM(BB$87:BB$94)+SUM(BD$87:BD$94)+SUM(BF$87:BF$94)</f>
        <v>282.33173076923003</v>
      </c>
      <c r="K114" s="100">
        <f>SUM(BH$87:BH$94)+SUM(BJ$87:BJ$94)+SUM(BL$87:BL$94)+SUM(BN$87:BN$94)</f>
        <v>253.21096183028413</v>
      </c>
      <c r="L114" s="100">
        <f>SUM(BP$87:BP$94)+SUM(BR$87:BR$94)+SUM(BT$87:BT$94)+SUM(BV$87:BV$94)</f>
        <v>221.56474071187245</v>
      </c>
      <c r="M114" s="100">
        <f>SUM(BX$87:BX$94)+SUM(BZ$87:BZ$94)+SUM(CB$87:CB$94)+SUM(CD$87:CD$94)</f>
        <v>287.17819999993384</v>
      </c>
      <c r="N114" s="100">
        <f>SUM(CF$87:CF$94)+SUM(CH$87:CH$94)+SUM(CJ$87:CJ$94)+SUM(CL$87:CL$94)</f>
        <v>203.70446948124192</v>
      </c>
      <c r="O114" s="100">
        <f>SUM(CN$87:CN$94)+SUM(CP$87:CP$94)+SUM(CR$87:CR$94)+SUM(CT$87:CT$94)</f>
        <v>259.67465340228875</v>
      </c>
    </row>
    <row r="115" spans="2:15">
      <c r="C115" s="99" t="s">
        <v>132</v>
      </c>
      <c r="D115" s="100">
        <f>SUM(D$95:D$105)+SUM(F$95:F$105)+SUM(H$95:H$105)+SUM(J$95:J$105)</f>
        <v>340.13420866134061</v>
      </c>
      <c r="E115" s="100">
        <f>SUM(L$95:L$105)+SUM(N$95:N$105)+SUM(P$95:P$105)+SUM(R$95:R$105)</f>
        <v>373.81672731715361</v>
      </c>
      <c r="F115" s="100">
        <f>SUM(T$95:T$105)+SUM(V$95:V$105)+SUM(X$95:X$105)+SUM(Z$95:Z$105)</f>
        <v>355.05294262592514</v>
      </c>
      <c r="G115" s="100">
        <f>SUM(AB$95:AB$105)+SUM(AD$95:AD$105)+SUM(AF$95:AF$105)+SUM(AH$95:AH$105)</f>
        <v>327.75381804381988</v>
      </c>
      <c r="H115" s="100">
        <f>SUM(AJ$95:AJ$105)+SUM(AL$95:AL$105)+SUM(AN$95:AN$105)+SUM(AP$95:AP$105)</f>
        <v>369.305517205586</v>
      </c>
      <c r="I115" s="100">
        <f>SUM(AR$95:AR$105)+SUM(AT$95:AT$105)+SUM(AV$95:AV$105)+SUM(AX$95:AX$105)</f>
        <v>310.74613804396211</v>
      </c>
      <c r="J115" s="100">
        <f>SUM(AZ$95:AZ$105)+SUM(BB$95:BB$105)+SUM(BD$95:BD$105)+SUM(BF$95:BF$105)</f>
        <v>425.966346153845</v>
      </c>
      <c r="K115" s="100">
        <f>SUM(BH$95:BH$105)+SUM(BJ$95:BJ$105)+SUM(BL$95:BL$105)+SUM(BN$95:BN$105)</f>
        <v>404.94228470971984</v>
      </c>
      <c r="L115" s="100">
        <f>SUM(BP$95:BP$105)+SUM(BR$95:BR$105)+SUM(BT$95:BT$105)+SUM(BV$95:BV$105)</f>
        <v>293.56701990027267</v>
      </c>
      <c r="M115" s="100">
        <f>SUM(BX$95:BX$105)+SUM(BZ$95:BZ$105)+SUM(CB$95:CB$105)+SUM(CD$95:CD$105)</f>
        <v>480.0618499998842</v>
      </c>
      <c r="N115" s="100">
        <f>SUM(CF$95:CF$105)+SUM(CH$95:CH$105)+SUM(CJ$95:CJ$105)+SUM(CL$95:CL$105)</f>
        <v>272.67772687878988</v>
      </c>
      <c r="O115" s="100">
        <f>SUM(CN$95:CN$105)+SUM(CP$95:CP$105)+SUM(CR$95:CR$105)+SUM(CT$95:CT$105)</f>
        <v>282.76332832671562</v>
      </c>
    </row>
    <row r="116" spans="2:15">
      <c r="C116" s="99" t="s">
        <v>278</v>
      </c>
      <c r="D116" s="100">
        <f t="shared" ref="D116:O116" si="0">SUM(D$109:D$115)</f>
        <v>3117.8646962281482</v>
      </c>
      <c r="E116" s="100">
        <f t="shared" si="0"/>
        <v>4239.997537502245</v>
      </c>
      <c r="F116" s="100">
        <f t="shared" si="0"/>
        <v>3638.0720482174524</v>
      </c>
      <c r="G116" s="100">
        <f t="shared" si="0"/>
        <v>3692.7305781261784</v>
      </c>
      <c r="H116" s="100">
        <f t="shared" si="0"/>
        <v>3423.552241506758</v>
      </c>
      <c r="I116" s="100">
        <f t="shared" si="0"/>
        <v>3465.3331281251858</v>
      </c>
      <c r="J116" s="100">
        <f t="shared" si="0"/>
        <v>3960.574882115397</v>
      </c>
      <c r="K116" s="100">
        <f t="shared" si="0"/>
        <v>3881.3655968753028</v>
      </c>
      <c r="L116" s="100">
        <f t="shared" si="0"/>
        <v>4174.1280281271747</v>
      </c>
      <c r="M116" s="100">
        <f t="shared" si="0"/>
        <v>2897.8868897613761</v>
      </c>
      <c r="N116" s="100">
        <f t="shared" si="0"/>
        <v>4096.9999999999882</v>
      </c>
      <c r="O116" s="100">
        <f t="shared" si="0"/>
        <v>3855.2541806912918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2673233.5105715268</v>
      </c>
      <c r="E120" s="100">
        <f>E109*pricing!E15*2000</f>
        <v>3171000</v>
      </c>
      <c r="F120" s="100">
        <f>F109*pricing!F15*2000</f>
        <v>3278153.0120682507</v>
      </c>
      <c r="G120" s="100">
        <f>G109*pricing!G15*2000</f>
        <v>3412673.4155459916</v>
      </c>
      <c r="H120" s="100">
        <f>H109*pricing!H15*2000</f>
        <v>2702877.5575442831</v>
      </c>
      <c r="I120" s="100">
        <f>I109*pricing!I15*2000</f>
        <v>2394000</v>
      </c>
      <c r="J120" s="100">
        <f>J109*pricing!J15*2000</f>
        <v>3617709.4976347452</v>
      </c>
      <c r="K120" s="100">
        <f>K109*pricing!K15*2000</f>
        <v>3257658.3433959396</v>
      </c>
      <c r="L120" s="100">
        <f>L109*pricing!L15*2000</f>
        <v>3999165.1577249751</v>
      </c>
      <c r="M120" s="100">
        <f>M109*pricing!M15*2000</f>
        <v>2297193.8817867599</v>
      </c>
      <c r="N120" s="100">
        <f>N109*pricing!N15*2000</f>
        <v>4095000</v>
      </c>
      <c r="O120" s="100">
        <f>O109*pricing!O15*2000</f>
        <v>3404944.8326938301</v>
      </c>
    </row>
    <row r="121" spans="2:15">
      <c r="C121" s="99" t="s">
        <v>127</v>
      </c>
      <c r="D121" s="100">
        <f>D110*pricing!D16*2000</f>
        <v>5709301.5828270465</v>
      </c>
      <c r="E121" s="100">
        <f>E110*pricing!E16*2000</f>
        <v>7994000</v>
      </c>
      <c r="F121" s="100">
        <f>F110*pricing!F16*2000</f>
        <v>6931830.9314638814</v>
      </c>
      <c r="G121" s="100">
        <f>G110*pricing!G16*2000</f>
        <v>6972669.3433163473</v>
      </c>
      <c r="H121" s="100">
        <f>H110*pricing!H16*2000</f>
        <v>5711912.2169117648</v>
      </c>
      <c r="I121" s="100">
        <f>I110*pricing!I16*2000</f>
        <v>6335000</v>
      </c>
      <c r="J121" s="100">
        <f>J110*pricing!J16*2000</f>
        <v>7125600.0288012754</v>
      </c>
      <c r="K121" s="100">
        <f>K110*pricing!K16*2000</f>
        <v>7899998.6243366813</v>
      </c>
      <c r="L121" s="100">
        <f>L110*pricing!L16*2000</f>
        <v>8674937.806158632</v>
      </c>
      <c r="M121" s="100">
        <f>M110*pricing!M16*2000</f>
        <v>4138902.5624201712</v>
      </c>
      <c r="N121" s="100">
        <f>N110*pricing!N16*2000</f>
        <v>8582000</v>
      </c>
      <c r="O121" s="100">
        <f>O110*pricing!O16*2000</f>
        <v>7312676.5392697649</v>
      </c>
    </row>
    <row r="122" spans="2:15">
      <c r="C122" s="99" t="s">
        <v>128</v>
      </c>
      <c r="D122" s="100">
        <f>D111*pricing!D17*2000</f>
        <v>3270971.6198343434</v>
      </c>
      <c r="E122" s="100">
        <f>E111*pricing!E17*2000</f>
        <v>3955000</v>
      </c>
      <c r="F122" s="100">
        <f>F111*pricing!F17*2000</f>
        <v>2847968.8484906713</v>
      </c>
      <c r="G122" s="100">
        <f>G111*pricing!G17*2000</f>
        <v>3175066.7210135087</v>
      </c>
      <c r="H122" s="100">
        <f>H111*pricing!H17*2000</f>
        <v>2965387.3817645665</v>
      </c>
      <c r="I122" s="100">
        <f>I111*pricing!I17*2000</f>
        <v>2765000</v>
      </c>
      <c r="J122" s="100">
        <f>J111*pricing!J17*2000</f>
        <v>3462277.9156556637</v>
      </c>
      <c r="K122" s="100">
        <f>K111*pricing!K17*2000</f>
        <v>2794940.5560734048</v>
      </c>
      <c r="L122" s="100">
        <f>L111*pricing!L17*2000</f>
        <v>3493984.8661020105</v>
      </c>
      <c r="M122" s="100">
        <f>M111*pricing!M17*2000</f>
        <v>1676556.1630365809</v>
      </c>
      <c r="N122" s="100">
        <f>N111*pricing!N17*2000</f>
        <v>3591000</v>
      </c>
      <c r="O122" s="100">
        <f>O111*pricing!O17*2000</f>
        <v>2831317.1725260867</v>
      </c>
    </row>
    <row r="123" spans="2:15">
      <c r="C123" s="99" t="s">
        <v>129</v>
      </c>
      <c r="D123" s="100">
        <f>D112*pricing!D18*2000</f>
        <v>3154723.662615417</v>
      </c>
      <c r="E123" s="100">
        <f>E112*pricing!E18*2000</f>
        <v>6043552.78069825</v>
      </c>
      <c r="F123" s="100">
        <f>F112*pricing!F18*2000</f>
        <v>4614684.8067043843</v>
      </c>
      <c r="G123" s="100">
        <f>G112*pricing!G18*2000</f>
        <v>4506418.3611256862</v>
      </c>
      <c r="H123" s="100">
        <f>H112*pricing!H18*2000</f>
        <v>3568216.9382560207</v>
      </c>
      <c r="I123" s="100">
        <f>I112*pricing!I18*2000</f>
        <v>4865117.4043430164</v>
      </c>
      <c r="J123" s="100">
        <f>J112*pricing!J18*2000</f>
        <v>4659655.7819536738</v>
      </c>
      <c r="K123" s="100">
        <f>K112*pricing!K18*2000</f>
        <v>4243209.6832580557</v>
      </c>
      <c r="L123" s="100">
        <f>L112*pricing!L18*2000</f>
        <v>4691886.0426195916</v>
      </c>
      <c r="M123" s="100">
        <f>M112*pricing!M18*2000</f>
        <v>2550467.284251892</v>
      </c>
      <c r="N123" s="100">
        <f>N112*pricing!N18*2000</f>
        <v>4455807.3494009292</v>
      </c>
      <c r="O123" s="100">
        <f>O112*pricing!O18*2000</f>
        <v>3955155.1021465068</v>
      </c>
    </row>
    <row r="124" spans="2:15">
      <c r="C124" s="99" t="s">
        <v>130</v>
      </c>
      <c r="D124" s="100">
        <f>D113*pricing!D19*2000</f>
        <v>3224154.5585867278</v>
      </c>
      <c r="E124" s="100">
        <f>E113*pricing!E19*2000</f>
        <v>4375000</v>
      </c>
      <c r="F124" s="100">
        <f>F113*pricing!F19*2000</f>
        <v>3835118.3454502001</v>
      </c>
      <c r="G124" s="100">
        <f>G113*pricing!G19*2000</f>
        <v>4312000</v>
      </c>
      <c r="H124" s="100">
        <f>H113*pricing!H19*2000</f>
        <v>4722521.6032312633</v>
      </c>
      <c r="I124" s="100">
        <f>I113*pricing!I19*2000</f>
        <v>4557000</v>
      </c>
      <c r="J124" s="100">
        <f>J113*pricing!J19*2000</f>
        <v>3900694.4123009015</v>
      </c>
      <c r="K124" s="100">
        <f>K113*pricing!K19*2000</f>
        <v>4366679.2452830104</v>
      </c>
      <c r="L124" s="100">
        <f>L113*pricing!L19*2000</f>
        <v>4753000</v>
      </c>
      <c r="M124" s="100">
        <f>M113*pricing!M19*2000</f>
        <v>4251407.9868355021</v>
      </c>
      <c r="N124" s="100">
        <f>N113*pricing!N19*2000</f>
        <v>4620517.2760787643</v>
      </c>
      <c r="O124" s="100">
        <f>O113*pricing!O19*2000</f>
        <v>5685619.7460998278</v>
      </c>
    </row>
    <row r="125" spans="2:15">
      <c r="C125" s="99" t="s">
        <v>131</v>
      </c>
      <c r="D125" s="100">
        <f>D114*pricing!D20*2000</f>
        <v>1411728.4785325893</v>
      </c>
      <c r="E125" s="100">
        <f>E114*pricing!E20*2000</f>
        <v>1524712.8905973861</v>
      </c>
      <c r="F125" s="100">
        <f>F114*pricing!F20*2000</f>
        <v>1473377.7949633051</v>
      </c>
      <c r="G125" s="100">
        <f>G114*pricing!G20*2000</f>
        <v>1176009.4795749737</v>
      </c>
      <c r="H125" s="100">
        <f>H114*pricing!H20*2000</f>
        <v>1708811.3724003055</v>
      </c>
      <c r="I125" s="100">
        <f>I114*pricing!I20*2000</f>
        <v>1165991.5262255459</v>
      </c>
      <c r="J125" s="100">
        <f>J114*pricing!J20*2000</f>
        <v>1976322.1153846101</v>
      </c>
      <c r="K125" s="100">
        <f>K114*pricing!K20*2000</f>
        <v>1772476.732811989</v>
      </c>
      <c r="L125" s="100">
        <f>L114*pricing!L20*2000</f>
        <v>1550953.184983107</v>
      </c>
      <c r="M125" s="100">
        <f>M114*pricing!M20*2000</f>
        <v>2010247.3999995368</v>
      </c>
      <c r="N125" s="100">
        <f>N114*pricing!N20*2000</f>
        <v>1425931.2863686935</v>
      </c>
      <c r="O125" s="100">
        <f>O114*pricing!O20*2000</f>
        <v>1817722.5738160214</v>
      </c>
    </row>
    <row r="126" spans="2:15">
      <c r="C126" s="99" t="s">
        <v>132</v>
      </c>
      <c r="D126" s="100">
        <f>D115*pricing!D21*2000</f>
        <v>2380939.4606293845</v>
      </c>
      <c r="E126" s="100">
        <f>E115*pricing!E21*2000</f>
        <v>2616717.0912200753</v>
      </c>
      <c r="F126" s="100">
        <f>F115*pricing!F21*2000</f>
        <v>2485370.598381476</v>
      </c>
      <c r="G126" s="100">
        <f>G115*pricing!G21*2000</f>
        <v>2294276.7263067388</v>
      </c>
      <c r="H126" s="100">
        <f>H115*pricing!H21*2000</f>
        <v>2585138.6204391019</v>
      </c>
      <c r="I126" s="100">
        <f>I115*pricing!I21*2000</f>
        <v>2175222.9663077346</v>
      </c>
      <c r="J126" s="100">
        <f>J115*pricing!J21*2000</f>
        <v>2981764.4230769151</v>
      </c>
      <c r="K126" s="100">
        <f>K115*pricing!K21*2000</f>
        <v>2834595.9929680391</v>
      </c>
      <c r="L126" s="100">
        <f>L115*pricing!L21*2000</f>
        <v>2054969.1393019089</v>
      </c>
      <c r="M126" s="100">
        <f>M115*pricing!M21*2000</f>
        <v>3360432.9499991895</v>
      </c>
      <c r="N126" s="100">
        <f>N115*pricing!N21*2000</f>
        <v>1908744.0881515292</v>
      </c>
      <c r="O126" s="100">
        <f>O115*pricing!O21*2000</f>
        <v>1979343.2982870096</v>
      </c>
    </row>
    <row r="127" spans="2:15">
      <c r="C127" s="99" t="s">
        <v>278</v>
      </c>
      <c r="D127" s="100">
        <f t="shared" ref="D127:O127" si="1">SUM(D$120:D$126)</f>
        <v>21825052.873597037</v>
      </c>
      <c r="E127" s="100">
        <f t="shared" si="1"/>
        <v>29679982.762515709</v>
      </c>
      <c r="F127" s="100">
        <f t="shared" si="1"/>
        <v>25466504.337522164</v>
      </c>
      <c r="G127" s="100">
        <f t="shared" si="1"/>
        <v>25849114.046883248</v>
      </c>
      <c r="H127" s="100">
        <f t="shared" si="1"/>
        <v>23964865.690547306</v>
      </c>
      <c r="I127" s="100">
        <f t="shared" si="1"/>
        <v>24257331.896876294</v>
      </c>
      <c r="J127" s="100">
        <f t="shared" si="1"/>
        <v>27724024.174807783</v>
      </c>
      <c r="K127" s="100">
        <f t="shared" si="1"/>
        <v>27169559.178127117</v>
      </c>
      <c r="L127" s="100">
        <f t="shared" si="1"/>
        <v>29218896.196890224</v>
      </c>
      <c r="M127" s="100">
        <f t="shared" si="1"/>
        <v>20285208.228329632</v>
      </c>
      <c r="N127" s="100">
        <f t="shared" si="1"/>
        <v>28678999.999999918</v>
      </c>
      <c r="O127" s="100">
        <f t="shared" si="1"/>
        <v>26986779.264839046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192478.2413350374</v>
      </c>
      <c r="E131" s="106">
        <f>SUM(M$6:M$19)+SUM(O$6:O$19)+SUM(Q$6:Q$19)+SUM(S$6:S$19)</f>
        <v>228481.2</v>
      </c>
      <c r="F131" s="106">
        <f>SUM(U$6:U$19)+SUM(W$6:W$19)+SUM(Y$6:Y$19)+SUM(AA$6:AA$19)</f>
        <v>237324.4599789386</v>
      </c>
      <c r="G131" s="106">
        <f>SUM(AC$6:AC$19)+SUM(AE$6:AE$19)+SUM(AG$6:AG$19)+SUM(AI$6:AI$19)</f>
        <v>247508.21848506239</v>
      </c>
      <c r="H131" s="106">
        <f>SUM(AK$6:AK$19)+SUM(AM$6:AM$19)+SUM(AO$6:AO$19)+SUM(AQ$6:AQ$19)</f>
        <v>194561.18099332199</v>
      </c>
      <c r="I131" s="106">
        <f>SUM(AS$6:AS$19)+SUM(AU$6:AU$19)+SUM(AW$6:AW$19)+SUM(AY$6:AY$19)</f>
        <v>172845.6</v>
      </c>
      <c r="J131" s="106">
        <f>SUM(BA$6:BA$19)+SUM(BC$6:BC$19)+SUM(BE$6:BE$19)+SUM(BG$6:BG$19)</f>
        <v>262467.94511230639</v>
      </c>
      <c r="K131" s="106">
        <f>SUM(BI$6:BI$19)+SUM(BK$6:BK$19)+SUM(BM$6:BM$19)+SUM(BO$6:BO$19)</f>
        <v>235843.09455083773</v>
      </c>
      <c r="L131" s="106">
        <f>SUM(BQ$6:BQ$19)+SUM(BS$6:BS$19)+SUM(BU$6:BU$19)+SUM(BW$6:BW$19)</f>
        <v>288405.10069902532</v>
      </c>
      <c r="M131" s="106">
        <f>SUM(BY$6:BY$19)+SUM(CA$6:CA$19)+SUM(CC$6:CC$19)+SUM(CE$6:CE$19)</f>
        <v>164858.85794847476</v>
      </c>
      <c r="N131" s="106">
        <f>SUM(CG$6:CG$19)+SUM(CI$6:CI$19)+SUM(CK$6:CK$19)+SUM(CM$6:CM$19)</f>
        <v>295840.8</v>
      </c>
      <c r="O131" s="106">
        <f>SUM(CO$6:CO$19)+SUM(CQ$6:CQ$19)+SUM(CS$6:CS$19)+SUM(CU$6:CU$19)</f>
        <v>247012.97578827152</v>
      </c>
    </row>
    <row r="132" spans="2:15">
      <c r="C132" s="105" t="s">
        <v>127</v>
      </c>
      <c r="D132" s="106">
        <f>SUM(E$20:E$36)+SUM(G$20:G$36)+SUM(I$20:I$36)+SUM(K$20:K$36)</f>
        <v>349173.35773766629</v>
      </c>
      <c r="E132" s="106">
        <f>SUM(M$20:M$36)+SUM(O$20:O$36)+SUM(Q$20:Q$36)+SUM(S$20:S$36)</f>
        <v>489174</v>
      </c>
      <c r="F132" s="106">
        <f>SUM(U$20:U$36)+SUM(W$20:W$36)+SUM(Y$20:Y$36)+SUM(AA$20:AA$36)</f>
        <v>424853.41208343452</v>
      </c>
      <c r="G132" s="106">
        <f>SUM(AC$20:AC$36)+SUM(AE$20:AE$36)+SUM(AG$20:AG$36)+SUM(AI$20:AI$36)</f>
        <v>428119.20118939702</v>
      </c>
      <c r="H132" s="106">
        <f>SUM(AK$20:AK$36)+SUM(AM$20:AM$36)+SUM(AO$20:AO$36)+SUM(AQ$20:AQ$36)</f>
        <v>348100.29068759305</v>
      </c>
      <c r="I132" s="106">
        <f>SUM(AS$20:AS$36)+SUM(AU$20:AU$36)+SUM(AW$20:AW$36)+SUM(AY$20:AY$36)</f>
        <v>389116.8</v>
      </c>
      <c r="J132" s="106">
        <f>SUM(BA$20:BA$36)+SUM(BC$20:BC$36)+SUM(BE$20:BE$36)+SUM(BG$20:BG$36)</f>
        <v>438854.94024824107</v>
      </c>
      <c r="K132" s="106">
        <f>SUM(BI$20:BI$36)+SUM(BK$20:BK$36)+SUM(BM$20:BM$36)+SUM(BO$20:BO$36)</f>
        <v>482423.44049871259</v>
      </c>
      <c r="L132" s="106">
        <f>SUM(BQ$20:BQ$36)+SUM(BS$20:BS$36)+SUM(BU$20:BU$36)+SUM(BW$20:BW$36)</f>
        <v>533967.22316115093</v>
      </c>
      <c r="M132" s="106">
        <f>SUM(BY$20:BY$36)+SUM(CA$20:CA$36)+SUM(CC$20:CC$36)+SUM(CE$20:CE$36)</f>
        <v>252219.4137076711</v>
      </c>
      <c r="N132" s="106">
        <f>SUM(CG$20:CG$36)+SUM(CI$20:CI$36)+SUM(CK$20:CK$36)+SUM(CM$20:CM$36)</f>
        <v>524820</v>
      </c>
      <c r="O132" s="106">
        <f>SUM(CO$20:CO$36)+SUM(CQ$20:CQ$36)+SUM(CS$20:CS$36)+SUM(CU$20:CU$36)</f>
        <v>450292.98347913986</v>
      </c>
    </row>
    <row r="133" spans="2:15">
      <c r="C133" s="105" t="s">
        <v>128</v>
      </c>
      <c r="D133" s="106">
        <f>SUM(E$37:E$48)+SUM(G$37:G$48)+SUM(I$37:I$48)+SUM(K$37:K$48)</f>
        <v>491136.18473272113</v>
      </c>
      <c r="E133" s="106">
        <f>SUM(M$37:M$48)+SUM(O$37:O$48)+SUM(Q$37:Q$48)+SUM(S$37:S$48)</f>
        <v>597415.19999999995</v>
      </c>
      <c r="F133" s="106">
        <f>SUM(U$37:U$48)+SUM(W$37:W$48)+SUM(Y$37:Y$48)+SUM(AA$37:AA$48)</f>
        <v>427908.83006719663</v>
      </c>
      <c r="G133" s="106">
        <f>SUM(AC$37:AC$48)+SUM(AE$37:AE$48)+SUM(AG$37:AG$48)+SUM(AI$37:AI$48)</f>
        <v>477515.91605253617</v>
      </c>
      <c r="H133" s="106">
        <f>SUM(AK$37:AK$48)+SUM(AM$37:AM$48)+SUM(AO$37:AO$48)+SUM(AQ$37:AQ$48)</f>
        <v>446059.26994316583</v>
      </c>
      <c r="I133" s="106">
        <f>SUM(AS$37:AS$48)+SUM(AU$37:AU$48)+SUM(AW$37:AW$48)+SUM(AY$37:AY$48)</f>
        <v>415161.60000000003</v>
      </c>
      <c r="J133" s="106">
        <f>SUM(BA$37:BA$48)+SUM(BC$37:BC$48)+SUM(BE$37:BE$48)+SUM(BG$37:BG$48)</f>
        <v>522112.31559307355</v>
      </c>
      <c r="K133" s="106">
        <f>SUM(BI$37:BI$48)+SUM(BK$37:BK$48)+SUM(BM$37:BM$48)+SUM(BO$37:BO$48)</f>
        <v>418409.22370627616</v>
      </c>
      <c r="L133" s="106">
        <f>SUM(BQ$37:BQ$48)+SUM(BS$37:BS$48)+SUM(BU$37:BU$48)+SUM(BW$37:BW$48)</f>
        <v>523502.2038562962</v>
      </c>
      <c r="M133" s="106">
        <f>SUM(BY$37:BY$48)+SUM(CA$37:CA$48)+SUM(CC$37:CC$48)+SUM(CE$37:CE$48)</f>
        <v>252080.25753048772</v>
      </c>
      <c r="N133" s="106">
        <f>SUM(CG$37:CG$48)+SUM(CI$37:CI$48)+SUM(CK$37:CK$48)+SUM(CM$37:CM$48)</f>
        <v>539582.4</v>
      </c>
      <c r="O133" s="106">
        <f>SUM(CO$37:CO$48)+SUM(CQ$37:CQ$48)+SUM(CS$37:CS$48)+SUM(CU$37:CU$48)</f>
        <v>424428.54540152784</v>
      </c>
    </row>
    <row r="134" spans="2:15">
      <c r="C134" s="105" t="s">
        <v>129</v>
      </c>
      <c r="D134" s="106">
        <f>SUM(E$49:E$70)+SUM(G$49:G$70)+SUM(I$49:I$70)+SUM(K$49:K$70)</f>
        <v>373690.23668166302</v>
      </c>
      <c r="E134" s="106">
        <f>SUM(M$49:M$70)+SUM(O$49:O$70)+SUM(Q$49:Q$70)+SUM(S$49:S$70)</f>
        <v>723024.11217835615</v>
      </c>
      <c r="F134" s="106">
        <f>SUM(U$49:U$70)+SUM(W$49:W$70)+SUM(Y$49:Y$70)+SUM(AA$49:AA$70)</f>
        <v>556961.91676123335</v>
      </c>
      <c r="G134" s="106">
        <f>SUM(AC$49:AC$70)+SUM(AE$49:AE$70)+SUM(AG$49:AG$70)+SUM(AI$49:AI$70)</f>
        <v>537766.40481640631</v>
      </c>
      <c r="H134" s="106">
        <f>SUM(AK$49:AK$70)+SUM(AM$49:AM$70)+SUM(AO$49:AO$70)+SUM(AQ$49:AQ$70)</f>
        <v>440059.93689899531</v>
      </c>
      <c r="I134" s="106">
        <f>SUM(AS$49:AS$70)+SUM(AU$49:AU$70)+SUM(AW$49:AW$70)+SUM(AY$49:AY$70)</f>
        <v>587659.76408582646</v>
      </c>
      <c r="J134" s="106">
        <f>SUM(BA$49:BA$70)+SUM(BC$49:BC$70)+SUM(BE$49:BE$70)+SUM(BG$49:BG$70)</f>
        <v>558883.86256639054</v>
      </c>
      <c r="K134" s="106">
        <f>SUM(BI$49:BI$70)+SUM(BK$49:BK$70)+SUM(BM$49:BM$70)+SUM(BO$49:BO$70)</f>
        <v>512754.08241462777</v>
      </c>
      <c r="L134" s="106">
        <f>SUM(BQ$49:BQ$70)+SUM(BS$49:BS$70)+SUM(BU$49:BU$70)+SUM(BW$49:BW$70)</f>
        <v>562722.38713730127</v>
      </c>
      <c r="M134" s="106">
        <f>SUM(BY$49:BY$70)+SUM(CA$49:CA$70)+SUM(CC$49:CC$70)+SUM(CE$49:CE$70)</f>
        <v>323440.5633304902</v>
      </c>
      <c r="N134" s="106">
        <f>SUM(CG$49:CG$70)+SUM(CI$49:CI$70)+SUM(CK$49:CK$70)+SUM(CM$49:CM$70)</f>
        <v>523118.13995920576</v>
      </c>
      <c r="O134" s="106">
        <f>SUM(CO$49:CO$70)+SUM(CQ$49:CQ$70)+SUM(CS$49:CS$70)+SUM(CU$49:CU$70)</f>
        <v>474761.93825802271</v>
      </c>
    </row>
    <row r="135" spans="2:15">
      <c r="C135" s="105" t="s">
        <v>130</v>
      </c>
      <c r="D135" s="106">
        <f>SUM(E$71:E$86)+SUM(G$71:G$86)+SUM(I$71:I$86)+SUM(K$71:K$86)</f>
        <v>258962.74614140001</v>
      </c>
      <c r="E135" s="106">
        <f>SUM(M$71:M$86)+SUM(O$71:O$86)+SUM(Q$71:Q$86)+SUM(S$71:S$86)</f>
        <v>350388</v>
      </c>
      <c r="F135" s="106">
        <f>SUM(U$71:U$86)+SUM(W$71:W$86)+SUM(Y$71:Y$86)+SUM(AA$71:AA$86)</f>
        <v>305169.20301759487</v>
      </c>
      <c r="G135" s="106">
        <f>SUM(AC$71:AC$86)+SUM(AE$71:AE$86)+SUM(AG$71:AG$86)+SUM(AI$71:AI$86)</f>
        <v>345726</v>
      </c>
      <c r="H135" s="106">
        <f>SUM(AK$71:AK$86)+SUM(AM$71:AM$86)+SUM(AO$71:AO$86)+SUM(AQ$71:AQ$86)</f>
        <v>378311.20005788701</v>
      </c>
      <c r="I135" s="106">
        <f>SUM(AS$71:AS$86)+SUM(AU$71:AU$86)+SUM(AW$71:AW$86)+SUM(AY$71:AY$86)</f>
        <v>362053.2</v>
      </c>
      <c r="J135" s="106">
        <f>SUM(BA$71:BA$86)+SUM(BC$71:BC$86)+SUM(BE$71:BE$86)+SUM(BG$71:BG$86)</f>
        <v>312846.05704574951</v>
      </c>
      <c r="K135" s="106">
        <f>SUM(BI$71:BI$86)+SUM(BK$71:BK$86)+SUM(BM$71:BM$86)+SUM(BO$71:BO$86)</f>
        <v>349755.16981132008</v>
      </c>
      <c r="L135" s="106">
        <f>SUM(BQ$71:BQ$86)+SUM(BS$71:BS$86)+SUM(BU$71:BU$86)+SUM(BW$71:BW$86)</f>
        <v>379935.6</v>
      </c>
      <c r="M135" s="106">
        <f>SUM(BY$71:BY$86)+SUM(CA$71:CA$86)+SUM(CC$71:CC$86)+SUM(CE$71:CE$86)</f>
        <v>339798.98537705402</v>
      </c>
      <c r="N135" s="106">
        <f>SUM(CG$71:CG$86)+SUM(CI$71:CI$86)+SUM(CK$71:CK$86)+SUM(CM$71:CM$86)</f>
        <v>369158.93240694999</v>
      </c>
      <c r="O135" s="106">
        <f>SUM(CO$71:CO$86)+SUM(CQ$71:CQ$86)+SUM(CS$71:CS$86)+SUM(CU$71:CU$86)</f>
        <v>456234.68869965331</v>
      </c>
    </row>
    <row r="136" spans="2:15">
      <c r="C136" s="105" t="s">
        <v>131</v>
      </c>
      <c r="D136" s="106">
        <f>SUM(E$87:E$94)+SUM(G$87:G$94)+SUM(I$87:I$94)+SUM(K$87:K$94)</f>
        <v>203147.76041020179</v>
      </c>
      <c r="E136" s="106">
        <f>SUM(M$87:M$94)+SUM(O$87:O$94)+SUM(Q$87:Q$94)+SUM(S$87:S$94)</f>
        <v>218327.07296197888</v>
      </c>
      <c r="F136" s="106">
        <f>SUM(U$87:U$94)+SUM(W$87:W$94)+SUM(Y$87:Y$94)+SUM(AA$87:AA$94)</f>
        <v>211391.33242777194</v>
      </c>
      <c r="G136" s="106">
        <f>SUM(AC$87:AC$94)+SUM(AE$87:AE$94)+SUM(AG$87:AG$94)+SUM(AI$87:AI$94)</f>
        <v>168126.74931308502</v>
      </c>
      <c r="H136" s="106">
        <f>SUM(AK$87:AK$94)+SUM(AM$87:AM$94)+SUM(AO$87:AO$94)+SUM(AQ$87:AQ$94)</f>
        <v>244919.02428385935</v>
      </c>
      <c r="I136" s="106">
        <f>SUM(AS$87:AS$94)+SUM(AU$87:AU$94)+SUM(AW$87:AW$94)+SUM(AY$87:AY$94)</f>
        <v>168085.49627218448</v>
      </c>
      <c r="J136" s="106">
        <f>SUM(BA$87:BA$94)+SUM(BC$87:BC$94)+SUM(BE$87:BE$94)+SUM(BG$87:BG$94)</f>
        <v>284035.86346153775</v>
      </c>
      <c r="K136" s="106">
        <f>SUM(BI$87:BI$94)+SUM(BK$87:BK$94)+SUM(BM$87:BM$94)+SUM(BO$87:BO$94)</f>
        <v>255099.66599845304</v>
      </c>
      <c r="L136" s="106">
        <f>SUM(BQ$87:BQ$94)+SUM(BS$87:BS$94)+SUM(BU$87:BU$94)+SUM(BW$87:BW$94)</f>
        <v>223234.66447699428</v>
      </c>
      <c r="M136" s="106">
        <f>SUM(BY$87:BY$94)+SUM(CA$87:CA$94)+SUM(CC$87:CC$94)+SUM(CE$87:CE$94)</f>
        <v>288067.05560243397</v>
      </c>
      <c r="N136" s="106">
        <f>SUM(CG$87:CG$94)+SUM(CI$87:CI$94)+SUM(CK$87:CK$94)+SUM(CM$87:CM$94)</f>
        <v>204835.14918905418</v>
      </c>
      <c r="O136" s="106">
        <f>SUM(CO$87:CO$94)+SUM(CQ$87:CQ$94)+SUM(CS$87:CS$94)+SUM(CU$87:CU$94)</f>
        <v>260769.44116854918</v>
      </c>
    </row>
    <row r="137" spans="2:15">
      <c r="C137" s="105" t="s">
        <v>132</v>
      </c>
      <c r="D137" s="106">
        <f>SUM(E$95:E$105)+SUM(G$95:G$105)+SUM(I$95:I$105)+SUM(K$95:K$105)</f>
        <v>276171.19754572411</v>
      </c>
      <c r="E137" s="106">
        <f>SUM(M$95:M$105)+SUM(O$95:O$105)+SUM(Q$95:Q$105)+SUM(S$95:S$105)</f>
        <v>298479.05992028664</v>
      </c>
      <c r="F137" s="106">
        <f>SUM(U$95:U$105)+SUM(W$95:W$105)+SUM(Y$95:Y$105)+SUM(AA$95:AA$105)</f>
        <v>285768.14450268738</v>
      </c>
      <c r="G137" s="106">
        <f>SUM(AC$95:AC$105)+SUM(AE$95:AE$105)+SUM(AG$95:AG$105)+SUM(AI$95:AI$105)</f>
        <v>263164.09591463505</v>
      </c>
      <c r="H137" s="106">
        <f>SUM(AK$95:AK$105)+SUM(AM$95:AM$105)+SUM(AO$95:AO$105)+SUM(AQ$95:AQ$105)</f>
        <v>298773.91269090527</v>
      </c>
      <c r="I137" s="106">
        <f>SUM(AS$95:AS$105)+SUM(AU$95:AU$105)+SUM(AW$95:AW$105)+SUM(AY$95:AY$105)</f>
        <v>246293.95443354789</v>
      </c>
      <c r="J137" s="106">
        <f>SUM(BA$95:BA$105)+SUM(BC$95:BC$105)+SUM(BE$95:BE$105)+SUM(BG$95:BG$105)</f>
        <v>343386.97499999905</v>
      </c>
      <c r="K137" s="106">
        <f>SUM(BI$95:BI$105)+SUM(BK$95:BK$105)+SUM(BM$95:BM$105)+SUM(BO$95:BO$105)</f>
        <v>329504.41828344419</v>
      </c>
      <c r="L137" s="106">
        <f>SUM(BQ$95:BQ$105)+SUM(BS$95:BS$105)+SUM(BU$95:BU$105)+SUM(BW$95:BW$105)</f>
        <v>239032.3217976848</v>
      </c>
      <c r="M137" s="106">
        <f>SUM(BY$95:BY$105)+SUM(CA$95:CA$105)+SUM(CC$95:CC$105)+SUM(CE$95:CE$105)</f>
        <v>384556.63149365847</v>
      </c>
      <c r="N137" s="106">
        <f>SUM(CG$95:CG$105)+SUM(CI$95:CI$105)+SUM(CK$95:CK$105)+SUM(CM$95:CM$105)</f>
        <v>216279.59881143851</v>
      </c>
      <c r="O137" s="106">
        <f>SUM(CO$95:CO$105)+SUM(CQ$95:CQ$105)+SUM(CS$95:CS$105)+SUM(CU$95:CU$105)</f>
        <v>228997.17810377429</v>
      </c>
    </row>
    <row r="138" spans="2:15">
      <c r="C138" s="105" t="s">
        <v>278</v>
      </c>
      <c r="D138" s="100">
        <f t="shared" ref="D138:O138" si="2">SUM(D$131:D$137)</f>
        <v>2144759.7245844137</v>
      </c>
      <c r="E138" s="100">
        <f t="shared" si="2"/>
        <v>2905288.6450606217</v>
      </c>
      <c r="F138" s="100">
        <f t="shared" si="2"/>
        <v>2449377.2988388571</v>
      </c>
      <c r="G138" s="100">
        <f t="shared" si="2"/>
        <v>2467926.5857711216</v>
      </c>
      <c r="H138" s="100">
        <f t="shared" si="2"/>
        <v>2350784.815555728</v>
      </c>
      <c r="I138" s="100">
        <f t="shared" si="2"/>
        <v>2341216.4147915589</v>
      </c>
      <c r="J138" s="100">
        <f t="shared" si="2"/>
        <v>2722587.9590272978</v>
      </c>
      <c r="K138" s="100">
        <f t="shared" si="2"/>
        <v>2583789.0952636716</v>
      </c>
      <c r="L138" s="100">
        <f t="shared" si="2"/>
        <v>2750799.5011284528</v>
      </c>
      <c r="M138" s="100">
        <f t="shared" si="2"/>
        <v>2005021.7649902704</v>
      </c>
      <c r="N138" s="100">
        <f t="shared" si="2"/>
        <v>2673635.0203666482</v>
      </c>
      <c r="O138" s="100">
        <f t="shared" si="2"/>
        <v>2542497.7508989386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2.880711897224113</v>
      </c>
      <c r="E6" s="100">
        <v>1666.2037613544269</v>
      </c>
      <c r="F6" s="100">
        <v>6.1216997549216732</v>
      </c>
      <c r="G6" s="100">
        <v>3540.7911382466955</v>
      </c>
      <c r="H6" s="100">
        <v>2.0024801710426519</v>
      </c>
      <c r="I6" s="100">
        <v>1158.2345309310697</v>
      </c>
      <c r="J6" s="100">
        <v>8</v>
      </c>
      <c r="K6" s="100">
        <v>4627.2</v>
      </c>
      <c r="L6" s="100">
        <v>8</v>
      </c>
      <c r="M6" s="100">
        <v>4627.2</v>
      </c>
      <c r="N6" s="100">
        <v>7</v>
      </c>
      <c r="O6" s="100">
        <v>4048.7999999999997</v>
      </c>
      <c r="P6" s="100">
        <v>6</v>
      </c>
      <c r="Q6" s="100">
        <v>3470.3999999999996</v>
      </c>
      <c r="R6" s="100">
        <v>7</v>
      </c>
      <c r="S6" s="100">
        <v>4048.7999999999997</v>
      </c>
      <c r="T6" s="100">
        <v>6</v>
      </c>
      <c r="U6" s="100">
        <v>3470.3999999999996</v>
      </c>
      <c r="V6" s="100">
        <v>5</v>
      </c>
      <c r="W6" s="100">
        <v>2892</v>
      </c>
      <c r="X6" s="100">
        <v>7.3471499244077858</v>
      </c>
      <c r="Y6" s="100">
        <v>4249.5915162774627</v>
      </c>
      <c r="Z6" s="100">
        <v>9</v>
      </c>
      <c r="AA6" s="100">
        <v>5205.5999999999995</v>
      </c>
      <c r="AB6" s="100">
        <v>7</v>
      </c>
      <c r="AC6" s="100">
        <v>4048.7999999999997</v>
      </c>
      <c r="AD6" s="100">
        <v>5.162019207359779</v>
      </c>
      <c r="AE6" s="100">
        <v>2985.7119095368962</v>
      </c>
      <c r="AF6" s="100">
        <v>7.4216957765562546</v>
      </c>
      <c r="AG6" s="100">
        <v>4292.7088371601376</v>
      </c>
      <c r="AH6" s="100">
        <v>5.3086662230181263</v>
      </c>
      <c r="AI6" s="100">
        <v>3070.5325433936841</v>
      </c>
      <c r="AJ6" s="100">
        <v>6.5663123590647032</v>
      </c>
      <c r="AK6" s="100">
        <v>3797.9550684830242</v>
      </c>
      <c r="AL6" s="100">
        <v>2.8671683280135585</v>
      </c>
      <c r="AM6" s="100">
        <v>1658.3701609230422</v>
      </c>
      <c r="AN6" s="100">
        <v>4.9532847240481219</v>
      </c>
      <c r="AO6" s="100">
        <v>2864.9798843894337</v>
      </c>
      <c r="AP6" s="100">
        <v>4.4675907830428265</v>
      </c>
      <c r="AQ6" s="100">
        <v>2584.054508911971</v>
      </c>
      <c r="AR6" s="100">
        <v>3.9550444104594318</v>
      </c>
      <c r="AS6" s="100">
        <v>2287.5976870097352</v>
      </c>
      <c r="AT6" s="100">
        <v>5.7656399132842504E-4</v>
      </c>
      <c r="AU6" s="100">
        <v>0.33348461258436102</v>
      </c>
      <c r="AV6" s="100">
        <v>5</v>
      </c>
      <c r="AW6" s="100">
        <v>2892</v>
      </c>
      <c r="AX6" s="100">
        <v>6</v>
      </c>
      <c r="AY6" s="100">
        <v>3470.3999999999996</v>
      </c>
      <c r="AZ6" s="100">
        <v>7</v>
      </c>
      <c r="BA6" s="100">
        <v>4048.7999999999997</v>
      </c>
      <c r="BB6" s="100">
        <v>10</v>
      </c>
      <c r="BC6" s="100">
        <v>5784</v>
      </c>
      <c r="BD6" s="100">
        <v>9.1797729316855126</v>
      </c>
      <c r="BE6" s="100">
        <v>5309.5806636869002</v>
      </c>
      <c r="BF6" s="100">
        <v>9</v>
      </c>
      <c r="BG6" s="100">
        <v>5205.5999999999995</v>
      </c>
      <c r="BH6" s="100">
        <v>9.1261070525243735</v>
      </c>
      <c r="BI6" s="100">
        <v>5278.5403191800979</v>
      </c>
      <c r="BJ6" s="100">
        <v>9.0484959191061058</v>
      </c>
      <c r="BK6" s="100">
        <v>5233.6500396109714</v>
      </c>
      <c r="BL6" s="100">
        <v>9</v>
      </c>
      <c r="BM6" s="100">
        <v>5205.5999999999995</v>
      </c>
      <c r="BN6" s="100">
        <v>8.2382154677257482</v>
      </c>
      <c r="BO6" s="100">
        <v>4764.9838265325725</v>
      </c>
      <c r="BP6" s="100">
        <v>4.101136596272787</v>
      </c>
      <c r="BQ6" s="100">
        <v>2372.09740728418</v>
      </c>
      <c r="BR6" s="100">
        <v>6</v>
      </c>
      <c r="BS6" s="100">
        <v>3470.3999999999996</v>
      </c>
      <c r="BT6" s="100">
        <v>10</v>
      </c>
      <c r="BU6" s="100">
        <v>5784</v>
      </c>
      <c r="BV6" s="100">
        <v>6.6602373144154381</v>
      </c>
      <c r="BW6" s="100">
        <v>3852.2812626578893</v>
      </c>
      <c r="BX6" s="100">
        <v>5.4918685608504392</v>
      </c>
      <c r="BY6" s="100">
        <v>3176.4967755958937</v>
      </c>
      <c r="BZ6" s="100">
        <v>4.1631275371165532E-4</v>
      </c>
      <c r="CA6" s="100">
        <v>0.24079529674682143</v>
      </c>
      <c r="CB6" s="100">
        <v>1.9269521939244163</v>
      </c>
      <c r="CC6" s="100">
        <v>1114.5491489658823</v>
      </c>
      <c r="CD6" s="100">
        <v>6.6164460196329342</v>
      </c>
      <c r="CE6" s="100">
        <v>3826.9523777556892</v>
      </c>
      <c r="CF6" s="100">
        <v>11</v>
      </c>
      <c r="CG6" s="100">
        <v>6362.4</v>
      </c>
      <c r="CH6" s="100">
        <v>11</v>
      </c>
      <c r="CI6" s="100">
        <v>6362.4</v>
      </c>
      <c r="CJ6" s="100">
        <v>8</v>
      </c>
      <c r="CK6" s="100">
        <v>4627.2</v>
      </c>
      <c r="CL6" s="100">
        <v>10</v>
      </c>
      <c r="CM6" s="100">
        <v>5784</v>
      </c>
      <c r="CN6" s="100">
        <v>7.8826663762181788</v>
      </c>
      <c r="CO6" s="100">
        <v>4559.334232004594</v>
      </c>
      <c r="CP6" s="100">
        <v>5.1550426308010226E-4</v>
      </c>
      <c r="CQ6" s="100">
        <v>0.29816766576553111</v>
      </c>
      <c r="CR6" s="100">
        <v>6</v>
      </c>
      <c r="CS6" s="100">
        <v>3470.3999999999996</v>
      </c>
      <c r="CT6" s="100">
        <v>9.1432090467190719</v>
      </c>
      <c r="CU6" s="100">
        <v>5288.4321126223113</v>
      </c>
    </row>
    <row r="7" spans="1:99">
      <c r="C7" s="99" t="s">
        <v>173</v>
      </c>
      <c r="D7" s="100">
        <v>2.407641775314167</v>
      </c>
      <c r="E7" s="100">
        <v>1898.1847756576892</v>
      </c>
      <c r="F7" s="100">
        <v>6.152979565805003</v>
      </c>
      <c r="G7" s="100">
        <v>4851.0090896806641</v>
      </c>
      <c r="H7" s="100">
        <v>1.7799823742601348</v>
      </c>
      <c r="I7" s="100">
        <v>1403.3381038666903</v>
      </c>
      <c r="J7" s="100">
        <v>8</v>
      </c>
      <c r="K7" s="100">
        <v>6307.2</v>
      </c>
      <c r="L7" s="100">
        <v>7</v>
      </c>
      <c r="M7" s="100">
        <v>5518.8</v>
      </c>
      <c r="N7" s="100">
        <v>8</v>
      </c>
      <c r="O7" s="100">
        <v>6307.2</v>
      </c>
      <c r="P7" s="100">
        <v>6</v>
      </c>
      <c r="Q7" s="100">
        <v>4730.3999999999996</v>
      </c>
      <c r="R7" s="100">
        <v>6</v>
      </c>
      <c r="S7" s="100">
        <v>4730.3999999999996</v>
      </c>
      <c r="T7" s="100">
        <v>5</v>
      </c>
      <c r="U7" s="100">
        <v>3942</v>
      </c>
      <c r="V7" s="100">
        <v>5</v>
      </c>
      <c r="W7" s="100">
        <v>3942</v>
      </c>
      <c r="X7" s="100">
        <v>7.3967427707517555</v>
      </c>
      <c r="Y7" s="100">
        <v>5831.5920004606842</v>
      </c>
      <c r="Z7" s="100">
        <v>8</v>
      </c>
      <c r="AA7" s="100">
        <v>6307.2</v>
      </c>
      <c r="AB7" s="100">
        <v>7</v>
      </c>
      <c r="AC7" s="100">
        <v>5518.8</v>
      </c>
      <c r="AD7" s="100">
        <v>5.1822716082797511</v>
      </c>
      <c r="AE7" s="100">
        <v>4085.7029359677558</v>
      </c>
      <c r="AF7" s="100">
        <v>7.3795261989006296</v>
      </c>
      <c r="AG7" s="100">
        <v>5818.0184552132559</v>
      </c>
      <c r="AH7" s="100">
        <v>4.6450829451408611</v>
      </c>
      <c r="AI7" s="100">
        <v>3662.1833939490548</v>
      </c>
      <c r="AJ7" s="100">
        <v>8.5663123590647032</v>
      </c>
      <c r="AK7" s="100">
        <v>6753.6806638866119</v>
      </c>
      <c r="AL7" s="100">
        <v>2.548594069345385</v>
      </c>
      <c r="AM7" s="100">
        <v>2009.3115642719015</v>
      </c>
      <c r="AN7" s="100">
        <v>4.9532847240481219</v>
      </c>
      <c r="AO7" s="100">
        <v>3905.1696764395392</v>
      </c>
      <c r="AP7" s="100">
        <v>4.4389072637055484</v>
      </c>
      <c r="AQ7" s="100">
        <v>3499.6344867054545</v>
      </c>
      <c r="AR7" s="100">
        <v>3.9550444104594318</v>
      </c>
      <c r="AS7" s="100">
        <v>3118.1570132062161</v>
      </c>
      <c r="AT7" s="100">
        <v>5.7656399132842504E-4</v>
      </c>
      <c r="AU7" s="100">
        <v>0.45456305076333031</v>
      </c>
      <c r="AV7" s="100">
        <v>5</v>
      </c>
      <c r="AW7" s="100">
        <v>3942</v>
      </c>
      <c r="AX7" s="100">
        <v>5</v>
      </c>
      <c r="AY7" s="100">
        <v>3942</v>
      </c>
      <c r="AZ7" s="100">
        <v>7</v>
      </c>
      <c r="BA7" s="100">
        <v>5518.8</v>
      </c>
      <c r="BB7" s="100">
        <v>9</v>
      </c>
      <c r="BC7" s="100">
        <v>7095.5999999999995</v>
      </c>
      <c r="BD7" s="100">
        <v>8.1797729316855126</v>
      </c>
      <c r="BE7" s="100">
        <v>6448.9329793408579</v>
      </c>
      <c r="BF7" s="100">
        <v>10</v>
      </c>
      <c r="BG7" s="100">
        <v>7884</v>
      </c>
      <c r="BH7" s="100">
        <v>8.1471248946117676</v>
      </c>
      <c r="BI7" s="100">
        <v>6423.1932669119178</v>
      </c>
      <c r="BJ7" s="100">
        <v>7.4033148429049964</v>
      </c>
      <c r="BK7" s="100">
        <v>5836.7734221462988</v>
      </c>
      <c r="BL7" s="100">
        <v>9</v>
      </c>
      <c r="BM7" s="100">
        <v>7095.5999999999995</v>
      </c>
      <c r="BN7" s="100">
        <v>7.4143939209531728</v>
      </c>
      <c r="BO7" s="100">
        <v>5845.5081672794813</v>
      </c>
      <c r="BP7" s="100">
        <v>4.7846593623182514</v>
      </c>
      <c r="BQ7" s="100">
        <v>3772.2254412517091</v>
      </c>
      <c r="BR7" s="100">
        <v>6</v>
      </c>
      <c r="BS7" s="100">
        <v>4730.3999999999996</v>
      </c>
      <c r="BT7" s="100">
        <v>11</v>
      </c>
      <c r="BU7" s="100">
        <v>8672.4</v>
      </c>
      <c r="BV7" s="100">
        <v>5.836027303009085</v>
      </c>
      <c r="BW7" s="100">
        <v>4601.1239256923627</v>
      </c>
      <c r="BX7" s="100">
        <v>6.4071799876588464</v>
      </c>
      <c r="BY7" s="100">
        <v>5051.420702270234</v>
      </c>
      <c r="BZ7" s="100">
        <v>4.1631275371165532E-4</v>
      </c>
      <c r="CA7" s="100">
        <v>0.32822097502626907</v>
      </c>
      <c r="CB7" s="100">
        <v>1.7388564014800914</v>
      </c>
      <c r="CC7" s="100">
        <v>1370.9143869269039</v>
      </c>
      <c r="CD7" s="100">
        <v>7.3516066884810387</v>
      </c>
      <c r="CE7" s="100">
        <v>5796.0067131984506</v>
      </c>
      <c r="CF7" s="100">
        <v>11</v>
      </c>
      <c r="CG7" s="100">
        <v>8672.4</v>
      </c>
      <c r="CH7" s="100">
        <v>10</v>
      </c>
      <c r="CI7" s="100">
        <v>7884</v>
      </c>
      <c r="CJ7" s="100">
        <v>8</v>
      </c>
      <c r="CK7" s="100">
        <v>6307.2</v>
      </c>
      <c r="CL7" s="100">
        <v>9</v>
      </c>
      <c r="CM7" s="100">
        <v>7095.5999999999995</v>
      </c>
      <c r="CN7" s="100">
        <v>7.8826663762181788</v>
      </c>
      <c r="CO7" s="100">
        <v>6214.694171010412</v>
      </c>
      <c r="CP7" s="100">
        <v>4.5822601162675755E-4</v>
      </c>
      <c r="CQ7" s="100">
        <v>0.36126538756653565</v>
      </c>
      <c r="CR7" s="100">
        <v>6</v>
      </c>
      <c r="CS7" s="100">
        <v>4730.3999999999996</v>
      </c>
      <c r="CT7" s="100">
        <v>10.143209046719072</v>
      </c>
      <c r="CU7" s="100">
        <v>7996.9060124333164</v>
      </c>
    </row>
    <row r="8" spans="1:99">
      <c r="C8" s="99" t="s">
        <v>174</v>
      </c>
      <c r="D8" s="100">
        <v>2.8867534923333182</v>
      </c>
      <c r="E8" s="100">
        <v>893.73888122639528</v>
      </c>
      <c r="F8" s="100">
        <v>6.9515428472200149</v>
      </c>
      <c r="G8" s="100">
        <v>2152.1976654993164</v>
      </c>
      <c r="H8" s="100">
        <v>1.7799823742601348</v>
      </c>
      <c r="I8" s="100">
        <v>551.08254307093773</v>
      </c>
      <c r="J8" s="100">
        <v>9</v>
      </c>
      <c r="K8" s="100">
        <v>2786.3999999999996</v>
      </c>
      <c r="L8" s="100">
        <v>8</v>
      </c>
      <c r="M8" s="100">
        <v>2476.7999999999997</v>
      </c>
      <c r="N8" s="100">
        <v>8</v>
      </c>
      <c r="O8" s="100">
        <v>2476.7999999999997</v>
      </c>
      <c r="P8" s="100">
        <v>6</v>
      </c>
      <c r="Q8" s="100">
        <v>1857.6</v>
      </c>
      <c r="R8" s="100">
        <v>7</v>
      </c>
      <c r="S8" s="100">
        <v>2167.1999999999998</v>
      </c>
      <c r="T8" s="100">
        <v>6</v>
      </c>
      <c r="U8" s="100">
        <v>1857.6</v>
      </c>
      <c r="V8" s="100">
        <v>6</v>
      </c>
      <c r="W8" s="100">
        <v>1857.6</v>
      </c>
      <c r="X8" s="100">
        <v>7.3967427707517555</v>
      </c>
      <c r="Y8" s="100">
        <v>2290.0315618247432</v>
      </c>
      <c r="Z8" s="100">
        <v>9</v>
      </c>
      <c r="AA8" s="100">
        <v>2786.3999999999996</v>
      </c>
      <c r="AB8" s="100">
        <v>7</v>
      </c>
      <c r="AC8" s="100">
        <v>2167.1999999999998</v>
      </c>
      <c r="AD8" s="100">
        <v>5.1822716082797511</v>
      </c>
      <c r="AE8" s="100">
        <v>1604.4312899234108</v>
      </c>
      <c r="AF8" s="100">
        <v>7.4216957765562546</v>
      </c>
      <c r="AG8" s="100">
        <v>2297.7570124218159</v>
      </c>
      <c r="AH8" s="100">
        <v>5.9722495008953915</v>
      </c>
      <c r="AI8" s="100">
        <v>1849.0084454772129</v>
      </c>
      <c r="AJ8" s="100">
        <v>7.5663123590647032</v>
      </c>
      <c r="AK8" s="100">
        <v>2342.5303063664319</v>
      </c>
      <c r="AL8" s="100">
        <v>2.548594069345385</v>
      </c>
      <c r="AM8" s="100">
        <v>789.04472386933116</v>
      </c>
      <c r="AN8" s="100">
        <v>4.9532847240481219</v>
      </c>
      <c r="AO8" s="100">
        <v>1533.5369505652984</v>
      </c>
      <c r="AP8" s="100">
        <v>4.4675907830428265</v>
      </c>
      <c r="AQ8" s="100">
        <v>1383.166106430059</v>
      </c>
      <c r="AR8" s="100">
        <v>3.9550444104594318</v>
      </c>
      <c r="AS8" s="100">
        <v>1224.4817494782399</v>
      </c>
      <c r="AT8" s="100">
        <v>6.4062665703158337E-4</v>
      </c>
      <c r="AU8" s="100">
        <v>0.19833801301697818</v>
      </c>
      <c r="AV8" s="100">
        <v>6</v>
      </c>
      <c r="AW8" s="100">
        <v>1857.6</v>
      </c>
      <c r="AX8" s="100">
        <v>6</v>
      </c>
      <c r="AY8" s="100">
        <v>1857.6</v>
      </c>
      <c r="AZ8" s="100">
        <v>7</v>
      </c>
      <c r="BA8" s="100">
        <v>2167.1999999999998</v>
      </c>
      <c r="BB8" s="100">
        <v>9</v>
      </c>
      <c r="BC8" s="100">
        <v>2786.3999999999996</v>
      </c>
      <c r="BD8" s="100">
        <v>9.1797729316855126</v>
      </c>
      <c r="BE8" s="100">
        <v>2842.0576996498344</v>
      </c>
      <c r="BF8" s="100">
        <v>10</v>
      </c>
      <c r="BG8" s="100">
        <v>3095.9999999999995</v>
      </c>
      <c r="BH8" s="100">
        <v>9.1471248946117676</v>
      </c>
      <c r="BI8" s="100">
        <v>2831.9498673718031</v>
      </c>
      <c r="BJ8" s="100">
        <v>8.2259053810055516</v>
      </c>
      <c r="BK8" s="100">
        <v>2546.7403059593184</v>
      </c>
      <c r="BL8" s="100">
        <v>8</v>
      </c>
      <c r="BM8" s="100">
        <v>2476.7999999999997</v>
      </c>
      <c r="BN8" s="100">
        <v>8.2382154677257482</v>
      </c>
      <c r="BO8" s="100">
        <v>2550.5515088078914</v>
      </c>
      <c r="BP8" s="100">
        <v>4.101136596272787</v>
      </c>
      <c r="BQ8" s="100">
        <v>1269.7118902060547</v>
      </c>
      <c r="BR8" s="100">
        <v>7</v>
      </c>
      <c r="BS8" s="100">
        <v>2167.1999999999998</v>
      </c>
      <c r="BT8" s="100">
        <v>11</v>
      </c>
      <c r="BU8" s="100">
        <v>3405.5999999999995</v>
      </c>
      <c r="BV8" s="100">
        <v>5.836027303009085</v>
      </c>
      <c r="BW8" s="100">
        <v>1806.8340530116125</v>
      </c>
      <c r="BX8" s="100">
        <v>6.4071799876588464</v>
      </c>
      <c r="BY8" s="100">
        <v>1983.6629241791786</v>
      </c>
      <c r="BZ8" s="100">
        <v>4.1631275371165532E-4</v>
      </c>
      <c r="CA8" s="100">
        <v>0.12889042854912847</v>
      </c>
      <c r="CB8" s="100">
        <v>1.550760609035766</v>
      </c>
      <c r="CC8" s="100">
        <v>480.11548455747311</v>
      </c>
      <c r="CD8" s="100">
        <v>7.3516066884810387</v>
      </c>
      <c r="CE8" s="100">
        <v>2276.0574307537295</v>
      </c>
      <c r="CF8" s="100">
        <v>11</v>
      </c>
      <c r="CG8" s="100">
        <v>3405.5999999999995</v>
      </c>
      <c r="CH8" s="100">
        <v>11</v>
      </c>
      <c r="CI8" s="100">
        <v>3405.5999999999995</v>
      </c>
      <c r="CJ8" s="100">
        <v>8</v>
      </c>
      <c r="CK8" s="100">
        <v>2476.7999999999997</v>
      </c>
      <c r="CL8" s="100">
        <v>9</v>
      </c>
      <c r="CM8" s="100">
        <v>2786.3999999999996</v>
      </c>
      <c r="CN8" s="100">
        <v>7.1108999051790267</v>
      </c>
      <c r="CO8" s="100">
        <v>2201.5346106434263</v>
      </c>
      <c r="CP8" s="100">
        <v>5.1550426308010226E-4</v>
      </c>
      <c r="CQ8" s="100">
        <v>0.15960011984959965</v>
      </c>
      <c r="CR8" s="100">
        <v>6</v>
      </c>
      <c r="CS8" s="100">
        <v>1857.6</v>
      </c>
      <c r="CT8" s="100">
        <v>10.131274959492483</v>
      </c>
      <c r="CU8" s="100">
        <v>3136.6427274588723</v>
      </c>
    </row>
    <row r="9" spans="1:99">
      <c r="C9" s="99" t="s">
        <v>175</v>
      </c>
      <c r="D9" s="100">
        <v>2.880711897224113</v>
      </c>
      <c r="E9" s="100">
        <v>2022.2597518513273</v>
      </c>
      <c r="F9" s="100">
        <v>5.2605768517400042</v>
      </c>
      <c r="G9" s="100">
        <v>3692.9249499214829</v>
      </c>
      <c r="H9" s="100">
        <v>1.557484577477618</v>
      </c>
      <c r="I9" s="100">
        <v>1093.3541733892878</v>
      </c>
      <c r="J9" s="100">
        <v>8</v>
      </c>
      <c r="K9" s="100">
        <v>5616</v>
      </c>
      <c r="L9" s="100">
        <v>8</v>
      </c>
      <c r="M9" s="100">
        <v>5616</v>
      </c>
      <c r="N9" s="100">
        <v>7</v>
      </c>
      <c r="O9" s="100">
        <v>4914</v>
      </c>
      <c r="P9" s="100">
        <v>6</v>
      </c>
      <c r="Q9" s="100">
        <v>4212</v>
      </c>
      <c r="R9" s="100">
        <v>7</v>
      </c>
      <c r="S9" s="100">
        <v>4914</v>
      </c>
      <c r="T9" s="100">
        <v>6</v>
      </c>
      <c r="U9" s="100">
        <v>4212</v>
      </c>
      <c r="V9" s="100">
        <v>5</v>
      </c>
      <c r="W9" s="100">
        <v>3510</v>
      </c>
      <c r="X9" s="100">
        <v>7.3471499244077858</v>
      </c>
      <c r="Y9" s="100">
        <v>5157.6992469342658</v>
      </c>
      <c r="Z9" s="100">
        <v>9</v>
      </c>
      <c r="AA9" s="100">
        <v>6318</v>
      </c>
      <c r="AB9" s="100">
        <v>8</v>
      </c>
      <c r="AC9" s="100">
        <v>5616</v>
      </c>
      <c r="AD9" s="100">
        <v>6.162019207359779</v>
      </c>
      <c r="AE9" s="100">
        <v>4325.7374835665651</v>
      </c>
      <c r="AF9" s="100">
        <v>8.3795261989006296</v>
      </c>
      <c r="AG9" s="100">
        <v>5882.4273916282418</v>
      </c>
      <c r="AH9" s="100">
        <v>4.6450829451408611</v>
      </c>
      <c r="AI9" s="100">
        <v>3260.8482274888843</v>
      </c>
      <c r="AJ9" s="100">
        <v>6.5663123590647032</v>
      </c>
      <c r="AK9" s="100">
        <v>4609.5512760634219</v>
      </c>
      <c r="AL9" s="100">
        <v>2.8671683280135585</v>
      </c>
      <c r="AM9" s="100">
        <v>2012.7521662655181</v>
      </c>
      <c r="AN9" s="100">
        <v>4.9532847240481219</v>
      </c>
      <c r="AO9" s="100">
        <v>3477.2058762817815</v>
      </c>
      <c r="AP9" s="100">
        <v>3.7994817041017637</v>
      </c>
      <c r="AQ9" s="100">
        <v>2667.2361562794381</v>
      </c>
      <c r="AR9" s="100">
        <v>3.9550444104594318</v>
      </c>
      <c r="AS9" s="100">
        <v>2776.4411761425213</v>
      </c>
      <c r="AT9" s="100">
        <v>5.7656399132842504E-4</v>
      </c>
      <c r="AU9" s="100">
        <v>0.40474792191255438</v>
      </c>
      <c r="AV9" s="100">
        <v>6</v>
      </c>
      <c r="AW9" s="100">
        <v>4212</v>
      </c>
      <c r="AX9" s="100">
        <v>6</v>
      </c>
      <c r="AY9" s="100">
        <v>4212</v>
      </c>
      <c r="AZ9" s="100">
        <v>8</v>
      </c>
      <c r="BA9" s="100">
        <v>5616</v>
      </c>
      <c r="BB9" s="100">
        <v>9</v>
      </c>
      <c r="BC9" s="100">
        <v>6318</v>
      </c>
      <c r="BD9" s="100">
        <v>8.1634299378959216</v>
      </c>
      <c r="BE9" s="100">
        <v>5730.7278164029367</v>
      </c>
      <c r="BF9" s="100">
        <v>10</v>
      </c>
      <c r="BG9" s="100">
        <v>7020</v>
      </c>
      <c r="BH9" s="100">
        <v>9.1261070525243735</v>
      </c>
      <c r="BI9" s="100">
        <v>6406.5271508721098</v>
      </c>
      <c r="BJ9" s="100">
        <v>8.2259053810055516</v>
      </c>
      <c r="BK9" s="100">
        <v>5774.5855774658976</v>
      </c>
      <c r="BL9" s="100">
        <v>9</v>
      </c>
      <c r="BM9" s="100">
        <v>6318</v>
      </c>
      <c r="BN9" s="100">
        <v>9.0620370144983227</v>
      </c>
      <c r="BO9" s="100">
        <v>6361.5499841778228</v>
      </c>
      <c r="BP9" s="100">
        <v>4.7846593623182514</v>
      </c>
      <c r="BQ9" s="100">
        <v>3358.8308723474124</v>
      </c>
      <c r="BR9" s="100">
        <v>6</v>
      </c>
      <c r="BS9" s="100">
        <v>4212</v>
      </c>
      <c r="BT9" s="100">
        <v>11</v>
      </c>
      <c r="BU9" s="100">
        <v>7722</v>
      </c>
      <c r="BV9" s="100">
        <v>6.6535815920989769</v>
      </c>
      <c r="BW9" s="100">
        <v>4670.8142776534814</v>
      </c>
      <c r="BX9" s="100">
        <v>5.4918685608504392</v>
      </c>
      <c r="BY9" s="100">
        <v>3855.2917297170084</v>
      </c>
      <c r="BZ9" s="100">
        <v>4.1860296537516822E-4</v>
      </c>
      <c r="CA9" s="100">
        <v>0.29385928169336811</v>
      </c>
      <c r="CB9" s="100">
        <v>1.5465793118102054</v>
      </c>
      <c r="CC9" s="100">
        <v>1085.6986768907641</v>
      </c>
      <c r="CD9" s="100">
        <v>6.6164460196329342</v>
      </c>
      <c r="CE9" s="100">
        <v>4644.74510578232</v>
      </c>
      <c r="CF9" s="100">
        <v>12</v>
      </c>
      <c r="CG9" s="100">
        <v>8424</v>
      </c>
      <c r="CH9" s="100">
        <v>9</v>
      </c>
      <c r="CI9" s="100">
        <v>6318</v>
      </c>
      <c r="CJ9" s="100">
        <v>7</v>
      </c>
      <c r="CK9" s="100">
        <v>4914</v>
      </c>
      <c r="CL9" s="100">
        <v>10</v>
      </c>
      <c r="CM9" s="100">
        <v>7020</v>
      </c>
      <c r="CN9" s="100">
        <v>7.8826663762181788</v>
      </c>
      <c r="CO9" s="100">
        <v>5533.6317961051618</v>
      </c>
      <c r="CP9" s="100">
        <v>4.5822601162675755E-4</v>
      </c>
      <c r="CQ9" s="100">
        <v>0.32167466016198382</v>
      </c>
      <c r="CR9" s="100">
        <v>6</v>
      </c>
      <c r="CS9" s="100">
        <v>4212</v>
      </c>
      <c r="CT9" s="100">
        <v>11.131274959492483</v>
      </c>
      <c r="CU9" s="100">
        <v>7814.1550215637235</v>
      </c>
    </row>
    <row r="10" spans="1:99">
      <c r="C10" s="99" t="s">
        <v>176</v>
      </c>
      <c r="D10" s="100">
        <v>2.880711897224113</v>
      </c>
      <c r="E10" s="100">
        <v>1569.4118416076967</v>
      </c>
      <c r="F10" s="100">
        <v>6.9202630363366868</v>
      </c>
      <c r="G10" s="100">
        <v>3770.1593021962267</v>
      </c>
      <c r="H10" s="100">
        <v>1.7799823742601348</v>
      </c>
      <c r="I10" s="100">
        <v>969.73439749692136</v>
      </c>
      <c r="J10" s="100">
        <v>9</v>
      </c>
      <c r="K10" s="100">
        <v>4903.2</v>
      </c>
      <c r="L10" s="100">
        <v>7</v>
      </c>
      <c r="M10" s="100">
        <v>3813.5999999999995</v>
      </c>
      <c r="N10" s="100">
        <v>7</v>
      </c>
      <c r="O10" s="100">
        <v>3813.5999999999995</v>
      </c>
      <c r="P10" s="100">
        <v>6</v>
      </c>
      <c r="Q10" s="100">
        <v>3268.7999999999997</v>
      </c>
      <c r="R10" s="100">
        <v>7</v>
      </c>
      <c r="S10" s="100">
        <v>3813.5999999999995</v>
      </c>
      <c r="T10" s="100">
        <v>5</v>
      </c>
      <c r="U10" s="100">
        <v>2724</v>
      </c>
      <c r="V10" s="100">
        <v>5</v>
      </c>
      <c r="W10" s="100">
        <v>2724</v>
      </c>
      <c r="X10" s="100">
        <v>6.3967427707517555</v>
      </c>
      <c r="Y10" s="100">
        <v>3484.9454615055561</v>
      </c>
      <c r="Z10" s="100">
        <v>9</v>
      </c>
      <c r="AA10" s="100">
        <v>4903.2</v>
      </c>
      <c r="AB10" s="100">
        <v>7</v>
      </c>
      <c r="AC10" s="100">
        <v>3813.5999999999995</v>
      </c>
      <c r="AD10" s="100">
        <v>5.1822716082797511</v>
      </c>
      <c r="AE10" s="100">
        <v>2823.3015721908082</v>
      </c>
      <c r="AF10" s="100">
        <v>7.4216957765562546</v>
      </c>
      <c r="AG10" s="100">
        <v>4043.3398590678471</v>
      </c>
      <c r="AH10" s="100">
        <v>5.3086662230181263</v>
      </c>
      <c r="AI10" s="100">
        <v>2892.161358300275</v>
      </c>
      <c r="AJ10" s="100">
        <v>7.5663123590647032</v>
      </c>
      <c r="AK10" s="100">
        <v>4122.1269732184501</v>
      </c>
      <c r="AL10" s="100">
        <v>2.8671683280135585</v>
      </c>
      <c r="AM10" s="100">
        <v>1562.0333051017865</v>
      </c>
      <c r="AN10" s="100">
        <v>4.9532847240481219</v>
      </c>
      <c r="AO10" s="100">
        <v>2698.5495176614168</v>
      </c>
      <c r="AP10" s="100">
        <v>4.4962743023801046</v>
      </c>
      <c r="AQ10" s="100">
        <v>2449.570239936681</v>
      </c>
      <c r="AR10" s="100">
        <v>3.9550444104594318</v>
      </c>
      <c r="AS10" s="100">
        <v>2154.7081948182981</v>
      </c>
      <c r="AT10" s="100">
        <v>5.7656399132842504E-4</v>
      </c>
      <c r="AU10" s="100">
        <v>0.31411206247572593</v>
      </c>
      <c r="AV10" s="100">
        <v>5</v>
      </c>
      <c r="AW10" s="100">
        <v>2724</v>
      </c>
      <c r="AX10" s="100">
        <v>6</v>
      </c>
      <c r="AY10" s="100">
        <v>3268.7999999999997</v>
      </c>
      <c r="AZ10" s="100">
        <v>9</v>
      </c>
      <c r="BA10" s="100">
        <v>4903.2</v>
      </c>
      <c r="BB10" s="100">
        <v>9</v>
      </c>
      <c r="BC10" s="100">
        <v>4903.2</v>
      </c>
      <c r="BD10" s="100">
        <v>8.1961159254751053</v>
      </c>
      <c r="BE10" s="100">
        <v>4465.2439561988367</v>
      </c>
      <c r="BF10" s="100">
        <v>9</v>
      </c>
      <c r="BG10" s="100">
        <v>4903.2</v>
      </c>
      <c r="BH10" s="100">
        <v>9.1261070525243735</v>
      </c>
      <c r="BI10" s="100">
        <v>4971.903122215278</v>
      </c>
      <c r="BJ10" s="100">
        <v>8.2259053810055516</v>
      </c>
      <c r="BK10" s="100">
        <v>4481.4732515718242</v>
      </c>
      <c r="BL10" s="100">
        <v>8</v>
      </c>
      <c r="BM10" s="100">
        <v>4358.3999999999996</v>
      </c>
      <c r="BN10" s="100">
        <v>7.4143939209531728</v>
      </c>
      <c r="BO10" s="100">
        <v>4039.3618081352884</v>
      </c>
      <c r="BP10" s="100">
        <v>4.7846593623182514</v>
      </c>
      <c r="BQ10" s="100">
        <v>2606.6824205909829</v>
      </c>
      <c r="BR10" s="100">
        <v>6</v>
      </c>
      <c r="BS10" s="100">
        <v>3268.7999999999997</v>
      </c>
      <c r="BT10" s="100">
        <v>11</v>
      </c>
      <c r="BU10" s="100">
        <v>5992.7999999999993</v>
      </c>
      <c r="BV10" s="100">
        <v>5.8293715806926238</v>
      </c>
      <c r="BW10" s="100">
        <v>3175.8416371613412</v>
      </c>
      <c r="BX10" s="100">
        <v>6.4071799876588464</v>
      </c>
      <c r="BY10" s="100">
        <v>3490.631657276539</v>
      </c>
      <c r="BZ10" s="100">
        <v>4.1631275371165532E-4</v>
      </c>
      <c r="CA10" s="100">
        <v>0.2268071882221098</v>
      </c>
      <c r="CB10" s="100">
        <v>1.7346751042545308</v>
      </c>
      <c r="CC10" s="100">
        <v>945.05099679786827</v>
      </c>
      <c r="CD10" s="100">
        <v>7.3516066884810387</v>
      </c>
      <c r="CE10" s="100">
        <v>4005.1553238844695</v>
      </c>
      <c r="CF10" s="100">
        <v>10</v>
      </c>
      <c r="CG10" s="100">
        <v>5448</v>
      </c>
      <c r="CH10" s="100">
        <v>10</v>
      </c>
      <c r="CI10" s="100">
        <v>5448</v>
      </c>
      <c r="CJ10" s="100">
        <v>8</v>
      </c>
      <c r="CK10" s="100">
        <v>4358.3999999999996</v>
      </c>
      <c r="CL10" s="100">
        <v>9</v>
      </c>
      <c r="CM10" s="100">
        <v>4903.2</v>
      </c>
      <c r="CN10" s="100">
        <v>6.3391334341398773</v>
      </c>
      <c r="CO10" s="100">
        <v>3453.559894919405</v>
      </c>
      <c r="CP10" s="100">
        <v>5.1550426308010226E-4</v>
      </c>
      <c r="CQ10" s="100">
        <v>0.2808467225260397</v>
      </c>
      <c r="CR10" s="100">
        <v>6</v>
      </c>
      <c r="CS10" s="100">
        <v>3268.7999999999997</v>
      </c>
      <c r="CT10" s="100">
        <v>9.1312749594924831</v>
      </c>
      <c r="CU10" s="100">
        <v>4974.7185979315045</v>
      </c>
    </row>
    <row r="11" spans="1:99">
      <c r="C11" s="99" t="s">
        <v>177</v>
      </c>
      <c r="D11" s="100">
        <v>2.407641775314167</v>
      </c>
      <c r="E11" s="100">
        <v>1282.7915378873881</v>
      </c>
      <c r="F11" s="100">
        <v>6.152979565805003</v>
      </c>
      <c r="G11" s="100">
        <v>3278.3075126609056</v>
      </c>
      <c r="H11" s="100">
        <v>2.0024801710426519</v>
      </c>
      <c r="I11" s="100">
        <v>1066.9214351315247</v>
      </c>
      <c r="J11" s="100">
        <v>8</v>
      </c>
      <c r="K11" s="100">
        <v>4262.3999999999996</v>
      </c>
      <c r="L11" s="100">
        <v>8</v>
      </c>
      <c r="M11" s="100">
        <v>4262.3999999999996</v>
      </c>
      <c r="N11" s="100">
        <v>7</v>
      </c>
      <c r="O11" s="100">
        <v>3729.5999999999995</v>
      </c>
      <c r="P11" s="100">
        <v>6</v>
      </c>
      <c r="Q11" s="100">
        <v>3196.7999999999997</v>
      </c>
      <c r="R11" s="100">
        <v>7</v>
      </c>
      <c r="S11" s="100">
        <v>3729.5999999999995</v>
      </c>
      <c r="T11" s="100">
        <v>6</v>
      </c>
      <c r="U11" s="100">
        <v>3196.7999999999997</v>
      </c>
      <c r="V11" s="100">
        <v>5</v>
      </c>
      <c r="W11" s="100">
        <v>2664</v>
      </c>
      <c r="X11" s="100">
        <v>7.3471499244077858</v>
      </c>
      <c r="Y11" s="100">
        <v>3914.561479724468</v>
      </c>
      <c r="Z11" s="100">
        <v>9</v>
      </c>
      <c r="AA11" s="100">
        <v>4795.2</v>
      </c>
      <c r="AB11" s="100">
        <v>8</v>
      </c>
      <c r="AC11" s="100">
        <v>4262.3999999999996</v>
      </c>
      <c r="AD11" s="100">
        <v>5.1822716082797511</v>
      </c>
      <c r="AE11" s="100">
        <v>2761.1143128914509</v>
      </c>
      <c r="AF11" s="100">
        <v>8.4216957765562555</v>
      </c>
      <c r="AG11" s="100">
        <v>4487.0795097491728</v>
      </c>
      <c r="AH11" s="100">
        <v>4.6450829451408611</v>
      </c>
      <c r="AI11" s="100">
        <v>2474.9001931710504</v>
      </c>
      <c r="AJ11" s="100">
        <v>7.5663123590647032</v>
      </c>
      <c r="AK11" s="100">
        <v>4031.3312249096734</v>
      </c>
      <c r="AL11" s="100">
        <v>2.548594069345385</v>
      </c>
      <c r="AM11" s="100">
        <v>1357.8909201472211</v>
      </c>
      <c r="AN11" s="100">
        <v>4.9532847240481219</v>
      </c>
      <c r="AO11" s="100">
        <v>2639.1101009728391</v>
      </c>
      <c r="AP11" s="100">
        <v>3.7994817041017637</v>
      </c>
      <c r="AQ11" s="100">
        <v>2024.3638519454196</v>
      </c>
      <c r="AR11" s="100">
        <v>3.9550444104594318</v>
      </c>
      <c r="AS11" s="100">
        <v>2107.2476618927849</v>
      </c>
      <c r="AT11" s="100">
        <v>7.046893227347417E-4</v>
      </c>
      <c r="AU11" s="100">
        <v>0.37545847115307035</v>
      </c>
      <c r="AV11" s="100">
        <v>5</v>
      </c>
      <c r="AW11" s="100">
        <v>2664</v>
      </c>
      <c r="AX11" s="100">
        <v>6</v>
      </c>
      <c r="AY11" s="100">
        <v>3196.7999999999997</v>
      </c>
      <c r="AZ11" s="100">
        <v>8</v>
      </c>
      <c r="BA11" s="100">
        <v>4262.3999999999996</v>
      </c>
      <c r="BB11" s="100">
        <v>10</v>
      </c>
      <c r="BC11" s="100">
        <v>5328</v>
      </c>
      <c r="BD11" s="100">
        <v>8.1961159254751053</v>
      </c>
      <c r="BE11" s="100">
        <v>4366.8905650931356</v>
      </c>
      <c r="BF11" s="100">
        <v>9</v>
      </c>
      <c r="BG11" s="100">
        <v>4795.2</v>
      </c>
      <c r="BH11" s="100">
        <v>8.1261070525243735</v>
      </c>
      <c r="BI11" s="100">
        <v>4329.5898375849856</v>
      </c>
      <c r="BJ11" s="100">
        <v>8.2259053810055516</v>
      </c>
      <c r="BK11" s="100">
        <v>4382.7623869997578</v>
      </c>
      <c r="BL11" s="100">
        <v>8</v>
      </c>
      <c r="BM11" s="100">
        <v>4262.3999999999996</v>
      </c>
      <c r="BN11" s="100">
        <v>8.2382154677257482</v>
      </c>
      <c r="BO11" s="100">
        <v>4389.3212012042786</v>
      </c>
      <c r="BP11" s="100">
        <v>4.7846593623182514</v>
      </c>
      <c r="BQ11" s="100">
        <v>2549.266508243164</v>
      </c>
      <c r="BR11" s="100">
        <v>5</v>
      </c>
      <c r="BS11" s="100">
        <v>2664</v>
      </c>
      <c r="BT11" s="100">
        <v>11</v>
      </c>
      <c r="BU11" s="100">
        <v>5860.7999999999993</v>
      </c>
      <c r="BV11" s="100">
        <v>5.8293715806926238</v>
      </c>
      <c r="BW11" s="100">
        <v>3105.8891781930297</v>
      </c>
      <c r="BX11" s="100">
        <v>5.4918685608504392</v>
      </c>
      <c r="BY11" s="100">
        <v>2926.0675692211139</v>
      </c>
      <c r="BZ11" s="100">
        <v>4.1631275371165532E-4</v>
      </c>
      <c r="CA11" s="100">
        <v>0.22181143517756993</v>
      </c>
      <c r="CB11" s="100">
        <v>1.7346751042545308</v>
      </c>
      <c r="CC11" s="100">
        <v>924.23489554681396</v>
      </c>
      <c r="CD11" s="100">
        <v>6.6164460196329342</v>
      </c>
      <c r="CE11" s="100">
        <v>3525.2424392604271</v>
      </c>
      <c r="CF11" s="100">
        <v>12</v>
      </c>
      <c r="CG11" s="100">
        <v>6393.5999999999995</v>
      </c>
      <c r="CH11" s="100">
        <v>10</v>
      </c>
      <c r="CI11" s="100">
        <v>5328</v>
      </c>
      <c r="CJ11" s="100">
        <v>8</v>
      </c>
      <c r="CK11" s="100">
        <v>4262.3999999999996</v>
      </c>
      <c r="CL11" s="100">
        <v>9</v>
      </c>
      <c r="CM11" s="100">
        <v>4795.2</v>
      </c>
      <c r="CN11" s="100">
        <v>6.3627051006865436</v>
      </c>
      <c r="CO11" s="100">
        <v>3390.04927764579</v>
      </c>
      <c r="CP11" s="100">
        <v>5.1550426308010226E-4</v>
      </c>
      <c r="CQ11" s="100">
        <v>0.27466067136907846</v>
      </c>
      <c r="CR11" s="100">
        <v>6</v>
      </c>
      <c r="CS11" s="100">
        <v>3196.7999999999997</v>
      </c>
      <c r="CT11" s="100">
        <v>9.1312749594924831</v>
      </c>
      <c r="CU11" s="100">
        <v>4865.1432984175945</v>
      </c>
    </row>
    <row r="12" spans="1:99">
      <c r="C12" s="99" t="s">
        <v>178</v>
      </c>
      <c r="D12" s="100">
        <v>2.407641775314167</v>
      </c>
      <c r="E12" s="100">
        <v>1355.0207911468131</v>
      </c>
      <c r="F12" s="100">
        <v>6.0904199440383451</v>
      </c>
      <c r="G12" s="100">
        <v>3427.6883445047802</v>
      </c>
      <c r="H12" s="100">
        <v>2.0024801710426519</v>
      </c>
      <c r="I12" s="100">
        <v>1126.9958402628044</v>
      </c>
      <c r="J12" s="100">
        <v>8</v>
      </c>
      <c r="K12" s="100">
        <v>4502.3999999999996</v>
      </c>
      <c r="L12" s="100">
        <v>8</v>
      </c>
      <c r="M12" s="100">
        <v>4502.3999999999996</v>
      </c>
      <c r="N12" s="100">
        <v>8</v>
      </c>
      <c r="O12" s="100">
        <v>4502.3999999999996</v>
      </c>
      <c r="P12" s="100">
        <v>6</v>
      </c>
      <c r="Q12" s="100">
        <v>3376.7999999999997</v>
      </c>
      <c r="R12" s="100">
        <v>6</v>
      </c>
      <c r="S12" s="100">
        <v>3376.7999999999997</v>
      </c>
      <c r="T12" s="100">
        <v>5</v>
      </c>
      <c r="U12" s="100">
        <v>2814</v>
      </c>
      <c r="V12" s="100">
        <v>5</v>
      </c>
      <c r="W12" s="100">
        <v>2814</v>
      </c>
      <c r="X12" s="100">
        <v>7.3967427707517555</v>
      </c>
      <c r="Y12" s="100">
        <v>4162.8868313790872</v>
      </c>
      <c r="Z12" s="100">
        <v>9</v>
      </c>
      <c r="AA12" s="100">
        <v>5065.2</v>
      </c>
      <c r="AB12" s="100">
        <v>7</v>
      </c>
      <c r="AC12" s="100">
        <v>3939.5999999999995</v>
      </c>
      <c r="AD12" s="100">
        <v>5.202524009199724</v>
      </c>
      <c r="AE12" s="100">
        <v>2927.9805123776046</v>
      </c>
      <c r="AF12" s="100">
        <v>8.4216957765562555</v>
      </c>
      <c r="AG12" s="100">
        <v>4739.7303830458604</v>
      </c>
      <c r="AH12" s="100">
        <v>5.3086662230181263</v>
      </c>
      <c r="AI12" s="100">
        <v>2987.7173503146014</v>
      </c>
      <c r="AJ12" s="100">
        <v>7.519119662475978</v>
      </c>
      <c r="AK12" s="100">
        <v>4231.7605460414798</v>
      </c>
      <c r="AL12" s="100">
        <v>2.8671683280135585</v>
      </c>
      <c r="AM12" s="100">
        <v>1613.6423350060306</v>
      </c>
      <c r="AN12" s="100">
        <v>4.9532847240481219</v>
      </c>
      <c r="AO12" s="100">
        <v>2787.7086426942828</v>
      </c>
      <c r="AP12" s="100">
        <v>4.4675907830428265</v>
      </c>
      <c r="AQ12" s="100">
        <v>2514.3600926965028</v>
      </c>
      <c r="AR12" s="100">
        <v>3.9550444104594318</v>
      </c>
      <c r="AS12" s="100">
        <v>2225.8989942065682</v>
      </c>
      <c r="AT12" s="100">
        <v>5.7656399132842504E-4</v>
      </c>
      <c r="AU12" s="100">
        <v>0.32449021431963759</v>
      </c>
      <c r="AV12" s="100">
        <v>5</v>
      </c>
      <c r="AW12" s="100">
        <v>2814</v>
      </c>
      <c r="AX12" s="100">
        <v>6</v>
      </c>
      <c r="AY12" s="100">
        <v>3376.7999999999997</v>
      </c>
      <c r="AZ12" s="100">
        <v>7</v>
      </c>
      <c r="BA12" s="100">
        <v>3939.5999999999995</v>
      </c>
      <c r="BB12" s="100">
        <v>9</v>
      </c>
      <c r="BC12" s="100">
        <v>5065.2</v>
      </c>
      <c r="BD12" s="100">
        <v>8.1961159254751053</v>
      </c>
      <c r="BE12" s="100">
        <v>4612.7740428573888</v>
      </c>
      <c r="BF12" s="100">
        <v>8</v>
      </c>
      <c r="BG12" s="100">
        <v>4502.3999999999996</v>
      </c>
      <c r="BH12" s="100">
        <v>9.1261070525243735</v>
      </c>
      <c r="BI12" s="100">
        <v>5136.1730491607168</v>
      </c>
      <c r="BJ12" s="100">
        <v>8.2259053810055516</v>
      </c>
      <c r="BK12" s="100">
        <v>4629.5395484299243</v>
      </c>
      <c r="BL12" s="100">
        <v>8</v>
      </c>
      <c r="BM12" s="100">
        <v>4502.3999999999996</v>
      </c>
      <c r="BN12" s="100">
        <v>7.4143939209531728</v>
      </c>
      <c r="BO12" s="100">
        <v>4172.8208987124453</v>
      </c>
      <c r="BP12" s="100">
        <v>4.7846593623182514</v>
      </c>
      <c r="BQ12" s="100">
        <v>2692.8062891127115</v>
      </c>
      <c r="BR12" s="100">
        <v>6</v>
      </c>
      <c r="BS12" s="100">
        <v>3376.7999999999997</v>
      </c>
      <c r="BT12" s="100">
        <v>11</v>
      </c>
      <c r="BU12" s="100">
        <v>6190.7999999999993</v>
      </c>
      <c r="BV12" s="100">
        <v>5.8293715806926238</v>
      </c>
      <c r="BW12" s="100">
        <v>3280.7703256138084</v>
      </c>
      <c r="BX12" s="100">
        <v>6.4071799876588464</v>
      </c>
      <c r="BY12" s="100">
        <v>3605.9608970543986</v>
      </c>
      <c r="BZ12" s="100">
        <v>4.1860296537516822E-4</v>
      </c>
      <c r="CA12" s="100">
        <v>0.23558974891314466</v>
      </c>
      <c r="CB12" s="100">
        <v>1.7346751042545308</v>
      </c>
      <c r="CC12" s="100">
        <v>976.27514867444984</v>
      </c>
      <c r="CD12" s="100">
        <v>6.6164460196329342</v>
      </c>
      <c r="CE12" s="100">
        <v>3723.7358198494153</v>
      </c>
      <c r="CF12" s="100">
        <v>10</v>
      </c>
      <c r="CG12" s="100">
        <v>5628</v>
      </c>
      <c r="CH12" s="100">
        <v>10</v>
      </c>
      <c r="CI12" s="100">
        <v>5628</v>
      </c>
      <c r="CJ12" s="100">
        <v>8</v>
      </c>
      <c r="CK12" s="100">
        <v>4502.3999999999996</v>
      </c>
      <c r="CL12" s="100">
        <v>9</v>
      </c>
      <c r="CM12" s="100">
        <v>5065.2</v>
      </c>
      <c r="CN12" s="100">
        <v>7.1108999051790267</v>
      </c>
      <c r="CO12" s="100">
        <v>4002.014466634756</v>
      </c>
      <c r="CP12" s="100">
        <v>5.1550426308010226E-4</v>
      </c>
      <c r="CQ12" s="100">
        <v>0.29012579926148152</v>
      </c>
      <c r="CR12" s="100">
        <v>6</v>
      </c>
      <c r="CS12" s="100">
        <v>3376.7999999999997</v>
      </c>
      <c r="CT12" s="100">
        <v>9.1432090467190719</v>
      </c>
      <c r="CU12" s="100">
        <v>5145.7980514934934</v>
      </c>
    </row>
    <row r="13" spans="1:99">
      <c r="C13" s="99" t="s">
        <v>179</v>
      </c>
      <c r="D13" s="100">
        <v>2.8867534923333182</v>
      </c>
      <c r="E13" s="100">
        <v>245.95139754679872</v>
      </c>
      <c r="F13" s="100">
        <v>6.1216997549216732</v>
      </c>
      <c r="G13" s="100">
        <v>521.56881911932658</v>
      </c>
      <c r="H13" s="100">
        <v>2.0024801710426519</v>
      </c>
      <c r="I13" s="100">
        <v>170.61131057283396</v>
      </c>
      <c r="J13" s="100">
        <v>8</v>
      </c>
      <c r="K13" s="100">
        <v>681.6</v>
      </c>
      <c r="L13" s="100">
        <v>8</v>
      </c>
      <c r="M13" s="100">
        <v>681.6</v>
      </c>
      <c r="N13" s="100">
        <v>7</v>
      </c>
      <c r="O13" s="100">
        <v>596.4</v>
      </c>
      <c r="P13" s="100">
        <v>7</v>
      </c>
      <c r="Q13" s="100">
        <v>596.4</v>
      </c>
      <c r="R13" s="100">
        <v>7</v>
      </c>
      <c r="S13" s="100">
        <v>596.4</v>
      </c>
      <c r="T13" s="100">
        <v>5</v>
      </c>
      <c r="U13" s="100">
        <v>426</v>
      </c>
      <c r="V13" s="100">
        <v>5</v>
      </c>
      <c r="W13" s="100">
        <v>426</v>
      </c>
      <c r="X13" s="100">
        <v>7.3967427707517555</v>
      </c>
      <c r="Y13" s="100">
        <v>630.20248406804956</v>
      </c>
      <c r="Z13" s="100">
        <v>9</v>
      </c>
      <c r="AA13" s="100">
        <v>766.80000000000007</v>
      </c>
      <c r="AB13" s="100">
        <v>8</v>
      </c>
      <c r="AC13" s="100">
        <v>681.6</v>
      </c>
      <c r="AD13" s="100">
        <v>6.1822716082797511</v>
      </c>
      <c r="AE13" s="100">
        <v>526.72954102543486</v>
      </c>
      <c r="AF13" s="100">
        <v>7.3795261989006296</v>
      </c>
      <c r="AG13" s="100">
        <v>628.73563214633361</v>
      </c>
      <c r="AH13" s="100">
        <v>5.9722495008953915</v>
      </c>
      <c r="AI13" s="100">
        <v>508.83565747628739</v>
      </c>
      <c r="AJ13" s="100">
        <v>8.6135050556534285</v>
      </c>
      <c r="AK13" s="100">
        <v>733.87063074167213</v>
      </c>
      <c r="AL13" s="100">
        <v>2.8671683280135585</v>
      </c>
      <c r="AM13" s="100">
        <v>244.2827415467552</v>
      </c>
      <c r="AN13" s="100">
        <v>5.7788321780561427</v>
      </c>
      <c r="AO13" s="100">
        <v>492.35650157038339</v>
      </c>
      <c r="AP13" s="100">
        <v>4.4675907830428265</v>
      </c>
      <c r="AQ13" s="100">
        <v>380.63873471524886</v>
      </c>
      <c r="AR13" s="100">
        <v>3.9550444104594318</v>
      </c>
      <c r="AS13" s="100">
        <v>336.96978377114363</v>
      </c>
      <c r="AT13" s="100">
        <v>6.4062665703158337E-4</v>
      </c>
      <c r="AU13" s="100">
        <v>5.4581391179090902E-2</v>
      </c>
      <c r="AV13" s="100">
        <v>5</v>
      </c>
      <c r="AW13" s="100">
        <v>426</v>
      </c>
      <c r="AX13" s="100">
        <v>6</v>
      </c>
      <c r="AY13" s="100">
        <v>511.20000000000005</v>
      </c>
      <c r="AZ13" s="100">
        <v>8</v>
      </c>
      <c r="BA13" s="100">
        <v>681.6</v>
      </c>
      <c r="BB13" s="100">
        <v>10</v>
      </c>
      <c r="BC13" s="100">
        <v>852</v>
      </c>
      <c r="BD13" s="100">
        <v>9.1961159254751053</v>
      </c>
      <c r="BE13" s="100">
        <v>783.509076850479</v>
      </c>
      <c r="BF13" s="100">
        <v>9</v>
      </c>
      <c r="BG13" s="100">
        <v>766.80000000000007</v>
      </c>
      <c r="BH13" s="100">
        <v>9.1261070525243735</v>
      </c>
      <c r="BI13" s="100">
        <v>777.54432087507666</v>
      </c>
      <c r="BJ13" s="100">
        <v>8.2259053810055516</v>
      </c>
      <c r="BK13" s="100">
        <v>700.84713846167301</v>
      </c>
      <c r="BL13" s="100">
        <v>9</v>
      </c>
      <c r="BM13" s="100">
        <v>766.80000000000007</v>
      </c>
      <c r="BN13" s="100">
        <v>8.2382154677257482</v>
      </c>
      <c r="BO13" s="100">
        <v>701.8959578502338</v>
      </c>
      <c r="BP13" s="100">
        <v>4.7846593623182514</v>
      </c>
      <c r="BQ13" s="100">
        <v>407.65297766951505</v>
      </c>
      <c r="BR13" s="100">
        <v>6</v>
      </c>
      <c r="BS13" s="100">
        <v>511.20000000000005</v>
      </c>
      <c r="BT13" s="100">
        <v>10</v>
      </c>
      <c r="BU13" s="100">
        <v>852</v>
      </c>
      <c r="BV13" s="100">
        <v>6.6602373144154381</v>
      </c>
      <c r="BW13" s="100">
        <v>567.45221918819539</v>
      </c>
      <c r="BX13" s="100">
        <v>6.4071799876588464</v>
      </c>
      <c r="BY13" s="100">
        <v>545.89173494853378</v>
      </c>
      <c r="BZ13" s="100">
        <v>4.1631275371165532E-4</v>
      </c>
      <c r="CA13" s="100">
        <v>3.5469846616233036E-2</v>
      </c>
      <c r="CB13" s="100">
        <v>1.7430376987056513</v>
      </c>
      <c r="CC13" s="100">
        <v>148.50681192972149</v>
      </c>
      <c r="CD13" s="100">
        <v>6.6164460196329342</v>
      </c>
      <c r="CE13" s="100">
        <v>563.72120087272606</v>
      </c>
      <c r="CF13" s="100">
        <v>11</v>
      </c>
      <c r="CG13" s="100">
        <v>937.2</v>
      </c>
      <c r="CH13" s="100">
        <v>10</v>
      </c>
      <c r="CI13" s="100">
        <v>852</v>
      </c>
      <c r="CJ13" s="100">
        <v>9</v>
      </c>
      <c r="CK13" s="100">
        <v>766.80000000000007</v>
      </c>
      <c r="CL13" s="100">
        <v>10</v>
      </c>
      <c r="CM13" s="100">
        <v>852</v>
      </c>
      <c r="CN13" s="100">
        <v>6.3391334341398773</v>
      </c>
      <c r="CO13" s="100">
        <v>540.09416858871759</v>
      </c>
      <c r="CP13" s="100">
        <v>4.5822601162675755E-4</v>
      </c>
      <c r="CQ13" s="100">
        <v>3.9040856190599743E-2</v>
      </c>
      <c r="CR13" s="100">
        <v>6</v>
      </c>
      <c r="CS13" s="100">
        <v>511.20000000000005</v>
      </c>
      <c r="CT13" s="100">
        <v>9.1312749594924831</v>
      </c>
      <c r="CU13" s="100">
        <v>777.98462654875959</v>
      </c>
    </row>
    <row r="14" spans="1:99">
      <c r="C14" s="99" t="s">
        <v>180</v>
      </c>
      <c r="D14" s="100">
        <v>2.880711897224113</v>
      </c>
      <c r="E14" s="100">
        <v>1406.9396906042568</v>
      </c>
      <c r="F14" s="100">
        <v>6.152979565805003</v>
      </c>
      <c r="G14" s="100">
        <v>3005.1152199391631</v>
      </c>
      <c r="H14" s="100">
        <v>1.557484577477618</v>
      </c>
      <c r="I14" s="100">
        <v>760.67546764006863</v>
      </c>
      <c r="J14" s="100">
        <v>8</v>
      </c>
      <c r="K14" s="100">
        <v>3907.2</v>
      </c>
      <c r="L14" s="100">
        <v>8</v>
      </c>
      <c r="M14" s="100">
        <v>3907.2</v>
      </c>
      <c r="N14" s="100">
        <v>7</v>
      </c>
      <c r="O14" s="100">
        <v>3418.7999999999997</v>
      </c>
      <c r="P14" s="100">
        <v>6</v>
      </c>
      <c r="Q14" s="100">
        <v>2930.3999999999996</v>
      </c>
      <c r="R14" s="100">
        <v>7</v>
      </c>
      <c r="S14" s="100">
        <v>3418.7999999999997</v>
      </c>
      <c r="T14" s="100">
        <v>6</v>
      </c>
      <c r="U14" s="100">
        <v>2930.3999999999996</v>
      </c>
      <c r="V14" s="100">
        <v>6</v>
      </c>
      <c r="W14" s="100">
        <v>2930.3999999999996</v>
      </c>
      <c r="X14" s="100">
        <v>7.3967427707517555</v>
      </c>
      <c r="Y14" s="100">
        <v>3612.569169235157</v>
      </c>
      <c r="Z14" s="100">
        <v>9</v>
      </c>
      <c r="AA14" s="100">
        <v>4395.5999999999995</v>
      </c>
      <c r="AB14" s="100">
        <v>7</v>
      </c>
      <c r="AC14" s="100">
        <v>3418.7999999999997</v>
      </c>
      <c r="AD14" s="100">
        <v>6.1822716082797511</v>
      </c>
      <c r="AE14" s="100">
        <v>3019.4214534838302</v>
      </c>
      <c r="AF14" s="100">
        <v>7.4216957765562546</v>
      </c>
      <c r="AG14" s="100">
        <v>3624.7562172700746</v>
      </c>
      <c r="AH14" s="100">
        <v>4.6450829451408611</v>
      </c>
      <c r="AI14" s="100">
        <v>2268.6585104067963</v>
      </c>
      <c r="AJ14" s="100">
        <v>7.5663123590647032</v>
      </c>
      <c r="AK14" s="100">
        <v>3695.3869561672009</v>
      </c>
      <c r="AL14" s="100">
        <v>2.8671683280135585</v>
      </c>
      <c r="AM14" s="100">
        <v>1400.3250114018219</v>
      </c>
      <c r="AN14" s="100">
        <v>4.9532847240481219</v>
      </c>
      <c r="AO14" s="100">
        <v>2419.1842592251028</v>
      </c>
      <c r="AP14" s="100">
        <v>4.4962743023801046</v>
      </c>
      <c r="AQ14" s="100">
        <v>2195.980369282443</v>
      </c>
      <c r="AR14" s="100">
        <v>3.9550444104594318</v>
      </c>
      <c r="AS14" s="100">
        <v>1931.6436900683864</v>
      </c>
      <c r="AT14" s="100">
        <v>5.7656399132842504E-4</v>
      </c>
      <c r="AU14" s="100">
        <v>0.2815938533648028</v>
      </c>
      <c r="AV14" s="100">
        <v>5</v>
      </c>
      <c r="AW14" s="100">
        <v>2442</v>
      </c>
      <c r="AX14" s="100">
        <v>6</v>
      </c>
      <c r="AY14" s="100">
        <v>2930.3999999999996</v>
      </c>
      <c r="AZ14" s="100">
        <v>8</v>
      </c>
      <c r="BA14" s="100">
        <v>3907.2</v>
      </c>
      <c r="BB14" s="100">
        <v>10</v>
      </c>
      <c r="BC14" s="100">
        <v>4884</v>
      </c>
      <c r="BD14" s="100">
        <v>9.1797729316855126</v>
      </c>
      <c r="BE14" s="100">
        <v>4483.4010998352041</v>
      </c>
      <c r="BF14" s="100">
        <v>8</v>
      </c>
      <c r="BG14" s="100">
        <v>3907.2</v>
      </c>
      <c r="BH14" s="100">
        <v>9.1261070525243735</v>
      </c>
      <c r="BI14" s="100">
        <v>4457.190684452904</v>
      </c>
      <c r="BJ14" s="100">
        <v>9.0484959191061058</v>
      </c>
      <c r="BK14" s="100">
        <v>4419.2854068914221</v>
      </c>
      <c r="BL14" s="100">
        <v>8</v>
      </c>
      <c r="BM14" s="100">
        <v>3907.2</v>
      </c>
      <c r="BN14" s="100">
        <v>7.4143939209531728</v>
      </c>
      <c r="BO14" s="100">
        <v>3621.1899909935296</v>
      </c>
      <c r="BP14" s="100">
        <v>4.7846593623182514</v>
      </c>
      <c r="BQ14" s="100">
        <v>2336.8276325562338</v>
      </c>
      <c r="BR14" s="100">
        <v>6</v>
      </c>
      <c r="BS14" s="100">
        <v>2930.3999999999996</v>
      </c>
      <c r="BT14" s="100">
        <v>11</v>
      </c>
      <c r="BU14" s="100">
        <v>5372.4</v>
      </c>
      <c r="BV14" s="100">
        <v>5.836027303009085</v>
      </c>
      <c r="BW14" s="100">
        <v>2850.3157347896372</v>
      </c>
      <c r="BX14" s="100">
        <v>5.4918685608504392</v>
      </c>
      <c r="BY14" s="100">
        <v>2682.2286051193541</v>
      </c>
      <c r="BZ14" s="100">
        <v>4.1860296537516822E-4</v>
      </c>
      <c r="CA14" s="100">
        <v>0.20444568828923215</v>
      </c>
      <c r="CB14" s="100">
        <v>1.9227708966988559</v>
      </c>
      <c r="CC14" s="100">
        <v>939.08130594772115</v>
      </c>
      <c r="CD14" s="100">
        <v>7.3516066884810387</v>
      </c>
      <c r="CE14" s="100">
        <v>3590.5247066541392</v>
      </c>
      <c r="CF14" s="100">
        <v>11</v>
      </c>
      <c r="CG14" s="100">
        <v>5372.4</v>
      </c>
      <c r="CH14" s="100">
        <v>11</v>
      </c>
      <c r="CI14" s="100">
        <v>5372.4</v>
      </c>
      <c r="CJ14" s="100">
        <v>8</v>
      </c>
      <c r="CK14" s="100">
        <v>3907.2</v>
      </c>
      <c r="CL14" s="100">
        <v>11</v>
      </c>
      <c r="CM14" s="100">
        <v>5372.4</v>
      </c>
      <c r="CN14" s="100">
        <v>7.8826663762181788</v>
      </c>
      <c r="CO14" s="100">
        <v>3849.8942581449583</v>
      </c>
      <c r="CP14" s="100">
        <v>5.1550426308010226E-4</v>
      </c>
      <c r="CQ14" s="100">
        <v>0.25177228208832192</v>
      </c>
      <c r="CR14" s="100">
        <v>6</v>
      </c>
      <c r="CS14" s="100">
        <v>2930.3999999999996</v>
      </c>
      <c r="CT14" s="100">
        <v>9.1432090467190719</v>
      </c>
      <c r="CU14" s="100">
        <v>4465.5432984175941</v>
      </c>
    </row>
    <row r="15" spans="1:99">
      <c r="C15" s="99" t="s">
        <v>181</v>
      </c>
      <c r="D15" s="100">
        <v>2.8867534923333182</v>
      </c>
      <c r="E15" s="100">
        <v>2203.1702653487882</v>
      </c>
      <c r="F15" s="100">
        <v>6.0904199440383451</v>
      </c>
      <c r="G15" s="100">
        <v>4648.2085012900643</v>
      </c>
      <c r="H15" s="100">
        <v>1.7799823742601348</v>
      </c>
      <c r="I15" s="100">
        <v>1358.4825480353347</v>
      </c>
      <c r="J15" s="100">
        <v>8</v>
      </c>
      <c r="K15" s="100">
        <v>6105.5999999999995</v>
      </c>
      <c r="L15" s="100">
        <v>8</v>
      </c>
      <c r="M15" s="100">
        <v>6105.5999999999995</v>
      </c>
      <c r="N15" s="100">
        <v>7</v>
      </c>
      <c r="O15" s="100">
        <v>5342.4</v>
      </c>
      <c r="P15" s="100">
        <v>6</v>
      </c>
      <c r="Q15" s="100">
        <v>4579.2</v>
      </c>
      <c r="R15" s="100">
        <v>7</v>
      </c>
      <c r="S15" s="100">
        <v>5342.4</v>
      </c>
      <c r="T15" s="100">
        <v>6</v>
      </c>
      <c r="U15" s="100">
        <v>4579.2</v>
      </c>
      <c r="V15" s="100">
        <v>6</v>
      </c>
      <c r="W15" s="100">
        <v>4579.2</v>
      </c>
      <c r="X15" s="100">
        <v>7.3471499244077858</v>
      </c>
      <c r="Y15" s="100">
        <v>5607.3448223080213</v>
      </c>
      <c r="Z15" s="100">
        <v>9</v>
      </c>
      <c r="AA15" s="100">
        <v>6868.7999999999993</v>
      </c>
      <c r="AB15" s="100">
        <v>8</v>
      </c>
      <c r="AC15" s="100">
        <v>6105.5999999999995</v>
      </c>
      <c r="AD15" s="100">
        <v>6.1822716082797511</v>
      </c>
      <c r="AE15" s="100">
        <v>4718.3096914391053</v>
      </c>
      <c r="AF15" s="100">
        <v>8.4216957765562555</v>
      </c>
      <c r="AG15" s="100">
        <v>6427.4382166677333</v>
      </c>
      <c r="AH15" s="100">
        <v>5.3086662230181263</v>
      </c>
      <c r="AI15" s="100">
        <v>4051.5740614074334</v>
      </c>
      <c r="AJ15" s="100">
        <v>6.5663123590647032</v>
      </c>
      <c r="AK15" s="100">
        <v>5011.4095924381809</v>
      </c>
      <c r="AL15" s="100">
        <v>2.548594069345385</v>
      </c>
      <c r="AM15" s="100">
        <v>1945.0869937243976</v>
      </c>
      <c r="AN15" s="100">
        <v>4.9532847240481219</v>
      </c>
      <c r="AO15" s="100">
        <v>3780.3469013935264</v>
      </c>
      <c r="AP15" s="100">
        <v>3.7707981847644856</v>
      </c>
      <c r="AQ15" s="100">
        <v>2877.8731746122553</v>
      </c>
      <c r="AR15" s="100">
        <v>3.9550444104594318</v>
      </c>
      <c r="AS15" s="100">
        <v>3018.4898940626381</v>
      </c>
      <c r="AT15" s="100">
        <v>5.7656399132842504E-4</v>
      </c>
      <c r="AU15" s="100">
        <v>0.44003363818185398</v>
      </c>
      <c r="AV15" s="100">
        <v>5</v>
      </c>
      <c r="AW15" s="100">
        <v>3815.9999999999995</v>
      </c>
      <c r="AX15" s="100">
        <v>5</v>
      </c>
      <c r="AY15" s="100">
        <v>3815.9999999999995</v>
      </c>
      <c r="AZ15" s="100">
        <v>8</v>
      </c>
      <c r="BA15" s="100">
        <v>6105.5999999999995</v>
      </c>
      <c r="BB15" s="100">
        <v>9</v>
      </c>
      <c r="BC15" s="100">
        <v>6868.7999999999993</v>
      </c>
      <c r="BD15" s="100">
        <v>8.1634299378959216</v>
      </c>
      <c r="BE15" s="100">
        <v>6230.3297286021671</v>
      </c>
      <c r="BF15" s="100">
        <v>9</v>
      </c>
      <c r="BG15" s="100">
        <v>6868.7999999999993</v>
      </c>
      <c r="BH15" s="100">
        <v>8.1471248946117676</v>
      </c>
      <c r="BI15" s="100">
        <v>6217.8857195677001</v>
      </c>
      <c r="BJ15" s="100">
        <v>7.4033148429049964</v>
      </c>
      <c r="BK15" s="100">
        <v>5650.2098881050924</v>
      </c>
      <c r="BL15" s="100">
        <v>9</v>
      </c>
      <c r="BM15" s="100">
        <v>6868.7999999999993</v>
      </c>
      <c r="BN15" s="100">
        <v>7.4143939209531728</v>
      </c>
      <c r="BO15" s="100">
        <v>5658.6654404714609</v>
      </c>
      <c r="BP15" s="100">
        <v>4.7846593623182514</v>
      </c>
      <c r="BQ15" s="100">
        <v>3651.6520253212893</v>
      </c>
      <c r="BR15" s="100">
        <v>6</v>
      </c>
      <c r="BS15" s="100">
        <v>4579.2</v>
      </c>
      <c r="BT15" s="100">
        <v>10</v>
      </c>
      <c r="BU15" s="100">
        <v>7631.9999999999991</v>
      </c>
      <c r="BV15" s="100">
        <v>5.836027303009085</v>
      </c>
      <c r="BW15" s="100">
        <v>4454.0560376565336</v>
      </c>
      <c r="BX15" s="100">
        <v>6.4071799876588464</v>
      </c>
      <c r="BY15" s="100">
        <v>4889.9597665812307</v>
      </c>
      <c r="BZ15" s="100">
        <v>4.1631275371165532E-4</v>
      </c>
      <c r="CA15" s="100">
        <v>0.31772989363273529</v>
      </c>
      <c r="CB15" s="100">
        <v>1.7388564014800914</v>
      </c>
      <c r="CC15" s="100">
        <v>1327.0952056096055</v>
      </c>
      <c r="CD15" s="100">
        <v>6.6164460196329342</v>
      </c>
      <c r="CE15" s="100">
        <v>5049.6716021838547</v>
      </c>
      <c r="CF15" s="100">
        <v>10</v>
      </c>
      <c r="CG15" s="100">
        <v>7631.9999999999991</v>
      </c>
      <c r="CH15" s="100">
        <v>10</v>
      </c>
      <c r="CI15" s="100">
        <v>7631.9999999999991</v>
      </c>
      <c r="CJ15" s="100">
        <v>7</v>
      </c>
      <c r="CK15" s="100">
        <v>5342.4</v>
      </c>
      <c r="CL15" s="100">
        <v>11</v>
      </c>
      <c r="CM15" s="100">
        <v>8395.1999999999989</v>
      </c>
      <c r="CN15" s="100">
        <v>7.1108999051790267</v>
      </c>
      <c r="CO15" s="100">
        <v>5427.0388076326326</v>
      </c>
      <c r="CP15" s="100">
        <v>4.5822601162675755E-4</v>
      </c>
      <c r="CQ15" s="100">
        <v>0.34971809207354132</v>
      </c>
      <c r="CR15" s="100">
        <v>6</v>
      </c>
      <c r="CS15" s="100">
        <v>4579.2</v>
      </c>
      <c r="CT15" s="100">
        <v>9.1432090467190719</v>
      </c>
      <c r="CU15" s="100">
        <v>6978.0971444559955</v>
      </c>
    </row>
    <row r="16" spans="1:99">
      <c r="C16" s="99" t="s">
        <v>182</v>
      </c>
      <c r="D16" s="100">
        <v>2.8867534923333182</v>
      </c>
      <c r="E16" s="100">
        <v>983.80559018719487</v>
      </c>
      <c r="F16" s="100">
        <v>6.0904199440383451</v>
      </c>
      <c r="G16" s="100">
        <v>2075.615116928268</v>
      </c>
      <c r="H16" s="100">
        <v>1.7799823742601348</v>
      </c>
      <c r="I16" s="100">
        <v>606.61799314785401</v>
      </c>
      <c r="J16" s="100">
        <v>8</v>
      </c>
      <c r="K16" s="100">
        <v>2726.4</v>
      </c>
      <c r="L16" s="100">
        <v>8</v>
      </c>
      <c r="M16" s="100">
        <v>2726.4</v>
      </c>
      <c r="N16" s="100">
        <v>8</v>
      </c>
      <c r="O16" s="100">
        <v>2726.4</v>
      </c>
      <c r="P16" s="100">
        <v>6</v>
      </c>
      <c r="Q16" s="100">
        <v>2044.8000000000002</v>
      </c>
      <c r="R16" s="100">
        <v>6</v>
      </c>
      <c r="S16" s="100">
        <v>2044.8000000000002</v>
      </c>
      <c r="T16" s="100">
        <v>5</v>
      </c>
      <c r="U16" s="100">
        <v>1704</v>
      </c>
      <c r="V16" s="100">
        <v>5</v>
      </c>
      <c r="W16" s="100">
        <v>1704</v>
      </c>
      <c r="X16" s="100">
        <v>6.3471499244077858</v>
      </c>
      <c r="Y16" s="100">
        <v>2163.1086942381735</v>
      </c>
      <c r="Z16" s="100">
        <v>10</v>
      </c>
      <c r="AA16" s="100">
        <v>3408</v>
      </c>
      <c r="AB16" s="100">
        <v>7</v>
      </c>
      <c r="AC16" s="100">
        <v>2385.6</v>
      </c>
      <c r="AD16" s="100">
        <v>5.202524009199724</v>
      </c>
      <c r="AE16" s="100">
        <v>1773.0201823352661</v>
      </c>
      <c r="AF16" s="100">
        <v>8.3795261989006296</v>
      </c>
      <c r="AG16" s="100">
        <v>2855.7425285853346</v>
      </c>
      <c r="AH16" s="100">
        <v>4.6450829451408611</v>
      </c>
      <c r="AI16" s="100">
        <v>1583.0442677040055</v>
      </c>
      <c r="AJ16" s="100">
        <v>7.519119662475978</v>
      </c>
      <c r="AK16" s="100">
        <v>2562.5159809718134</v>
      </c>
      <c r="AL16" s="100">
        <v>2.8671683280135585</v>
      </c>
      <c r="AM16" s="100">
        <v>977.13096618702082</v>
      </c>
      <c r="AN16" s="100">
        <v>4.9532847240481219</v>
      </c>
      <c r="AO16" s="100">
        <v>1688.0794339556001</v>
      </c>
      <c r="AP16" s="100">
        <v>4.4675907830428265</v>
      </c>
      <c r="AQ16" s="100">
        <v>1522.5549388609954</v>
      </c>
      <c r="AR16" s="100">
        <v>3.9550444104594318</v>
      </c>
      <c r="AS16" s="100">
        <v>1347.8791350845745</v>
      </c>
      <c r="AT16" s="100">
        <v>6.4062665703158337E-4</v>
      </c>
      <c r="AU16" s="100">
        <v>0.21832556471636361</v>
      </c>
      <c r="AV16" s="100">
        <v>5</v>
      </c>
      <c r="AW16" s="100">
        <v>1704</v>
      </c>
      <c r="AX16" s="100">
        <v>6</v>
      </c>
      <c r="AY16" s="100">
        <v>2044.8000000000002</v>
      </c>
      <c r="AZ16" s="100">
        <v>7</v>
      </c>
      <c r="BA16" s="100">
        <v>2385.6</v>
      </c>
      <c r="BB16" s="100">
        <v>9</v>
      </c>
      <c r="BC16" s="100">
        <v>3067.2000000000003</v>
      </c>
      <c r="BD16" s="100">
        <v>8.1961159254751053</v>
      </c>
      <c r="BE16" s="100">
        <v>2793.2363074019158</v>
      </c>
      <c r="BF16" s="100">
        <v>9</v>
      </c>
      <c r="BG16" s="100">
        <v>3067.2000000000003</v>
      </c>
      <c r="BH16" s="100">
        <v>8.1471248946117676</v>
      </c>
      <c r="BI16" s="100">
        <v>2776.5401640836903</v>
      </c>
      <c r="BJ16" s="100">
        <v>7.4033148429049964</v>
      </c>
      <c r="BK16" s="100">
        <v>2523.0496984620227</v>
      </c>
      <c r="BL16" s="100">
        <v>9</v>
      </c>
      <c r="BM16" s="100">
        <v>3067.2000000000003</v>
      </c>
      <c r="BN16" s="100">
        <v>7.4143939209531728</v>
      </c>
      <c r="BO16" s="100">
        <v>2526.8254482608413</v>
      </c>
      <c r="BP16" s="100">
        <v>4.101136596272787</v>
      </c>
      <c r="BQ16" s="100">
        <v>1397.6673520097659</v>
      </c>
      <c r="BR16" s="100">
        <v>6</v>
      </c>
      <c r="BS16" s="100">
        <v>2044.8000000000002</v>
      </c>
      <c r="BT16" s="100">
        <v>12</v>
      </c>
      <c r="BU16" s="100">
        <v>4089.6000000000004</v>
      </c>
      <c r="BV16" s="100">
        <v>5.836027303009085</v>
      </c>
      <c r="BW16" s="100">
        <v>1988.9181048654962</v>
      </c>
      <c r="BX16" s="100">
        <v>5.4918685608504392</v>
      </c>
      <c r="BY16" s="100">
        <v>1871.6288055378297</v>
      </c>
      <c r="BZ16" s="100">
        <v>4.1631275371165532E-4</v>
      </c>
      <c r="CA16" s="100">
        <v>0.14187938646493214</v>
      </c>
      <c r="CB16" s="100">
        <v>1.7388564014800914</v>
      </c>
      <c r="CC16" s="100">
        <v>592.60226162441518</v>
      </c>
      <c r="CD16" s="100">
        <v>6.6164460196329342</v>
      </c>
      <c r="CE16" s="100">
        <v>2254.8848034909042</v>
      </c>
      <c r="CF16" s="100">
        <v>12</v>
      </c>
      <c r="CG16" s="100">
        <v>4089.6000000000004</v>
      </c>
      <c r="CH16" s="100">
        <v>10</v>
      </c>
      <c r="CI16" s="100">
        <v>3408</v>
      </c>
      <c r="CJ16" s="100">
        <v>7</v>
      </c>
      <c r="CK16" s="100">
        <v>2385.6</v>
      </c>
      <c r="CL16" s="100">
        <v>9</v>
      </c>
      <c r="CM16" s="100">
        <v>3067.2000000000003</v>
      </c>
      <c r="CN16" s="100">
        <v>7.1344715717256939</v>
      </c>
      <c r="CO16" s="100">
        <v>2431.4279116441166</v>
      </c>
      <c r="CP16" s="100">
        <v>5.1550426308010226E-4</v>
      </c>
      <c r="CQ16" s="100">
        <v>0.17568385285769886</v>
      </c>
      <c r="CR16" s="100">
        <v>6</v>
      </c>
      <c r="CS16" s="100">
        <v>2044.8000000000002</v>
      </c>
      <c r="CT16" s="100">
        <v>10.143209046719072</v>
      </c>
      <c r="CU16" s="100">
        <v>3456.8056431218597</v>
      </c>
    </row>
    <row r="17" spans="2:99">
      <c r="C17" s="99" t="s">
        <v>183</v>
      </c>
      <c r="D17" s="100">
        <v>2.8867534923333182</v>
      </c>
      <c r="E17" s="100">
        <v>1219.3646751615936</v>
      </c>
      <c r="F17" s="100">
        <v>6.1216997549216732</v>
      </c>
      <c r="G17" s="100">
        <v>2585.8059764789145</v>
      </c>
      <c r="H17" s="100">
        <v>1.7799823742601348</v>
      </c>
      <c r="I17" s="100">
        <v>751.86455488748095</v>
      </c>
      <c r="J17" s="100">
        <v>9</v>
      </c>
      <c r="K17" s="100">
        <v>3801.6</v>
      </c>
      <c r="L17" s="100">
        <v>7</v>
      </c>
      <c r="M17" s="100">
        <v>2956.7999999999997</v>
      </c>
      <c r="N17" s="100">
        <v>8</v>
      </c>
      <c r="O17" s="100">
        <v>3379.2</v>
      </c>
      <c r="P17" s="100">
        <v>6</v>
      </c>
      <c r="Q17" s="100">
        <v>2534.3999999999996</v>
      </c>
      <c r="R17" s="100">
        <v>7</v>
      </c>
      <c r="S17" s="100">
        <v>2956.7999999999997</v>
      </c>
      <c r="T17" s="100">
        <v>5</v>
      </c>
      <c r="U17" s="100">
        <v>2112</v>
      </c>
      <c r="V17" s="100">
        <v>5</v>
      </c>
      <c r="W17" s="100">
        <v>2112</v>
      </c>
      <c r="X17" s="100">
        <v>7.3471499244077858</v>
      </c>
      <c r="Y17" s="100">
        <v>3103.4361280698486</v>
      </c>
      <c r="Z17" s="100">
        <v>10</v>
      </c>
      <c r="AA17" s="100">
        <v>4224</v>
      </c>
      <c r="AB17" s="100">
        <v>7</v>
      </c>
      <c r="AC17" s="100">
        <v>2956.7999999999997</v>
      </c>
      <c r="AD17" s="100">
        <v>5.1822716082797511</v>
      </c>
      <c r="AE17" s="100">
        <v>2188.9915273373667</v>
      </c>
      <c r="AF17" s="100">
        <v>7.3795261989006296</v>
      </c>
      <c r="AG17" s="100">
        <v>3117.1118664156256</v>
      </c>
      <c r="AH17" s="100">
        <v>5.3086662230181263</v>
      </c>
      <c r="AI17" s="100">
        <v>2242.3806126028562</v>
      </c>
      <c r="AJ17" s="100">
        <v>7.519119662475978</v>
      </c>
      <c r="AK17" s="100">
        <v>3176.0761454298531</v>
      </c>
      <c r="AL17" s="100">
        <v>2.548594069345385</v>
      </c>
      <c r="AM17" s="100">
        <v>1076.5261348914905</v>
      </c>
      <c r="AN17" s="100">
        <v>4.9532847240481219</v>
      </c>
      <c r="AO17" s="100">
        <v>2092.2674674379264</v>
      </c>
      <c r="AP17" s="100">
        <v>4.4675907830428265</v>
      </c>
      <c r="AQ17" s="100">
        <v>1887.1103467572898</v>
      </c>
      <c r="AR17" s="100">
        <v>3.9550444104594318</v>
      </c>
      <c r="AS17" s="100">
        <v>1670.6107589780638</v>
      </c>
      <c r="AT17" s="100">
        <v>5.7656399132842504E-4</v>
      </c>
      <c r="AU17" s="100">
        <v>0.24354062993712672</v>
      </c>
      <c r="AV17" s="100">
        <v>5</v>
      </c>
      <c r="AW17" s="100">
        <v>2112</v>
      </c>
      <c r="AX17" s="100">
        <v>6</v>
      </c>
      <c r="AY17" s="100">
        <v>2534.3999999999996</v>
      </c>
      <c r="AZ17" s="100">
        <v>7</v>
      </c>
      <c r="BA17" s="100">
        <v>2956.7999999999997</v>
      </c>
      <c r="BB17" s="100">
        <v>9</v>
      </c>
      <c r="BC17" s="100">
        <v>3801.6</v>
      </c>
      <c r="BD17" s="100">
        <v>9.1961159254751053</v>
      </c>
      <c r="BE17" s="100">
        <v>3884.4393669206843</v>
      </c>
      <c r="BF17" s="100">
        <v>9</v>
      </c>
      <c r="BG17" s="100">
        <v>3801.6</v>
      </c>
      <c r="BH17" s="100">
        <v>9.1471248946117676</v>
      </c>
      <c r="BI17" s="100">
        <v>3863.7455554840103</v>
      </c>
      <c r="BJ17" s="100">
        <v>8.2259053810055516</v>
      </c>
      <c r="BK17" s="100">
        <v>3474.6224329367446</v>
      </c>
      <c r="BL17" s="100">
        <v>10</v>
      </c>
      <c r="BM17" s="100">
        <v>4224</v>
      </c>
      <c r="BN17" s="100">
        <v>8.2382154677257482</v>
      </c>
      <c r="BO17" s="100">
        <v>3479.8222135673559</v>
      </c>
      <c r="BP17" s="100">
        <v>4.7846593623182514</v>
      </c>
      <c r="BQ17" s="100">
        <v>2021.0401146432293</v>
      </c>
      <c r="BR17" s="100">
        <v>6</v>
      </c>
      <c r="BS17" s="100">
        <v>2534.3999999999996</v>
      </c>
      <c r="BT17" s="100">
        <v>10</v>
      </c>
      <c r="BU17" s="100">
        <v>4224</v>
      </c>
      <c r="BV17" s="100">
        <v>5.836027303009085</v>
      </c>
      <c r="BW17" s="100">
        <v>2465.1379327910372</v>
      </c>
      <c r="BX17" s="100">
        <v>6.4071799876588464</v>
      </c>
      <c r="BY17" s="100">
        <v>2706.3928267870965</v>
      </c>
      <c r="BZ17" s="100">
        <v>4.1631275371165532E-4</v>
      </c>
      <c r="CA17" s="100">
        <v>0.17585050716780321</v>
      </c>
      <c r="CB17" s="100">
        <v>1.9269521939244163</v>
      </c>
      <c r="CC17" s="100">
        <v>813.94460671367335</v>
      </c>
      <c r="CD17" s="100">
        <v>7.3516066884810387</v>
      </c>
      <c r="CE17" s="100">
        <v>3105.3186652143904</v>
      </c>
      <c r="CF17" s="100">
        <v>11</v>
      </c>
      <c r="CG17" s="100">
        <v>4646.3999999999996</v>
      </c>
      <c r="CH17" s="100">
        <v>10</v>
      </c>
      <c r="CI17" s="100">
        <v>4224</v>
      </c>
      <c r="CJ17" s="100">
        <v>9</v>
      </c>
      <c r="CK17" s="100">
        <v>3801.6</v>
      </c>
      <c r="CL17" s="100">
        <v>10</v>
      </c>
      <c r="CM17" s="100">
        <v>4224</v>
      </c>
      <c r="CN17" s="100">
        <v>6.3391334341398773</v>
      </c>
      <c r="CO17" s="100">
        <v>2677.6499625806841</v>
      </c>
      <c r="CP17" s="100">
        <v>5.1550426308010226E-4</v>
      </c>
      <c r="CQ17" s="100">
        <v>0.2177490007250352</v>
      </c>
      <c r="CR17" s="100">
        <v>6</v>
      </c>
      <c r="CS17" s="100">
        <v>2534.3999999999996</v>
      </c>
      <c r="CT17" s="100">
        <v>10.131274959492483</v>
      </c>
      <c r="CU17" s="100">
        <v>4279.4505428896246</v>
      </c>
    </row>
    <row r="18" spans="2:99">
      <c r="C18" s="99" t="s">
        <v>184</v>
      </c>
      <c r="D18" s="100">
        <v>2.8867534923333182</v>
      </c>
      <c r="E18" s="100">
        <v>1884.4726797951901</v>
      </c>
      <c r="F18" s="100">
        <v>6.9515428472200149</v>
      </c>
      <c r="G18" s="100">
        <v>4537.9671706652252</v>
      </c>
      <c r="H18" s="100">
        <v>1.557484577477618</v>
      </c>
      <c r="I18" s="100">
        <v>1016.725932177389</v>
      </c>
      <c r="J18" s="100">
        <v>8</v>
      </c>
      <c r="K18" s="100">
        <v>5222.3999999999996</v>
      </c>
      <c r="L18" s="100">
        <v>8</v>
      </c>
      <c r="M18" s="100">
        <v>5222.3999999999996</v>
      </c>
      <c r="N18" s="100">
        <v>7</v>
      </c>
      <c r="O18" s="100">
        <v>4569.5999999999995</v>
      </c>
      <c r="P18" s="100">
        <v>6</v>
      </c>
      <c r="Q18" s="100">
        <v>3916.7999999999997</v>
      </c>
      <c r="R18" s="100">
        <v>7</v>
      </c>
      <c r="S18" s="100">
        <v>4569.5999999999995</v>
      </c>
      <c r="T18" s="100">
        <v>6</v>
      </c>
      <c r="U18" s="100">
        <v>3916.7999999999997</v>
      </c>
      <c r="V18" s="100">
        <v>5</v>
      </c>
      <c r="W18" s="100">
        <v>3264</v>
      </c>
      <c r="X18" s="100">
        <v>7.3471499244077858</v>
      </c>
      <c r="Y18" s="100">
        <v>4796.2194706534019</v>
      </c>
      <c r="Z18" s="100">
        <v>8</v>
      </c>
      <c r="AA18" s="100">
        <v>5222.3999999999996</v>
      </c>
      <c r="AB18" s="100">
        <v>8</v>
      </c>
      <c r="AC18" s="100">
        <v>5222.3999999999996</v>
      </c>
      <c r="AD18" s="100">
        <v>5.1822716082797511</v>
      </c>
      <c r="AE18" s="100">
        <v>3382.9869058850213</v>
      </c>
      <c r="AF18" s="100">
        <v>8.3795261989006296</v>
      </c>
      <c r="AG18" s="100">
        <v>5470.1547026423304</v>
      </c>
      <c r="AH18" s="100">
        <v>4.6450829451408611</v>
      </c>
      <c r="AI18" s="100">
        <v>3032.310146587954</v>
      </c>
      <c r="AJ18" s="100">
        <v>8.519119662475978</v>
      </c>
      <c r="AK18" s="100">
        <v>5561.2813156643178</v>
      </c>
      <c r="AL18" s="100">
        <v>2.8671683280135585</v>
      </c>
      <c r="AM18" s="100">
        <v>1871.6874845272509</v>
      </c>
      <c r="AN18" s="100">
        <v>4.9532847240481219</v>
      </c>
      <c r="AO18" s="100">
        <v>3233.5042678586137</v>
      </c>
      <c r="AP18" s="100">
        <v>4.4675907830428265</v>
      </c>
      <c r="AQ18" s="100">
        <v>2916.4432631703571</v>
      </c>
      <c r="AR18" s="100">
        <v>3.9550444104594318</v>
      </c>
      <c r="AS18" s="100">
        <v>2581.8529911479168</v>
      </c>
      <c r="AT18" s="100">
        <v>6.4062665703158337E-4</v>
      </c>
      <c r="AU18" s="100">
        <v>0.41820108171021758</v>
      </c>
      <c r="AV18" s="100">
        <v>5</v>
      </c>
      <c r="AW18" s="100">
        <v>3264</v>
      </c>
      <c r="AX18" s="100">
        <v>6</v>
      </c>
      <c r="AY18" s="100">
        <v>3916.7999999999997</v>
      </c>
      <c r="AZ18" s="100">
        <v>7</v>
      </c>
      <c r="BA18" s="100">
        <v>4569.5999999999995</v>
      </c>
      <c r="BB18" s="100">
        <v>10</v>
      </c>
      <c r="BC18" s="100">
        <v>6528</v>
      </c>
      <c r="BD18" s="100">
        <v>8.1797729316855126</v>
      </c>
      <c r="BE18" s="100">
        <v>5339.755769804302</v>
      </c>
      <c r="BF18" s="100">
        <v>9</v>
      </c>
      <c r="BG18" s="100">
        <v>5875.2</v>
      </c>
      <c r="BH18" s="100">
        <v>9.1261070525243735</v>
      </c>
      <c r="BI18" s="100">
        <v>5957.5226838879107</v>
      </c>
      <c r="BJ18" s="100">
        <v>8.2259053810055516</v>
      </c>
      <c r="BK18" s="100">
        <v>5369.8710327204235</v>
      </c>
      <c r="BL18" s="100">
        <v>8</v>
      </c>
      <c r="BM18" s="100">
        <v>5222.3999999999996</v>
      </c>
      <c r="BN18" s="100">
        <v>8.2382154677257482</v>
      </c>
      <c r="BO18" s="100">
        <v>5377.9070573313684</v>
      </c>
      <c r="BP18" s="100">
        <v>4.7846593623182514</v>
      </c>
      <c r="BQ18" s="100">
        <v>3123.4256317213544</v>
      </c>
      <c r="BR18" s="100">
        <v>6</v>
      </c>
      <c r="BS18" s="100">
        <v>3916.7999999999997</v>
      </c>
      <c r="BT18" s="100">
        <v>11</v>
      </c>
      <c r="BU18" s="100">
        <v>7180.7999999999993</v>
      </c>
      <c r="BV18" s="100">
        <v>5.8293715806926238</v>
      </c>
      <c r="BW18" s="100">
        <v>3805.4137678761444</v>
      </c>
      <c r="BX18" s="100">
        <v>6.4071799876588464</v>
      </c>
      <c r="BY18" s="100">
        <v>4182.6070959436947</v>
      </c>
      <c r="BZ18" s="100">
        <v>3.6109275341365707E-4</v>
      </c>
      <c r="CA18" s="100">
        <v>0.23572134942843531</v>
      </c>
      <c r="CB18" s="100">
        <v>1.7346751042545308</v>
      </c>
      <c r="CC18" s="100">
        <v>1132.3959080573577</v>
      </c>
      <c r="CD18" s="100">
        <v>6.6164460196329342</v>
      </c>
      <c r="CE18" s="100">
        <v>4319.215961616379</v>
      </c>
      <c r="CF18" s="100">
        <v>11</v>
      </c>
      <c r="CG18" s="100">
        <v>7180.7999999999993</v>
      </c>
      <c r="CH18" s="100">
        <v>10</v>
      </c>
      <c r="CI18" s="100">
        <v>6528</v>
      </c>
      <c r="CJ18" s="100">
        <v>8</v>
      </c>
      <c r="CK18" s="100">
        <v>5222.3999999999996</v>
      </c>
      <c r="CL18" s="100">
        <v>10</v>
      </c>
      <c r="CM18" s="100">
        <v>6528</v>
      </c>
      <c r="CN18" s="100">
        <v>7.1108999051790267</v>
      </c>
      <c r="CO18" s="100">
        <v>4641.9954581008687</v>
      </c>
      <c r="CP18" s="100">
        <v>5.1550426308010226E-4</v>
      </c>
      <c r="CQ18" s="100">
        <v>0.33652118293869071</v>
      </c>
      <c r="CR18" s="100">
        <v>6</v>
      </c>
      <c r="CS18" s="100">
        <v>3916.7999999999997</v>
      </c>
      <c r="CT18" s="100">
        <v>10.143209046719072</v>
      </c>
      <c r="CU18" s="100">
        <v>6621.4868656982098</v>
      </c>
    </row>
    <row r="19" spans="2:99">
      <c r="C19" s="99" t="s">
        <v>185</v>
      </c>
      <c r="D19" s="100">
        <v>2.880711897224113</v>
      </c>
      <c r="E19" s="100">
        <v>950.63492608395734</v>
      </c>
      <c r="F19" s="100">
        <v>6.152979565805003</v>
      </c>
      <c r="G19" s="100">
        <v>2030.4832567156509</v>
      </c>
      <c r="H19" s="100">
        <v>1.7799823742601348</v>
      </c>
      <c r="I19" s="100">
        <v>587.39418350584447</v>
      </c>
      <c r="J19" s="100">
        <v>7</v>
      </c>
      <c r="K19" s="100">
        <v>2310</v>
      </c>
      <c r="L19" s="100">
        <v>8</v>
      </c>
      <c r="M19" s="100">
        <v>2640</v>
      </c>
      <c r="N19" s="100">
        <v>8</v>
      </c>
      <c r="O19" s="100">
        <v>2640</v>
      </c>
      <c r="P19" s="100">
        <v>6</v>
      </c>
      <c r="Q19" s="100">
        <v>1980</v>
      </c>
      <c r="R19" s="100">
        <v>6</v>
      </c>
      <c r="S19" s="100">
        <v>1980</v>
      </c>
      <c r="T19" s="100">
        <v>5</v>
      </c>
      <c r="U19" s="100">
        <v>1650</v>
      </c>
      <c r="V19" s="100">
        <v>5</v>
      </c>
      <c r="W19" s="100">
        <v>1650</v>
      </c>
      <c r="X19" s="100">
        <v>7.3471499244077858</v>
      </c>
      <c r="Y19" s="100">
        <v>2424.5594750545692</v>
      </c>
      <c r="Z19" s="100">
        <v>9</v>
      </c>
      <c r="AA19" s="100">
        <v>2970</v>
      </c>
      <c r="AB19" s="100">
        <v>8</v>
      </c>
      <c r="AC19" s="100">
        <v>2640</v>
      </c>
      <c r="AD19" s="100">
        <v>6.162019207359779</v>
      </c>
      <c r="AE19" s="100">
        <v>2033.4663384287271</v>
      </c>
      <c r="AF19" s="100">
        <v>8.3795261989006296</v>
      </c>
      <c r="AG19" s="100">
        <v>2765.2436456372079</v>
      </c>
      <c r="AH19" s="100">
        <v>5.3086662230181263</v>
      </c>
      <c r="AI19" s="100">
        <v>1751.8598535959816</v>
      </c>
      <c r="AJ19" s="100">
        <v>7.519119662475978</v>
      </c>
      <c r="AK19" s="100">
        <v>2481.3094886170729</v>
      </c>
      <c r="AL19" s="100">
        <v>2.8671683280135585</v>
      </c>
      <c r="AM19" s="100">
        <v>946.16554824447428</v>
      </c>
      <c r="AN19" s="100">
        <v>4.127737270040102</v>
      </c>
      <c r="AO19" s="100">
        <v>1362.1532991132337</v>
      </c>
      <c r="AP19" s="100">
        <v>4.4675907830428265</v>
      </c>
      <c r="AQ19" s="100">
        <v>1474.3049584041328</v>
      </c>
      <c r="AR19" s="100">
        <v>3.9550444104594318</v>
      </c>
      <c r="AS19" s="100">
        <v>1305.1646554516126</v>
      </c>
      <c r="AT19" s="100">
        <v>5.7656399132842504E-4</v>
      </c>
      <c r="AU19" s="100">
        <v>0.19026611713838026</v>
      </c>
      <c r="AV19" s="100">
        <v>5</v>
      </c>
      <c r="AW19" s="100">
        <v>1650</v>
      </c>
      <c r="AX19" s="100">
        <v>6</v>
      </c>
      <c r="AY19" s="100">
        <v>1980</v>
      </c>
      <c r="AZ19" s="100">
        <v>7</v>
      </c>
      <c r="BA19" s="100">
        <v>2310</v>
      </c>
      <c r="BB19" s="100">
        <v>9</v>
      </c>
      <c r="BC19" s="100">
        <v>2970</v>
      </c>
      <c r="BD19" s="100">
        <v>9.1797729316855126</v>
      </c>
      <c r="BE19" s="100">
        <v>3029.3250674562191</v>
      </c>
      <c r="BF19" s="100">
        <v>9</v>
      </c>
      <c r="BG19" s="100">
        <v>2970</v>
      </c>
      <c r="BH19" s="100">
        <v>9.1261070525243735</v>
      </c>
      <c r="BI19" s="100">
        <v>3011.6153273330433</v>
      </c>
      <c r="BJ19" s="100">
        <v>8.2259053810055516</v>
      </c>
      <c r="BK19" s="100">
        <v>2714.5487757318319</v>
      </c>
      <c r="BL19" s="100">
        <v>9</v>
      </c>
      <c r="BM19" s="100">
        <v>2970</v>
      </c>
      <c r="BN19" s="100">
        <v>9.0620370144983227</v>
      </c>
      <c r="BO19" s="100">
        <v>2990.4722147844464</v>
      </c>
      <c r="BP19" s="100">
        <v>4.101136596272787</v>
      </c>
      <c r="BQ19" s="100">
        <v>1353.3750767700196</v>
      </c>
      <c r="BR19" s="100">
        <v>7</v>
      </c>
      <c r="BS19" s="100">
        <v>2310</v>
      </c>
      <c r="BT19" s="100">
        <v>10</v>
      </c>
      <c r="BU19" s="100">
        <v>3300</v>
      </c>
      <c r="BV19" s="100">
        <v>6.6602373144154381</v>
      </c>
      <c r="BW19" s="100">
        <v>2197.8783137570945</v>
      </c>
      <c r="BX19" s="100">
        <v>6.4071799876588464</v>
      </c>
      <c r="BY19" s="100">
        <v>2114.3693959274192</v>
      </c>
      <c r="BZ19" s="100">
        <v>4.1631275371165532E-4</v>
      </c>
      <c r="CA19" s="100">
        <v>0.13738320872484625</v>
      </c>
      <c r="CB19" s="100">
        <v>1.9269521939244163</v>
      </c>
      <c r="CC19" s="100">
        <v>635.89422399505736</v>
      </c>
      <c r="CD19" s="100">
        <v>6.6164460196329342</v>
      </c>
      <c r="CE19" s="100">
        <v>2183.4271864788684</v>
      </c>
      <c r="CF19" s="100">
        <v>12</v>
      </c>
      <c r="CG19" s="100">
        <v>3960</v>
      </c>
      <c r="CH19" s="100">
        <v>10</v>
      </c>
      <c r="CI19" s="100">
        <v>3300</v>
      </c>
      <c r="CJ19" s="100">
        <v>7</v>
      </c>
      <c r="CK19" s="100">
        <v>2310</v>
      </c>
      <c r="CL19" s="100">
        <v>9</v>
      </c>
      <c r="CM19" s="100">
        <v>2970</v>
      </c>
      <c r="CN19" s="100">
        <v>7.1108999051790267</v>
      </c>
      <c r="CO19" s="100">
        <v>2346.5969687090787</v>
      </c>
      <c r="CP19" s="100">
        <v>5.7278251453344697E-4</v>
      </c>
      <c r="CQ19" s="100">
        <v>0.1890182297960375</v>
      </c>
      <c r="CR19" s="100">
        <v>6</v>
      </c>
      <c r="CS19" s="100">
        <v>1980</v>
      </c>
      <c r="CT19" s="100">
        <v>10.155143133945661</v>
      </c>
      <c r="CU19" s="100">
        <v>3351.1972342020681</v>
      </c>
    </row>
    <row r="20" spans="2:99">
      <c r="B20" s="99" t="s">
        <v>127</v>
      </c>
      <c r="C20" s="99" t="s">
        <v>186</v>
      </c>
      <c r="D20" s="100">
        <v>6.2586602967949938</v>
      </c>
      <c r="E20" s="100">
        <v>1794.9837731208042</v>
      </c>
      <c r="F20" s="100">
        <v>8.8301877079999986</v>
      </c>
      <c r="G20" s="100">
        <v>2532.4978346543999</v>
      </c>
      <c r="H20" s="100">
        <v>2.8924713581727191</v>
      </c>
      <c r="I20" s="100">
        <v>829.56078552393581</v>
      </c>
      <c r="J20" s="100">
        <v>12</v>
      </c>
      <c r="K20" s="100">
        <v>3441.6000000000004</v>
      </c>
      <c r="L20" s="100">
        <v>14</v>
      </c>
      <c r="M20" s="100">
        <v>4015.2000000000003</v>
      </c>
      <c r="N20" s="100">
        <v>14</v>
      </c>
      <c r="O20" s="100">
        <v>4015.2000000000003</v>
      </c>
      <c r="P20" s="100">
        <v>12</v>
      </c>
      <c r="Q20" s="100">
        <v>3441.6000000000004</v>
      </c>
      <c r="R20" s="100">
        <v>9</v>
      </c>
      <c r="S20" s="100">
        <v>2581.2000000000003</v>
      </c>
      <c r="T20" s="100">
        <v>7</v>
      </c>
      <c r="U20" s="100">
        <v>2007.6000000000001</v>
      </c>
      <c r="V20" s="100">
        <v>12</v>
      </c>
      <c r="W20" s="100">
        <v>3441.6000000000004</v>
      </c>
      <c r="X20" s="100">
        <v>9.6942998488155716</v>
      </c>
      <c r="Y20" s="100">
        <v>2780.3251966403059</v>
      </c>
      <c r="Z20" s="100">
        <v>12</v>
      </c>
      <c r="AA20" s="100">
        <v>3441.6000000000004</v>
      </c>
      <c r="AB20" s="100">
        <v>10</v>
      </c>
      <c r="AC20" s="100">
        <v>2868</v>
      </c>
      <c r="AD20" s="100">
        <v>12.26328121195964</v>
      </c>
      <c r="AE20" s="100">
        <v>3517.109051590025</v>
      </c>
      <c r="AF20" s="100">
        <v>9.5060349318675055</v>
      </c>
      <c r="AG20" s="100">
        <v>2726.3308184596008</v>
      </c>
      <c r="AH20" s="100">
        <v>8.6265826124044551</v>
      </c>
      <c r="AI20" s="100">
        <v>2474.1038932375977</v>
      </c>
      <c r="AJ20" s="100">
        <v>12.519119662475978</v>
      </c>
      <c r="AK20" s="100">
        <v>3590.4835191981106</v>
      </c>
      <c r="AL20" s="100">
        <v>2.8671683280135585</v>
      </c>
      <c r="AM20" s="100">
        <v>822.30387647428859</v>
      </c>
      <c r="AN20" s="100">
        <v>9.9065694480962438</v>
      </c>
      <c r="AO20" s="100">
        <v>2841.2041177140027</v>
      </c>
      <c r="AP20" s="100">
        <v>8.2670724871445902</v>
      </c>
      <c r="AQ20" s="100">
        <v>2370.9963893130684</v>
      </c>
      <c r="AR20" s="100">
        <v>5.5370621746432036</v>
      </c>
      <c r="AS20" s="100">
        <v>1588.0294316876709</v>
      </c>
      <c r="AT20" s="100">
        <v>7.6875198843790013E-4</v>
      </c>
      <c r="AU20" s="100">
        <v>0.22047807028398977</v>
      </c>
      <c r="AV20" s="100">
        <v>11</v>
      </c>
      <c r="AW20" s="100">
        <v>3154.8</v>
      </c>
      <c r="AX20" s="100">
        <v>13</v>
      </c>
      <c r="AY20" s="100">
        <v>3728.4</v>
      </c>
      <c r="AZ20" s="100">
        <v>8</v>
      </c>
      <c r="BA20" s="100">
        <v>2294.4</v>
      </c>
      <c r="BB20" s="100">
        <v>10</v>
      </c>
      <c r="BC20" s="100">
        <v>2868</v>
      </c>
      <c r="BD20" s="100">
        <v>10.179772931685513</v>
      </c>
      <c r="BE20" s="100">
        <v>2919.5588768074053</v>
      </c>
      <c r="BF20" s="100">
        <v>15</v>
      </c>
      <c r="BG20" s="100">
        <v>4302</v>
      </c>
      <c r="BH20" s="100">
        <v>14.336285473398327</v>
      </c>
      <c r="BI20" s="100">
        <v>4111.6466737706405</v>
      </c>
      <c r="BJ20" s="100">
        <v>8.2259053810055516</v>
      </c>
      <c r="BK20" s="100">
        <v>2359.1896632723924</v>
      </c>
      <c r="BL20" s="100">
        <v>8</v>
      </c>
      <c r="BM20" s="100">
        <v>2294.4</v>
      </c>
      <c r="BN20" s="100">
        <v>11.533501654816046</v>
      </c>
      <c r="BO20" s="100">
        <v>3307.8082746012419</v>
      </c>
      <c r="BP20" s="100">
        <v>10.252841490681968</v>
      </c>
      <c r="BQ20" s="100">
        <v>2940.5149395275885</v>
      </c>
      <c r="BR20" s="100">
        <v>9</v>
      </c>
      <c r="BS20" s="100">
        <v>2581.2000000000003</v>
      </c>
      <c r="BT20" s="100">
        <v>14</v>
      </c>
      <c r="BU20" s="100">
        <v>4015.2000000000003</v>
      </c>
      <c r="BV20" s="100">
        <v>12.363150171095297</v>
      </c>
      <c r="BW20" s="100">
        <v>3545.7514690701314</v>
      </c>
      <c r="BX20" s="100">
        <v>7.3224914144672528</v>
      </c>
      <c r="BY20" s="100">
        <v>2100.0905376692081</v>
      </c>
      <c r="BZ20" s="100">
        <v>9.0616720102941202E-4</v>
      </c>
      <c r="CA20" s="100">
        <v>0.25988875325523536</v>
      </c>
      <c r="CB20" s="100">
        <v>3.0931586236204107</v>
      </c>
      <c r="CC20" s="100">
        <v>887.11789325433381</v>
      </c>
      <c r="CD20" s="100">
        <v>9.5570886950253495</v>
      </c>
      <c r="CE20" s="100">
        <v>2740.9730377332703</v>
      </c>
      <c r="CF20" s="100">
        <v>10</v>
      </c>
      <c r="CG20" s="100">
        <v>2868</v>
      </c>
      <c r="CH20" s="100">
        <v>13</v>
      </c>
      <c r="CI20" s="100">
        <v>3728.4</v>
      </c>
      <c r="CJ20" s="100">
        <v>11</v>
      </c>
      <c r="CK20" s="100">
        <v>3154.8</v>
      </c>
      <c r="CL20" s="100">
        <v>11</v>
      </c>
      <c r="CM20" s="100">
        <v>3154.8</v>
      </c>
      <c r="CN20" s="100">
        <v>10.622255787175639</v>
      </c>
      <c r="CO20" s="100">
        <v>3046.4629597619737</v>
      </c>
      <c r="CP20" s="100">
        <v>8.018955203468258E-4</v>
      </c>
      <c r="CQ20" s="100">
        <v>0.22998363523546964</v>
      </c>
      <c r="CR20" s="100">
        <v>10</v>
      </c>
      <c r="CS20" s="100">
        <v>2868</v>
      </c>
      <c r="CT20" s="100">
        <v>13.262549918984964</v>
      </c>
      <c r="CU20" s="100">
        <v>3803.699316764888</v>
      </c>
    </row>
    <row r="21" spans="2:99">
      <c r="C21" s="99" t="s">
        <v>187</v>
      </c>
      <c r="D21" s="100">
        <v>7.2168837308332963</v>
      </c>
      <c r="E21" s="100">
        <v>450.33354480399765</v>
      </c>
      <c r="F21" s="100">
        <v>8.8927473297666548</v>
      </c>
      <c r="G21" s="100">
        <v>554.90743337743925</v>
      </c>
      <c r="H21" s="100">
        <v>2.669973561390202</v>
      </c>
      <c r="I21" s="100">
        <v>166.6063502307486</v>
      </c>
      <c r="J21" s="100">
        <v>12</v>
      </c>
      <c r="K21" s="100">
        <v>748.8</v>
      </c>
      <c r="L21" s="100">
        <v>14</v>
      </c>
      <c r="M21" s="100">
        <v>873.6</v>
      </c>
      <c r="N21" s="100">
        <v>13</v>
      </c>
      <c r="O21" s="100">
        <v>811.19999999999993</v>
      </c>
      <c r="P21" s="100">
        <v>12</v>
      </c>
      <c r="Q21" s="100">
        <v>748.8</v>
      </c>
      <c r="R21" s="100">
        <v>9</v>
      </c>
      <c r="S21" s="100">
        <v>561.6</v>
      </c>
      <c r="T21" s="100">
        <v>8</v>
      </c>
      <c r="U21" s="100">
        <v>499.2</v>
      </c>
      <c r="V21" s="100">
        <v>11</v>
      </c>
      <c r="W21" s="100">
        <v>686.4</v>
      </c>
      <c r="X21" s="100">
        <v>8.644707002471602</v>
      </c>
      <c r="Y21" s="100">
        <v>539.42971695422796</v>
      </c>
      <c r="Z21" s="100">
        <v>11</v>
      </c>
      <c r="AA21" s="100">
        <v>686.4</v>
      </c>
      <c r="AB21" s="100">
        <v>10</v>
      </c>
      <c r="AC21" s="100">
        <v>624</v>
      </c>
      <c r="AD21" s="100">
        <v>12.283533612879614</v>
      </c>
      <c r="AE21" s="100">
        <v>766.49249744368785</v>
      </c>
      <c r="AF21" s="100">
        <v>9.5903740871787573</v>
      </c>
      <c r="AG21" s="100">
        <v>598.43934303995445</v>
      </c>
      <c r="AH21" s="100">
        <v>9.2901658902817221</v>
      </c>
      <c r="AI21" s="100">
        <v>579.70635155357945</v>
      </c>
      <c r="AJ21" s="100">
        <v>12.566312359064703</v>
      </c>
      <c r="AK21" s="100">
        <v>784.13789120563752</v>
      </c>
      <c r="AL21" s="100">
        <v>3.1857425866817315</v>
      </c>
      <c r="AM21" s="100">
        <v>198.79033740894005</v>
      </c>
      <c r="AN21" s="100">
        <v>10.732116902104265</v>
      </c>
      <c r="AO21" s="100">
        <v>669.68409469130609</v>
      </c>
      <c r="AP21" s="100">
        <v>8.9925486047602092</v>
      </c>
      <c r="AQ21" s="100">
        <v>561.13503293703707</v>
      </c>
      <c r="AR21" s="100">
        <v>6.32807105673509</v>
      </c>
      <c r="AS21" s="100">
        <v>394.87163394026959</v>
      </c>
      <c r="AT21" s="100">
        <v>7.6875198843790013E-4</v>
      </c>
      <c r="AU21" s="100">
        <v>4.7970124078524967E-2</v>
      </c>
      <c r="AV21" s="100">
        <v>12</v>
      </c>
      <c r="AW21" s="100">
        <v>748.8</v>
      </c>
      <c r="AX21" s="100">
        <v>14</v>
      </c>
      <c r="AY21" s="100">
        <v>873.6</v>
      </c>
      <c r="AZ21" s="100">
        <v>9</v>
      </c>
      <c r="BA21" s="100">
        <v>561.6</v>
      </c>
      <c r="BB21" s="100">
        <v>10</v>
      </c>
      <c r="BC21" s="100">
        <v>624</v>
      </c>
      <c r="BD21" s="100">
        <v>11.179772931685513</v>
      </c>
      <c r="BE21" s="100">
        <v>697.617830937176</v>
      </c>
      <c r="BF21" s="100">
        <v>13</v>
      </c>
      <c r="BG21" s="100">
        <v>811.19999999999993</v>
      </c>
      <c r="BH21" s="100">
        <v>14.315267631310933</v>
      </c>
      <c r="BI21" s="100">
        <v>893.27270019380217</v>
      </c>
      <c r="BJ21" s="100">
        <v>9.0484959191061058</v>
      </c>
      <c r="BK21" s="100">
        <v>564.62614535222099</v>
      </c>
      <c r="BL21" s="100">
        <v>9</v>
      </c>
      <c r="BM21" s="100">
        <v>561.6</v>
      </c>
      <c r="BN21" s="100">
        <v>11.533501654816046</v>
      </c>
      <c r="BO21" s="100">
        <v>719.69050326052127</v>
      </c>
      <c r="BP21" s="100">
        <v>10.252841490681968</v>
      </c>
      <c r="BQ21" s="100">
        <v>639.77730901855477</v>
      </c>
      <c r="BR21" s="100">
        <v>9</v>
      </c>
      <c r="BS21" s="100">
        <v>561.6</v>
      </c>
      <c r="BT21" s="100">
        <v>12</v>
      </c>
      <c r="BU21" s="100">
        <v>748.8</v>
      </c>
      <c r="BV21" s="100">
        <v>12.502920339740985</v>
      </c>
      <c r="BW21" s="100">
        <v>780.18222919983748</v>
      </c>
      <c r="BX21" s="100">
        <v>7.3224914144672528</v>
      </c>
      <c r="BY21" s="100">
        <v>456.92346426275657</v>
      </c>
      <c r="BZ21" s="100">
        <v>9.1303783601995076E-4</v>
      </c>
      <c r="CA21" s="100">
        <v>5.6973560967644929E-2</v>
      </c>
      <c r="CB21" s="100">
        <v>3.4735315057346217</v>
      </c>
      <c r="CC21" s="100">
        <v>216.74836595784038</v>
      </c>
      <c r="CD21" s="100">
        <v>9.5570886950253495</v>
      </c>
      <c r="CE21" s="100">
        <v>596.36233456958178</v>
      </c>
      <c r="CF21" s="100">
        <v>12</v>
      </c>
      <c r="CG21" s="100">
        <v>748.8</v>
      </c>
      <c r="CH21" s="100">
        <v>16</v>
      </c>
      <c r="CI21" s="100">
        <v>998.4</v>
      </c>
      <c r="CJ21" s="100">
        <v>11</v>
      </c>
      <c r="CK21" s="100">
        <v>686.4</v>
      </c>
      <c r="CL21" s="100">
        <v>12</v>
      </c>
      <c r="CM21" s="100">
        <v>748.8</v>
      </c>
      <c r="CN21" s="100">
        <v>11.346878925121457</v>
      </c>
      <c r="CO21" s="100">
        <v>708.04524492757889</v>
      </c>
      <c r="CP21" s="100">
        <v>8.5917377180017051E-4</v>
      </c>
      <c r="CQ21" s="100">
        <v>5.3612443360330636E-2</v>
      </c>
      <c r="CR21" s="100">
        <v>12</v>
      </c>
      <c r="CS21" s="100">
        <v>748.8</v>
      </c>
      <c r="CT21" s="100">
        <v>14</v>
      </c>
      <c r="CU21" s="100">
        <v>873.6</v>
      </c>
    </row>
    <row r="22" spans="2:99">
      <c r="C22" s="99" t="s">
        <v>188</v>
      </c>
      <c r="D22" s="100">
        <v>6.7438136089233502</v>
      </c>
      <c r="E22" s="100">
        <v>1262.4419075904511</v>
      </c>
      <c r="F22" s="100">
        <v>8.0003446157016569</v>
      </c>
      <c r="G22" s="100">
        <v>1497.66451205935</v>
      </c>
      <c r="H22" s="100">
        <v>3.1149691549552361</v>
      </c>
      <c r="I22" s="100">
        <v>583.12222580762011</v>
      </c>
      <c r="J22" s="100">
        <v>11</v>
      </c>
      <c r="K22" s="100">
        <v>2059.1999999999998</v>
      </c>
      <c r="L22" s="100">
        <v>13</v>
      </c>
      <c r="M22" s="100">
        <v>2433.6</v>
      </c>
      <c r="N22" s="100">
        <v>13</v>
      </c>
      <c r="O22" s="100">
        <v>2433.6</v>
      </c>
      <c r="P22" s="100">
        <v>11</v>
      </c>
      <c r="Q22" s="100">
        <v>2059.1999999999998</v>
      </c>
      <c r="R22" s="100">
        <v>9</v>
      </c>
      <c r="S22" s="100">
        <v>1684.8</v>
      </c>
      <c r="T22" s="100">
        <v>7</v>
      </c>
      <c r="U22" s="100">
        <v>1310.3999999999999</v>
      </c>
      <c r="V22" s="100">
        <v>11</v>
      </c>
      <c r="W22" s="100">
        <v>2059.1999999999998</v>
      </c>
      <c r="X22" s="100">
        <v>8.7438926951595413</v>
      </c>
      <c r="Y22" s="100">
        <v>1636.8567125338661</v>
      </c>
      <c r="Z22" s="100">
        <v>11</v>
      </c>
      <c r="AA22" s="100">
        <v>2059.1999999999998</v>
      </c>
      <c r="AB22" s="100">
        <v>11</v>
      </c>
      <c r="AC22" s="100">
        <v>2059.1999999999998</v>
      </c>
      <c r="AD22" s="100">
        <v>11.243028811039668</v>
      </c>
      <c r="AE22" s="100">
        <v>2104.6949934266258</v>
      </c>
      <c r="AF22" s="100">
        <v>8.5482045095231314</v>
      </c>
      <c r="AG22" s="100">
        <v>1600.22388418273</v>
      </c>
      <c r="AH22" s="100">
        <v>9.9537491681589856</v>
      </c>
      <c r="AI22" s="100">
        <v>1863.341844279362</v>
      </c>
      <c r="AJ22" s="100">
        <v>11.519119662475978</v>
      </c>
      <c r="AK22" s="100">
        <v>2156.3792008155028</v>
      </c>
      <c r="AL22" s="100">
        <v>2.548594069345385</v>
      </c>
      <c r="AM22" s="100">
        <v>477.09680978145605</v>
      </c>
      <c r="AN22" s="100">
        <v>11.557664356112285</v>
      </c>
      <c r="AO22" s="100">
        <v>2163.5947674642198</v>
      </c>
      <c r="AP22" s="100">
        <v>9.631974164363994</v>
      </c>
      <c r="AQ22" s="100">
        <v>1803.1055635689395</v>
      </c>
      <c r="AR22" s="100">
        <v>6.32807105673509</v>
      </c>
      <c r="AS22" s="100">
        <v>1184.6149018208089</v>
      </c>
      <c r="AT22" s="100">
        <v>7.046893227347417E-4</v>
      </c>
      <c r="AU22" s="100">
        <v>0.13191784121594363</v>
      </c>
      <c r="AV22" s="100">
        <v>11</v>
      </c>
      <c r="AW22" s="100">
        <v>2059.1999999999998</v>
      </c>
      <c r="AX22" s="100">
        <v>13</v>
      </c>
      <c r="AY22" s="100">
        <v>2433.6</v>
      </c>
      <c r="AZ22" s="100">
        <v>8</v>
      </c>
      <c r="BA22" s="100">
        <v>1497.6</v>
      </c>
      <c r="BB22" s="100">
        <v>12</v>
      </c>
      <c r="BC22" s="100">
        <v>2246.3999999999996</v>
      </c>
      <c r="BD22" s="100">
        <v>10.179772931685513</v>
      </c>
      <c r="BE22" s="100">
        <v>1905.6534928115279</v>
      </c>
      <c r="BF22" s="100">
        <v>13</v>
      </c>
      <c r="BG22" s="100">
        <v>2433.6</v>
      </c>
      <c r="BH22" s="100">
        <v>15.336285473398327</v>
      </c>
      <c r="BI22" s="100">
        <v>2870.9526406201667</v>
      </c>
      <c r="BJ22" s="100">
        <v>8.2259053810055516</v>
      </c>
      <c r="BK22" s="100">
        <v>1539.8894873242391</v>
      </c>
      <c r="BL22" s="100">
        <v>9</v>
      </c>
      <c r="BM22" s="100">
        <v>1684.8</v>
      </c>
      <c r="BN22" s="100">
        <v>9.8858585612708971</v>
      </c>
      <c r="BO22" s="100">
        <v>1850.6327226699118</v>
      </c>
      <c r="BP22" s="100">
        <v>10.252841490681968</v>
      </c>
      <c r="BQ22" s="100">
        <v>1919.3319270556642</v>
      </c>
      <c r="BR22" s="100">
        <v>10</v>
      </c>
      <c r="BS22" s="100">
        <v>1872</v>
      </c>
      <c r="BT22" s="100">
        <v>13</v>
      </c>
      <c r="BU22" s="100">
        <v>2433.6</v>
      </c>
      <c r="BV22" s="100">
        <v>12.52288750669037</v>
      </c>
      <c r="BW22" s="100">
        <v>2344.2845412524371</v>
      </c>
      <c r="BX22" s="100">
        <v>7.3224914144672528</v>
      </c>
      <c r="BY22" s="100">
        <v>1370.7703927882696</v>
      </c>
      <c r="BZ22" s="100">
        <v>1.0211876249524342E-3</v>
      </c>
      <c r="CA22" s="100">
        <v>0.19116632339109568</v>
      </c>
      <c r="CB22" s="100">
        <v>2.9092441284016459</v>
      </c>
      <c r="CC22" s="100">
        <v>544.61050083678811</v>
      </c>
      <c r="CD22" s="100">
        <v>11.027410032721557</v>
      </c>
      <c r="CE22" s="100">
        <v>2064.3311581254752</v>
      </c>
      <c r="CF22" s="100">
        <v>11</v>
      </c>
      <c r="CG22" s="100">
        <v>2059.1999999999998</v>
      </c>
      <c r="CH22" s="100">
        <v>15</v>
      </c>
      <c r="CI22" s="100">
        <v>2808</v>
      </c>
      <c r="CJ22" s="100">
        <v>11</v>
      </c>
      <c r="CK22" s="100">
        <v>2059.1999999999998</v>
      </c>
      <c r="CL22" s="100">
        <v>11</v>
      </c>
      <c r="CM22" s="100">
        <v>2059.1999999999998</v>
      </c>
      <c r="CN22" s="100">
        <v>10.598684120628972</v>
      </c>
      <c r="CO22" s="100">
        <v>1984.0736673817435</v>
      </c>
      <c r="CP22" s="100">
        <v>9.1645202325351511E-4</v>
      </c>
      <c r="CQ22" s="100">
        <v>0.17155981875305801</v>
      </c>
      <c r="CR22" s="100">
        <v>10</v>
      </c>
      <c r="CS22" s="100">
        <v>1872</v>
      </c>
      <c r="CT22" s="100">
        <v>13</v>
      </c>
      <c r="CU22" s="100">
        <v>2433.6</v>
      </c>
    </row>
    <row r="23" spans="2:99">
      <c r="C23" s="99" t="s">
        <v>189</v>
      </c>
      <c r="D23" s="100">
        <v>6.7377720138141441</v>
      </c>
      <c r="E23" s="100">
        <v>1980.9049720613584</v>
      </c>
      <c r="F23" s="100">
        <v>8.8301877079999986</v>
      </c>
      <c r="G23" s="100">
        <v>2596.0751861519998</v>
      </c>
      <c r="H23" s="100">
        <v>2.8924713581727191</v>
      </c>
      <c r="I23" s="100">
        <v>850.38657930277941</v>
      </c>
      <c r="J23" s="100">
        <v>12</v>
      </c>
      <c r="K23" s="100">
        <v>3528</v>
      </c>
      <c r="L23" s="100">
        <v>12</v>
      </c>
      <c r="M23" s="100">
        <v>3528</v>
      </c>
      <c r="N23" s="100">
        <v>12</v>
      </c>
      <c r="O23" s="100">
        <v>3528</v>
      </c>
      <c r="P23" s="100">
        <v>10</v>
      </c>
      <c r="Q23" s="100">
        <v>2940</v>
      </c>
      <c r="R23" s="100">
        <v>10</v>
      </c>
      <c r="S23" s="100">
        <v>2940</v>
      </c>
      <c r="T23" s="100">
        <v>7</v>
      </c>
      <c r="U23" s="100">
        <v>2058</v>
      </c>
      <c r="V23" s="100">
        <v>11</v>
      </c>
      <c r="W23" s="100">
        <v>3234</v>
      </c>
      <c r="X23" s="100">
        <v>7.6942998488155725</v>
      </c>
      <c r="Y23" s="100">
        <v>2262.1241555517781</v>
      </c>
      <c r="Z23" s="100">
        <v>12</v>
      </c>
      <c r="AA23" s="100">
        <v>3528</v>
      </c>
      <c r="AB23" s="100">
        <v>12</v>
      </c>
      <c r="AC23" s="100">
        <v>3528</v>
      </c>
      <c r="AD23" s="100">
        <v>12.243028811039668</v>
      </c>
      <c r="AE23" s="100">
        <v>3599.4504704456626</v>
      </c>
      <c r="AF23" s="100">
        <v>9.5060349318675055</v>
      </c>
      <c r="AG23" s="100">
        <v>2794.7742699690466</v>
      </c>
      <c r="AH23" s="100">
        <v>8.6265826124044551</v>
      </c>
      <c r="AI23" s="100">
        <v>2536.2152880469098</v>
      </c>
      <c r="AJ23" s="100">
        <v>12.519119662475978</v>
      </c>
      <c r="AK23" s="100">
        <v>3680.6211807679374</v>
      </c>
      <c r="AL23" s="100">
        <v>3.1857425866817315</v>
      </c>
      <c r="AM23" s="100">
        <v>936.6083204844291</v>
      </c>
      <c r="AN23" s="100">
        <v>10.732116902104265</v>
      </c>
      <c r="AO23" s="100">
        <v>3155.2423692186539</v>
      </c>
      <c r="AP23" s="100">
        <v>8.9351815660856531</v>
      </c>
      <c r="AQ23" s="100">
        <v>2626.9433804291821</v>
      </c>
      <c r="AR23" s="100">
        <v>6.32807105673509</v>
      </c>
      <c r="AS23" s="100">
        <v>1860.4528906801165</v>
      </c>
      <c r="AT23" s="100">
        <v>6.4062665703158337E-4</v>
      </c>
      <c r="AU23" s="100">
        <v>0.18834423716728552</v>
      </c>
      <c r="AV23" s="100">
        <v>11</v>
      </c>
      <c r="AW23" s="100">
        <v>3234</v>
      </c>
      <c r="AX23" s="100">
        <v>14</v>
      </c>
      <c r="AY23" s="100">
        <v>4116</v>
      </c>
      <c r="AZ23" s="100">
        <v>8</v>
      </c>
      <c r="BA23" s="100">
        <v>2352</v>
      </c>
      <c r="BB23" s="100">
        <v>11</v>
      </c>
      <c r="BC23" s="100">
        <v>3234</v>
      </c>
      <c r="BD23" s="100">
        <v>11.179772931685513</v>
      </c>
      <c r="BE23" s="100">
        <v>3286.8532419155408</v>
      </c>
      <c r="BF23" s="100">
        <v>14</v>
      </c>
      <c r="BG23" s="100">
        <v>4116</v>
      </c>
      <c r="BH23" s="100">
        <v>14.315267631310933</v>
      </c>
      <c r="BI23" s="100">
        <v>4208.6886836054146</v>
      </c>
      <c r="BJ23" s="100">
        <v>9.0484959191061058</v>
      </c>
      <c r="BK23" s="100">
        <v>2660.2578002171949</v>
      </c>
      <c r="BL23" s="100">
        <v>9</v>
      </c>
      <c r="BM23" s="100">
        <v>2646</v>
      </c>
      <c r="BN23" s="100">
        <v>11.533501654816046</v>
      </c>
      <c r="BO23" s="100">
        <v>3390.8494865159178</v>
      </c>
      <c r="BP23" s="100">
        <v>10.252841490681968</v>
      </c>
      <c r="BQ23" s="100">
        <v>3014.3353982604986</v>
      </c>
      <c r="BR23" s="100">
        <v>9</v>
      </c>
      <c r="BS23" s="100">
        <v>2646</v>
      </c>
      <c r="BT23" s="100">
        <v>13</v>
      </c>
      <c r="BU23" s="100">
        <v>3822</v>
      </c>
      <c r="BV23" s="100">
        <v>11.67205460601817</v>
      </c>
      <c r="BW23" s="100">
        <v>3431.5840541693419</v>
      </c>
      <c r="BX23" s="100">
        <v>8.2378028412756592</v>
      </c>
      <c r="BY23" s="100">
        <v>2421.914035335044</v>
      </c>
      <c r="BZ23" s="100">
        <v>9.1074762435643781E-4</v>
      </c>
      <c r="CA23" s="100">
        <v>0.26775980156079271</v>
      </c>
      <c r="CB23" s="100">
        <v>3.088977326394851</v>
      </c>
      <c r="CC23" s="100">
        <v>908.1593339600862</v>
      </c>
      <c r="CD23" s="100">
        <v>10.292249363873454</v>
      </c>
      <c r="CE23" s="100">
        <v>3025.9213129787954</v>
      </c>
      <c r="CF23" s="100">
        <v>11</v>
      </c>
      <c r="CG23" s="100">
        <v>3234</v>
      </c>
      <c r="CH23" s="100">
        <v>14</v>
      </c>
      <c r="CI23" s="100">
        <v>4116</v>
      </c>
      <c r="CJ23" s="100">
        <v>10</v>
      </c>
      <c r="CK23" s="100">
        <v>2940</v>
      </c>
      <c r="CL23" s="100">
        <v>11</v>
      </c>
      <c r="CM23" s="100">
        <v>3234</v>
      </c>
      <c r="CN23" s="100">
        <v>10.527969120988971</v>
      </c>
      <c r="CO23" s="100">
        <v>3095.2229215707575</v>
      </c>
      <c r="CP23" s="100">
        <v>8.5917377180017051E-4</v>
      </c>
      <c r="CQ23" s="100">
        <v>0.25259708890925014</v>
      </c>
      <c r="CR23" s="100">
        <v>11</v>
      </c>
      <c r="CS23" s="100">
        <v>3234</v>
      </c>
      <c r="CT23" s="100">
        <v>14</v>
      </c>
      <c r="CU23" s="100">
        <v>4116</v>
      </c>
    </row>
    <row r="24" spans="2:99">
      <c r="C24" s="99" t="s">
        <v>190</v>
      </c>
      <c r="D24" s="100">
        <v>6.1499115848292973</v>
      </c>
      <c r="E24" s="100">
        <v>2258.247533949318</v>
      </c>
      <c r="F24" s="100">
        <v>7.9690648048183288</v>
      </c>
      <c r="G24" s="100">
        <v>2926.2405963292904</v>
      </c>
      <c r="H24" s="100">
        <v>2.8924713581727191</v>
      </c>
      <c r="I24" s="100">
        <v>1062.1154827210223</v>
      </c>
      <c r="J24" s="100">
        <v>11</v>
      </c>
      <c r="K24" s="100">
        <v>4039.2</v>
      </c>
      <c r="L24" s="100">
        <v>12</v>
      </c>
      <c r="M24" s="100">
        <v>4406.3999999999996</v>
      </c>
      <c r="N24" s="100">
        <v>12</v>
      </c>
      <c r="O24" s="100">
        <v>4406.3999999999996</v>
      </c>
      <c r="P24" s="100">
        <v>10</v>
      </c>
      <c r="Q24" s="100">
        <v>3672</v>
      </c>
      <c r="R24" s="100">
        <v>9</v>
      </c>
      <c r="S24" s="100">
        <v>3304.7999999999997</v>
      </c>
      <c r="T24" s="100">
        <v>7</v>
      </c>
      <c r="U24" s="100">
        <v>2570.4</v>
      </c>
      <c r="V24" s="100">
        <v>12</v>
      </c>
      <c r="W24" s="100">
        <v>4406.3999999999996</v>
      </c>
      <c r="X24" s="100">
        <v>7.6942998488155725</v>
      </c>
      <c r="Y24" s="100">
        <v>2825.3469044850781</v>
      </c>
      <c r="Z24" s="100">
        <v>12</v>
      </c>
      <c r="AA24" s="100">
        <v>4406.3999999999996</v>
      </c>
      <c r="AB24" s="100">
        <v>10</v>
      </c>
      <c r="AC24" s="100">
        <v>3672</v>
      </c>
      <c r="AD24" s="100">
        <v>13.283533612879614</v>
      </c>
      <c r="AE24" s="100">
        <v>4877.7135426493942</v>
      </c>
      <c r="AF24" s="100">
        <v>9.5060349318675055</v>
      </c>
      <c r="AG24" s="100">
        <v>3490.6160269817478</v>
      </c>
      <c r="AH24" s="100">
        <v>9.2901658902817221</v>
      </c>
      <c r="AI24" s="100">
        <v>3411.3489149114484</v>
      </c>
      <c r="AJ24" s="100">
        <v>11.613505055653428</v>
      </c>
      <c r="AK24" s="100">
        <v>4264.4790564359391</v>
      </c>
      <c r="AL24" s="100">
        <v>2.8671683280135585</v>
      </c>
      <c r="AM24" s="100">
        <v>1052.8242100465786</v>
      </c>
      <c r="AN24" s="100">
        <v>10.732116902104265</v>
      </c>
      <c r="AO24" s="100">
        <v>3940.8333264526859</v>
      </c>
      <c r="AP24" s="100">
        <v>9.6032906450267159</v>
      </c>
      <c r="AQ24" s="100">
        <v>3526.32832485381</v>
      </c>
      <c r="AR24" s="100">
        <v>6.32807105673509</v>
      </c>
      <c r="AS24" s="100">
        <v>2323.6676920331251</v>
      </c>
      <c r="AT24" s="100">
        <v>6.4062665703158337E-4</v>
      </c>
      <c r="AU24" s="100">
        <v>0.23523810846199741</v>
      </c>
      <c r="AV24" s="100">
        <v>11</v>
      </c>
      <c r="AW24" s="100">
        <v>4039.2</v>
      </c>
      <c r="AX24" s="100">
        <v>15</v>
      </c>
      <c r="AY24" s="100">
        <v>5508</v>
      </c>
      <c r="AZ24" s="100">
        <v>8</v>
      </c>
      <c r="BA24" s="100">
        <v>2937.6</v>
      </c>
      <c r="BB24" s="100">
        <v>10</v>
      </c>
      <c r="BC24" s="100">
        <v>3672</v>
      </c>
      <c r="BD24" s="100">
        <v>11.179772931685513</v>
      </c>
      <c r="BE24" s="100">
        <v>4105.2126205149198</v>
      </c>
      <c r="BF24" s="100">
        <v>14</v>
      </c>
      <c r="BG24" s="100">
        <v>5140.8</v>
      </c>
      <c r="BH24" s="100">
        <v>16.336285473398327</v>
      </c>
      <c r="BI24" s="100">
        <v>5998.6840258318653</v>
      </c>
      <c r="BJ24" s="100">
        <v>8.2259053810055516</v>
      </c>
      <c r="BK24" s="100">
        <v>3020.5524559052383</v>
      </c>
      <c r="BL24" s="100">
        <v>8</v>
      </c>
      <c r="BM24" s="100">
        <v>2937.6</v>
      </c>
      <c r="BN24" s="100">
        <v>11.533501654816046</v>
      </c>
      <c r="BO24" s="100">
        <v>4235.1018076484515</v>
      </c>
      <c r="BP24" s="100">
        <v>10.252841490681968</v>
      </c>
      <c r="BQ24" s="100">
        <v>3764.8433953784183</v>
      </c>
      <c r="BR24" s="100">
        <v>9</v>
      </c>
      <c r="BS24" s="100">
        <v>3304.7999999999997</v>
      </c>
      <c r="BT24" s="100">
        <v>13</v>
      </c>
      <c r="BU24" s="100">
        <v>4773.5999999999995</v>
      </c>
      <c r="BV24" s="100">
        <v>11.685366050651094</v>
      </c>
      <c r="BW24" s="100">
        <v>4290.8664137990818</v>
      </c>
      <c r="BX24" s="100">
        <v>7.3224914144672528</v>
      </c>
      <c r="BY24" s="100">
        <v>2688.8188473923751</v>
      </c>
      <c r="BZ24" s="100">
        <v>8.4636677740438802E-4</v>
      </c>
      <c r="CA24" s="100">
        <v>0.31078588066289126</v>
      </c>
      <c r="CB24" s="100">
        <v>3.1015212180715319</v>
      </c>
      <c r="CC24" s="100">
        <v>1138.8785912758665</v>
      </c>
      <c r="CD24" s="100">
        <v>9.5570886950253495</v>
      </c>
      <c r="CE24" s="100">
        <v>3509.3629688133083</v>
      </c>
      <c r="CF24" s="100">
        <v>11</v>
      </c>
      <c r="CG24" s="100">
        <v>4039.2</v>
      </c>
      <c r="CH24" s="100">
        <v>14</v>
      </c>
      <c r="CI24" s="100">
        <v>5140.8</v>
      </c>
      <c r="CJ24" s="100">
        <v>10</v>
      </c>
      <c r="CK24" s="100">
        <v>3672</v>
      </c>
      <c r="CL24" s="100">
        <v>10</v>
      </c>
      <c r="CM24" s="100">
        <v>3672</v>
      </c>
      <c r="CN24" s="100">
        <v>10.598684120628972</v>
      </c>
      <c r="CO24" s="100">
        <v>3891.8368090949584</v>
      </c>
      <c r="CP24" s="100">
        <v>8.018955203468258E-4</v>
      </c>
      <c r="CQ24" s="100">
        <v>0.29445603507135443</v>
      </c>
      <c r="CR24" s="100">
        <v>11</v>
      </c>
      <c r="CS24" s="100">
        <v>4039.2</v>
      </c>
      <c r="CT24" s="100">
        <v>14.274484006211553</v>
      </c>
      <c r="CU24" s="100">
        <v>5241.5905270808826</v>
      </c>
    </row>
    <row r="25" spans="2:99">
      <c r="C25" s="99" t="s">
        <v>191</v>
      </c>
      <c r="D25" s="100">
        <v>7.1987589455056797</v>
      </c>
      <c r="E25" s="100">
        <v>3818.2217446962122</v>
      </c>
      <c r="F25" s="100">
        <v>8.8614675188833267</v>
      </c>
      <c r="G25" s="100">
        <v>4700.1223720157159</v>
      </c>
      <c r="H25" s="100">
        <v>2.8924713581727191</v>
      </c>
      <c r="I25" s="100">
        <v>1534.1668083748102</v>
      </c>
      <c r="J25" s="100">
        <v>12</v>
      </c>
      <c r="K25" s="100">
        <v>6364.7999999999993</v>
      </c>
      <c r="L25" s="100">
        <v>13</v>
      </c>
      <c r="M25" s="100">
        <v>6895.2</v>
      </c>
      <c r="N25" s="100">
        <v>12</v>
      </c>
      <c r="O25" s="100">
        <v>6364.7999999999993</v>
      </c>
      <c r="P25" s="100">
        <v>12</v>
      </c>
      <c r="Q25" s="100">
        <v>6364.7999999999993</v>
      </c>
      <c r="R25" s="100">
        <v>9</v>
      </c>
      <c r="S25" s="100">
        <v>4773.5999999999995</v>
      </c>
      <c r="T25" s="100">
        <v>7</v>
      </c>
      <c r="U25" s="100">
        <v>3712.7999999999997</v>
      </c>
      <c r="V25" s="100">
        <v>12</v>
      </c>
      <c r="W25" s="100">
        <v>6364.7999999999993</v>
      </c>
      <c r="X25" s="100">
        <v>7.7934855415035109</v>
      </c>
      <c r="Y25" s="100">
        <v>4133.6647312134619</v>
      </c>
      <c r="Z25" s="100">
        <v>11</v>
      </c>
      <c r="AA25" s="100">
        <v>5834.4</v>
      </c>
      <c r="AB25" s="100">
        <v>11</v>
      </c>
      <c r="AC25" s="100">
        <v>5834.4</v>
      </c>
      <c r="AD25" s="100">
        <v>13.26328121195964</v>
      </c>
      <c r="AE25" s="100">
        <v>7034.8443548233927</v>
      </c>
      <c r="AF25" s="100">
        <v>9.5482045095231314</v>
      </c>
      <c r="AG25" s="100">
        <v>5064.3676718510687</v>
      </c>
      <c r="AH25" s="100">
        <v>7.962999334527189</v>
      </c>
      <c r="AI25" s="100">
        <v>4223.574847033221</v>
      </c>
      <c r="AJ25" s="100">
        <v>12.519119662475978</v>
      </c>
      <c r="AK25" s="100">
        <v>6640.1410689772583</v>
      </c>
      <c r="AL25" s="100">
        <v>2.8671683280135585</v>
      </c>
      <c r="AM25" s="100">
        <v>1520.7460811783913</v>
      </c>
      <c r="AN25" s="100">
        <v>11.557664356112285</v>
      </c>
      <c r="AO25" s="100">
        <v>6130.185174481956</v>
      </c>
      <c r="AP25" s="100">
        <v>8.9638650854229311</v>
      </c>
      <c r="AQ25" s="100">
        <v>4754.4340413083228</v>
      </c>
      <c r="AR25" s="100">
        <v>6.32807105673509</v>
      </c>
      <c r="AS25" s="100">
        <v>3356.4088884922917</v>
      </c>
      <c r="AT25" s="100">
        <v>7.046893227347417E-4</v>
      </c>
      <c r="AU25" s="100">
        <v>0.37376721677850699</v>
      </c>
      <c r="AV25" s="100">
        <v>12</v>
      </c>
      <c r="AW25" s="100">
        <v>6364.7999999999993</v>
      </c>
      <c r="AX25" s="100">
        <v>15</v>
      </c>
      <c r="AY25" s="100">
        <v>7956</v>
      </c>
      <c r="AZ25" s="100">
        <v>8</v>
      </c>
      <c r="BA25" s="100">
        <v>4243.2</v>
      </c>
      <c r="BB25" s="100">
        <v>10</v>
      </c>
      <c r="BC25" s="100">
        <v>5304</v>
      </c>
      <c r="BD25" s="100">
        <v>11.196115925475105</v>
      </c>
      <c r="BE25" s="100">
        <v>5938.4198868719959</v>
      </c>
      <c r="BF25" s="100">
        <v>13</v>
      </c>
      <c r="BG25" s="100">
        <v>6895.2</v>
      </c>
      <c r="BH25" s="100">
        <v>13.294249789223537</v>
      </c>
      <c r="BI25" s="100">
        <v>7051.2700882041636</v>
      </c>
      <c r="BJ25" s="100">
        <v>9.0484959191061058</v>
      </c>
      <c r="BK25" s="100">
        <v>4799.322235493878</v>
      </c>
      <c r="BL25" s="100">
        <v>8</v>
      </c>
      <c r="BM25" s="100">
        <v>4243.2</v>
      </c>
      <c r="BN25" s="100">
        <v>11.533501654816046</v>
      </c>
      <c r="BO25" s="100">
        <v>6117.3692777144306</v>
      </c>
      <c r="BP25" s="100">
        <v>11.619887022772897</v>
      </c>
      <c r="BQ25" s="100">
        <v>6163.1880768787441</v>
      </c>
      <c r="BR25" s="100">
        <v>10</v>
      </c>
      <c r="BS25" s="100">
        <v>5304</v>
      </c>
      <c r="BT25" s="100">
        <v>14</v>
      </c>
      <c r="BU25" s="100">
        <v>7425.5999999999995</v>
      </c>
      <c r="BV25" s="100">
        <v>11.678710328334633</v>
      </c>
      <c r="BW25" s="100">
        <v>6194.387958148689</v>
      </c>
      <c r="BX25" s="100">
        <v>7.3224914144672528</v>
      </c>
      <c r="BY25" s="100">
        <v>3883.8494462334306</v>
      </c>
      <c r="BZ25" s="100">
        <v>9.0616720102941202E-4</v>
      </c>
      <c r="CA25" s="100">
        <v>0.48063108342600014</v>
      </c>
      <c r="CB25" s="100">
        <v>2.896700236724965</v>
      </c>
      <c r="CC25" s="100">
        <v>1536.4098055589213</v>
      </c>
      <c r="CD25" s="100">
        <v>9.5570886950253495</v>
      </c>
      <c r="CE25" s="100">
        <v>5069.0798438414449</v>
      </c>
      <c r="CF25" s="100">
        <v>11</v>
      </c>
      <c r="CG25" s="100">
        <v>5834.4</v>
      </c>
      <c r="CH25" s="100">
        <v>15</v>
      </c>
      <c r="CI25" s="100">
        <v>7956</v>
      </c>
      <c r="CJ25" s="100">
        <v>12</v>
      </c>
      <c r="CK25" s="100">
        <v>6364.7999999999993</v>
      </c>
      <c r="CL25" s="100">
        <v>11</v>
      </c>
      <c r="CM25" s="100">
        <v>5834.4</v>
      </c>
      <c r="CN25" s="100">
        <v>11.370450591668124</v>
      </c>
      <c r="CO25" s="100">
        <v>6030.8869938207727</v>
      </c>
      <c r="CP25" s="100">
        <v>8.5917377180017051E-4</v>
      </c>
      <c r="CQ25" s="100">
        <v>0.45570576856281042</v>
      </c>
      <c r="CR25" s="100">
        <v>11</v>
      </c>
      <c r="CS25" s="100">
        <v>5834.4</v>
      </c>
      <c r="CT25" s="100">
        <v>14</v>
      </c>
      <c r="CU25" s="100">
        <v>7425.5999999999995</v>
      </c>
    </row>
    <row r="26" spans="2:99">
      <c r="C26" s="99" t="s">
        <v>192</v>
      </c>
      <c r="D26" s="100">
        <v>6.1499115848292973</v>
      </c>
      <c r="E26" s="100">
        <v>2988.8570302270386</v>
      </c>
      <c r="F26" s="100">
        <v>9.6287509894150105</v>
      </c>
      <c r="G26" s="100">
        <v>4679.5729808556953</v>
      </c>
      <c r="H26" s="100">
        <v>2.669973561390202</v>
      </c>
      <c r="I26" s="100">
        <v>1297.6071508356381</v>
      </c>
      <c r="J26" s="100">
        <v>12</v>
      </c>
      <c r="K26" s="100">
        <v>5832</v>
      </c>
      <c r="L26" s="100">
        <v>12</v>
      </c>
      <c r="M26" s="100">
        <v>5832</v>
      </c>
      <c r="N26" s="100">
        <v>13</v>
      </c>
      <c r="O26" s="100">
        <v>6318</v>
      </c>
      <c r="P26" s="100">
        <v>10</v>
      </c>
      <c r="Q26" s="100">
        <v>4860</v>
      </c>
      <c r="R26" s="100">
        <v>8</v>
      </c>
      <c r="S26" s="100">
        <v>3888</v>
      </c>
      <c r="T26" s="100">
        <v>7</v>
      </c>
      <c r="U26" s="100">
        <v>3402</v>
      </c>
      <c r="V26" s="100">
        <v>11</v>
      </c>
      <c r="W26" s="100">
        <v>5346</v>
      </c>
      <c r="X26" s="100">
        <v>8.644707002471602</v>
      </c>
      <c r="Y26" s="100">
        <v>4201.3276032011981</v>
      </c>
      <c r="Z26" s="100">
        <v>12</v>
      </c>
      <c r="AA26" s="100">
        <v>5832</v>
      </c>
      <c r="AB26" s="100">
        <v>10</v>
      </c>
      <c r="AC26" s="100">
        <v>4860</v>
      </c>
      <c r="AD26" s="100">
        <v>13.243028811039668</v>
      </c>
      <c r="AE26" s="100">
        <v>6436.1120021652787</v>
      </c>
      <c r="AF26" s="100">
        <v>8.5903740871787573</v>
      </c>
      <c r="AG26" s="100">
        <v>4174.9218063688759</v>
      </c>
      <c r="AH26" s="100">
        <v>9.2901658902817221</v>
      </c>
      <c r="AI26" s="100">
        <v>4515.0206226769169</v>
      </c>
      <c r="AJ26" s="100">
        <v>13.519119662475978</v>
      </c>
      <c r="AK26" s="100">
        <v>6570.2921559633251</v>
      </c>
      <c r="AL26" s="100">
        <v>2.8671683280135585</v>
      </c>
      <c r="AM26" s="100">
        <v>1393.4438074145894</v>
      </c>
      <c r="AN26" s="100">
        <v>9.9065694480962438</v>
      </c>
      <c r="AO26" s="100">
        <v>4814.5927517747741</v>
      </c>
      <c r="AP26" s="100">
        <v>10.357450281979613</v>
      </c>
      <c r="AQ26" s="100">
        <v>5033.7208370420922</v>
      </c>
      <c r="AR26" s="100">
        <v>6.32807105673509</v>
      </c>
      <c r="AS26" s="100">
        <v>3075.4425335732535</v>
      </c>
      <c r="AT26" s="100">
        <v>7.046893227347417E-4</v>
      </c>
      <c r="AU26" s="100">
        <v>0.34247901084908444</v>
      </c>
      <c r="AV26" s="100">
        <v>11</v>
      </c>
      <c r="AW26" s="100">
        <v>5346</v>
      </c>
      <c r="AX26" s="100">
        <v>14</v>
      </c>
      <c r="AY26" s="100">
        <v>6804</v>
      </c>
      <c r="AZ26" s="100">
        <v>7</v>
      </c>
      <c r="BA26" s="100">
        <v>3402</v>
      </c>
      <c r="BB26" s="100">
        <v>10</v>
      </c>
      <c r="BC26" s="100">
        <v>4860</v>
      </c>
      <c r="BD26" s="100">
        <v>11.196115925475105</v>
      </c>
      <c r="BE26" s="100">
        <v>5441.3123397809013</v>
      </c>
      <c r="BF26" s="100">
        <v>14</v>
      </c>
      <c r="BG26" s="100">
        <v>6804</v>
      </c>
      <c r="BH26" s="100">
        <v>16.315267631310931</v>
      </c>
      <c r="BI26" s="100">
        <v>7929.2200688171124</v>
      </c>
      <c r="BJ26" s="100">
        <v>7.4033148429049964</v>
      </c>
      <c r="BK26" s="100">
        <v>3598.0110136518283</v>
      </c>
      <c r="BL26" s="100">
        <v>9</v>
      </c>
      <c r="BM26" s="100">
        <v>4374</v>
      </c>
      <c r="BN26" s="100">
        <v>11.533501654816046</v>
      </c>
      <c r="BO26" s="100">
        <v>5605.2818042405988</v>
      </c>
      <c r="BP26" s="100">
        <v>11.619887022772897</v>
      </c>
      <c r="BQ26" s="100">
        <v>5647.2650930676282</v>
      </c>
      <c r="BR26" s="100">
        <v>9</v>
      </c>
      <c r="BS26" s="100">
        <v>4374</v>
      </c>
      <c r="BT26" s="100">
        <v>11</v>
      </c>
      <c r="BU26" s="100">
        <v>5346</v>
      </c>
      <c r="BV26" s="100">
        <v>12.516231784373909</v>
      </c>
      <c r="BW26" s="100">
        <v>6082.8886472057202</v>
      </c>
      <c r="BX26" s="100">
        <v>7.3224914144672528</v>
      </c>
      <c r="BY26" s="100">
        <v>3558.7308274310849</v>
      </c>
      <c r="BZ26" s="100">
        <v>9.6138720132741022E-4</v>
      </c>
      <c r="CA26" s="100">
        <v>0.46723417984512139</v>
      </c>
      <c r="CB26" s="100">
        <v>3.2812544160647361</v>
      </c>
      <c r="CC26" s="100">
        <v>1594.6896462074617</v>
      </c>
      <c r="CD26" s="100">
        <v>10.292249363873454</v>
      </c>
      <c r="CE26" s="100">
        <v>5002.0331908424987</v>
      </c>
      <c r="CF26" s="100">
        <v>10</v>
      </c>
      <c r="CG26" s="100">
        <v>4860</v>
      </c>
      <c r="CH26" s="100">
        <v>15</v>
      </c>
      <c r="CI26" s="100">
        <v>7290</v>
      </c>
      <c r="CJ26" s="100">
        <v>11</v>
      </c>
      <c r="CK26" s="100">
        <v>5346</v>
      </c>
      <c r="CL26" s="100">
        <v>10</v>
      </c>
      <c r="CM26" s="100">
        <v>4860</v>
      </c>
      <c r="CN26" s="100">
        <v>11.299735592028123</v>
      </c>
      <c r="CO26" s="100">
        <v>5491.6714977256679</v>
      </c>
      <c r="CP26" s="100">
        <v>8.018955203468258E-4</v>
      </c>
      <c r="CQ26" s="100">
        <v>0.38972122288855732</v>
      </c>
      <c r="CR26" s="100">
        <v>10</v>
      </c>
      <c r="CS26" s="100">
        <v>4860</v>
      </c>
      <c r="CT26" s="100">
        <v>15</v>
      </c>
      <c r="CU26" s="100">
        <v>7290</v>
      </c>
    </row>
    <row r="27" spans="2:99">
      <c r="C27" s="99" t="s">
        <v>193</v>
      </c>
      <c r="D27" s="100">
        <v>7.2168837308332963</v>
      </c>
      <c r="E27" s="100">
        <v>3083.0527298119841</v>
      </c>
      <c r="F27" s="100">
        <v>8.7989078971166705</v>
      </c>
      <c r="G27" s="100">
        <v>3758.8934536482416</v>
      </c>
      <c r="H27" s="100">
        <v>2.8924713581727191</v>
      </c>
      <c r="I27" s="100">
        <v>1235.6637642113856</v>
      </c>
      <c r="J27" s="100">
        <v>11</v>
      </c>
      <c r="K27" s="100">
        <v>4699.2</v>
      </c>
      <c r="L27" s="100">
        <v>14</v>
      </c>
      <c r="M27" s="100">
        <v>5980.8</v>
      </c>
      <c r="N27" s="100">
        <v>14</v>
      </c>
      <c r="O27" s="100">
        <v>5980.8</v>
      </c>
      <c r="P27" s="100">
        <v>12</v>
      </c>
      <c r="Q27" s="100">
        <v>5126.3999999999996</v>
      </c>
      <c r="R27" s="100">
        <v>9</v>
      </c>
      <c r="S27" s="100">
        <v>3844.7999999999997</v>
      </c>
      <c r="T27" s="100">
        <v>8</v>
      </c>
      <c r="U27" s="100">
        <v>3417.6</v>
      </c>
      <c r="V27" s="100">
        <v>11</v>
      </c>
      <c r="W27" s="100">
        <v>4699.2</v>
      </c>
      <c r="X27" s="100">
        <v>8.6942998488155716</v>
      </c>
      <c r="Y27" s="100">
        <v>3714.2048954140123</v>
      </c>
      <c r="Z27" s="100">
        <v>12</v>
      </c>
      <c r="AA27" s="100">
        <v>5126.3999999999996</v>
      </c>
      <c r="AB27" s="100">
        <v>10</v>
      </c>
      <c r="AC27" s="100">
        <v>4272</v>
      </c>
      <c r="AD27" s="100">
        <v>13.283533612879614</v>
      </c>
      <c r="AE27" s="100">
        <v>5674.7255594221706</v>
      </c>
      <c r="AF27" s="100">
        <v>8.5903740871787573</v>
      </c>
      <c r="AG27" s="100">
        <v>3669.8078100427651</v>
      </c>
      <c r="AH27" s="100">
        <v>9.9537491681589856</v>
      </c>
      <c r="AI27" s="100">
        <v>4252.2416446375182</v>
      </c>
      <c r="AJ27" s="100">
        <v>11.613505055653428</v>
      </c>
      <c r="AK27" s="100">
        <v>4961.2893597751445</v>
      </c>
      <c r="AL27" s="100">
        <v>2.8671683280135585</v>
      </c>
      <c r="AM27" s="100">
        <v>1224.8543097273921</v>
      </c>
      <c r="AN27" s="100">
        <v>9.9065694480962438</v>
      </c>
      <c r="AO27" s="100">
        <v>4232.0864682267156</v>
      </c>
      <c r="AP27" s="100">
        <v>9.6032906450267159</v>
      </c>
      <c r="AQ27" s="100">
        <v>4102.5257635554126</v>
      </c>
      <c r="AR27" s="100">
        <v>6.32807105673509</v>
      </c>
      <c r="AS27" s="100">
        <v>2703.3519554372306</v>
      </c>
      <c r="AT27" s="100">
        <v>7.6875198843790013E-4</v>
      </c>
      <c r="AU27" s="100">
        <v>0.32841084946067095</v>
      </c>
      <c r="AV27" s="100">
        <v>12</v>
      </c>
      <c r="AW27" s="100">
        <v>5126.3999999999996</v>
      </c>
      <c r="AX27" s="100">
        <v>13</v>
      </c>
      <c r="AY27" s="100">
        <v>5553.5999999999995</v>
      </c>
      <c r="AZ27" s="100">
        <v>7</v>
      </c>
      <c r="BA27" s="100">
        <v>2990.4</v>
      </c>
      <c r="BB27" s="100">
        <v>10</v>
      </c>
      <c r="BC27" s="100">
        <v>4272</v>
      </c>
      <c r="BD27" s="100">
        <v>11.179772931685513</v>
      </c>
      <c r="BE27" s="100">
        <v>4775.9989964160504</v>
      </c>
      <c r="BF27" s="100">
        <v>14</v>
      </c>
      <c r="BG27" s="100">
        <v>5980.8</v>
      </c>
      <c r="BH27" s="100">
        <v>16.315267631310931</v>
      </c>
      <c r="BI27" s="100">
        <v>6969.8823320960291</v>
      </c>
      <c r="BJ27" s="100">
        <v>9.0484959191061058</v>
      </c>
      <c r="BK27" s="100">
        <v>3865.5174566421283</v>
      </c>
      <c r="BL27" s="100">
        <v>9</v>
      </c>
      <c r="BM27" s="100">
        <v>3844.7999999999997</v>
      </c>
      <c r="BN27" s="100">
        <v>10.709680108043472</v>
      </c>
      <c r="BO27" s="100">
        <v>4575.1753421561707</v>
      </c>
      <c r="BP27" s="100">
        <v>10.936364256727432</v>
      </c>
      <c r="BQ27" s="100">
        <v>4672.0148104739583</v>
      </c>
      <c r="BR27" s="100">
        <v>10</v>
      </c>
      <c r="BS27" s="100">
        <v>4272</v>
      </c>
      <c r="BT27" s="100">
        <v>13</v>
      </c>
      <c r="BU27" s="100">
        <v>5553.5999999999995</v>
      </c>
      <c r="BV27" s="100">
        <v>10.86115603924474</v>
      </c>
      <c r="BW27" s="100">
        <v>4639.8858599653531</v>
      </c>
      <c r="BX27" s="100">
        <v>7.3224914144672528</v>
      </c>
      <c r="BY27" s="100">
        <v>3128.1683322604104</v>
      </c>
      <c r="BZ27" s="100">
        <v>9.6596762465443601E-4</v>
      </c>
      <c r="CA27" s="100">
        <v>0.41266136925237507</v>
      </c>
      <c r="CB27" s="100">
        <v>3.277073118839176</v>
      </c>
      <c r="CC27" s="100">
        <v>1399.9656363680958</v>
      </c>
      <c r="CD27" s="100">
        <v>8.8219280261772468</v>
      </c>
      <c r="CE27" s="100">
        <v>3768.7276527829199</v>
      </c>
      <c r="CF27" s="100">
        <v>10</v>
      </c>
      <c r="CG27" s="100">
        <v>4272</v>
      </c>
      <c r="CH27" s="100">
        <v>13</v>
      </c>
      <c r="CI27" s="100">
        <v>5553.5999999999995</v>
      </c>
      <c r="CJ27" s="100">
        <v>11</v>
      </c>
      <c r="CK27" s="100">
        <v>4699.2</v>
      </c>
      <c r="CL27" s="100">
        <v>11</v>
      </c>
      <c r="CM27" s="100">
        <v>4699.2</v>
      </c>
      <c r="CN27" s="100">
        <v>11.323307258574788</v>
      </c>
      <c r="CO27" s="100">
        <v>4837.3168608631495</v>
      </c>
      <c r="CP27" s="100">
        <v>8.5917377180017051E-4</v>
      </c>
      <c r="CQ27" s="100">
        <v>0.36703903531303284</v>
      </c>
      <c r="CR27" s="100">
        <v>11</v>
      </c>
      <c r="CS27" s="100">
        <v>4699.2</v>
      </c>
      <c r="CT27" s="100">
        <v>14</v>
      </c>
      <c r="CU27" s="100">
        <v>5980.8</v>
      </c>
    </row>
    <row r="28" spans="2:99">
      <c r="C28" s="99" t="s">
        <v>194</v>
      </c>
      <c r="D28" s="100">
        <v>6.2586602967949938</v>
      </c>
      <c r="E28" s="100">
        <v>4618.8912990347053</v>
      </c>
      <c r="F28" s="100">
        <v>7.9690648048183288</v>
      </c>
      <c r="G28" s="100">
        <v>5881.1698259559271</v>
      </c>
      <c r="H28" s="100">
        <v>3.1149691549552361</v>
      </c>
      <c r="I28" s="100">
        <v>2298.847236356964</v>
      </c>
      <c r="J28" s="100">
        <v>12</v>
      </c>
      <c r="K28" s="100">
        <v>8856</v>
      </c>
      <c r="L28" s="100">
        <v>13</v>
      </c>
      <c r="M28" s="100">
        <v>9594</v>
      </c>
      <c r="N28" s="100">
        <v>13</v>
      </c>
      <c r="O28" s="100">
        <v>9594</v>
      </c>
      <c r="P28" s="100">
        <v>10</v>
      </c>
      <c r="Q28" s="100">
        <v>7380</v>
      </c>
      <c r="R28" s="100">
        <v>8</v>
      </c>
      <c r="S28" s="100">
        <v>5904</v>
      </c>
      <c r="T28" s="100">
        <v>7</v>
      </c>
      <c r="U28" s="100">
        <v>5166</v>
      </c>
      <c r="V28" s="100">
        <v>12</v>
      </c>
      <c r="W28" s="100">
        <v>8856</v>
      </c>
      <c r="X28" s="100">
        <v>7.6447070024716028</v>
      </c>
      <c r="Y28" s="100">
        <v>5641.7937678240432</v>
      </c>
      <c r="Z28" s="100">
        <v>10</v>
      </c>
      <c r="AA28" s="100">
        <v>7380</v>
      </c>
      <c r="AB28" s="100">
        <v>11</v>
      </c>
      <c r="AC28" s="100">
        <v>8118</v>
      </c>
      <c r="AD28" s="100">
        <v>11.243028811039668</v>
      </c>
      <c r="AE28" s="100">
        <v>8297.3552625472748</v>
      </c>
      <c r="AF28" s="100">
        <v>8.5903740871787573</v>
      </c>
      <c r="AG28" s="100">
        <v>6339.6960763379229</v>
      </c>
      <c r="AH28" s="100">
        <v>8.6265826124044551</v>
      </c>
      <c r="AI28" s="100">
        <v>6366.4179679544877</v>
      </c>
      <c r="AJ28" s="100">
        <v>12.519119662475978</v>
      </c>
      <c r="AK28" s="100">
        <v>9239.1103109072719</v>
      </c>
      <c r="AL28" s="100">
        <v>2.8671683280135585</v>
      </c>
      <c r="AM28" s="100">
        <v>2115.970226074006</v>
      </c>
      <c r="AN28" s="100">
        <v>9.0810219940882249</v>
      </c>
      <c r="AO28" s="100">
        <v>6701.79423163711</v>
      </c>
      <c r="AP28" s="100">
        <v>9.5746071256894378</v>
      </c>
      <c r="AQ28" s="100">
        <v>7066.0600587588051</v>
      </c>
      <c r="AR28" s="100">
        <v>6.32807105673509</v>
      </c>
      <c r="AS28" s="100">
        <v>4670.1164398704968</v>
      </c>
      <c r="AT28" s="100">
        <v>6.4062665703158337E-4</v>
      </c>
      <c r="AU28" s="100">
        <v>0.47278247288930852</v>
      </c>
      <c r="AV28" s="100">
        <v>12</v>
      </c>
      <c r="AW28" s="100">
        <v>8856</v>
      </c>
      <c r="AX28" s="100">
        <v>12</v>
      </c>
      <c r="AY28" s="100">
        <v>8856</v>
      </c>
      <c r="AZ28" s="100">
        <v>7</v>
      </c>
      <c r="BA28" s="100">
        <v>5166</v>
      </c>
      <c r="BB28" s="100">
        <v>10</v>
      </c>
      <c r="BC28" s="100">
        <v>7380</v>
      </c>
      <c r="BD28" s="100">
        <v>10.179772931685513</v>
      </c>
      <c r="BE28" s="100">
        <v>7512.6724235839083</v>
      </c>
      <c r="BF28" s="100">
        <v>14</v>
      </c>
      <c r="BG28" s="100">
        <v>10332</v>
      </c>
      <c r="BH28" s="100">
        <v>13.315267631310933</v>
      </c>
      <c r="BI28" s="100">
        <v>9826.667511907468</v>
      </c>
      <c r="BJ28" s="100">
        <v>8.2259053810055516</v>
      </c>
      <c r="BK28" s="100">
        <v>6070.7181711820967</v>
      </c>
      <c r="BL28" s="100">
        <v>8</v>
      </c>
      <c r="BM28" s="100">
        <v>5904</v>
      </c>
      <c r="BN28" s="100">
        <v>10.709680108043472</v>
      </c>
      <c r="BO28" s="100">
        <v>7903.7439197360818</v>
      </c>
      <c r="BP28" s="100">
        <v>10.252841490681968</v>
      </c>
      <c r="BQ28" s="100">
        <v>7566.5970201232922</v>
      </c>
      <c r="BR28" s="100">
        <v>9</v>
      </c>
      <c r="BS28" s="100">
        <v>6642</v>
      </c>
      <c r="BT28" s="100">
        <v>12</v>
      </c>
      <c r="BU28" s="100">
        <v>8856</v>
      </c>
      <c r="BV28" s="100">
        <v>12.509576062057446</v>
      </c>
      <c r="BW28" s="100">
        <v>9232.0671337983949</v>
      </c>
      <c r="BX28" s="100">
        <v>7.3224914144672528</v>
      </c>
      <c r="BY28" s="100">
        <v>5403.9986638768323</v>
      </c>
      <c r="BZ28" s="100">
        <v>9.0387698936589917E-4</v>
      </c>
      <c r="CA28" s="100">
        <v>0.66706121815203356</v>
      </c>
      <c r="CB28" s="100">
        <v>3.0973399208459713</v>
      </c>
      <c r="CC28" s="100">
        <v>2285.8368615843269</v>
      </c>
      <c r="CD28" s="100">
        <v>10.292249363873454</v>
      </c>
      <c r="CE28" s="100">
        <v>7595.6800305386087</v>
      </c>
      <c r="CF28" s="100">
        <v>11</v>
      </c>
      <c r="CG28" s="100">
        <v>8118</v>
      </c>
      <c r="CH28" s="100">
        <v>14</v>
      </c>
      <c r="CI28" s="100">
        <v>10332</v>
      </c>
      <c r="CJ28" s="100">
        <v>11</v>
      </c>
      <c r="CK28" s="100">
        <v>8118</v>
      </c>
      <c r="CL28" s="100">
        <v>11</v>
      </c>
      <c r="CM28" s="100">
        <v>8118</v>
      </c>
      <c r="CN28" s="100">
        <v>11.370450591668124</v>
      </c>
      <c r="CO28" s="100">
        <v>8391.3925366510757</v>
      </c>
      <c r="CP28" s="100">
        <v>8.5917377180017051E-4</v>
      </c>
      <c r="CQ28" s="100">
        <v>0.63407024358852582</v>
      </c>
      <c r="CR28" s="100">
        <v>11</v>
      </c>
      <c r="CS28" s="100">
        <v>8118</v>
      </c>
      <c r="CT28" s="100">
        <v>14</v>
      </c>
      <c r="CU28" s="100">
        <v>10332</v>
      </c>
    </row>
    <row r="29" spans="2:99">
      <c r="C29" s="99" t="s">
        <v>195</v>
      </c>
      <c r="D29" s="100">
        <v>6.2586602967949938</v>
      </c>
      <c r="E29" s="100">
        <v>2117.9306444354256</v>
      </c>
      <c r="F29" s="100">
        <v>9.6913106111816685</v>
      </c>
      <c r="G29" s="100">
        <v>3279.5395108238763</v>
      </c>
      <c r="H29" s="100">
        <v>2.669973561390202</v>
      </c>
      <c r="I29" s="100">
        <v>903.51905317444425</v>
      </c>
      <c r="J29" s="100">
        <v>11</v>
      </c>
      <c r="K29" s="100">
        <v>3722.3999999999996</v>
      </c>
      <c r="L29" s="100">
        <v>13</v>
      </c>
      <c r="M29" s="100">
        <v>4399.2</v>
      </c>
      <c r="N29" s="100">
        <v>12</v>
      </c>
      <c r="O29" s="100">
        <v>4060.7999999999997</v>
      </c>
      <c r="P29" s="100">
        <v>10</v>
      </c>
      <c r="Q29" s="100">
        <v>3384</v>
      </c>
      <c r="R29" s="100">
        <v>10</v>
      </c>
      <c r="S29" s="100">
        <v>3384</v>
      </c>
      <c r="T29" s="100">
        <v>8</v>
      </c>
      <c r="U29" s="100">
        <v>2707.2</v>
      </c>
      <c r="V29" s="100">
        <v>11</v>
      </c>
      <c r="W29" s="100">
        <v>3722.3999999999996</v>
      </c>
      <c r="X29" s="100">
        <v>9.7934855415035109</v>
      </c>
      <c r="Y29" s="100">
        <v>3314.1155072447878</v>
      </c>
      <c r="Z29" s="100">
        <v>12</v>
      </c>
      <c r="AA29" s="100">
        <v>4060.7999999999997</v>
      </c>
      <c r="AB29" s="100">
        <v>10</v>
      </c>
      <c r="AC29" s="100">
        <v>3384</v>
      </c>
      <c r="AD29" s="100">
        <v>11.26328121195964</v>
      </c>
      <c r="AE29" s="100">
        <v>3811.4943621271418</v>
      </c>
      <c r="AF29" s="100">
        <v>9.5903740871787573</v>
      </c>
      <c r="AG29" s="100">
        <v>3245.3825911012914</v>
      </c>
      <c r="AH29" s="100">
        <v>9.2901658902817221</v>
      </c>
      <c r="AI29" s="100">
        <v>3143.7921372713345</v>
      </c>
      <c r="AJ29" s="100">
        <v>12.613505055653428</v>
      </c>
      <c r="AK29" s="100">
        <v>4268.4101108331197</v>
      </c>
      <c r="AL29" s="100">
        <v>2.548594069345385</v>
      </c>
      <c r="AM29" s="100">
        <v>862.4442330664782</v>
      </c>
      <c r="AN29" s="100">
        <v>9.9065694480962438</v>
      </c>
      <c r="AO29" s="100">
        <v>3352.3831012357687</v>
      </c>
      <c r="AP29" s="100">
        <v>8.9925486047602092</v>
      </c>
      <c r="AQ29" s="100">
        <v>3043.0784478508544</v>
      </c>
      <c r="AR29" s="100">
        <v>6.32807105673509</v>
      </c>
      <c r="AS29" s="100">
        <v>2141.4192455991542</v>
      </c>
      <c r="AT29" s="100">
        <v>7.6875198843790013E-4</v>
      </c>
      <c r="AU29" s="100">
        <v>0.26014567288738538</v>
      </c>
      <c r="AV29" s="100">
        <v>11</v>
      </c>
      <c r="AW29" s="100">
        <v>3722.3999999999996</v>
      </c>
      <c r="AX29" s="100">
        <v>13</v>
      </c>
      <c r="AY29" s="100">
        <v>4399.2</v>
      </c>
      <c r="AZ29" s="100">
        <v>8</v>
      </c>
      <c r="BA29" s="100">
        <v>2707.2</v>
      </c>
      <c r="BB29" s="100">
        <v>12</v>
      </c>
      <c r="BC29" s="100">
        <v>4060.7999999999997</v>
      </c>
      <c r="BD29" s="100">
        <v>11.163429937895922</v>
      </c>
      <c r="BE29" s="100">
        <v>3777.7046909839796</v>
      </c>
      <c r="BF29" s="100">
        <v>14</v>
      </c>
      <c r="BG29" s="100">
        <v>4737.5999999999995</v>
      </c>
      <c r="BH29" s="100">
        <v>15.315267631310933</v>
      </c>
      <c r="BI29" s="100">
        <v>5182.6865664356192</v>
      </c>
      <c r="BJ29" s="100">
        <v>9.0484959191061058</v>
      </c>
      <c r="BK29" s="100">
        <v>3062.0110190255059</v>
      </c>
      <c r="BL29" s="100">
        <v>8</v>
      </c>
      <c r="BM29" s="100">
        <v>2707.2</v>
      </c>
      <c r="BN29" s="100">
        <v>10.709680108043472</v>
      </c>
      <c r="BO29" s="100">
        <v>3624.1557485619105</v>
      </c>
      <c r="BP29" s="100">
        <v>11.619887022772897</v>
      </c>
      <c r="BQ29" s="100">
        <v>3932.1697685063482</v>
      </c>
      <c r="BR29" s="100">
        <v>10</v>
      </c>
      <c r="BS29" s="100">
        <v>3384</v>
      </c>
      <c r="BT29" s="100">
        <v>12</v>
      </c>
      <c r="BU29" s="100">
        <v>4060.7999999999997</v>
      </c>
      <c r="BV29" s="100">
        <v>13.320474628830876</v>
      </c>
      <c r="BW29" s="100">
        <v>4507.6486143963684</v>
      </c>
      <c r="BX29" s="100">
        <v>7.3224914144672528</v>
      </c>
      <c r="BY29" s="100">
        <v>2477.931094655718</v>
      </c>
      <c r="BZ29" s="100">
        <v>9.6825783631794896E-4</v>
      </c>
      <c r="CA29" s="100">
        <v>0.32765845180999392</v>
      </c>
      <c r="CB29" s="100">
        <v>3.2896170105158573</v>
      </c>
      <c r="CC29" s="100">
        <v>1113.2063963585661</v>
      </c>
      <c r="CD29" s="100">
        <v>11.027410032721557</v>
      </c>
      <c r="CE29" s="100">
        <v>3731.6755550729745</v>
      </c>
      <c r="CF29" s="100">
        <v>10</v>
      </c>
      <c r="CG29" s="100">
        <v>3384</v>
      </c>
      <c r="CH29" s="100">
        <v>14</v>
      </c>
      <c r="CI29" s="100">
        <v>4737.5999999999995</v>
      </c>
      <c r="CJ29" s="100">
        <v>12</v>
      </c>
      <c r="CK29" s="100">
        <v>4060.7999999999997</v>
      </c>
      <c r="CL29" s="100">
        <v>11</v>
      </c>
      <c r="CM29" s="100">
        <v>3722.3999999999996</v>
      </c>
      <c r="CN29" s="100">
        <v>9.8033459830431564</v>
      </c>
      <c r="CO29" s="100">
        <v>3317.4522806618038</v>
      </c>
      <c r="CP29" s="100">
        <v>8.5917377180017051E-4</v>
      </c>
      <c r="CQ29" s="100">
        <v>0.29074440437717769</v>
      </c>
      <c r="CR29" s="100">
        <v>10</v>
      </c>
      <c r="CS29" s="100">
        <v>3384</v>
      </c>
      <c r="CT29" s="100">
        <v>13</v>
      </c>
      <c r="CU29" s="100">
        <v>4399.2</v>
      </c>
    </row>
    <row r="30" spans="2:99">
      <c r="C30" s="99" t="s">
        <v>196</v>
      </c>
      <c r="D30" s="100">
        <v>6.2586602967949938</v>
      </c>
      <c r="E30" s="100">
        <v>871.20551331386309</v>
      </c>
      <c r="F30" s="100">
        <v>9.6600308002983386</v>
      </c>
      <c r="G30" s="100">
        <v>1344.6762874015287</v>
      </c>
      <c r="H30" s="100">
        <v>3.1149691549552361</v>
      </c>
      <c r="I30" s="100">
        <v>433.60370636976882</v>
      </c>
      <c r="J30" s="100">
        <v>11</v>
      </c>
      <c r="K30" s="100">
        <v>1531.1999999999998</v>
      </c>
      <c r="L30" s="100">
        <v>13</v>
      </c>
      <c r="M30" s="100">
        <v>1809.6</v>
      </c>
      <c r="N30" s="100">
        <v>13</v>
      </c>
      <c r="O30" s="100">
        <v>1809.6</v>
      </c>
      <c r="P30" s="100">
        <v>12</v>
      </c>
      <c r="Q30" s="100">
        <v>1670.3999999999999</v>
      </c>
      <c r="R30" s="100">
        <v>10</v>
      </c>
      <c r="S30" s="100">
        <v>1392</v>
      </c>
      <c r="T30" s="100">
        <v>8</v>
      </c>
      <c r="U30" s="100">
        <v>1113.5999999999999</v>
      </c>
      <c r="V30" s="100">
        <v>13</v>
      </c>
      <c r="W30" s="100">
        <v>1809.6</v>
      </c>
      <c r="X30" s="100">
        <v>8.7438926951595413</v>
      </c>
      <c r="Y30" s="100">
        <v>1217.149863166208</v>
      </c>
      <c r="Z30" s="100">
        <v>12</v>
      </c>
      <c r="AA30" s="100">
        <v>1670.3999999999999</v>
      </c>
      <c r="AB30" s="100">
        <v>11</v>
      </c>
      <c r="AC30" s="100">
        <v>1531.1999999999998</v>
      </c>
      <c r="AD30" s="100">
        <v>13.26328121195964</v>
      </c>
      <c r="AE30" s="100">
        <v>1846.2487447047818</v>
      </c>
      <c r="AF30" s="100">
        <v>9.5060349318675055</v>
      </c>
      <c r="AG30" s="100">
        <v>1323.2400625159567</v>
      </c>
      <c r="AH30" s="100">
        <v>8.6265826124044551</v>
      </c>
      <c r="AI30" s="100">
        <v>1200.8202996467001</v>
      </c>
      <c r="AJ30" s="100">
        <v>12.566312359064703</v>
      </c>
      <c r="AK30" s="100">
        <v>1749.2306803818065</v>
      </c>
      <c r="AL30" s="100">
        <v>2.8671683280135585</v>
      </c>
      <c r="AM30" s="100">
        <v>399.10983125948729</v>
      </c>
      <c r="AN30" s="100">
        <v>10.732116902104265</v>
      </c>
      <c r="AO30" s="100">
        <v>1493.9106727729136</v>
      </c>
      <c r="AP30" s="100">
        <v>8.9925486047602092</v>
      </c>
      <c r="AQ30" s="100">
        <v>1251.762765782621</v>
      </c>
      <c r="AR30" s="100">
        <v>6.32807105673509</v>
      </c>
      <c r="AS30" s="100">
        <v>880.86749109752441</v>
      </c>
      <c r="AT30" s="100">
        <v>7.046893227347417E-4</v>
      </c>
      <c r="AU30" s="100">
        <v>9.8092753724676032E-2</v>
      </c>
      <c r="AV30" s="100">
        <v>12</v>
      </c>
      <c r="AW30" s="100">
        <v>1670.3999999999999</v>
      </c>
      <c r="AX30" s="100">
        <v>13</v>
      </c>
      <c r="AY30" s="100">
        <v>1809.6</v>
      </c>
      <c r="AZ30" s="100">
        <v>8</v>
      </c>
      <c r="BA30" s="100">
        <v>1113.5999999999999</v>
      </c>
      <c r="BB30" s="100">
        <v>10</v>
      </c>
      <c r="BC30" s="100">
        <v>1392</v>
      </c>
      <c r="BD30" s="100">
        <v>10.179772931685513</v>
      </c>
      <c r="BE30" s="100">
        <v>1417.0243920906232</v>
      </c>
      <c r="BF30" s="100">
        <v>14</v>
      </c>
      <c r="BG30" s="100">
        <v>1948.7999999999997</v>
      </c>
      <c r="BH30" s="100">
        <v>15.336285473398327</v>
      </c>
      <c r="BI30" s="100">
        <v>2134.8109378970471</v>
      </c>
      <c r="BJ30" s="100">
        <v>8.2259053810055516</v>
      </c>
      <c r="BK30" s="100">
        <v>1145.0460290359727</v>
      </c>
      <c r="BL30" s="100">
        <v>8</v>
      </c>
      <c r="BM30" s="100">
        <v>1113.5999999999999</v>
      </c>
      <c r="BN30" s="100">
        <v>10.709680108043472</v>
      </c>
      <c r="BO30" s="100">
        <v>1490.7874710396511</v>
      </c>
      <c r="BP30" s="100">
        <v>10.252841490681968</v>
      </c>
      <c r="BQ30" s="100">
        <v>1427.1955355029299</v>
      </c>
      <c r="BR30" s="100">
        <v>9</v>
      </c>
      <c r="BS30" s="100">
        <v>1252.8</v>
      </c>
      <c r="BT30" s="100">
        <v>13</v>
      </c>
      <c r="BU30" s="100">
        <v>1809.6</v>
      </c>
      <c r="BV30" s="100">
        <v>11.538940159688943</v>
      </c>
      <c r="BW30" s="100">
        <v>1606.2204702287008</v>
      </c>
      <c r="BX30" s="100">
        <v>7.3224914144672528</v>
      </c>
      <c r="BY30" s="100">
        <v>1019.2908048938415</v>
      </c>
      <c r="BZ30" s="100">
        <v>9.6825783631794896E-4</v>
      </c>
      <c r="CA30" s="100">
        <v>0.13478149081545848</v>
      </c>
      <c r="CB30" s="100">
        <v>2.9050628311760853</v>
      </c>
      <c r="CC30" s="100">
        <v>404.38474609971104</v>
      </c>
      <c r="CD30" s="100">
        <v>9.5570886950253495</v>
      </c>
      <c r="CE30" s="100">
        <v>1330.3467463475286</v>
      </c>
      <c r="CF30" s="100">
        <v>12</v>
      </c>
      <c r="CG30" s="100">
        <v>1670.3999999999999</v>
      </c>
      <c r="CH30" s="100">
        <v>15</v>
      </c>
      <c r="CI30" s="100">
        <v>2088</v>
      </c>
      <c r="CJ30" s="100">
        <v>10</v>
      </c>
      <c r="CK30" s="100">
        <v>1392</v>
      </c>
      <c r="CL30" s="100">
        <v>11</v>
      </c>
      <c r="CM30" s="100">
        <v>1531.1999999999998</v>
      </c>
      <c r="CN30" s="100">
        <v>10.622255787175639</v>
      </c>
      <c r="CO30" s="100">
        <v>1478.6180055748489</v>
      </c>
      <c r="CP30" s="100">
        <v>9.1645202325351511E-4</v>
      </c>
      <c r="CQ30" s="100">
        <v>0.1275701216368893</v>
      </c>
      <c r="CR30" s="100">
        <v>11</v>
      </c>
      <c r="CS30" s="100">
        <v>1531.1999999999998</v>
      </c>
      <c r="CT30" s="100">
        <v>13</v>
      </c>
      <c r="CU30" s="100">
        <v>1809.6</v>
      </c>
    </row>
    <row r="31" spans="2:99">
      <c r="C31" s="99" t="s">
        <v>197</v>
      </c>
      <c r="D31" s="100">
        <v>7.2108421357240902</v>
      </c>
      <c r="E31" s="100">
        <v>2457.45499985477</v>
      </c>
      <c r="F31" s="100">
        <v>8.7989078971166705</v>
      </c>
      <c r="G31" s="100">
        <v>2998.6678113373614</v>
      </c>
      <c r="H31" s="100">
        <v>2.669973561390202</v>
      </c>
      <c r="I31" s="100">
        <v>909.92698972178084</v>
      </c>
      <c r="J31" s="100">
        <v>13</v>
      </c>
      <c r="K31" s="100">
        <v>4430.4000000000005</v>
      </c>
      <c r="L31" s="100">
        <v>14</v>
      </c>
      <c r="M31" s="100">
        <v>4771.2</v>
      </c>
      <c r="N31" s="100">
        <v>13</v>
      </c>
      <c r="O31" s="100">
        <v>4430.4000000000005</v>
      </c>
      <c r="P31" s="100">
        <v>11</v>
      </c>
      <c r="Q31" s="100">
        <v>3748.8</v>
      </c>
      <c r="R31" s="100">
        <v>9</v>
      </c>
      <c r="S31" s="100">
        <v>3067.2000000000003</v>
      </c>
      <c r="T31" s="100">
        <v>8</v>
      </c>
      <c r="U31" s="100">
        <v>2726.4</v>
      </c>
      <c r="V31" s="100">
        <v>11</v>
      </c>
      <c r="W31" s="100">
        <v>3748.8</v>
      </c>
      <c r="X31" s="100">
        <v>8.6942998488155716</v>
      </c>
      <c r="Y31" s="100">
        <v>2963.0173884763467</v>
      </c>
      <c r="Z31" s="100">
        <v>12</v>
      </c>
      <c r="AA31" s="100">
        <v>4089.6000000000004</v>
      </c>
      <c r="AB31" s="100">
        <v>10</v>
      </c>
      <c r="AC31" s="100">
        <v>3408</v>
      </c>
      <c r="AD31" s="100">
        <v>12.26328121195964</v>
      </c>
      <c r="AE31" s="100">
        <v>4179.3262370358452</v>
      </c>
      <c r="AF31" s="100">
        <v>8.5482045095231314</v>
      </c>
      <c r="AG31" s="100">
        <v>2913.2280968454834</v>
      </c>
      <c r="AH31" s="100">
        <v>8.6265826124044551</v>
      </c>
      <c r="AI31" s="100">
        <v>2939.9393543074384</v>
      </c>
      <c r="AJ31" s="100">
        <v>11.613505055653428</v>
      </c>
      <c r="AK31" s="100">
        <v>3957.8825229666886</v>
      </c>
      <c r="AL31" s="100">
        <v>2.8671683280135585</v>
      </c>
      <c r="AM31" s="100">
        <v>977.13096618702082</v>
      </c>
      <c r="AN31" s="100">
        <v>9.9065694480962438</v>
      </c>
      <c r="AO31" s="100">
        <v>3376.1588679112001</v>
      </c>
      <c r="AP31" s="100">
        <v>9.6606576837012703</v>
      </c>
      <c r="AQ31" s="100">
        <v>3292.3521386053931</v>
      </c>
      <c r="AR31" s="100">
        <v>6.32807105673509</v>
      </c>
      <c r="AS31" s="100">
        <v>2156.6066161353187</v>
      </c>
      <c r="AT31" s="100">
        <v>7.046893227347417E-4</v>
      </c>
      <c r="AU31" s="100">
        <v>0.24015812118799998</v>
      </c>
      <c r="AV31" s="100">
        <v>11</v>
      </c>
      <c r="AW31" s="100">
        <v>3748.8</v>
      </c>
      <c r="AX31" s="100">
        <v>14</v>
      </c>
      <c r="AY31" s="100">
        <v>4771.2</v>
      </c>
      <c r="AZ31" s="100">
        <v>8</v>
      </c>
      <c r="BA31" s="100">
        <v>2726.4</v>
      </c>
      <c r="BB31" s="100">
        <v>11</v>
      </c>
      <c r="BC31" s="100">
        <v>3748.8</v>
      </c>
      <c r="BD31" s="100">
        <v>11.196115925475105</v>
      </c>
      <c r="BE31" s="100">
        <v>3815.6363074019159</v>
      </c>
      <c r="BF31" s="100">
        <v>13</v>
      </c>
      <c r="BG31" s="100">
        <v>4430.4000000000005</v>
      </c>
      <c r="BH31" s="100">
        <v>14.294249789223537</v>
      </c>
      <c r="BI31" s="100">
        <v>4871.4803281673812</v>
      </c>
      <c r="BJ31" s="100">
        <v>9.0484959191061058</v>
      </c>
      <c r="BK31" s="100">
        <v>3083.727409231361</v>
      </c>
      <c r="BL31" s="100">
        <v>8</v>
      </c>
      <c r="BM31" s="100">
        <v>2726.4</v>
      </c>
      <c r="BN31" s="100">
        <v>11.533501654816046</v>
      </c>
      <c r="BO31" s="100">
        <v>3930.6173639613085</v>
      </c>
      <c r="BP31" s="100">
        <v>11.619887022772897</v>
      </c>
      <c r="BQ31" s="100">
        <v>3960.0574973610032</v>
      </c>
      <c r="BR31" s="100">
        <v>9</v>
      </c>
      <c r="BS31" s="100">
        <v>3067.2000000000003</v>
      </c>
      <c r="BT31" s="100">
        <v>13</v>
      </c>
      <c r="BU31" s="100">
        <v>4430.4000000000005</v>
      </c>
      <c r="BV31" s="100">
        <v>12.509576062057446</v>
      </c>
      <c r="BW31" s="100">
        <v>4263.2635219491776</v>
      </c>
      <c r="BX31" s="100">
        <v>7.3224914144672528</v>
      </c>
      <c r="BY31" s="100">
        <v>2495.5050740504398</v>
      </c>
      <c r="BZ31" s="100">
        <v>9.1074762435643781E-4</v>
      </c>
      <c r="CA31" s="100">
        <v>0.31038279038067401</v>
      </c>
      <c r="CB31" s="100">
        <v>3.0973399208459713</v>
      </c>
      <c r="CC31" s="100">
        <v>1055.5734450243071</v>
      </c>
      <c r="CD31" s="100">
        <v>10.292249363873454</v>
      </c>
      <c r="CE31" s="100">
        <v>3507.5985832080733</v>
      </c>
      <c r="CF31" s="100">
        <v>10</v>
      </c>
      <c r="CG31" s="100">
        <v>3408</v>
      </c>
      <c r="CH31" s="100">
        <v>15</v>
      </c>
      <c r="CI31" s="100">
        <v>5112</v>
      </c>
      <c r="CJ31" s="100">
        <v>12</v>
      </c>
      <c r="CK31" s="100">
        <v>4089.6000000000004</v>
      </c>
      <c r="CL31" s="100">
        <v>10</v>
      </c>
      <c r="CM31" s="100">
        <v>3408</v>
      </c>
      <c r="CN31" s="100">
        <v>11.370450591668124</v>
      </c>
      <c r="CO31" s="100">
        <v>3875.0495616404969</v>
      </c>
      <c r="CP31" s="100">
        <v>8.5917377180017051E-4</v>
      </c>
      <c r="CQ31" s="100">
        <v>0.29280642142949814</v>
      </c>
      <c r="CR31" s="100">
        <v>10</v>
      </c>
      <c r="CS31" s="100">
        <v>3408</v>
      </c>
      <c r="CT31" s="100">
        <v>15</v>
      </c>
      <c r="CU31" s="100">
        <v>5112</v>
      </c>
    </row>
    <row r="32" spans="2:99">
      <c r="C32" s="99" t="s">
        <v>198</v>
      </c>
      <c r="D32" s="100">
        <v>6.7317304187049389</v>
      </c>
      <c r="E32" s="100">
        <v>5654.6535517121483</v>
      </c>
      <c r="F32" s="100">
        <v>8.0003446157016569</v>
      </c>
      <c r="G32" s="100">
        <v>6720.2894771893916</v>
      </c>
      <c r="H32" s="100">
        <v>2.669973561390202</v>
      </c>
      <c r="I32" s="100">
        <v>2242.7777915677698</v>
      </c>
      <c r="J32" s="100">
        <v>11</v>
      </c>
      <c r="K32" s="100">
        <v>9240</v>
      </c>
      <c r="L32" s="100">
        <v>13</v>
      </c>
      <c r="M32" s="100">
        <v>10920</v>
      </c>
      <c r="N32" s="100">
        <v>12</v>
      </c>
      <c r="O32" s="100">
        <v>10080</v>
      </c>
      <c r="P32" s="100">
        <v>10</v>
      </c>
      <c r="Q32" s="100">
        <v>8400</v>
      </c>
      <c r="R32" s="100">
        <v>8</v>
      </c>
      <c r="S32" s="100">
        <v>6720</v>
      </c>
      <c r="T32" s="100">
        <v>7</v>
      </c>
      <c r="U32" s="100">
        <v>5880</v>
      </c>
      <c r="V32" s="100">
        <v>11</v>
      </c>
      <c r="W32" s="100">
        <v>9240</v>
      </c>
      <c r="X32" s="100">
        <v>7.6942998488155725</v>
      </c>
      <c r="Y32" s="100">
        <v>6463.2118730050806</v>
      </c>
      <c r="Z32" s="100">
        <v>12</v>
      </c>
      <c r="AA32" s="100">
        <v>10080</v>
      </c>
      <c r="AB32" s="100">
        <v>11</v>
      </c>
      <c r="AC32" s="100">
        <v>9240</v>
      </c>
      <c r="AD32" s="100">
        <v>13.222776410119696</v>
      </c>
      <c r="AE32" s="100">
        <v>11107.132184500544</v>
      </c>
      <c r="AF32" s="100">
        <v>8.5903740871787573</v>
      </c>
      <c r="AG32" s="100">
        <v>7215.9142332301562</v>
      </c>
      <c r="AH32" s="100">
        <v>9.2901658902817221</v>
      </c>
      <c r="AI32" s="100">
        <v>7803.7393478366466</v>
      </c>
      <c r="AJ32" s="100">
        <v>11.519119662475978</v>
      </c>
      <c r="AK32" s="100">
        <v>9676.0605164798217</v>
      </c>
      <c r="AL32" s="100">
        <v>2.548594069345385</v>
      </c>
      <c r="AM32" s="100">
        <v>2140.8190182501235</v>
      </c>
      <c r="AN32" s="100">
        <v>9.0810219940882249</v>
      </c>
      <c r="AO32" s="100">
        <v>7628.0584750341086</v>
      </c>
      <c r="AP32" s="100">
        <v>9.5746071256894378</v>
      </c>
      <c r="AQ32" s="100">
        <v>8042.6699855791276</v>
      </c>
      <c r="AR32" s="100">
        <v>6.32807105673509</v>
      </c>
      <c r="AS32" s="100">
        <v>5315.5796876574759</v>
      </c>
      <c r="AT32" s="100">
        <v>7.6875198843790013E-4</v>
      </c>
      <c r="AU32" s="100">
        <v>0.64575167028783609</v>
      </c>
      <c r="AV32" s="100">
        <v>12</v>
      </c>
      <c r="AW32" s="100">
        <v>10080</v>
      </c>
      <c r="AX32" s="100">
        <v>14</v>
      </c>
      <c r="AY32" s="100">
        <v>11760</v>
      </c>
      <c r="AZ32" s="100">
        <v>8</v>
      </c>
      <c r="BA32" s="100">
        <v>6720</v>
      </c>
      <c r="BB32" s="100">
        <v>11</v>
      </c>
      <c r="BC32" s="100">
        <v>9240</v>
      </c>
      <c r="BD32" s="100">
        <v>9.1797729316855126</v>
      </c>
      <c r="BE32" s="100">
        <v>7711.0092626158303</v>
      </c>
      <c r="BF32" s="100">
        <v>12</v>
      </c>
      <c r="BG32" s="100">
        <v>10080</v>
      </c>
      <c r="BH32" s="100">
        <v>14.294249789223537</v>
      </c>
      <c r="BI32" s="100">
        <v>12007.169822947772</v>
      </c>
      <c r="BJ32" s="100">
        <v>8.2259053810055516</v>
      </c>
      <c r="BK32" s="100">
        <v>6909.7605200446633</v>
      </c>
      <c r="BL32" s="100">
        <v>8</v>
      </c>
      <c r="BM32" s="100">
        <v>6720</v>
      </c>
      <c r="BN32" s="100">
        <v>11.533501654816046</v>
      </c>
      <c r="BO32" s="100">
        <v>9688.1413900454791</v>
      </c>
      <c r="BP32" s="100">
        <v>10.936364256727432</v>
      </c>
      <c r="BQ32" s="100">
        <v>9186.5459756510427</v>
      </c>
      <c r="BR32" s="100">
        <v>9</v>
      </c>
      <c r="BS32" s="100">
        <v>7560</v>
      </c>
      <c r="BT32" s="100">
        <v>11</v>
      </c>
      <c r="BU32" s="100">
        <v>9240</v>
      </c>
      <c r="BV32" s="100">
        <v>10.714730148282591</v>
      </c>
      <c r="BW32" s="100">
        <v>9000.3733245573767</v>
      </c>
      <c r="BX32" s="100">
        <v>7.3224914144672528</v>
      </c>
      <c r="BY32" s="100">
        <v>6150.8927881524924</v>
      </c>
      <c r="BZ32" s="100">
        <v>9.0387698936589917E-4</v>
      </c>
      <c r="CA32" s="100">
        <v>0.75925667106735528</v>
      </c>
      <c r="CB32" s="100">
        <v>3.0931586236204107</v>
      </c>
      <c r="CC32" s="100">
        <v>2598.2532438411449</v>
      </c>
      <c r="CD32" s="100">
        <v>10.292249363873454</v>
      </c>
      <c r="CE32" s="100">
        <v>8645.4894656537017</v>
      </c>
      <c r="CF32" s="100">
        <v>11</v>
      </c>
      <c r="CG32" s="100">
        <v>9240</v>
      </c>
      <c r="CH32" s="100">
        <v>15</v>
      </c>
      <c r="CI32" s="100">
        <v>12600</v>
      </c>
      <c r="CJ32" s="100">
        <v>11</v>
      </c>
      <c r="CK32" s="100">
        <v>9240</v>
      </c>
      <c r="CL32" s="100">
        <v>10</v>
      </c>
      <c r="CM32" s="100">
        <v>8400</v>
      </c>
      <c r="CN32" s="100">
        <v>10.527969120988971</v>
      </c>
      <c r="CO32" s="100">
        <v>8843.4940616307358</v>
      </c>
      <c r="CP32" s="100">
        <v>8.018955203468258E-4</v>
      </c>
      <c r="CQ32" s="100">
        <v>0.67359223709133365</v>
      </c>
      <c r="CR32" s="100">
        <v>11</v>
      </c>
      <c r="CS32" s="100">
        <v>9240</v>
      </c>
      <c r="CT32" s="100">
        <v>12</v>
      </c>
      <c r="CU32" s="100">
        <v>10080</v>
      </c>
    </row>
    <row r="33" spans="2:99">
      <c r="C33" s="99" t="s">
        <v>199</v>
      </c>
      <c r="D33" s="100">
        <v>7.1987589455056797</v>
      </c>
      <c r="E33" s="100">
        <v>3412.2117401696923</v>
      </c>
      <c r="F33" s="100">
        <v>7.9690648048183288</v>
      </c>
      <c r="G33" s="100">
        <v>3777.3367174838877</v>
      </c>
      <c r="H33" s="100">
        <v>2.669973561390202</v>
      </c>
      <c r="I33" s="100">
        <v>1265.5674680989557</v>
      </c>
      <c r="J33" s="100">
        <v>12</v>
      </c>
      <c r="K33" s="100">
        <v>5688</v>
      </c>
      <c r="L33" s="100">
        <v>12</v>
      </c>
      <c r="M33" s="100">
        <v>5688</v>
      </c>
      <c r="N33" s="100">
        <v>13</v>
      </c>
      <c r="O33" s="100">
        <v>6162</v>
      </c>
      <c r="P33" s="100">
        <v>12</v>
      </c>
      <c r="Q33" s="100">
        <v>5688</v>
      </c>
      <c r="R33" s="100">
        <v>9</v>
      </c>
      <c r="S33" s="100">
        <v>4266</v>
      </c>
      <c r="T33" s="100">
        <v>7</v>
      </c>
      <c r="U33" s="100">
        <v>3318</v>
      </c>
      <c r="V33" s="100">
        <v>11</v>
      </c>
      <c r="W33" s="100">
        <v>5214</v>
      </c>
      <c r="X33" s="100">
        <v>8.644707002471602</v>
      </c>
      <c r="Y33" s="100">
        <v>4097.5911191715395</v>
      </c>
      <c r="Z33" s="100">
        <v>12</v>
      </c>
      <c r="AA33" s="100">
        <v>5688</v>
      </c>
      <c r="AB33" s="100">
        <v>11</v>
      </c>
      <c r="AC33" s="100">
        <v>5214</v>
      </c>
      <c r="AD33" s="100">
        <v>14.243028811039668</v>
      </c>
      <c r="AE33" s="100">
        <v>6751.1956564328029</v>
      </c>
      <c r="AF33" s="100">
        <v>8.5903740871787573</v>
      </c>
      <c r="AG33" s="100">
        <v>4071.837317322731</v>
      </c>
      <c r="AH33" s="100">
        <v>9.2901658902817221</v>
      </c>
      <c r="AI33" s="100">
        <v>4403.538631993536</v>
      </c>
      <c r="AJ33" s="100">
        <v>11.519119662475978</v>
      </c>
      <c r="AK33" s="100">
        <v>5460.0627200136132</v>
      </c>
      <c r="AL33" s="100">
        <v>2.8671683280135585</v>
      </c>
      <c r="AM33" s="100">
        <v>1359.0377874784267</v>
      </c>
      <c r="AN33" s="100">
        <v>9.9065694480962438</v>
      </c>
      <c r="AO33" s="100">
        <v>4695.7139183976196</v>
      </c>
      <c r="AP33" s="100">
        <v>9.6606576837012703</v>
      </c>
      <c r="AQ33" s="100">
        <v>4579.1517420744021</v>
      </c>
      <c r="AR33" s="100">
        <v>5.5370621746432036</v>
      </c>
      <c r="AS33" s="100">
        <v>2624.5674707808785</v>
      </c>
      <c r="AT33" s="100">
        <v>7.046893227347417E-4</v>
      </c>
      <c r="AU33" s="100">
        <v>0.33402273897626755</v>
      </c>
      <c r="AV33" s="100">
        <v>12</v>
      </c>
      <c r="AW33" s="100">
        <v>5688</v>
      </c>
      <c r="AX33" s="100">
        <v>14</v>
      </c>
      <c r="AY33" s="100">
        <v>6636</v>
      </c>
      <c r="AZ33" s="100">
        <v>8</v>
      </c>
      <c r="BA33" s="100">
        <v>3792</v>
      </c>
      <c r="BB33" s="100">
        <v>10</v>
      </c>
      <c r="BC33" s="100">
        <v>4740</v>
      </c>
      <c r="BD33" s="100">
        <v>10.179772931685513</v>
      </c>
      <c r="BE33" s="100">
        <v>4825.2123696189328</v>
      </c>
      <c r="BF33" s="100">
        <v>14</v>
      </c>
      <c r="BG33" s="100">
        <v>6636</v>
      </c>
      <c r="BH33" s="100">
        <v>14.294249789223537</v>
      </c>
      <c r="BI33" s="100">
        <v>6775.4744000919563</v>
      </c>
      <c r="BJ33" s="100">
        <v>9.0484959191061058</v>
      </c>
      <c r="BK33" s="100">
        <v>4288.9870656562944</v>
      </c>
      <c r="BL33" s="100">
        <v>8</v>
      </c>
      <c r="BM33" s="100">
        <v>3792</v>
      </c>
      <c r="BN33" s="100">
        <v>10.709680108043472</v>
      </c>
      <c r="BO33" s="100">
        <v>5076.3883712126053</v>
      </c>
      <c r="BP33" s="100">
        <v>10.936364256727432</v>
      </c>
      <c r="BQ33" s="100">
        <v>5183.8366576888029</v>
      </c>
      <c r="BR33" s="100">
        <v>8</v>
      </c>
      <c r="BS33" s="100">
        <v>3792</v>
      </c>
      <c r="BT33" s="100">
        <v>14</v>
      </c>
      <c r="BU33" s="100">
        <v>6636</v>
      </c>
      <c r="BV33" s="100">
        <v>11.678710328334633</v>
      </c>
      <c r="BW33" s="100">
        <v>5535.7086956306157</v>
      </c>
      <c r="BX33" s="100">
        <v>8.2378028412756592</v>
      </c>
      <c r="BY33" s="100">
        <v>3904.7185467646623</v>
      </c>
      <c r="BZ33" s="100">
        <v>8.4865698906790097E-4</v>
      </c>
      <c r="CA33" s="100">
        <v>0.40226341281818506</v>
      </c>
      <c r="CB33" s="100">
        <v>3.088977326394851</v>
      </c>
      <c r="CC33" s="100">
        <v>1464.1752527111594</v>
      </c>
      <c r="CD33" s="100">
        <v>9.5570886950253495</v>
      </c>
      <c r="CE33" s="100">
        <v>4530.060041442016</v>
      </c>
      <c r="CF33" s="100">
        <v>11</v>
      </c>
      <c r="CG33" s="100">
        <v>5214</v>
      </c>
      <c r="CH33" s="100">
        <v>15</v>
      </c>
      <c r="CI33" s="100">
        <v>7110</v>
      </c>
      <c r="CJ33" s="100">
        <v>10</v>
      </c>
      <c r="CK33" s="100">
        <v>4740</v>
      </c>
      <c r="CL33" s="100">
        <v>10</v>
      </c>
      <c r="CM33" s="100">
        <v>4740</v>
      </c>
      <c r="CN33" s="100">
        <v>12.118645396160607</v>
      </c>
      <c r="CO33" s="100">
        <v>5744.2379177801276</v>
      </c>
      <c r="CP33" s="100">
        <v>8.018955203468258E-4</v>
      </c>
      <c r="CQ33" s="100">
        <v>0.38009847664439544</v>
      </c>
      <c r="CR33" s="100">
        <v>11</v>
      </c>
      <c r="CS33" s="100">
        <v>5214</v>
      </c>
      <c r="CT33" s="100">
        <v>14.262549918984964</v>
      </c>
      <c r="CU33" s="100">
        <v>6760.4486615988735</v>
      </c>
    </row>
    <row r="34" spans="2:99">
      <c r="C34" s="99" t="s">
        <v>200</v>
      </c>
      <c r="D34" s="100">
        <v>6.264701891904199</v>
      </c>
      <c r="E34" s="100">
        <v>3435.5625175202626</v>
      </c>
      <c r="F34" s="100">
        <v>9.6287509894150105</v>
      </c>
      <c r="G34" s="100">
        <v>5280.4070425951913</v>
      </c>
      <c r="H34" s="100">
        <v>2.4474757646076855</v>
      </c>
      <c r="I34" s="100">
        <v>1342.1957093108547</v>
      </c>
      <c r="J34" s="100">
        <v>11</v>
      </c>
      <c r="K34" s="100">
        <v>6032.4</v>
      </c>
      <c r="L34" s="100">
        <v>12</v>
      </c>
      <c r="M34" s="100">
        <v>6580.7999999999993</v>
      </c>
      <c r="N34" s="100">
        <v>13</v>
      </c>
      <c r="O34" s="100">
        <v>7129.2</v>
      </c>
      <c r="P34" s="100">
        <v>12</v>
      </c>
      <c r="Q34" s="100">
        <v>6580.7999999999993</v>
      </c>
      <c r="R34" s="100">
        <v>9</v>
      </c>
      <c r="S34" s="100">
        <v>4935.5999999999995</v>
      </c>
      <c r="T34" s="100">
        <v>8</v>
      </c>
      <c r="U34" s="100">
        <v>4387.2</v>
      </c>
      <c r="V34" s="100">
        <v>12</v>
      </c>
      <c r="W34" s="100">
        <v>6580.7999999999993</v>
      </c>
      <c r="X34" s="100">
        <v>8.644707002471602</v>
      </c>
      <c r="Y34" s="100">
        <v>4740.757320155426</v>
      </c>
      <c r="Z34" s="100">
        <v>11</v>
      </c>
      <c r="AA34" s="100">
        <v>6032.4</v>
      </c>
      <c r="AB34" s="100">
        <v>9</v>
      </c>
      <c r="AC34" s="100">
        <v>4935.5999999999995</v>
      </c>
      <c r="AD34" s="100">
        <v>12.283533612879614</v>
      </c>
      <c r="AE34" s="100">
        <v>6736.2898333031799</v>
      </c>
      <c r="AF34" s="100">
        <v>8.5903740871787573</v>
      </c>
      <c r="AG34" s="100">
        <v>4710.9611494088304</v>
      </c>
      <c r="AH34" s="100">
        <v>7.962999334527189</v>
      </c>
      <c r="AI34" s="100">
        <v>4366.9088350547099</v>
      </c>
      <c r="AJ34" s="100">
        <v>11.613505055653428</v>
      </c>
      <c r="AK34" s="100">
        <v>6368.8461725203397</v>
      </c>
      <c r="AL34" s="100">
        <v>2.548594069345385</v>
      </c>
      <c r="AM34" s="100">
        <v>1397.6489876290091</v>
      </c>
      <c r="AN34" s="100">
        <v>11.557664356112285</v>
      </c>
      <c r="AO34" s="100">
        <v>6338.223132891977</v>
      </c>
      <c r="AP34" s="100">
        <v>10.300083243305057</v>
      </c>
      <c r="AQ34" s="100">
        <v>5648.5656506284931</v>
      </c>
      <c r="AR34" s="100">
        <v>6.32807105673509</v>
      </c>
      <c r="AS34" s="100">
        <v>3470.314167513523</v>
      </c>
      <c r="AT34" s="100">
        <v>7.046893227347417E-4</v>
      </c>
      <c r="AU34" s="100">
        <v>0.38645162458773236</v>
      </c>
      <c r="AV34" s="100">
        <v>11</v>
      </c>
      <c r="AW34" s="100">
        <v>6032.4</v>
      </c>
      <c r="AX34" s="100">
        <v>15</v>
      </c>
      <c r="AY34" s="100">
        <v>8226</v>
      </c>
      <c r="AZ34" s="100">
        <v>8</v>
      </c>
      <c r="BA34" s="100">
        <v>4387.2</v>
      </c>
      <c r="BB34" s="100">
        <v>11</v>
      </c>
      <c r="BC34" s="100">
        <v>6032.4</v>
      </c>
      <c r="BD34" s="100">
        <v>10.163429937895922</v>
      </c>
      <c r="BE34" s="100">
        <v>5573.6249779421232</v>
      </c>
      <c r="BF34" s="100">
        <v>12</v>
      </c>
      <c r="BG34" s="100">
        <v>6580.7999999999993</v>
      </c>
      <c r="BH34" s="100">
        <v>15.315267631310933</v>
      </c>
      <c r="BI34" s="100">
        <v>8398.8927690109158</v>
      </c>
      <c r="BJ34" s="100">
        <v>8.2259053810055516</v>
      </c>
      <c r="BK34" s="100">
        <v>4511.0865109434444</v>
      </c>
      <c r="BL34" s="100">
        <v>8</v>
      </c>
      <c r="BM34" s="100">
        <v>4387.2</v>
      </c>
      <c r="BN34" s="100">
        <v>10.709680108043472</v>
      </c>
      <c r="BO34" s="100">
        <v>5873.1885712510393</v>
      </c>
      <c r="BP34" s="100">
        <v>10.936364256727432</v>
      </c>
      <c r="BQ34" s="100">
        <v>5997.5021583893231</v>
      </c>
      <c r="BR34" s="100">
        <v>9</v>
      </c>
      <c r="BS34" s="100">
        <v>4935.5999999999995</v>
      </c>
      <c r="BT34" s="100">
        <v>13</v>
      </c>
      <c r="BU34" s="100">
        <v>7129.2</v>
      </c>
      <c r="BV34" s="100">
        <v>11.678710328334633</v>
      </c>
      <c r="BW34" s="100">
        <v>6404.6047440587126</v>
      </c>
      <c r="BX34" s="100">
        <v>7.3224914144672528</v>
      </c>
      <c r="BY34" s="100">
        <v>4015.6542916938411</v>
      </c>
      <c r="BZ34" s="100">
        <v>9.6367741299092317E-4</v>
      </c>
      <c r="CA34" s="100">
        <v>0.5284806932842222</v>
      </c>
      <c r="CB34" s="100">
        <v>3.277073118839176</v>
      </c>
      <c r="CC34" s="100">
        <v>1797.1468983714039</v>
      </c>
      <c r="CD34" s="100">
        <v>9.5570886950253495</v>
      </c>
      <c r="CE34" s="100">
        <v>5241.1074403519015</v>
      </c>
      <c r="CF34" s="100">
        <v>10</v>
      </c>
      <c r="CG34" s="100">
        <v>5484</v>
      </c>
      <c r="CH34" s="100">
        <v>13</v>
      </c>
      <c r="CI34" s="100">
        <v>7129.2</v>
      </c>
      <c r="CJ34" s="100">
        <v>12</v>
      </c>
      <c r="CK34" s="100">
        <v>6580.7999999999993</v>
      </c>
      <c r="CL34" s="100">
        <v>10</v>
      </c>
      <c r="CM34" s="100">
        <v>5484</v>
      </c>
      <c r="CN34" s="100">
        <v>10.598684120628972</v>
      </c>
      <c r="CO34" s="100">
        <v>5812.3183717529282</v>
      </c>
      <c r="CP34" s="100">
        <v>8.018955203468258E-4</v>
      </c>
      <c r="CQ34" s="100">
        <v>0.43975950335819924</v>
      </c>
      <c r="CR34" s="100">
        <v>10</v>
      </c>
      <c r="CS34" s="100">
        <v>5484</v>
      </c>
      <c r="CT34" s="100">
        <v>13</v>
      </c>
      <c r="CU34" s="100">
        <v>7129.2</v>
      </c>
    </row>
    <row r="35" spans="2:99">
      <c r="C35" s="99" t="s">
        <v>201</v>
      </c>
      <c r="D35" s="100">
        <v>6.1499115848292973</v>
      </c>
      <c r="E35" s="100">
        <v>3092.1755448521699</v>
      </c>
      <c r="F35" s="100">
        <v>8.7989078971166705</v>
      </c>
      <c r="G35" s="100">
        <v>4424.0908906702607</v>
      </c>
      <c r="H35" s="100">
        <v>2.8924713581727191</v>
      </c>
      <c r="I35" s="100">
        <v>1454.3345988892429</v>
      </c>
      <c r="J35" s="100">
        <v>12</v>
      </c>
      <c r="K35" s="100">
        <v>6033.5999999999985</v>
      </c>
      <c r="L35" s="100">
        <v>13</v>
      </c>
      <c r="M35" s="100">
        <v>6536.3999999999987</v>
      </c>
      <c r="N35" s="100">
        <v>12</v>
      </c>
      <c r="O35" s="100">
        <v>6033.5999999999985</v>
      </c>
      <c r="P35" s="100">
        <v>12</v>
      </c>
      <c r="Q35" s="100">
        <v>6033.5999999999985</v>
      </c>
      <c r="R35" s="100">
        <v>9</v>
      </c>
      <c r="S35" s="100">
        <v>4525.1999999999989</v>
      </c>
      <c r="T35" s="100">
        <v>8</v>
      </c>
      <c r="U35" s="100">
        <v>4022.3999999999992</v>
      </c>
      <c r="V35" s="100">
        <v>12</v>
      </c>
      <c r="W35" s="100">
        <v>6033.5999999999985</v>
      </c>
      <c r="X35" s="100">
        <v>9.644707002471602</v>
      </c>
      <c r="Y35" s="100">
        <v>4849.3586808427208</v>
      </c>
      <c r="Z35" s="100">
        <v>11</v>
      </c>
      <c r="AA35" s="100">
        <v>5530.7999999999993</v>
      </c>
      <c r="AB35" s="100">
        <v>11</v>
      </c>
      <c r="AC35" s="100">
        <v>5530.7999999999993</v>
      </c>
      <c r="AD35" s="100">
        <v>13.26328121195964</v>
      </c>
      <c r="AE35" s="100">
        <v>6668.7777933733059</v>
      </c>
      <c r="AF35" s="100">
        <v>9.5903740871787573</v>
      </c>
      <c r="AG35" s="100">
        <v>4822.0400910334783</v>
      </c>
      <c r="AH35" s="100">
        <v>9.2901658902817221</v>
      </c>
      <c r="AI35" s="100">
        <v>4671.0954096336491</v>
      </c>
      <c r="AJ35" s="100">
        <v>12.566312359064703</v>
      </c>
      <c r="AK35" s="100">
        <v>6318.3418541377314</v>
      </c>
      <c r="AL35" s="100">
        <v>2.548594069345385</v>
      </c>
      <c r="AM35" s="100">
        <v>1281.4330980668594</v>
      </c>
      <c r="AN35" s="100">
        <v>11.557664356112285</v>
      </c>
      <c r="AO35" s="100">
        <v>5811.1936382532558</v>
      </c>
      <c r="AP35" s="100">
        <v>8.906498046748375</v>
      </c>
      <c r="AQ35" s="100">
        <v>4478.1872179050824</v>
      </c>
      <c r="AR35" s="100">
        <v>5.5370621746432036</v>
      </c>
      <c r="AS35" s="100">
        <v>2784.0348614106024</v>
      </c>
      <c r="AT35" s="100">
        <v>7.046893227347417E-4</v>
      </c>
      <c r="AU35" s="100">
        <v>0.35431779147102804</v>
      </c>
      <c r="AV35" s="100">
        <v>11</v>
      </c>
      <c r="AW35" s="100">
        <v>5530.7999999999993</v>
      </c>
      <c r="AX35" s="100">
        <v>14</v>
      </c>
      <c r="AY35" s="100">
        <v>7039.1999999999989</v>
      </c>
      <c r="AZ35" s="100">
        <v>7</v>
      </c>
      <c r="BA35" s="100">
        <v>3519.5999999999995</v>
      </c>
      <c r="BB35" s="100">
        <v>11</v>
      </c>
      <c r="BC35" s="100">
        <v>5530.7999999999993</v>
      </c>
      <c r="BD35" s="100">
        <v>10.196115925475105</v>
      </c>
      <c r="BE35" s="100">
        <v>5126.6070873288818</v>
      </c>
      <c r="BF35" s="100">
        <v>13</v>
      </c>
      <c r="BG35" s="100">
        <v>6536.3999999999987</v>
      </c>
      <c r="BH35" s="100">
        <v>14.336285473398327</v>
      </c>
      <c r="BI35" s="100">
        <v>7208.284336024677</v>
      </c>
      <c r="BJ35" s="100">
        <v>9.0484959191061058</v>
      </c>
      <c r="BK35" s="100">
        <v>4549.5837481265489</v>
      </c>
      <c r="BL35" s="100">
        <v>9</v>
      </c>
      <c r="BM35" s="100">
        <v>4525.1999999999989</v>
      </c>
      <c r="BN35" s="100">
        <v>11.533501654816046</v>
      </c>
      <c r="BO35" s="100">
        <v>5799.0446320415067</v>
      </c>
      <c r="BP35" s="100">
        <v>11.619887022772897</v>
      </c>
      <c r="BQ35" s="100">
        <v>5842.4791950502113</v>
      </c>
      <c r="BR35" s="100">
        <v>10</v>
      </c>
      <c r="BS35" s="100">
        <v>5027.9999999999991</v>
      </c>
      <c r="BT35" s="100">
        <v>13</v>
      </c>
      <c r="BU35" s="100">
        <v>6536.3999999999987</v>
      </c>
      <c r="BV35" s="100">
        <v>10.714730148282591</v>
      </c>
      <c r="BW35" s="100">
        <v>5387.3663185564856</v>
      </c>
      <c r="BX35" s="100">
        <v>8.2378028412756592</v>
      </c>
      <c r="BY35" s="100">
        <v>4141.9672685934011</v>
      </c>
      <c r="BZ35" s="100">
        <v>8.4636677740438802E-4</v>
      </c>
      <c r="CA35" s="100">
        <v>0.42555321567892623</v>
      </c>
      <c r="CB35" s="100">
        <v>3.1015212180715319</v>
      </c>
      <c r="CC35" s="100">
        <v>1559.4448684463659</v>
      </c>
      <c r="CD35" s="100">
        <v>9.5570886950253495</v>
      </c>
      <c r="CE35" s="100">
        <v>4805.3041958587446</v>
      </c>
      <c r="CF35" s="100">
        <v>10</v>
      </c>
      <c r="CG35" s="100">
        <v>5027.9999999999991</v>
      </c>
      <c r="CH35" s="100">
        <v>14</v>
      </c>
      <c r="CI35" s="100">
        <v>7039.1999999999989</v>
      </c>
      <c r="CJ35" s="100">
        <v>11</v>
      </c>
      <c r="CK35" s="100">
        <v>5530.7999999999993</v>
      </c>
      <c r="CL35" s="100">
        <v>10</v>
      </c>
      <c r="CM35" s="100">
        <v>5027.9999999999991</v>
      </c>
      <c r="CN35" s="100">
        <v>11.346878925121457</v>
      </c>
      <c r="CO35" s="100">
        <v>5705.2107235510675</v>
      </c>
      <c r="CP35" s="100">
        <v>8.5917377180017051E-4</v>
      </c>
      <c r="CQ35" s="100">
        <v>0.43199257246112566</v>
      </c>
      <c r="CR35" s="100">
        <v>12</v>
      </c>
      <c r="CS35" s="100">
        <v>6033.5999999999985</v>
      </c>
      <c r="CT35" s="100">
        <v>13</v>
      </c>
      <c r="CU35" s="100">
        <v>6536.3999999999987</v>
      </c>
    </row>
    <row r="36" spans="2:99">
      <c r="C36" s="99" t="s">
        <v>202</v>
      </c>
      <c r="D36" s="100">
        <v>6.264701891904199</v>
      </c>
      <c r="E36" s="100">
        <v>4766.1851993607143</v>
      </c>
      <c r="F36" s="100">
        <v>8.7989078971166705</v>
      </c>
      <c r="G36" s="100">
        <v>6694.2091281263629</v>
      </c>
      <c r="H36" s="100">
        <v>2.669973561390202</v>
      </c>
      <c r="I36" s="100">
        <v>2031.3158855056656</v>
      </c>
      <c r="J36" s="100">
        <v>12</v>
      </c>
      <c r="K36" s="100">
        <v>9129.5999999999985</v>
      </c>
      <c r="L36" s="100">
        <v>13</v>
      </c>
      <c r="M36" s="100">
        <v>9890.4</v>
      </c>
      <c r="N36" s="100">
        <v>13</v>
      </c>
      <c r="O36" s="100">
        <v>9890.4</v>
      </c>
      <c r="P36" s="100">
        <v>11</v>
      </c>
      <c r="Q36" s="100">
        <v>8368.7999999999993</v>
      </c>
      <c r="R36" s="100">
        <v>9</v>
      </c>
      <c r="S36" s="100">
        <v>6847.2</v>
      </c>
      <c r="T36" s="100">
        <v>7</v>
      </c>
      <c r="U36" s="100">
        <v>5325.5999999999995</v>
      </c>
      <c r="V36" s="100">
        <v>11</v>
      </c>
      <c r="W36" s="100">
        <v>8368.7999999999993</v>
      </c>
      <c r="X36" s="100">
        <v>7.6942998488155725</v>
      </c>
      <c r="Y36" s="100">
        <v>5853.8233249788873</v>
      </c>
      <c r="Z36" s="100">
        <v>10</v>
      </c>
      <c r="AA36" s="100">
        <v>7608</v>
      </c>
      <c r="AB36" s="100">
        <v>10</v>
      </c>
      <c r="AC36" s="100">
        <v>7608</v>
      </c>
      <c r="AD36" s="100">
        <v>12.26328121195964</v>
      </c>
      <c r="AE36" s="100">
        <v>9329.9043460588928</v>
      </c>
      <c r="AF36" s="100">
        <v>9.5060349318675055</v>
      </c>
      <c r="AG36" s="100">
        <v>7232.1913761647975</v>
      </c>
      <c r="AH36" s="100">
        <v>9.2901658902817221</v>
      </c>
      <c r="AI36" s="100">
        <v>7067.9582093263334</v>
      </c>
      <c r="AJ36" s="100">
        <v>12.566312359064703</v>
      </c>
      <c r="AK36" s="100">
        <v>9560.4504427764259</v>
      </c>
      <c r="AL36" s="100">
        <v>2.8671683280135585</v>
      </c>
      <c r="AM36" s="100">
        <v>2181.341663952715</v>
      </c>
      <c r="AN36" s="100">
        <v>10.732116902104265</v>
      </c>
      <c r="AO36" s="100">
        <v>8164.9945391209239</v>
      </c>
      <c r="AP36" s="100">
        <v>9.6606576837012703</v>
      </c>
      <c r="AQ36" s="100">
        <v>7349.8283657599259</v>
      </c>
      <c r="AR36" s="100">
        <v>6.32807105673509</v>
      </c>
      <c r="AS36" s="100">
        <v>4814.3964599640558</v>
      </c>
      <c r="AT36" s="100">
        <v>7.046893227347417E-4</v>
      </c>
      <c r="AU36" s="100">
        <v>0.53612763673659147</v>
      </c>
      <c r="AV36" s="100">
        <v>11</v>
      </c>
      <c r="AW36" s="100">
        <v>8368.7999999999993</v>
      </c>
      <c r="AX36" s="100">
        <v>13</v>
      </c>
      <c r="AY36" s="100">
        <v>9890.4</v>
      </c>
      <c r="AZ36" s="100">
        <v>9</v>
      </c>
      <c r="BA36" s="100">
        <v>6847.2</v>
      </c>
      <c r="BB36" s="100">
        <v>10</v>
      </c>
      <c r="BC36" s="100">
        <v>7608</v>
      </c>
      <c r="BD36" s="100">
        <v>11.196115925475105</v>
      </c>
      <c r="BE36" s="100">
        <v>8518.0049961014593</v>
      </c>
      <c r="BF36" s="100">
        <v>12</v>
      </c>
      <c r="BG36" s="100">
        <v>9129.5999999999985</v>
      </c>
      <c r="BH36" s="100">
        <v>14.294249789223537</v>
      </c>
      <c r="BI36" s="100">
        <v>10875.065239641266</v>
      </c>
      <c r="BJ36" s="100">
        <v>9.0484959191061058</v>
      </c>
      <c r="BK36" s="100">
        <v>6884.0956952559245</v>
      </c>
      <c r="BL36" s="100">
        <v>8</v>
      </c>
      <c r="BM36" s="100">
        <v>6086.4</v>
      </c>
      <c r="BN36" s="100">
        <v>9.8858585612708971</v>
      </c>
      <c r="BO36" s="100">
        <v>7521.1611934148978</v>
      </c>
      <c r="BP36" s="100">
        <v>10.252841490681968</v>
      </c>
      <c r="BQ36" s="100">
        <v>7800.3618061108409</v>
      </c>
      <c r="BR36" s="100">
        <v>9</v>
      </c>
      <c r="BS36" s="100">
        <v>6847.2</v>
      </c>
      <c r="BT36" s="100">
        <v>12</v>
      </c>
      <c r="BU36" s="100">
        <v>9129.5999999999985</v>
      </c>
      <c r="BV36" s="100">
        <v>10.714730148282591</v>
      </c>
      <c r="BW36" s="100">
        <v>8151.7666968133944</v>
      </c>
      <c r="BX36" s="100">
        <v>7.3224914144672528</v>
      </c>
      <c r="BY36" s="100">
        <v>5570.9514681266855</v>
      </c>
      <c r="BZ36" s="100">
        <v>9.0845741269292497E-4</v>
      </c>
      <c r="CA36" s="100">
        <v>0.69115439957677727</v>
      </c>
      <c r="CB36" s="100">
        <v>3.08479602916929</v>
      </c>
      <c r="CC36" s="100">
        <v>2346.9128189919957</v>
      </c>
      <c r="CD36" s="100">
        <v>9.5570886950253495</v>
      </c>
      <c r="CE36" s="100">
        <v>7271.0330791752858</v>
      </c>
      <c r="CF36" s="100">
        <v>11</v>
      </c>
      <c r="CG36" s="100">
        <v>8368.7999999999993</v>
      </c>
      <c r="CH36" s="100">
        <v>15</v>
      </c>
      <c r="CI36" s="100">
        <v>11412</v>
      </c>
      <c r="CJ36" s="100">
        <v>10</v>
      </c>
      <c r="CK36" s="100">
        <v>7608</v>
      </c>
      <c r="CL36" s="100">
        <v>10</v>
      </c>
      <c r="CM36" s="100">
        <v>7608</v>
      </c>
      <c r="CN36" s="100">
        <v>11.276163925481455</v>
      </c>
      <c r="CO36" s="100">
        <v>8578.9055145062903</v>
      </c>
      <c r="CP36" s="100">
        <v>7.4461726889348098E-4</v>
      </c>
      <c r="CQ36" s="100">
        <v>0.56650481817416032</v>
      </c>
      <c r="CR36" s="100">
        <v>11</v>
      </c>
      <c r="CS36" s="100">
        <v>8368.7999999999993</v>
      </c>
      <c r="CT36" s="100">
        <v>14</v>
      </c>
      <c r="CU36" s="100">
        <v>10651.199999999999</v>
      </c>
    </row>
    <row r="37" spans="2:99">
      <c r="B37" s="99" t="s">
        <v>128</v>
      </c>
      <c r="C37" s="99" t="s">
        <v>203</v>
      </c>
      <c r="D37" s="100">
        <v>3.3719068044616751</v>
      </c>
      <c r="E37" s="100">
        <v>2901.1886145588251</v>
      </c>
      <c r="F37" s="100">
        <v>5.4169759061566483</v>
      </c>
      <c r="G37" s="100">
        <v>4660.7660696571802</v>
      </c>
      <c r="H37" s="100">
        <v>2.0024801710426519</v>
      </c>
      <c r="I37" s="100">
        <v>1722.9339391650976</v>
      </c>
      <c r="J37" s="100">
        <v>7</v>
      </c>
      <c r="K37" s="100">
        <v>6022.8</v>
      </c>
      <c r="L37" s="100">
        <v>7</v>
      </c>
      <c r="M37" s="100">
        <v>6022.8</v>
      </c>
      <c r="N37" s="100">
        <v>10</v>
      </c>
      <c r="O37" s="100">
        <v>8604</v>
      </c>
      <c r="P37" s="100">
        <v>5</v>
      </c>
      <c r="Q37" s="100">
        <v>4302</v>
      </c>
      <c r="R37" s="100">
        <v>7</v>
      </c>
      <c r="S37" s="100">
        <v>6022.8</v>
      </c>
      <c r="T37" s="100">
        <v>6</v>
      </c>
      <c r="U37" s="100">
        <v>5162.3999999999996</v>
      </c>
      <c r="V37" s="100">
        <v>5</v>
      </c>
      <c r="W37" s="100">
        <v>4302</v>
      </c>
      <c r="X37" s="100">
        <v>7.4463356170957251</v>
      </c>
      <c r="Y37" s="100">
        <v>6406.8271649491617</v>
      </c>
      <c r="Z37" s="100">
        <v>7</v>
      </c>
      <c r="AA37" s="100">
        <v>6022.8</v>
      </c>
      <c r="AB37" s="100">
        <v>6</v>
      </c>
      <c r="AC37" s="100">
        <v>5162.3999999999996</v>
      </c>
      <c r="AD37" s="100">
        <v>5.1822716082797511</v>
      </c>
      <c r="AE37" s="100">
        <v>4458.826491763898</v>
      </c>
      <c r="AF37" s="100">
        <v>7.3795261989006296</v>
      </c>
      <c r="AG37" s="100">
        <v>6349.3443415341017</v>
      </c>
      <c r="AH37" s="100">
        <v>5.3086662230181263</v>
      </c>
      <c r="AI37" s="100">
        <v>4567.5764182847961</v>
      </c>
      <c r="AJ37" s="100">
        <v>6.4719269658872527</v>
      </c>
      <c r="AK37" s="100">
        <v>5568.4459614493917</v>
      </c>
      <c r="AL37" s="100">
        <v>2.548594069345385</v>
      </c>
      <c r="AM37" s="100">
        <v>2192.8103372647693</v>
      </c>
      <c r="AN37" s="100">
        <v>7.4299270860721842</v>
      </c>
      <c r="AO37" s="100">
        <v>6392.7092648565067</v>
      </c>
      <c r="AP37" s="100">
        <v>5.9472265376113427</v>
      </c>
      <c r="AQ37" s="100">
        <v>5116.9937129607988</v>
      </c>
      <c r="AR37" s="100">
        <v>6.32807105673509</v>
      </c>
      <c r="AS37" s="100">
        <v>5444.6723372148708</v>
      </c>
      <c r="AT37" s="100">
        <v>5.1250132562526672E-4</v>
      </c>
      <c r="AU37" s="100">
        <v>0.44095614056797949</v>
      </c>
      <c r="AV37" s="100">
        <v>7</v>
      </c>
      <c r="AW37" s="100">
        <v>6022.8</v>
      </c>
      <c r="AX37" s="100">
        <v>6</v>
      </c>
      <c r="AY37" s="100">
        <v>5162.3999999999996</v>
      </c>
      <c r="AZ37" s="100">
        <v>9</v>
      </c>
      <c r="BA37" s="100">
        <v>7743.5999999999995</v>
      </c>
      <c r="BB37" s="100">
        <v>8</v>
      </c>
      <c r="BC37" s="100">
        <v>6883.2</v>
      </c>
      <c r="BD37" s="100">
        <v>7.1797729316855134</v>
      </c>
      <c r="BE37" s="100">
        <v>6177.4766304222157</v>
      </c>
      <c r="BF37" s="100">
        <v>9</v>
      </c>
      <c r="BG37" s="100">
        <v>7743.5999999999995</v>
      </c>
      <c r="BH37" s="100">
        <v>6.2101784208739552</v>
      </c>
      <c r="BI37" s="100">
        <v>5343.2375133199512</v>
      </c>
      <c r="BJ37" s="100">
        <v>7.4033148429049964</v>
      </c>
      <c r="BK37" s="100">
        <v>6369.8120908354585</v>
      </c>
      <c r="BL37" s="100">
        <v>7</v>
      </c>
      <c r="BM37" s="100">
        <v>6022.8</v>
      </c>
      <c r="BN37" s="100">
        <v>4.1191077338628741</v>
      </c>
      <c r="BO37" s="100">
        <v>3544.080294215617</v>
      </c>
      <c r="BP37" s="100">
        <v>5.4681821283637158</v>
      </c>
      <c r="BQ37" s="100">
        <v>4704.8239032441406</v>
      </c>
      <c r="BR37" s="100">
        <v>10</v>
      </c>
      <c r="BS37" s="100">
        <v>8604</v>
      </c>
      <c r="BT37" s="100">
        <v>8</v>
      </c>
      <c r="BU37" s="100">
        <v>6883.2</v>
      </c>
      <c r="BV37" s="100">
        <v>4.9452600684381185</v>
      </c>
      <c r="BW37" s="100">
        <v>4254.9017628841566</v>
      </c>
      <c r="BX37" s="100">
        <v>5.4918685608504392</v>
      </c>
      <c r="BY37" s="100">
        <v>4725.2037097557177</v>
      </c>
      <c r="BZ37" s="100">
        <v>3.6796338840419581E-4</v>
      </c>
      <c r="CA37" s="100">
        <v>0.31659569938297005</v>
      </c>
      <c r="CB37" s="100">
        <v>1.542398014584645</v>
      </c>
      <c r="CC37" s="100">
        <v>1327.0792517486286</v>
      </c>
      <c r="CD37" s="100">
        <v>4.4109640130886234</v>
      </c>
      <c r="CE37" s="100">
        <v>3795.1934368614516</v>
      </c>
      <c r="CF37" s="100">
        <v>7</v>
      </c>
      <c r="CG37" s="100">
        <v>6022.8</v>
      </c>
      <c r="CH37" s="100">
        <v>9</v>
      </c>
      <c r="CI37" s="100">
        <v>7743.5999999999995</v>
      </c>
      <c r="CJ37" s="100">
        <v>8</v>
      </c>
      <c r="CK37" s="100">
        <v>6883.2</v>
      </c>
      <c r="CL37" s="100">
        <v>8</v>
      </c>
      <c r="CM37" s="100">
        <v>6883.2</v>
      </c>
      <c r="CN37" s="100">
        <v>4.1181206872090925</v>
      </c>
      <c r="CO37" s="100">
        <v>3543.2310392747031</v>
      </c>
      <c r="CP37" s="100">
        <v>4.009477601734129E-4</v>
      </c>
      <c r="CQ37" s="100">
        <v>0.34497545285320447</v>
      </c>
      <c r="CR37" s="100">
        <v>8</v>
      </c>
      <c r="CS37" s="100">
        <v>6883.2</v>
      </c>
      <c r="CT37" s="100">
        <v>9.1432090467190719</v>
      </c>
      <c r="CU37" s="100">
        <v>7866.8170637970888</v>
      </c>
    </row>
    <row r="38" spans="2:99">
      <c r="C38" s="99" t="s">
        <v>204</v>
      </c>
      <c r="D38" s="100">
        <v>3.3598236142432643</v>
      </c>
      <c r="E38" s="100">
        <v>4172.9009288901343</v>
      </c>
      <c r="F38" s="100">
        <v>6.2468189984549891</v>
      </c>
      <c r="G38" s="100">
        <v>7758.5491960810969</v>
      </c>
      <c r="H38" s="100">
        <v>2.0024801710426519</v>
      </c>
      <c r="I38" s="100">
        <v>2487.0803724349735</v>
      </c>
      <c r="J38" s="100">
        <v>7</v>
      </c>
      <c r="K38" s="100">
        <v>8694</v>
      </c>
      <c r="L38" s="100">
        <v>8</v>
      </c>
      <c r="M38" s="100">
        <v>9936</v>
      </c>
      <c r="N38" s="100">
        <v>8</v>
      </c>
      <c r="O38" s="100">
        <v>9936</v>
      </c>
      <c r="P38" s="100">
        <v>5</v>
      </c>
      <c r="Q38" s="100">
        <v>6210</v>
      </c>
      <c r="R38" s="100">
        <v>6</v>
      </c>
      <c r="S38" s="100">
        <v>7452</v>
      </c>
      <c r="T38" s="100">
        <v>6</v>
      </c>
      <c r="U38" s="100">
        <v>7452</v>
      </c>
      <c r="V38" s="100">
        <v>5</v>
      </c>
      <c r="W38" s="100">
        <v>6210</v>
      </c>
      <c r="X38" s="100">
        <v>8.3967427707517555</v>
      </c>
      <c r="Y38" s="100">
        <v>10428.75452127368</v>
      </c>
      <c r="Z38" s="100">
        <v>7</v>
      </c>
      <c r="AA38" s="100">
        <v>8694</v>
      </c>
      <c r="AB38" s="100">
        <v>7</v>
      </c>
      <c r="AC38" s="100">
        <v>8694</v>
      </c>
      <c r="AD38" s="100">
        <v>4.162019207359779</v>
      </c>
      <c r="AE38" s="100">
        <v>5169.2278555408457</v>
      </c>
      <c r="AF38" s="100">
        <v>7.4216957765562546</v>
      </c>
      <c r="AG38" s="100">
        <v>9217.7461544828675</v>
      </c>
      <c r="AH38" s="100">
        <v>4.6450829451408611</v>
      </c>
      <c r="AI38" s="100">
        <v>5769.1930178649491</v>
      </c>
      <c r="AJ38" s="100">
        <v>6.519119662475978</v>
      </c>
      <c r="AK38" s="100">
        <v>8096.7466207951647</v>
      </c>
      <c r="AL38" s="100">
        <v>2.230019810677212</v>
      </c>
      <c r="AM38" s="100">
        <v>2769.6846048610973</v>
      </c>
      <c r="AN38" s="100">
        <v>6.6043796320641626</v>
      </c>
      <c r="AO38" s="100">
        <v>8202.639503023689</v>
      </c>
      <c r="AP38" s="100">
        <v>5.2217504199957236</v>
      </c>
      <c r="AQ38" s="100">
        <v>6485.4140216346887</v>
      </c>
      <c r="AR38" s="100">
        <v>5.5370621746432036</v>
      </c>
      <c r="AS38" s="100">
        <v>6877.0312209068588</v>
      </c>
      <c r="AT38" s="100">
        <v>5.1250132562526672E-4</v>
      </c>
      <c r="AU38" s="100">
        <v>0.6365266464265813</v>
      </c>
      <c r="AV38" s="100">
        <v>7</v>
      </c>
      <c r="AW38" s="100">
        <v>8694</v>
      </c>
      <c r="AX38" s="100">
        <v>6</v>
      </c>
      <c r="AY38" s="100">
        <v>7452</v>
      </c>
      <c r="AZ38" s="100">
        <v>8</v>
      </c>
      <c r="BA38" s="100">
        <v>9936</v>
      </c>
      <c r="BB38" s="100">
        <v>7</v>
      </c>
      <c r="BC38" s="100">
        <v>8694</v>
      </c>
      <c r="BD38" s="100">
        <v>7.1961159254751053</v>
      </c>
      <c r="BE38" s="100">
        <v>8937.5759794400801</v>
      </c>
      <c r="BF38" s="100">
        <v>9</v>
      </c>
      <c r="BG38" s="100">
        <v>11178</v>
      </c>
      <c r="BH38" s="100">
        <v>6.1891605787865593</v>
      </c>
      <c r="BI38" s="100">
        <v>7686.9374388529068</v>
      </c>
      <c r="BJ38" s="100">
        <v>6.5807243048044413</v>
      </c>
      <c r="BK38" s="100">
        <v>8173.2595865671165</v>
      </c>
      <c r="BL38" s="100">
        <v>8</v>
      </c>
      <c r="BM38" s="100">
        <v>9936</v>
      </c>
      <c r="BN38" s="100">
        <v>4.1191077338628741</v>
      </c>
      <c r="BO38" s="100">
        <v>5115.9318054576897</v>
      </c>
      <c r="BP38" s="100">
        <v>4.7846593623182514</v>
      </c>
      <c r="BQ38" s="100">
        <v>5942.5469279992685</v>
      </c>
      <c r="BR38" s="100">
        <v>9</v>
      </c>
      <c r="BS38" s="100">
        <v>11178</v>
      </c>
      <c r="BT38" s="100">
        <v>9</v>
      </c>
      <c r="BU38" s="100">
        <v>11178</v>
      </c>
      <c r="BV38" s="100">
        <v>4.9452600684381185</v>
      </c>
      <c r="BW38" s="100">
        <v>6142.0130050001435</v>
      </c>
      <c r="BX38" s="100">
        <v>6.4071799876588464</v>
      </c>
      <c r="BY38" s="100">
        <v>7957.7175446722877</v>
      </c>
      <c r="BZ38" s="100">
        <v>3.6796338840419581E-4</v>
      </c>
      <c r="CA38" s="100">
        <v>0.45701052839801121</v>
      </c>
      <c r="CB38" s="100">
        <v>1.3501209249147594</v>
      </c>
      <c r="CC38" s="100">
        <v>1676.8501887441312</v>
      </c>
      <c r="CD38" s="100">
        <v>4.4109640130886234</v>
      </c>
      <c r="CE38" s="100">
        <v>5478.4173042560706</v>
      </c>
      <c r="CF38" s="100">
        <v>7</v>
      </c>
      <c r="CG38" s="100">
        <v>8694</v>
      </c>
      <c r="CH38" s="100">
        <v>9</v>
      </c>
      <c r="CI38" s="100">
        <v>11178</v>
      </c>
      <c r="CJ38" s="100">
        <v>7</v>
      </c>
      <c r="CK38" s="100">
        <v>8694</v>
      </c>
      <c r="CL38" s="100">
        <v>7</v>
      </c>
      <c r="CM38" s="100">
        <v>8694</v>
      </c>
      <c r="CN38" s="100">
        <v>4.9134588247949118</v>
      </c>
      <c r="CO38" s="100">
        <v>6102.5158603952805</v>
      </c>
      <c r="CP38" s="100">
        <v>4.009477601734129E-4</v>
      </c>
      <c r="CQ38" s="100">
        <v>0.49797711813537882</v>
      </c>
      <c r="CR38" s="100">
        <v>8</v>
      </c>
      <c r="CS38" s="100">
        <v>9936</v>
      </c>
      <c r="CT38" s="100">
        <v>9.1312749594924831</v>
      </c>
      <c r="CU38" s="100">
        <v>11341.043499689664</v>
      </c>
    </row>
    <row r="39" spans="2:99">
      <c r="C39" s="99" t="s">
        <v>205</v>
      </c>
      <c r="D39" s="100">
        <v>3.3658652093524695</v>
      </c>
      <c r="E39" s="100">
        <v>4790.2993659504345</v>
      </c>
      <c r="F39" s="100">
        <v>5.3856960952733193</v>
      </c>
      <c r="G39" s="100">
        <v>7664.9226827929879</v>
      </c>
      <c r="H39" s="100">
        <v>2.0024801710426519</v>
      </c>
      <c r="I39" s="100">
        <v>2849.9297794279023</v>
      </c>
      <c r="J39" s="100">
        <v>7</v>
      </c>
      <c r="K39" s="100">
        <v>9962.4</v>
      </c>
      <c r="L39" s="100">
        <v>7</v>
      </c>
      <c r="M39" s="100">
        <v>9962.4</v>
      </c>
      <c r="N39" s="100">
        <v>10</v>
      </c>
      <c r="O39" s="100">
        <v>14232</v>
      </c>
      <c r="P39" s="100">
        <v>5</v>
      </c>
      <c r="Q39" s="100">
        <v>7116</v>
      </c>
      <c r="R39" s="100">
        <v>7</v>
      </c>
      <c r="S39" s="100">
        <v>9962.4</v>
      </c>
      <c r="T39" s="100">
        <v>5</v>
      </c>
      <c r="U39" s="100">
        <v>7116</v>
      </c>
      <c r="V39" s="100">
        <v>5</v>
      </c>
      <c r="W39" s="100">
        <v>7116</v>
      </c>
      <c r="X39" s="100">
        <v>7.3967427707517555</v>
      </c>
      <c r="Y39" s="100">
        <v>10527.044311333899</v>
      </c>
      <c r="Z39" s="100">
        <v>7</v>
      </c>
      <c r="AA39" s="100">
        <v>9962.4</v>
      </c>
      <c r="AB39" s="100">
        <v>6</v>
      </c>
      <c r="AC39" s="100">
        <v>8539.2000000000007</v>
      </c>
      <c r="AD39" s="100">
        <v>4.162019207359779</v>
      </c>
      <c r="AE39" s="100">
        <v>5923.3857359144376</v>
      </c>
      <c r="AF39" s="100">
        <v>7.3795261989006296</v>
      </c>
      <c r="AG39" s="100">
        <v>10502.541686275375</v>
      </c>
      <c r="AH39" s="100">
        <v>5.3086662230181263</v>
      </c>
      <c r="AI39" s="100">
        <v>7555.2937685993975</v>
      </c>
      <c r="AJ39" s="100">
        <v>6.519119662475978</v>
      </c>
      <c r="AK39" s="100">
        <v>9278.0111036358121</v>
      </c>
      <c r="AL39" s="100">
        <v>2.230019810677212</v>
      </c>
      <c r="AM39" s="100">
        <v>3173.7641945558084</v>
      </c>
      <c r="AN39" s="100">
        <v>7.4299270860721842</v>
      </c>
      <c r="AO39" s="100">
        <v>10574.272228897933</v>
      </c>
      <c r="AP39" s="100">
        <v>5.9185430182740646</v>
      </c>
      <c r="AQ39" s="100">
        <v>8423.2704236076497</v>
      </c>
      <c r="AR39" s="100">
        <v>6.32807105673509</v>
      </c>
      <c r="AS39" s="100">
        <v>9006.1107279453809</v>
      </c>
      <c r="AT39" s="100">
        <v>5.1250132562526672E-4</v>
      </c>
      <c r="AU39" s="100">
        <v>0.72939188662987964</v>
      </c>
      <c r="AV39" s="100">
        <v>6</v>
      </c>
      <c r="AW39" s="100">
        <v>8539.2000000000007</v>
      </c>
      <c r="AX39" s="100">
        <v>6</v>
      </c>
      <c r="AY39" s="100">
        <v>8539.2000000000007</v>
      </c>
      <c r="AZ39" s="100">
        <v>8</v>
      </c>
      <c r="BA39" s="100">
        <v>11385.6</v>
      </c>
      <c r="BB39" s="100">
        <v>7</v>
      </c>
      <c r="BC39" s="100">
        <v>9962.4</v>
      </c>
      <c r="BD39" s="100">
        <v>6.1961159254751053</v>
      </c>
      <c r="BE39" s="100">
        <v>8818.3121851361702</v>
      </c>
      <c r="BF39" s="100">
        <v>9</v>
      </c>
      <c r="BG39" s="100">
        <v>12808.800000000001</v>
      </c>
      <c r="BH39" s="100">
        <v>6.1891605787865593</v>
      </c>
      <c r="BI39" s="100">
        <v>8808.413335729032</v>
      </c>
      <c r="BJ39" s="100">
        <v>6.5807243048044413</v>
      </c>
      <c r="BK39" s="100">
        <v>9365.6868305976805</v>
      </c>
      <c r="BL39" s="100">
        <v>7</v>
      </c>
      <c r="BM39" s="100">
        <v>9962.4</v>
      </c>
      <c r="BN39" s="100">
        <v>4.1191077338628741</v>
      </c>
      <c r="BO39" s="100">
        <v>5862.3141268336431</v>
      </c>
      <c r="BP39" s="100">
        <v>4.7846593623182514</v>
      </c>
      <c r="BQ39" s="100">
        <v>6809.5272044513358</v>
      </c>
      <c r="BR39" s="100">
        <v>10</v>
      </c>
      <c r="BS39" s="100">
        <v>14232</v>
      </c>
      <c r="BT39" s="100">
        <v>8</v>
      </c>
      <c r="BU39" s="100">
        <v>11385.6</v>
      </c>
      <c r="BV39" s="100">
        <v>4.9452600684381185</v>
      </c>
      <c r="BW39" s="100">
        <v>7038.0941294011309</v>
      </c>
      <c r="BX39" s="100">
        <v>6.4071799876588464</v>
      </c>
      <c r="BY39" s="100">
        <v>9118.69855843607</v>
      </c>
      <c r="BZ39" s="100">
        <v>3.6567317674068286E-4</v>
      </c>
      <c r="CA39" s="100">
        <v>0.52042606513733991</v>
      </c>
      <c r="CB39" s="100">
        <v>1.542398014584645</v>
      </c>
      <c r="CC39" s="100">
        <v>2195.1408543568668</v>
      </c>
      <c r="CD39" s="100">
        <v>4.4109640130886234</v>
      </c>
      <c r="CE39" s="100">
        <v>6277.6839834277289</v>
      </c>
      <c r="CF39" s="100">
        <v>6</v>
      </c>
      <c r="CG39" s="100">
        <v>8539.2000000000007</v>
      </c>
      <c r="CH39" s="100">
        <v>9</v>
      </c>
      <c r="CI39" s="100">
        <v>12808.800000000001</v>
      </c>
      <c r="CJ39" s="100">
        <v>6</v>
      </c>
      <c r="CK39" s="100">
        <v>8539.2000000000007</v>
      </c>
      <c r="CL39" s="100">
        <v>7</v>
      </c>
      <c r="CM39" s="100">
        <v>9962.4</v>
      </c>
      <c r="CN39" s="100">
        <v>4.9134588247949118</v>
      </c>
      <c r="CO39" s="100">
        <v>6992.8345994481188</v>
      </c>
      <c r="CP39" s="100">
        <v>4.5822601162675755E-4</v>
      </c>
      <c r="CQ39" s="100">
        <v>0.65214725974720134</v>
      </c>
      <c r="CR39" s="100">
        <v>8</v>
      </c>
      <c r="CS39" s="100">
        <v>11385.6</v>
      </c>
      <c r="CT39" s="100">
        <v>9</v>
      </c>
      <c r="CU39" s="100">
        <v>12808.800000000001</v>
      </c>
    </row>
    <row r="40" spans="2:99">
      <c r="C40" s="99" t="s">
        <v>206</v>
      </c>
      <c r="D40" s="100">
        <v>3.3658652093524695</v>
      </c>
      <c r="E40" s="100">
        <v>2439.5791037386698</v>
      </c>
      <c r="F40" s="100">
        <v>5.4169759061566483</v>
      </c>
      <c r="G40" s="100">
        <v>3926.2241367823385</v>
      </c>
      <c r="H40" s="100">
        <v>2.0024801710426519</v>
      </c>
      <c r="I40" s="100">
        <v>1451.397627971714</v>
      </c>
      <c r="J40" s="100">
        <v>7</v>
      </c>
      <c r="K40" s="100">
        <v>5073.5999999999995</v>
      </c>
      <c r="L40" s="100">
        <v>7</v>
      </c>
      <c r="M40" s="100">
        <v>5073.5999999999995</v>
      </c>
      <c r="N40" s="100">
        <v>10</v>
      </c>
      <c r="O40" s="100">
        <v>7248</v>
      </c>
      <c r="P40" s="100">
        <v>5</v>
      </c>
      <c r="Q40" s="100">
        <v>3624</v>
      </c>
      <c r="R40" s="100">
        <v>7</v>
      </c>
      <c r="S40" s="100">
        <v>5073.5999999999995</v>
      </c>
      <c r="T40" s="100">
        <v>6</v>
      </c>
      <c r="U40" s="100">
        <v>4348.7999999999993</v>
      </c>
      <c r="V40" s="100">
        <v>5</v>
      </c>
      <c r="W40" s="100">
        <v>3624</v>
      </c>
      <c r="X40" s="100">
        <v>8.3967427707517555</v>
      </c>
      <c r="Y40" s="100">
        <v>6085.9591602408718</v>
      </c>
      <c r="Z40" s="100">
        <v>7</v>
      </c>
      <c r="AA40" s="100">
        <v>5073.5999999999995</v>
      </c>
      <c r="AB40" s="100">
        <v>6</v>
      </c>
      <c r="AC40" s="100">
        <v>4348.7999999999993</v>
      </c>
      <c r="AD40" s="100">
        <v>5.162019207359779</v>
      </c>
      <c r="AE40" s="100">
        <v>3741.4315214943676</v>
      </c>
      <c r="AF40" s="100">
        <v>7.3795261989006296</v>
      </c>
      <c r="AG40" s="100">
        <v>5348.680588963176</v>
      </c>
      <c r="AH40" s="100">
        <v>5.3086662230181263</v>
      </c>
      <c r="AI40" s="100">
        <v>3847.7212784435378</v>
      </c>
      <c r="AJ40" s="100">
        <v>6.4719269658872527</v>
      </c>
      <c r="AK40" s="100">
        <v>4690.8526648750803</v>
      </c>
      <c r="AL40" s="100">
        <v>2.548594069345385</v>
      </c>
      <c r="AM40" s="100">
        <v>1847.2209814615348</v>
      </c>
      <c r="AN40" s="100">
        <v>6.6043796320641626</v>
      </c>
      <c r="AO40" s="100">
        <v>4786.854357320105</v>
      </c>
      <c r="AP40" s="100">
        <v>5.2217504199957236</v>
      </c>
      <c r="AQ40" s="100">
        <v>3784.7247044129003</v>
      </c>
      <c r="AR40" s="100">
        <v>5.5370621746432036</v>
      </c>
      <c r="AS40" s="100">
        <v>4013.2626641813936</v>
      </c>
      <c r="AT40" s="100">
        <v>5.1250132562526672E-4</v>
      </c>
      <c r="AU40" s="100">
        <v>0.3714609608131933</v>
      </c>
      <c r="AV40" s="100">
        <v>7</v>
      </c>
      <c r="AW40" s="100">
        <v>5073.5999999999995</v>
      </c>
      <c r="AX40" s="100">
        <v>7</v>
      </c>
      <c r="AY40" s="100">
        <v>5073.5999999999995</v>
      </c>
      <c r="AZ40" s="100">
        <v>9</v>
      </c>
      <c r="BA40" s="100">
        <v>6523.2</v>
      </c>
      <c r="BB40" s="100">
        <v>6</v>
      </c>
      <c r="BC40" s="100">
        <v>4348.7999999999993</v>
      </c>
      <c r="BD40" s="100">
        <v>7.1634299378959216</v>
      </c>
      <c r="BE40" s="100">
        <v>5192.0540189869635</v>
      </c>
      <c r="BF40" s="100">
        <v>9</v>
      </c>
      <c r="BG40" s="100">
        <v>6523.2</v>
      </c>
      <c r="BH40" s="100">
        <v>6.2101784208739552</v>
      </c>
      <c r="BI40" s="100">
        <v>4501.1373194494427</v>
      </c>
      <c r="BJ40" s="100">
        <v>7.4033148429049964</v>
      </c>
      <c r="BK40" s="100">
        <v>5365.9225981375412</v>
      </c>
      <c r="BL40" s="100">
        <v>8</v>
      </c>
      <c r="BM40" s="100">
        <v>5798.4</v>
      </c>
      <c r="BN40" s="100">
        <v>4.1191077338628741</v>
      </c>
      <c r="BO40" s="100">
        <v>2985.529285503811</v>
      </c>
      <c r="BP40" s="100">
        <v>5.4681821283637158</v>
      </c>
      <c r="BQ40" s="100">
        <v>3963.3384066380208</v>
      </c>
      <c r="BR40" s="100">
        <v>10</v>
      </c>
      <c r="BS40" s="100">
        <v>7248</v>
      </c>
      <c r="BT40" s="100">
        <v>10</v>
      </c>
      <c r="BU40" s="100">
        <v>7248</v>
      </c>
      <c r="BV40" s="100">
        <v>5.7694700798444716</v>
      </c>
      <c r="BW40" s="100">
        <v>4181.7119138712724</v>
      </c>
      <c r="BX40" s="100">
        <v>5.4918685608504392</v>
      </c>
      <c r="BY40" s="100">
        <v>3980.5063329043983</v>
      </c>
      <c r="BZ40" s="100">
        <v>3.6567317674068286E-4</v>
      </c>
      <c r="CA40" s="100">
        <v>0.26503991850164693</v>
      </c>
      <c r="CB40" s="100">
        <v>1.542398014584645</v>
      </c>
      <c r="CC40" s="100">
        <v>1117.9300809709507</v>
      </c>
      <c r="CD40" s="100">
        <v>5.146124681936727</v>
      </c>
      <c r="CE40" s="100">
        <v>3729.9111694677395</v>
      </c>
      <c r="CF40" s="100">
        <v>7</v>
      </c>
      <c r="CG40" s="100">
        <v>5073.5999999999995</v>
      </c>
      <c r="CH40" s="100">
        <v>10</v>
      </c>
      <c r="CI40" s="100">
        <v>7248</v>
      </c>
      <c r="CJ40" s="100">
        <v>7</v>
      </c>
      <c r="CK40" s="100">
        <v>5073.5999999999995</v>
      </c>
      <c r="CL40" s="100">
        <v>8</v>
      </c>
      <c r="CM40" s="100">
        <v>5798.4</v>
      </c>
      <c r="CN40" s="100">
        <v>4.1416923537557606</v>
      </c>
      <c r="CO40" s="100">
        <v>3001.8986180021752</v>
      </c>
      <c r="CP40" s="100">
        <v>4.5822601162675755E-4</v>
      </c>
      <c r="CQ40" s="100">
        <v>0.33212221322707386</v>
      </c>
      <c r="CR40" s="100">
        <v>8</v>
      </c>
      <c r="CS40" s="100">
        <v>5798.4</v>
      </c>
      <c r="CT40" s="100">
        <v>10</v>
      </c>
      <c r="CU40" s="100">
        <v>7248</v>
      </c>
    </row>
    <row r="41" spans="2:99">
      <c r="C41" s="99" t="s">
        <v>207</v>
      </c>
      <c r="D41" s="100">
        <v>3.8449769263716211</v>
      </c>
      <c r="E41" s="100">
        <v>2537.6847714052701</v>
      </c>
      <c r="F41" s="100">
        <v>6.215539187571661</v>
      </c>
      <c r="G41" s="100">
        <v>4102.2558637972961</v>
      </c>
      <c r="H41" s="100">
        <v>2.0024801710426519</v>
      </c>
      <c r="I41" s="100">
        <v>1321.6369128881502</v>
      </c>
      <c r="J41" s="100">
        <v>8</v>
      </c>
      <c r="K41" s="100">
        <v>5280</v>
      </c>
      <c r="L41" s="100">
        <v>8</v>
      </c>
      <c r="M41" s="100">
        <v>5280</v>
      </c>
      <c r="N41" s="100">
        <v>10</v>
      </c>
      <c r="O41" s="100">
        <v>6600</v>
      </c>
      <c r="P41" s="100">
        <v>5</v>
      </c>
      <c r="Q41" s="100">
        <v>3300</v>
      </c>
      <c r="R41" s="100">
        <v>7</v>
      </c>
      <c r="S41" s="100">
        <v>4620</v>
      </c>
      <c r="T41" s="100">
        <v>6</v>
      </c>
      <c r="U41" s="100">
        <v>3960</v>
      </c>
      <c r="V41" s="100">
        <v>5</v>
      </c>
      <c r="W41" s="100">
        <v>3300</v>
      </c>
      <c r="X41" s="100">
        <v>7.4463356170957251</v>
      </c>
      <c r="Y41" s="100">
        <v>4914.5815072831783</v>
      </c>
      <c r="Z41" s="100">
        <v>7</v>
      </c>
      <c r="AA41" s="100">
        <v>4620</v>
      </c>
      <c r="AB41" s="100">
        <v>7</v>
      </c>
      <c r="AC41" s="100">
        <v>4620</v>
      </c>
      <c r="AD41" s="100">
        <v>5.162019207359779</v>
      </c>
      <c r="AE41" s="100">
        <v>3406.9326768574542</v>
      </c>
      <c r="AF41" s="100">
        <v>7.4216957765562546</v>
      </c>
      <c r="AG41" s="100">
        <v>4898.319212527128</v>
      </c>
      <c r="AH41" s="100">
        <v>5.3086662230181263</v>
      </c>
      <c r="AI41" s="100">
        <v>3503.7197071919632</v>
      </c>
      <c r="AJ41" s="100">
        <v>6.519119662475978</v>
      </c>
      <c r="AK41" s="100">
        <v>4302.6189772341459</v>
      </c>
      <c r="AL41" s="100">
        <v>2.230019810677212</v>
      </c>
      <c r="AM41" s="100">
        <v>1471.81307504696</v>
      </c>
      <c r="AN41" s="100">
        <v>7.4299270860721842</v>
      </c>
      <c r="AO41" s="100">
        <v>4903.7518768076416</v>
      </c>
      <c r="AP41" s="100">
        <v>6.5866520972151266</v>
      </c>
      <c r="AQ41" s="100">
        <v>4347.1903841619833</v>
      </c>
      <c r="AR41" s="100">
        <v>5.5370621746432036</v>
      </c>
      <c r="AS41" s="100">
        <v>3654.4610352645145</v>
      </c>
      <c r="AT41" s="100">
        <v>5.1250132562526672E-4</v>
      </c>
      <c r="AU41" s="100">
        <v>0.33825087491267603</v>
      </c>
      <c r="AV41" s="100">
        <v>7</v>
      </c>
      <c r="AW41" s="100">
        <v>4620</v>
      </c>
      <c r="AX41" s="100">
        <v>7</v>
      </c>
      <c r="AY41" s="100">
        <v>4620</v>
      </c>
      <c r="AZ41" s="100">
        <v>8</v>
      </c>
      <c r="BA41" s="100">
        <v>5280</v>
      </c>
      <c r="BB41" s="100">
        <v>7</v>
      </c>
      <c r="BC41" s="100">
        <v>4620</v>
      </c>
      <c r="BD41" s="100">
        <v>7.1961159254751053</v>
      </c>
      <c r="BE41" s="100">
        <v>4749.4365108135698</v>
      </c>
      <c r="BF41" s="100">
        <v>9</v>
      </c>
      <c r="BG41" s="100">
        <v>5940</v>
      </c>
      <c r="BH41" s="100">
        <v>7.2101784208739552</v>
      </c>
      <c r="BI41" s="100">
        <v>4758.7177577768107</v>
      </c>
      <c r="BJ41" s="100">
        <v>6.5807243048044413</v>
      </c>
      <c r="BK41" s="100">
        <v>4343.2780411709309</v>
      </c>
      <c r="BL41" s="100">
        <v>8</v>
      </c>
      <c r="BM41" s="100">
        <v>5280</v>
      </c>
      <c r="BN41" s="100">
        <v>4.9429292806354486</v>
      </c>
      <c r="BO41" s="100">
        <v>3262.3333252193961</v>
      </c>
      <c r="BP41" s="100">
        <v>4.7846593623182514</v>
      </c>
      <c r="BQ41" s="100">
        <v>3157.875179130046</v>
      </c>
      <c r="BR41" s="100">
        <v>10</v>
      </c>
      <c r="BS41" s="100">
        <v>6600</v>
      </c>
      <c r="BT41" s="100">
        <v>9</v>
      </c>
      <c r="BU41" s="100">
        <v>5940</v>
      </c>
      <c r="BV41" s="100">
        <v>5.7694700798444716</v>
      </c>
      <c r="BW41" s="100">
        <v>3807.8502526973512</v>
      </c>
      <c r="BX41" s="100">
        <v>6.4071799876588464</v>
      </c>
      <c r="BY41" s="100">
        <v>4228.7387918548384</v>
      </c>
      <c r="BZ41" s="100">
        <v>3.6796338840419581E-4</v>
      </c>
      <c r="CA41" s="100">
        <v>0.24285583634676924</v>
      </c>
      <c r="CB41" s="100">
        <v>1.542398014584645</v>
      </c>
      <c r="CC41" s="100">
        <v>1017.9826896258656</v>
      </c>
      <c r="CD41" s="100">
        <v>4.4109640130886234</v>
      </c>
      <c r="CE41" s="100">
        <v>2911.2362486384914</v>
      </c>
      <c r="CF41" s="100">
        <v>7</v>
      </c>
      <c r="CG41" s="100">
        <v>4620</v>
      </c>
      <c r="CH41" s="100">
        <v>10</v>
      </c>
      <c r="CI41" s="100">
        <v>6600</v>
      </c>
      <c r="CJ41" s="100">
        <v>8</v>
      </c>
      <c r="CK41" s="100">
        <v>5280</v>
      </c>
      <c r="CL41" s="100">
        <v>9</v>
      </c>
      <c r="CM41" s="100">
        <v>5940</v>
      </c>
      <c r="CN41" s="100">
        <v>4.1416923537557606</v>
      </c>
      <c r="CO41" s="100">
        <v>2733.516953478802</v>
      </c>
      <c r="CP41" s="100">
        <v>4.009477601734129E-4</v>
      </c>
      <c r="CQ41" s="100">
        <v>0.26462552171445253</v>
      </c>
      <c r="CR41" s="100">
        <v>7</v>
      </c>
      <c r="CS41" s="100">
        <v>4620</v>
      </c>
      <c r="CT41" s="100">
        <v>9.1432090467190719</v>
      </c>
      <c r="CU41" s="100">
        <v>6034.5179708345877</v>
      </c>
    </row>
    <row r="42" spans="2:99">
      <c r="C42" s="99" t="s">
        <v>208</v>
      </c>
      <c r="D42" s="100">
        <v>3.8449769263716211</v>
      </c>
      <c r="E42" s="100">
        <v>3252.8504797103915</v>
      </c>
      <c r="F42" s="100">
        <v>5.3856960952733193</v>
      </c>
      <c r="G42" s="100">
        <v>4556.2988966012281</v>
      </c>
      <c r="H42" s="100">
        <v>1.7799823742601348</v>
      </c>
      <c r="I42" s="100">
        <v>1505.8650886240741</v>
      </c>
      <c r="J42" s="100">
        <v>7</v>
      </c>
      <c r="K42" s="100">
        <v>5922</v>
      </c>
      <c r="L42" s="100">
        <v>6</v>
      </c>
      <c r="M42" s="100">
        <v>5076</v>
      </c>
      <c r="N42" s="100">
        <v>8</v>
      </c>
      <c r="O42" s="100">
        <v>6768</v>
      </c>
      <c r="P42" s="100">
        <v>5</v>
      </c>
      <c r="Q42" s="100">
        <v>4230</v>
      </c>
      <c r="R42" s="100">
        <v>6</v>
      </c>
      <c r="S42" s="100">
        <v>5076</v>
      </c>
      <c r="T42" s="100">
        <v>5</v>
      </c>
      <c r="U42" s="100">
        <v>4230</v>
      </c>
      <c r="V42" s="100">
        <v>6</v>
      </c>
      <c r="W42" s="100">
        <v>5076</v>
      </c>
      <c r="X42" s="100">
        <v>8.4463356170957251</v>
      </c>
      <c r="Y42" s="100">
        <v>7145.5999320629835</v>
      </c>
      <c r="Z42" s="100">
        <v>7</v>
      </c>
      <c r="AA42" s="100">
        <v>5922</v>
      </c>
      <c r="AB42" s="100">
        <v>6</v>
      </c>
      <c r="AC42" s="100">
        <v>5076</v>
      </c>
      <c r="AD42" s="100">
        <v>4.162019207359779</v>
      </c>
      <c r="AE42" s="100">
        <v>3521.0682494263729</v>
      </c>
      <c r="AF42" s="100">
        <v>6.4216957765562546</v>
      </c>
      <c r="AG42" s="100">
        <v>5432.7546269665918</v>
      </c>
      <c r="AH42" s="100">
        <v>5.3086662230181263</v>
      </c>
      <c r="AI42" s="100">
        <v>4491.131624673335</v>
      </c>
      <c r="AJ42" s="100">
        <v>6.519119662475978</v>
      </c>
      <c r="AK42" s="100">
        <v>5515.1752344546776</v>
      </c>
      <c r="AL42" s="100">
        <v>2.548594069345385</v>
      </c>
      <c r="AM42" s="100">
        <v>2156.1105826661956</v>
      </c>
      <c r="AN42" s="100">
        <v>6.6043796320641626</v>
      </c>
      <c r="AO42" s="100">
        <v>5587.3051687262814</v>
      </c>
      <c r="AP42" s="100">
        <v>5.9185430182740646</v>
      </c>
      <c r="AQ42" s="100">
        <v>5007.0873934598585</v>
      </c>
      <c r="AR42" s="100">
        <v>5.5370621746432036</v>
      </c>
      <c r="AS42" s="100">
        <v>4684.3545997481506</v>
      </c>
      <c r="AT42" s="100">
        <v>5.1250132562526672E-4</v>
      </c>
      <c r="AU42" s="100">
        <v>0.43357612147897562</v>
      </c>
      <c r="AV42" s="100">
        <v>7</v>
      </c>
      <c r="AW42" s="100">
        <v>5922</v>
      </c>
      <c r="AX42" s="100">
        <v>6</v>
      </c>
      <c r="AY42" s="100">
        <v>5076</v>
      </c>
      <c r="AZ42" s="100">
        <v>8</v>
      </c>
      <c r="BA42" s="100">
        <v>6768</v>
      </c>
      <c r="BB42" s="100">
        <v>7</v>
      </c>
      <c r="BC42" s="100">
        <v>5922</v>
      </c>
      <c r="BD42" s="100">
        <v>7.1961159254751053</v>
      </c>
      <c r="BE42" s="100">
        <v>6087.9140729519395</v>
      </c>
      <c r="BF42" s="100">
        <v>9</v>
      </c>
      <c r="BG42" s="100">
        <v>7614</v>
      </c>
      <c r="BH42" s="100">
        <v>7.2101784208739552</v>
      </c>
      <c r="BI42" s="100">
        <v>6099.8109440593662</v>
      </c>
      <c r="BJ42" s="100">
        <v>6.5807243048044413</v>
      </c>
      <c r="BK42" s="100">
        <v>5567.2927618645572</v>
      </c>
      <c r="BL42" s="100">
        <v>8</v>
      </c>
      <c r="BM42" s="100">
        <v>6768</v>
      </c>
      <c r="BN42" s="100">
        <v>4.9429292806354486</v>
      </c>
      <c r="BO42" s="100">
        <v>4181.7181714175895</v>
      </c>
      <c r="BP42" s="100">
        <v>5.4681821283637158</v>
      </c>
      <c r="BQ42" s="100">
        <v>4626.0820805957037</v>
      </c>
      <c r="BR42" s="100">
        <v>10</v>
      </c>
      <c r="BS42" s="100">
        <v>8460</v>
      </c>
      <c r="BT42" s="100">
        <v>10</v>
      </c>
      <c r="BU42" s="100">
        <v>8460</v>
      </c>
      <c r="BV42" s="100">
        <v>5.7694700798444716</v>
      </c>
      <c r="BW42" s="100">
        <v>4880.9716875484228</v>
      </c>
      <c r="BX42" s="100">
        <v>6.4071799876588464</v>
      </c>
      <c r="BY42" s="100">
        <v>5420.4742695593841</v>
      </c>
      <c r="BZ42" s="100">
        <v>3.6567317674068286E-4</v>
      </c>
      <c r="CA42" s="100">
        <v>0.3093595075226177</v>
      </c>
      <c r="CB42" s="100">
        <v>1.542398014584645</v>
      </c>
      <c r="CC42" s="100">
        <v>1304.8687203386096</v>
      </c>
      <c r="CD42" s="100">
        <v>4.4109640130886234</v>
      </c>
      <c r="CE42" s="100">
        <v>3731.6755550729754</v>
      </c>
      <c r="CF42" s="100">
        <v>6</v>
      </c>
      <c r="CG42" s="100">
        <v>5076</v>
      </c>
      <c r="CH42" s="100">
        <v>9</v>
      </c>
      <c r="CI42" s="100">
        <v>7614</v>
      </c>
      <c r="CJ42" s="100">
        <v>7</v>
      </c>
      <c r="CK42" s="100">
        <v>5922</v>
      </c>
      <c r="CL42" s="100">
        <v>7</v>
      </c>
      <c r="CM42" s="100">
        <v>5922</v>
      </c>
      <c r="CN42" s="100">
        <v>4.1416923537557606</v>
      </c>
      <c r="CO42" s="100">
        <v>3503.8717312773733</v>
      </c>
      <c r="CP42" s="100">
        <v>4.5822601162675755E-4</v>
      </c>
      <c r="CQ42" s="100">
        <v>0.38765920583623686</v>
      </c>
      <c r="CR42" s="100">
        <v>8</v>
      </c>
      <c r="CS42" s="100">
        <v>6768</v>
      </c>
      <c r="CT42" s="100">
        <v>9.1312749594924831</v>
      </c>
      <c r="CU42" s="100">
        <v>7725.0586157306407</v>
      </c>
    </row>
    <row r="43" spans="2:99">
      <c r="C43" s="99" t="s">
        <v>209</v>
      </c>
      <c r="D43" s="100">
        <v>3.838935331262415</v>
      </c>
      <c r="E43" s="100">
        <v>3924.9274826826932</v>
      </c>
      <c r="F43" s="100">
        <v>5.3856960952733193</v>
      </c>
      <c r="G43" s="100">
        <v>5506.3356878074419</v>
      </c>
      <c r="H43" s="100">
        <v>1.7799823742601348</v>
      </c>
      <c r="I43" s="100">
        <v>1819.8539794435619</v>
      </c>
      <c r="J43" s="100">
        <v>7</v>
      </c>
      <c r="K43" s="100">
        <v>7156.8</v>
      </c>
      <c r="L43" s="100">
        <v>7</v>
      </c>
      <c r="M43" s="100">
        <v>7156.8</v>
      </c>
      <c r="N43" s="100">
        <v>8</v>
      </c>
      <c r="O43" s="100">
        <v>8179.2</v>
      </c>
      <c r="P43" s="100">
        <v>5</v>
      </c>
      <c r="Q43" s="100">
        <v>5112</v>
      </c>
      <c r="R43" s="100">
        <v>6</v>
      </c>
      <c r="S43" s="100">
        <v>6134.4</v>
      </c>
      <c r="T43" s="100">
        <v>6</v>
      </c>
      <c r="U43" s="100">
        <v>6134.4</v>
      </c>
      <c r="V43" s="100">
        <v>5</v>
      </c>
      <c r="W43" s="100">
        <v>5112</v>
      </c>
      <c r="X43" s="100">
        <v>8.3967427707517555</v>
      </c>
      <c r="Y43" s="100">
        <v>8584.8298088165939</v>
      </c>
      <c r="Z43" s="100">
        <v>6</v>
      </c>
      <c r="AA43" s="100">
        <v>6134.4</v>
      </c>
      <c r="AB43" s="100">
        <v>7</v>
      </c>
      <c r="AC43" s="100">
        <v>7156.8</v>
      </c>
      <c r="AD43" s="100">
        <v>5.162019207359779</v>
      </c>
      <c r="AE43" s="100">
        <v>5277.6484376046383</v>
      </c>
      <c r="AF43" s="100">
        <v>7.3795261989006296</v>
      </c>
      <c r="AG43" s="100">
        <v>7544.8275857560038</v>
      </c>
      <c r="AH43" s="100">
        <v>5.3086662230181263</v>
      </c>
      <c r="AI43" s="100">
        <v>5427.5803464137325</v>
      </c>
      <c r="AJ43" s="100">
        <v>7.519119662475978</v>
      </c>
      <c r="AK43" s="100">
        <v>7687.5479429154393</v>
      </c>
      <c r="AL43" s="100">
        <v>2.230019810677212</v>
      </c>
      <c r="AM43" s="100">
        <v>2279.9722544363817</v>
      </c>
      <c r="AN43" s="100">
        <v>6.6043796320641626</v>
      </c>
      <c r="AO43" s="100">
        <v>6752.3177358223993</v>
      </c>
      <c r="AP43" s="100">
        <v>5.2504339393330017</v>
      </c>
      <c r="AQ43" s="100">
        <v>5368.0436595740612</v>
      </c>
      <c r="AR43" s="100">
        <v>5.5370621746432036</v>
      </c>
      <c r="AS43" s="100">
        <v>5661.0923673552115</v>
      </c>
      <c r="AT43" s="100">
        <v>5.1250132562526672E-4</v>
      </c>
      <c r="AU43" s="100">
        <v>0.5239813553192727</v>
      </c>
      <c r="AV43" s="100">
        <v>8</v>
      </c>
      <c r="AW43" s="100">
        <v>8179.2</v>
      </c>
      <c r="AX43" s="100">
        <v>6</v>
      </c>
      <c r="AY43" s="100">
        <v>6134.4</v>
      </c>
      <c r="AZ43" s="100">
        <v>8</v>
      </c>
      <c r="BA43" s="100">
        <v>8179.2</v>
      </c>
      <c r="BB43" s="100">
        <v>7</v>
      </c>
      <c r="BC43" s="100">
        <v>7156.8</v>
      </c>
      <c r="BD43" s="100">
        <v>7.1797729316855134</v>
      </c>
      <c r="BE43" s="100">
        <v>7340.5998453552684</v>
      </c>
      <c r="BF43" s="100">
        <v>8</v>
      </c>
      <c r="BG43" s="100">
        <v>8179.2</v>
      </c>
      <c r="BH43" s="100">
        <v>6.1891605787865593</v>
      </c>
      <c r="BI43" s="100">
        <v>6327.7977757513781</v>
      </c>
      <c r="BJ43" s="100">
        <v>6.5807243048044413</v>
      </c>
      <c r="BK43" s="100">
        <v>6728.1325292320607</v>
      </c>
      <c r="BL43" s="100">
        <v>7</v>
      </c>
      <c r="BM43" s="100">
        <v>7156.8</v>
      </c>
      <c r="BN43" s="100">
        <v>4.9429292806354486</v>
      </c>
      <c r="BO43" s="100">
        <v>5053.6508965216826</v>
      </c>
      <c r="BP43" s="100">
        <v>4.7846593623182514</v>
      </c>
      <c r="BQ43" s="100">
        <v>4891.8357320341802</v>
      </c>
      <c r="BR43" s="100">
        <v>9</v>
      </c>
      <c r="BS43" s="100">
        <v>9201.6</v>
      </c>
      <c r="BT43" s="100">
        <v>9</v>
      </c>
      <c r="BU43" s="100">
        <v>9201.6</v>
      </c>
      <c r="BV43" s="100">
        <v>5.7694700798444716</v>
      </c>
      <c r="BW43" s="100">
        <v>5898.7062096329873</v>
      </c>
      <c r="BX43" s="100">
        <v>6.4071799876588464</v>
      </c>
      <c r="BY43" s="100">
        <v>6550.700819382404</v>
      </c>
      <c r="BZ43" s="100">
        <v>3.6567317674068286E-4</v>
      </c>
      <c r="CA43" s="100">
        <v>0.37386425589967415</v>
      </c>
      <c r="CB43" s="100">
        <v>1.5382167173590848</v>
      </c>
      <c r="CC43" s="100">
        <v>1572.6727718279283</v>
      </c>
      <c r="CD43" s="100">
        <v>4.4109640130886234</v>
      </c>
      <c r="CE43" s="100">
        <v>4509.7696069818085</v>
      </c>
      <c r="CF43" s="100">
        <v>7</v>
      </c>
      <c r="CG43" s="100">
        <v>7156.8</v>
      </c>
      <c r="CH43" s="100">
        <v>10</v>
      </c>
      <c r="CI43" s="100">
        <v>10224</v>
      </c>
      <c r="CJ43" s="100">
        <v>7</v>
      </c>
      <c r="CK43" s="100">
        <v>7156.8</v>
      </c>
      <c r="CL43" s="100">
        <v>8</v>
      </c>
      <c r="CM43" s="100">
        <v>8179.2</v>
      </c>
      <c r="CN43" s="100">
        <v>4.1416923537557606</v>
      </c>
      <c r="CO43" s="100">
        <v>4234.4662624798893</v>
      </c>
      <c r="CP43" s="100">
        <v>4.5822601162675755E-4</v>
      </c>
      <c r="CQ43" s="100">
        <v>0.46849027428719692</v>
      </c>
      <c r="CR43" s="100">
        <v>8</v>
      </c>
      <c r="CS43" s="100">
        <v>8179.2</v>
      </c>
      <c r="CT43" s="100">
        <v>8</v>
      </c>
      <c r="CU43" s="100">
        <v>8179.2</v>
      </c>
    </row>
    <row r="44" spans="2:99">
      <c r="C44" s="99" t="s">
        <v>210</v>
      </c>
      <c r="D44" s="100">
        <v>3.838935331262415</v>
      </c>
      <c r="E44" s="100">
        <v>3924.9274826826932</v>
      </c>
      <c r="F44" s="100">
        <v>5.4482557170399772</v>
      </c>
      <c r="G44" s="100">
        <v>5570.2966451016728</v>
      </c>
      <c r="H44" s="100">
        <v>2.0024801710426519</v>
      </c>
      <c r="I44" s="100">
        <v>2047.3357268740072</v>
      </c>
      <c r="J44" s="100">
        <v>7</v>
      </c>
      <c r="K44" s="100">
        <v>7156.8</v>
      </c>
      <c r="L44" s="100">
        <v>7</v>
      </c>
      <c r="M44" s="100">
        <v>7156.8</v>
      </c>
      <c r="N44" s="100">
        <v>8</v>
      </c>
      <c r="O44" s="100">
        <v>8179.2</v>
      </c>
      <c r="P44" s="100">
        <v>5</v>
      </c>
      <c r="Q44" s="100">
        <v>5112</v>
      </c>
      <c r="R44" s="100">
        <v>7</v>
      </c>
      <c r="S44" s="100">
        <v>7156.8</v>
      </c>
      <c r="T44" s="100">
        <v>5</v>
      </c>
      <c r="U44" s="100">
        <v>5112</v>
      </c>
      <c r="V44" s="100">
        <v>6</v>
      </c>
      <c r="W44" s="100">
        <v>6134.4</v>
      </c>
      <c r="X44" s="100">
        <v>8.4463356170957251</v>
      </c>
      <c r="Y44" s="100">
        <v>8635.5335349186698</v>
      </c>
      <c r="Z44" s="100">
        <v>6</v>
      </c>
      <c r="AA44" s="100">
        <v>6134.4</v>
      </c>
      <c r="AB44" s="100">
        <v>6</v>
      </c>
      <c r="AC44" s="100">
        <v>6134.4</v>
      </c>
      <c r="AD44" s="100">
        <v>4.141766806439807</v>
      </c>
      <c r="AE44" s="100">
        <v>4234.5423829040583</v>
      </c>
      <c r="AF44" s="100">
        <v>6.4216957765562546</v>
      </c>
      <c r="AG44" s="100">
        <v>6565.5417619511145</v>
      </c>
      <c r="AH44" s="100">
        <v>4.6450829451408611</v>
      </c>
      <c r="AI44" s="100">
        <v>4749.1328031120165</v>
      </c>
      <c r="AJ44" s="100">
        <v>6.519119662475978</v>
      </c>
      <c r="AK44" s="100">
        <v>6665.1479429154397</v>
      </c>
      <c r="AL44" s="100">
        <v>2.548594069345385</v>
      </c>
      <c r="AM44" s="100">
        <v>2605.6825764987216</v>
      </c>
      <c r="AN44" s="100">
        <v>7.4299270860721842</v>
      </c>
      <c r="AO44" s="100">
        <v>7596.3574528002009</v>
      </c>
      <c r="AP44" s="100">
        <v>5.8898594989367865</v>
      </c>
      <c r="AQ44" s="100">
        <v>6021.7923517129702</v>
      </c>
      <c r="AR44" s="100">
        <v>6.32807105673509</v>
      </c>
      <c r="AS44" s="100">
        <v>6469.8198484059558</v>
      </c>
      <c r="AT44" s="100">
        <v>4.4843865992210839E-4</v>
      </c>
      <c r="AU44" s="100">
        <v>0.45848368590436361</v>
      </c>
      <c r="AV44" s="100">
        <v>7</v>
      </c>
      <c r="AW44" s="100">
        <v>7156.8</v>
      </c>
      <c r="AX44" s="100">
        <v>7</v>
      </c>
      <c r="AY44" s="100">
        <v>7156.8</v>
      </c>
      <c r="AZ44" s="100">
        <v>7</v>
      </c>
      <c r="BA44" s="100">
        <v>7156.8</v>
      </c>
      <c r="BB44" s="100">
        <v>7</v>
      </c>
      <c r="BC44" s="100">
        <v>7156.8</v>
      </c>
      <c r="BD44" s="100">
        <v>7.1961159254751053</v>
      </c>
      <c r="BE44" s="100">
        <v>7357.3089222057479</v>
      </c>
      <c r="BF44" s="100">
        <v>9</v>
      </c>
      <c r="BG44" s="100">
        <v>9201.6</v>
      </c>
      <c r="BH44" s="100">
        <v>6.2101784208739552</v>
      </c>
      <c r="BI44" s="100">
        <v>6349.286417501532</v>
      </c>
      <c r="BJ44" s="100">
        <v>7.4033148429049964</v>
      </c>
      <c r="BK44" s="100">
        <v>7569.1490953860684</v>
      </c>
      <c r="BL44" s="100">
        <v>7</v>
      </c>
      <c r="BM44" s="100">
        <v>7156.8</v>
      </c>
      <c r="BN44" s="100">
        <v>4.1191077338628741</v>
      </c>
      <c r="BO44" s="100">
        <v>4211.3757471014023</v>
      </c>
      <c r="BP44" s="100">
        <v>5.4681821283637158</v>
      </c>
      <c r="BQ44" s="100">
        <v>5590.6694080390625</v>
      </c>
      <c r="BR44" s="100">
        <v>10</v>
      </c>
      <c r="BS44" s="100">
        <v>10224</v>
      </c>
      <c r="BT44" s="100">
        <v>9</v>
      </c>
      <c r="BU44" s="100">
        <v>9201.6</v>
      </c>
      <c r="BV44" s="100">
        <v>5.7694700798444716</v>
      </c>
      <c r="BW44" s="100">
        <v>5898.7062096329873</v>
      </c>
      <c r="BX44" s="100">
        <v>5.4918685608504392</v>
      </c>
      <c r="BY44" s="100">
        <v>5614.886416613489</v>
      </c>
      <c r="BZ44" s="100">
        <v>4.2547360036570685E-4</v>
      </c>
      <c r="CA44" s="100">
        <v>0.43500420901389869</v>
      </c>
      <c r="CB44" s="100">
        <v>1.5465793118102054</v>
      </c>
      <c r="CC44" s="100">
        <v>1581.222688394754</v>
      </c>
      <c r="CD44" s="100">
        <v>3.6758033442405194</v>
      </c>
      <c r="CE44" s="100">
        <v>3758.1413391515071</v>
      </c>
      <c r="CF44" s="100">
        <v>6</v>
      </c>
      <c r="CG44" s="100">
        <v>6134.4</v>
      </c>
      <c r="CH44" s="100">
        <v>10</v>
      </c>
      <c r="CI44" s="100">
        <v>10224</v>
      </c>
      <c r="CJ44" s="100">
        <v>7</v>
      </c>
      <c r="CK44" s="100">
        <v>7156.8</v>
      </c>
      <c r="CL44" s="100">
        <v>8</v>
      </c>
      <c r="CM44" s="100">
        <v>8179.2</v>
      </c>
      <c r="CN44" s="100">
        <v>4.1181206872090925</v>
      </c>
      <c r="CO44" s="100">
        <v>4210.3665906025763</v>
      </c>
      <c r="CP44" s="100">
        <v>4.009477601734129E-4</v>
      </c>
      <c r="CQ44" s="100">
        <v>0.40992899000129734</v>
      </c>
      <c r="CR44" s="100">
        <v>8</v>
      </c>
      <c r="CS44" s="100">
        <v>8179.2</v>
      </c>
      <c r="CT44" s="100">
        <v>8.1432090467190719</v>
      </c>
      <c r="CU44" s="100">
        <v>8325.6169293655785</v>
      </c>
    </row>
    <row r="45" spans="2:99">
      <c r="C45" s="99" t="s">
        <v>211</v>
      </c>
      <c r="D45" s="100">
        <v>3.8328937361532098</v>
      </c>
      <c r="E45" s="100">
        <v>4788.0508552025894</v>
      </c>
      <c r="F45" s="100">
        <v>5.4482557170399772</v>
      </c>
      <c r="G45" s="100">
        <v>6805.9610417263402</v>
      </c>
      <c r="H45" s="100">
        <v>2.0024801710426519</v>
      </c>
      <c r="I45" s="100">
        <v>2501.4982296664807</v>
      </c>
      <c r="J45" s="100">
        <v>7</v>
      </c>
      <c r="K45" s="100">
        <v>8744.4</v>
      </c>
      <c r="L45" s="100">
        <v>7</v>
      </c>
      <c r="M45" s="100">
        <v>8744.4</v>
      </c>
      <c r="N45" s="100">
        <v>9</v>
      </c>
      <c r="O45" s="100">
        <v>11242.800000000001</v>
      </c>
      <c r="P45" s="100">
        <v>5</v>
      </c>
      <c r="Q45" s="100">
        <v>6246</v>
      </c>
      <c r="R45" s="100">
        <v>6</v>
      </c>
      <c r="S45" s="100">
        <v>7495.2000000000007</v>
      </c>
      <c r="T45" s="100">
        <v>6</v>
      </c>
      <c r="U45" s="100">
        <v>7495.2000000000007</v>
      </c>
      <c r="V45" s="100">
        <v>5</v>
      </c>
      <c r="W45" s="100">
        <v>6246</v>
      </c>
      <c r="X45" s="100">
        <v>7.4463356170957251</v>
      </c>
      <c r="Y45" s="100">
        <v>9301.9624528759796</v>
      </c>
      <c r="Z45" s="100">
        <v>6</v>
      </c>
      <c r="AA45" s="100">
        <v>7495.2000000000007</v>
      </c>
      <c r="AB45" s="100">
        <v>6</v>
      </c>
      <c r="AC45" s="100">
        <v>7495.2000000000007</v>
      </c>
      <c r="AD45" s="100">
        <v>4.141766806439807</v>
      </c>
      <c r="AE45" s="100">
        <v>5173.895094604607</v>
      </c>
      <c r="AF45" s="100">
        <v>7.4216957765562546</v>
      </c>
      <c r="AG45" s="100">
        <v>9271.1823640740731</v>
      </c>
      <c r="AH45" s="100">
        <v>4.6450829451408611</v>
      </c>
      <c r="AI45" s="100">
        <v>5802.6376150699634</v>
      </c>
      <c r="AJ45" s="100">
        <v>6.519119662475978</v>
      </c>
      <c r="AK45" s="100">
        <v>8143.6842823649922</v>
      </c>
      <c r="AL45" s="100">
        <v>2.548594069345385</v>
      </c>
      <c r="AM45" s="100">
        <v>3183.7037114262553</v>
      </c>
      <c r="AN45" s="100">
        <v>7.4299270860721842</v>
      </c>
      <c r="AO45" s="100">
        <v>9281.4649159213732</v>
      </c>
      <c r="AP45" s="100">
        <v>5.9185430182740646</v>
      </c>
      <c r="AQ45" s="100">
        <v>7393.4439384279622</v>
      </c>
      <c r="AR45" s="100">
        <v>5.5370621746432036</v>
      </c>
      <c r="AS45" s="100">
        <v>6916.89806856429</v>
      </c>
      <c r="AT45" s="100">
        <v>5.1250132562526672E-4</v>
      </c>
      <c r="AU45" s="100">
        <v>0.64021665597108324</v>
      </c>
      <c r="AV45" s="100">
        <v>7</v>
      </c>
      <c r="AW45" s="100">
        <v>8744.4</v>
      </c>
      <c r="AX45" s="100">
        <v>7</v>
      </c>
      <c r="AY45" s="100">
        <v>8744.4</v>
      </c>
      <c r="AZ45" s="100">
        <v>7</v>
      </c>
      <c r="BA45" s="100">
        <v>8744.4</v>
      </c>
      <c r="BB45" s="100">
        <v>6</v>
      </c>
      <c r="BC45" s="100">
        <v>7495.2000000000007</v>
      </c>
      <c r="BD45" s="100">
        <v>7.1961159254751053</v>
      </c>
      <c r="BE45" s="100">
        <v>8989.3880141035024</v>
      </c>
      <c r="BF45" s="100">
        <v>8</v>
      </c>
      <c r="BG45" s="100">
        <v>9993.6</v>
      </c>
      <c r="BH45" s="100">
        <v>6.2101784208739552</v>
      </c>
      <c r="BI45" s="100">
        <v>7757.7548833557448</v>
      </c>
      <c r="BJ45" s="100">
        <v>6.5807243048044413</v>
      </c>
      <c r="BK45" s="100">
        <v>8220.6408015617089</v>
      </c>
      <c r="BL45" s="100">
        <v>8</v>
      </c>
      <c r="BM45" s="100">
        <v>9993.6</v>
      </c>
      <c r="BN45" s="100">
        <v>4.1191077338628741</v>
      </c>
      <c r="BO45" s="100">
        <v>5145.5893811415026</v>
      </c>
      <c r="BP45" s="100">
        <v>5.4681821283637158</v>
      </c>
      <c r="BQ45" s="100">
        <v>6830.8531147519543</v>
      </c>
      <c r="BR45" s="100">
        <v>9</v>
      </c>
      <c r="BS45" s="100">
        <v>11242.800000000001</v>
      </c>
      <c r="BT45" s="100">
        <v>8</v>
      </c>
      <c r="BU45" s="100">
        <v>9993.6</v>
      </c>
      <c r="BV45" s="100">
        <v>4.9452600684381185</v>
      </c>
      <c r="BW45" s="100">
        <v>6177.6188774928978</v>
      </c>
      <c r="BX45" s="100">
        <v>5.4918685608504392</v>
      </c>
      <c r="BY45" s="100">
        <v>6860.4422062143685</v>
      </c>
      <c r="BZ45" s="100">
        <v>3.6338296507716996E-4</v>
      </c>
      <c r="CA45" s="100">
        <v>0.45393799997440076</v>
      </c>
      <c r="CB45" s="100">
        <v>1.542398014584645</v>
      </c>
      <c r="CC45" s="100">
        <v>1926.7635998191386</v>
      </c>
      <c r="CD45" s="100">
        <v>4.4109640130886234</v>
      </c>
      <c r="CE45" s="100">
        <v>5510.1762451503082</v>
      </c>
      <c r="CF45" s="100">
        <v>6</v>
      </c>
      <c r="CG45" s="100">
        <v>7495.2000000000007</v>
      </c>
      <c r="CH45" s="100">
        <v>10</v>
      </c>
      <c r="CI45" s="100">
        <v>12492</v>
      </c>
      <c r="CJ45" s="100">
        <v>7</v>
      </c>
      <c r="CK45" s="100">
        <v>8744.4</v>
      </c>
      <c r="CL45" s="100">
        <v>8</v>
      </c>
      <c r="CM45" s="100">
        <v>9993.6</v>
      </c>
      <c r="CN45" s="100">
        <v>4.1416923537557606</v>
      </c>
      <c r="CO45" s="100">
        <v>5173.802088311696</v>
      </c>
      <c r="CP45" s="100">
        <v>4.5822601162675755E-4</v>
      </c>
      <c r="CQ45" s="100">
        <v>0.57241593372414556</v>
      </c>
      <c r="CR45" s="100">
        <v>8</v>
      </c>
      <c r="CS45" s="100">
        <v>9993.6</v>
      </c>
      <c r="CT45" s="100">
        <v>9.1312749594924831</v>
      </c>
      <c r="CU45" s="100">
        <v>11406.788679398011</v>
      </c>
    </row>
    <row r="46" spans="2:99">
      <c r="C46" s="99" t="s">
        <v>212</v>
      </c>
      <c r="D46" s="100">
        <v>3.838935331262415</v>
      </c>
      <c r="E46" s="100">
        <v>4652.7896214900475</v>
      </c>
      <c r="F46" s="100">
        <v>5.4169759061566483</v>
      </c>
      <c r="G46" s="100">
        <v>6565.3747982618579</v>
      </c>
      <c r="H46" s="100">
        <v>2.0024801710426519</v>
      </c>
      <c r="I46" s="100">
        <v>2427.005967303694</v>
      </c>
      <c r="J46" s="100">
        <v>8</v>
      </c>
      <c r="K46" s="100">
        <v>9696</v>
      </c>
      <c r="L46" s="100">
        <v>6</v>
      </c>
      <c r="M46" s="100">
        <v>7272</v>
      </c>
      <c r="N46" s="100">
        <v>8</v>
      </c>
      <c r="O46" s="100">
        <v>9696</v>
      </c>
      <c r="P46" s="100">
        <v>5</v>
      </c>
      <c r="Q46" s="100">
        <v>6060</v>
      </c>
      <c r="R46" s="100">
        <v>6</v>
      </c>
      <c r="S46" s="100">
        <v>7272</v>
      </c>
      <c r="T46" s="100">
        <v>5</v>
      </c>
      <c r="U46" s="100">
        <v>6060</v>
      </c>
      <c r="V46" s="100">
        <v>5</v>
      </c>
      <c r="W46" s="100">
        <v>6060</v>
      </c>
      <c r="X46" s="100">
        <v>7.3967427707517555</v>
      </c>
      <c r="Y46" s="100">
        <v>8964.8522381511284</v>
      </c>
      <c r="Z46" s="100">
        <v>6</v>
      </c>
      <c r="AA46" s="100">
        <v>7272</v>
      </c>
      <c r="AB46" s="100">
        <v>7</v>
      </c>
      <c r="AC46" s="100">
        <v>8484</v>
      </c>
      <c r="AD46" s="100">
        <v>5.162019207359779</v>
      </c>
      <c r="AE46" s="100">
        <v>6256.3672793200521</v>
      </c>
      <c r="AF46" s="100">
        <v>6.4216957765562546</v>
      </c>
      <c r="AG46" s="100">
        <v>7783.0952811861807</v>
      </c>
      <c r="AH46" s="100">
        <v>4.6450829451408611</v>
      </c>
      <c r="AI46" s="100">
        <v>5629.8405295107232</v>
      </c>
      <c r="AJ46" s="100">
        <v>6.519119662475978</v>
      </c>
      <c r="AK46" s="100">
        <v>7901.1730309208851</v>
      </c>
      <c r="AL46" s="100">
        <v>2.548594069345385</v>
      </c>
      <c r="AM46" s="100">
        <v>3088.8960120466068</v>
      </c>
      <c r="AN46" s="100">
        <v>7.4299270860721842</v>
      </c>
      <c r="AO46" s="100">
        <v>9005.071628319487</v>
      </c>
      <c r="AP46" s="100">
        <v>5.9185430182740646</v>
      </c>
      <c r="AQ46" s="100">
        <v>7173.2741381481665</v>
      </c>
      <c r="AR46" s="100">
        <v>5.5370621746432036</v>
      </c>
      <c r="AS46" s="100">
        <v>6710.9193556675627</v>
      </c>
      <c r="AT46" s="100">
        <v>5.1250132562526672E-4</v>
      </c>
      <c r="AU46" s="100">
        <v>0.62115160665782321</v>
      </c>
      <c r="AV46" s="100">
        <v>7</v>
      </c>
      <c r="AW46" s="100">
        <v>8484</v>
      </c>
      <c r="AX46" s="100">
        <v>7</v>
      </c>
      <c r="AY46" s="100">
        <v>8484</v>
      </c>
      <c r="AZ46" s="100">
        <v>8</v>
      </c>
      <c r="BA46" s="100">
        <v>9696</v>
      </c>
      <c r="BB46" s="100">
        <v>6</v>
      </c>
      <c r="BC46" s="100">
        <v>7272</v>
      </c>
      <c r="BD46" s="100">
        <v>6.1797729316855134</v>
      </c>
      <c r="BE46" s="100">
        <v>7489.884793202842</v>
      </c>
      <c r="BF46" s="100">
        <v>9</v>
      </c>
      <c r="BG46" s="100">
        <v>10908</v>
      </c>
      <c r="BH46" s="100">
        <v>6.1891605787865593</v>
      </c>
      <c r="BI46" s="100">
        <v>7501.2626214893098</v>
      </c>
      <c r="BJ46" s="100">
        <v>7.4033148429049964</v>
      </c>
      <c r="BK46" s="100">
        <v>8972.8175896008561</v>
      </c>
      <c r="BL46" s="100">
        <v>7</v>
      </c>
      <c r="BM46" s="100">
        <v>8484</v>
      </c>
      <c r="BN46" s="100">
        <v>4.1191077338628741</v>
      </c>
      <c r="BO46" s="100">
        <v>4992.3585734418039</v>
      </c>
      <c r="BP46" s="100">
        <v>5.4681821283637158</v>
      </c>
      <c r="BQ46" s="100">
        <v>6627.4367395768231</v>
      </c>
      <c r="BR46" s="100">
        <v>9</v>
      </c>
      <c r="BS46" s="100">
        <v>10908</v>
      </c>
      <c r="BT46" s="100">
        <v>9</v>
      </c>
      <c r="BU46" s="100">
        <v>10908</v>
      </c>
      <c r="BV46" s="100">
        <v>4.9452600684381185</v>
      </c>
      <c r="BW46" s="100">
        <v>5993.6552029469995</v>
      </c>
      <c r="BX46" s="100">
        <v>6.4071799876588464</v>
      </c>
      <c r="BY46" s="100">
        <v>7765.502145042522</v>
      </c>
      <c r="BZ46" s="100">
        <v>3.6796338840419581E-4</v>
      </c>
      <c r="CA46" s="100">
        <v>0.44597162674588531</v>
      </c>
      <c r="CB46" s="100">
        <v>1.542398014584645</v>
      </c>
      <c r="CC46" s="100">
        <v>1869.3863936765897</v>
      </c>
      <c r="CD46" s="100">
        <v>4.4109640130886234</v>
      </c>
      <c r="CE46" s="100">
        <v>5346.0883838634118</v>
      </c>
      <c r="CF46" s="100">
        <v>7</v>
      </c>
      <c r="CG46" s="100">
        <v>8484</v>
      </c>
      <c r="CH46" s="100">
        <v>9</v>
      </c>
      <c r="CI46" s="100">
        <v>10908</v>
      </c>
      <c r="CJ46" s="100">
        <v>7</v>
      </c>
      <c r="CK46" s="100">
        <v>8484</v>
      </c>
      <c r="CL46" s="100">
        <v>8</v>
      </c>
      <c r="CM46" s="100">
        <v>9696</v>
      </c>
      <c r="CN46" s="100">
        <v>4.1416923537557606</v>
      </c>
      <c r="CO46" s="100">
        <v>5019.7311327519819</v>
      </c>
      <c r="CP46" s="100">
        <v>4.009477601734129E-4</v>
      </c>
      <c r="CQ46" s="100">
        <v>0.48594868533017643</v>
      </c>
      <c r="CR46" s="100">
        <v>8</v>
      </c>
      <c r="CS46" s="100">
        <v>9696</v>
      </c>
      <c r="CT46" s="100">
        <v>9.1312749594924831</v>
      </c>
      <c r="CU46" s="100">
        <v>11067.10525090489</v>
      </c>
    </row>
    <row r="47" spans="2:99">
      <c r="C47" s="99" t="s">
        <v>213</v>
      </c>
      <c r="D47" s="100">
        <v>3.3719068044616751</v>
      </c>
      <c r="E47" s="100">
        <v>5150.924834495655</v>
      </c>
      <c r="F47" s="100">
        <v>4.5871328138583074</v>
      </c>
      <c r="G47" s="100">
        <v>7007.3040864499499</v>
      </c>
      <c r="H47" s="100">
        <v>1.7799823742601348</v>
      </c>
      <c r="I47" s="100">
        <v>2719.1010749197817</v>
      </c>
      <c r="J47" s="100">
        <v>6</v>
      </c>
      <c r="K47" s="100">
        <v>9165.5999999999985</v>
      </c>
      <c r="L47" s="100">
        <v>7</v>
      </c>
      <c r="M47" s="100">
        <v>10693.199999999999</v>
      </c>
      <c r="N47" s="100">
        <v>8</v>
      </c>
      <c r="O47" s="100">
        <v>12220.8</v>
      </c>
      <c r="P47" s="100">
        <v>5</v>
      </c>
      <c r="Q47" s="100">
        <v>7638</v>
      </c>
      <c r="R47" s="100">
        <v>6</v>
      </c>
      <c r="S47" s="100">
        <v>9165.5999999999985</v>
      </c>
      <c r="T47" s="100">
        <v>5</v>
      </c>
      <c r="U47" s="100">
        <v>7638</v>
      </c>
      <c r="V47" s="100">
        <v>5</v>
      </c>
      <c r="W47" s="100">
        <v>7638</v>
      </c>
      <c r="X47" s="100">
        <v>8.4463356170957251</v>
      </c>
      <c r="Y47" s="100">
        <v>12902.622288675429</v>
      </c>
      <c r="Z47" s="100">
        <v>6</v>
      </c>
      <c r="AA47" s="100">
        <v>9165.5999999999985</v>
      </c>
      <c r="AB47" s="100">
        <v>6</v>
      </c>
      <c r="AC47" s="100">
        <v>9165.5999999999985</v>
      </c>
      <c r="AD47" s="100">
        <v>5.162019207359779</v>
      </c>
      <c r="AE47" s="100">
        <v>7885.5005411627981</v>
      </c>
      <c r="AF47" s="100">
        <v>6.3795261989006296</v>
      </c>
      <c r="AG47" s="100">
        <v>9745.3642214406009</v>
      </c>
      <c r="AH47" s="100">
        <v>5.3086662230181263</v>
      </c>
      <c r="AI47" s="100">
        <v>8109.5185222824894</v>
      </c>
      <c r="AJ47" s="100">
        <v>6.5663123590647032</v>
      </c>
      <c r="AK47" s="100">
        <v>10030.69875970724</v>
      </c>
      <c r="AL47" s="100">
        <v>2.230019810677212</v>
      </c>
      <c r="AM47" s="100">
        <v>3406.5782627905087</v>
      </c>
      <c r="AN47" s="100">
        <v>6.6043796320641626</v>
      </c>
      <c r="AO47" s="100">
        <v>10088.850325941214</v>
      </c>
      <c r="AP47" s="100">
        <v>5.9185430182740646</v>
      </c>
      <c r="AQ47" s="100">
        <v>9041.1663147154613</v>
      </c>
      <c r="AR47" s="100">
        <v>5.5370621746432036</v>
      </c>
      <c r="AS47" s="100">
        <v>8458.4161779849564</v>
      </c>
      <c r="AT47" s="100">
        <v>5.7656399132842504E-4</v>
      </c>
      <c r="AU47" s="100">
        <v>0.880759153153302</v>
      </c>
      <c r="AV47" s="100">
        <v>7</v>
      </c>
      <c r="AW47" s="100">
        <v>10693.199999999999</v>
      </c>
      <c r="AX47" s="100">
        <v>6</v>
      </c>
      <c r="AY47" s="100">
        <v>9165.5999999999985</v>
      </c>
      <c r="AZ47" s="100">
        <v>8</v>
      </c>
      <c r="BA47" s="100">
        <v>12220.8</v>
      </c>
      <c r="BB47" s="100">
        <v>7</v>
      </c>
      <c r="BC47" s="100">
        <v>10693.199999999999</v>
      </c>
      <c r="BD47" s="100">
        <v>7.1961159254751053</v>
      </c>
      <c r="BE47" s="100">
        <v>10992.78668775577</v>
      </c>
      <c r="BF47" s="100">
        <v>8</v>
      </c>
      <c r="BG47" s="100">
        <v>12220.8</v>
      </c>
      <c r="BH47" s="100">
        <v>7.1891605787865593</v>
      </c>
      <c r="BI47" s="100">
        <v>10982.161700154347</v>
      </c>
      <c r="BJ47" s="100">
        <v>6.5807243048044413</v>
      </c>
      <c r="BK47" s="100">
        <v>10052.714448019264</v>
      </c>
      <c r="BL47" s="100">
        <v>7</v>
      </c>
      <c r="BM47" s="100">
        <v>10693.199999999999</v>
      </c>
      <c r="BN47" s="100">
        <v>4.1191077338628741</v>
      </c>
      <c r="BO47" s="100">
        <v>6292.3489742489264</v>
      </c>
      <c r="BP47" s="100">
        <v>4.7846593623182514</v>
      </c>
      <c r="BQ47" s="100">
        <v>7309.0456418773601</v>
      </c>
      <c r="BR47" s="100">
        <v>9</v>
      </c>
      <c r="BS47" s="100">
        <v>13748.4</v>
      </c>
      <c r="BT47" s="100">
        <v>9</v>
      </c>
      <c r="BU47" s="100">
        <v>13748.4</v>
      </c>
      <c r="BV47" s="100">
        <v>5.7694700798444716</v>
      </c>
      <c r="BW47" s="100">
        <v>8813.4424939704149</v>
      </c>
      <c r="BX47" s="100">
        <v>6.4071799876588464</v>
      </c>
      <c r="BY47" s="100">
        <v>9787.6081491476525</v>
      </c>
      <c r="BZ47" s="100">
        <v>3.6796338840419581E-4</v>
      </c>
      <c r="CA47" s="100">
        <v>0.56210087212624948</v>
      </c>
      <c r="CB47" s="100">
        <v>1.5382167173590848</v>
      </c>
      <c r="CC47" s="100">
        <v>2349.779857437738</v>
      </c>
      <c r="CD47" s="100">
        <v>3.6758033442405194</v>
      </c>
      <c r="CE47" s="100">
        <v>5615.1571886618167</v>
      </c>
      <c r="CF47" s="100">
        <v>6</v>
      </c>
      <c r="CG47" s="100">
        <v>9165.5999999999985</v>
      </c>
      <c r="CH47" s="100">
        <v>9</v>
      </c>
      <c r="CI47" s="100">
        <v>13748.4</v>
      </c>
      <c r="CJ47" s="100">
        <v>7</v>
      </c>
      <c r="CK47" s="100">
        <v>10693.199999999999</v>
      </c>
      <c r="CL47" s="100">
        <v>8</v>
      </c>
      <c r="CM47" s="100">
        <v>12220.8</v>
      </c>
      <c r="CN47" s="100">
        <v>4.1181206872090925</v>
      </c>
      <c r="CO47" s="100">
        <v>6290.8411617806096</v>
      </c>
      <c r="CP47" s="100">
        <v>4.5822601162675755E-4</v>
      </c>
      <c r="CQ47" s="100">
        <v>0.69998605536103475</v>
      </c>
      <c r="CR47" s="100">
        <v>7</v>
      </c>
      <c r="CS47" s="100">
        <v>10693.199999999999</v>
      </c>
      <c r="CT47" s="100">
        <v>9.1312749594924831</v>
      </c>
      <c r="CU47" s="100">
        <v>13948.935628120717</v>
      </c>
    </row>
    <row r="48" spans="2:99">
      <c r="C48" s="99" t="s">
        <v>214</v>
      </c>
      <c r="D48" s="100">
        <v>3.3658652093524695</v>
      </c>
      <c r="E48" s="100">
        <v>2920.2246556342025</v>
      </c>
      <c r="F48" s="100">
        <v>5.4169759061566483</v>
      </c>
      <c r="G48" s="100">
        <v>4699.768296181508</v>
      </c>
      <c r="H48" s="100">
        <v>2.0024801710426519</v>
      </c>
      <c r="I48" s="100">
        <v>1737.3517963966049</v>
      </c>
      <c r="J48" s="100">
        <v>7</v>
      </c>
      <c r="K48" s="100">
        <v>6073.2</v>
      </c>
      <c r="L48" s="100">
        <v>7</v>
      </c>
      <c r="M48" s="100">
        <v>6073.2</v>
      </c>
      <c r="N48" s="100">
        <v>9</v>
      </c>
      <c r="O48" s="100">
        <v>7808.4000000000005</v>
      </c>
      <c r="P48" s="100">
        <v>5</v>
      </c>
      <c r="Q48" s="100">
        <v>4338</v>
      </c>
      <c r="R48" s="100">
        <v>6</v>
      </c>
      <c r="S48" s="100">
        <v>5205.6000000000004</v>
      </c>
      <c r="T48" s="100">
        <v>5</v>
      </c>
      <c r="U48" s="100">
        <v>4338</v>
      </c>
      <c r="V48" s="100">
        <v>6</v>
      </c>
      <c r="W48" s="100">
        <v>5205.6000000000004</v>
      </c>
      <c r="X48" s="100">
        <v>8.4463356170957251</v>
      </c>
      <c r="Y48" s="100">
        <v>7328.0407813922511</v>
      </c>
      <c r="Z48" s="100">
        <v>7</v>
      </c>
      <c r="AA48" s="100">
        <v>6073.2</v>
      </c>
      <c r="AB48" s="100">
        <v>6</v>
      </c>
      <c r="AC48" s="100">
        <v>5205.6000000000004</v>
      </c>
      <c r="AD48" s="100">
        <v>4.1822716082797511</v>
      </c>
      <c r="AE48" s="100">
        <v>3628.5388473435123</v>
      </c>
      <c r="AF48" s="100">
        <v>6.3795261989006296</v>
      </c>
      <c r="AG48" s="100">
        <v>5534.876930166186</v>
      </c>
      <c r="AH48" s="100">
        <v>5.3086662230181263</v>
      </c>
      <c r="AI48" s="100">
        <v>4605.7988150905267</v>
      </c>
      <c r="AJ48" s="100">
        <v>6.5663123590647032</v>
      </c>
      <c r="AK48" s="100">
        <v>5696.932602724537</v>
      </c>
      <c r="AL48" s="100">
        <v>2.548594069345385</v>
      </c>
      <c r="AM48" s="100">
        <v>2211.1602145640559</v>
      </c>
      <c r="AN48" s="100">
        <v>6.6043796320641626</v>
      </c>
      <c r="AO48" s="100">
        <v>5729.9597687788673</v>
      </c>
      <c r="AP48" s="100">
        <v>5.9185430182740646</v>
      </c>
      <c r="AQ48" s="100">
        <v>5134.9279226545787</v>
      </c>
      <c r="AR48" s="100">
        <v>5.5370621746432036</v>
      </c>
      <c r="AS48" s="100">
        <v>4803.9551427204433</v>
      </c>
      <c r="AT48" s="100">
        <v>5.1250132562526672E-4</v>
      </c>
      <c r="AU48" s="100">
        <v>0.44464615011248143</v>
      </c>
      <c r="AV48" s="100">
        <v>7</v>
      </c>
      <c r="AW48" s="100">
        <v>6073.2</v>
      </c>
      <c r="AX48" s="100">
        <v>6</v>
      </c>
      <c r="AY48" s="100">
        <v>5205.6000000000004</v>
      </c>
      <c r="AZ48" s="100">
        <v>7</v>
      </c>
      <c r="BA48" s="100">
        <v>6073.2</v>
      </c>
      <c r="BB48" s="100">
        <v>7</v>
      </c>
      <c r="BC48" s="100">
        <v>6073.2</v>
      </c>
      <c r="BD48" s="100">
        <v>6.1797729316855134</v>
      </c>
      <c r="BE48" s="100">
        <v>5361.5709955303519</v>
      </c>
      <c r="BF48" s="100">
        <v>10</v>
      </c>
      <c r="BG48" s="100">
        <v>8676</v>
      </c>
      <c r="BH48" s="100">
        <v>7.2101784208739552</v>
      </c>
      <c r="BI48" s="100">
        <v>6255.5507979502436</v>
      </c>
      <c r="BJ48" s="100">
        <v>7.4033148429049964</v>
      </c>
      <c r="BK48" s="100">
        <v>6423.1159577043754</v>
      </c>
      <c r="BL48" s="100">
        <v>7</v>
      </c>
      <c r="BM48" s="100">
        <v>6073.2</v>
      </c>
      <c r="BN48" s="100">
        <v>4.1191077338628741</v>
      </c>
      <c r="BO48" s="100">
        <v>3573.7378698994298</v>
      </c>
      <c r="BP48" s="100">
        <v>4.7846593623182514</v>
      </c>
      <c r="BQ48" s="100">
        <v>4151.1704627473155</v>
      </c>
      <c r="BR48" s="100">
        <v>10</v>
      </c>
      <c r="BS48" s="100">
        <v>8676</v>
      </c>
      <c r="BT48" s="100">
        <v>8</v>
      </c>
      <c r="BU48" s="100">
        <v>6940.8</v>
      </c>
      <c r="BV48" s="100">
        <v>4.9452600684381185</v>
      </c>
      <c r="BW48" s="100">
        <v>4290.5076353769118</v>
      </c>
      <c r="BX48" s="100">
        <v>5.4918685608504392</v>
      </c>
      <c r="BY48" s="100">
        <v>4764.7451633938408</v>
      </c>
      <c r="BZ48" s="100">
        <v>3.6567317674068286E-4</v>
      </c>
      <c r="CA48" s="100">
        <v>0.31725804814021646</v>
      </c>
      <c r="CB48" s="100">
        <v>1.542398014584645</v>
      </c>
      <c r="CC48" s="100">
        <v>1338.1845174536379</v>
      </c>
      <c r="CD48" s="100">
        <v>5.146124681936727</v>
      </c>
      <c r="CE48" s="100">
        <v>4464.7777740483043</v>
      </c>
      <c r="CF48" s="100">
        <v>7</v>
      </c>
      <c r="CG48" s="100">
        <v>6073.2</v>
      </c>
      <c r="CH48" s="100">
        <v>9</v>
      </c>
      <c r="CI48" s="100">
        <v>7808.4000000000005</v>
      </c>
      <c r="CJ48" s="100">
        <v>8</v>
      </c>
      <c r="CK48" s="100">
        <v>6940.8</v>
      </c>
      <c r="CL48" s="100">
        <v>7</v>
      </c>
      <c r="CM48" s="100">
        <v>6073.2</v>
      </c>
      <c r="CN48" s="100">
        <v>4.8898871582482437</v>
      </c>
      <c r="CO48" s="100">
        <v>4242.4660984961765</v>
      </c>
      <c r="CP48" s="100">
        <v>4.009477601734129E-4</v>
      </c>
      <c r="CQ48" s="100">
        <v>0.34786227672645303</v>
      </c>
      <c r="CR48" s="100">
        <v>7</v>
      </c>
      <c r="CS48" s="100">
        <v>6073.2</v>
      </c>
      <c r="CT48" s="100">
        <v>9.1312749594924831</v>
      </c>
      <c r="CU48" s="100">
        <v>7922.2941548556782</v>
      </c>
    </row>
    <row r="49" spans="2:99">
      <c r="B49" s="99" t="s">
        <v>129</v>
      </c>
      <c r="C49" s="99" t="s">
        <v>215</v>
      </c>
      <c r="D49" s="100">
        <v>6.2689330699892665</v>
      </c>
      <c r="E49" s="100">
        <v>6176.1528605534249</v>
      </c>
      <c r="F49" s="100">
        <v>2.0322446350168741</v>
      </c>
      <c r="G49" s="100">
        <v>2002.1674144186243</v>
      </c>
      <c r="H49" s="100">
        <v>0.35689024971706795</v>
      </c>
      <c r="I49" s="100">
        <v>351.60827402125534</v>
      </c>
      <c r="J49" s="100">
        <v>3</v>
      </c>
      <c r="K49" s="100">
        <v>2955.6</v>
      </c>
      <c r="L49" s="100">
        <v>4</v>
      </c>
      <c r="M49" s="100">
        <v>3940.7999999999997</v>
      </c>
      <c r="N49" s="100">
        <v>6</v>
      </c>
      <c r="O49" s="100">
        <v>5911.2</v>
      </c>
      <c r="P49" s="100">
        <v>5</v>
      </c>
      <c r="Q49" s="100">
        <v>4926</v>
      </c>
      <c r="R49" s="100">
        <v>6</v>
      </c>
      <c r="S49" s="100">
        <v>5911.2</v>
      </c>
      <c r="T49" s="100">
        <v>5</v>
      </c>
      <c r="U49" s="100">
        <v>4926</v>
      </c>
      <c r="V49" s="100">
        <v>4</v>
      </c>
      <c r="W49" s="100">
        <v>3940.7999999999997</v>
      </c>
      <c r="X49" s="100">
        <v>3.3080692491160817</v>
      </c>
      <c r="Y49" s="100">
        <v>3259.1098242291637</v>
      </c>
      <c r="Z49" s="100">
        <v>5.9042522012891538</v>
      </c>
      <c r="AA49" s="100">
        <v>5816.8692687100738</v>
      </c>
      <c r="AB49" s="100">
        <v>4</v>
      </c>
      <c r="AC49" s="100">
        <v>3940.7999999999997</v>
      </c>
      <c r="AD49" s="100">
        <v>3</v>
      </c>
      <c r="AE49" s="100">
        <v>2955.6</v>
      </c>
      <c r="AF49" s="100">
        <v>3</v>
      </c>
      <c r="AG49" s="100">
        <v>2955.6</v>
      </c>
      <c r="AH49" s="100">
        <v>6</v>
      </c>
      <c r="AI49" s="100">
        <v>5911.2</v>
      </c>
      <c r="AJ49" s="100">
        <v>5</v>
      </c>
      <c r="AK49" s="100">
        <v>4926</v>
      </c>
      <c r="AL49" s="100">
        <v>5</v>
      </c>
      <c r="AM49" s="100">
        <v>4926</v>
      </c>
      <c r="AN49" s="100">
        <v>5.2067880761150063</v>
      </c>
      <c r="AO49" s="100">
        <v>5129.7276125885037</v>
      </c>
      <c r="AP49" s="100">
        <v>4.9026462090328984</v>
      </c>
      <c r="AQ49" s="100">
        <v>4830.0870451392111</v>
      </c>
      <c r="AR49" s="100">
        <v>3.7175277672232849</v>
      </c>
      <c r="AS49" s="100">
        <v>3662.5083562683799</v>
      </c>
      <c r="AT49" s="100">
        <v>5</v>
      </c>
      <c r="AU49" s="100">
        <v>4926</v>
      </c>
      <c r="AV49" s="100">
        <v>6</v>
      </c>
      <c r="AW49" s="100">
        <v>5911.2</v>
      </c>
      <c r="AX49" s="100">
        <v>7</v>
      </c>
      <c r="AY49" s="100">
        <v>6896.4</v>
      </c>
      <c r="AZ49" s="100">
        <v>6</v>
      </c>
      <c r="BA49" s="100">
        <v>5911.2</v>
      </c>
      <c r="BB49" s="100">
        <v>5</v>
      </c>
      <c r="BC49" s="100">
        <v>4926</v>
      </c>
      <c r="BD49" s="100">
        <v>6</v>
      </c>
      <c r="BE49" s="100">
        <v>5911.2</v>
      </c>
      <c r="BF49" s="100">
        <v>5.5304287564576207</v>
      </c>
      <c r="BG49" s="100">
        <v>5448.5784108620473</v>
      </c>
      <c r="BH49" s="100">
        <v>2.8555210230666468</v>
      </c>
      <c r="BI49" s="100">
        <v>2813.2593119252601</v>
      </c>
      <c r="BJ49" s="100">
        <v>2.7524003661172398</v>
      </c>
      <c r="BK49" s="100">
        <v>2711.6648406987047</v>
      </c>
      <c r="BL49" s="100">
        <v>4</v>
      </c>
      <c r="BM49" s="100">
        <v>3940.7999999999997</v>
      </c>
      <c r="BN49" s="100">
        <v>5</v>
      </c>
      <c r="BO49" s="100">
        <v>4926</v>
      </c>
      <c r="BP49" s="100">
        <v>5</v>
      </c>
      <c r="BQ49" s="100">
        <v>4926</v>
      </c>
      <c r="BR49" s="100">
        <v>5</v>
      </c>
      <c r="BS49" s="100">
        <v>4926</v>
      </c>
      <c r="BT49" s="100">
        <v>5</v>
      </c>
      <c r="BU49" s="100">
        <v>4926</v>
      </c>
      <c r="BV49" s="100">
        <v>4</v>
      </c>
      <c r="BW49" s="100">
        <v>3940.7999999999997</v>
      </c>
      <c r="BX49" s="100">
        <v>5.39656558408831</v>
      </c>
      <c r="BY49" s="100">
        <v>5316.6964134438031</v>
      </c>
      <c r="BZ49" s="100">
        <v>4.9163240515038691</v>
      </c>
      <c r="CA49" s="100">
        <v>4843.5624555416116</v>
      </c>
      <c r="CB49" s="100">
        <v>6</v>
      </c>
      <c r="CC49" s="100">
        <v>5911.2</v>
      </c>
      <c r="CD49" s="100">
        <v>4</v>
      </c>
      <c r="CE49" s="100">
        <v>3940.7999999999997</v>
      </c>
      <c r="CF49" s="100">
        <v>7</v>
      </c>
      <c r="CG49" s="100">
        <v>6896.4</v>
      </c>
      <c r="CH49" s="100">
        <v>5</v>
      </c>
      <c r="CI49" s="100">
        <v>4926</v>
      </c>
      <c r="CJ49" s="100">
        <v>5.2050237524253893</v>
      </c>
      <c r="CK49" s="100">
        <v>5127.9894008894935</v>
      </c>
      <c r="CL49" s="100">
        <v>2.6527677684639301</v>
      </c>
      <c r="CM49" s="100">
        <v>2613.5068054906637</v>
      </c>
      <c r="CN49" s="100">
        <v>5.2157016847662891</v>
      </c>
      <c r="CO49" s="100">
        <v>5138.5092998317477</v>
      </c>
      <c r="CP49" s="100">
        <v>6</v>
      </c>
      <c r="CQ49" s="100">
        <v>5911.2</v>
      </c>
      <c r="CR49" s="100">
        <v>5</v>
      </c>
      <c r="CS49" s="100">
        <v>4926</v>
      </c>
      <c r="CT49" s="100">
        <v>5</v>
      </c>
      <c r="CU49" s="100">
        <v>4926</v>
      </c>
    </row>
    <row r="50" spans="2:99">
      <c r="C50" s="99" t="s">
        <v>216</v>
      </c>
      <c r="D50" s="100">
        <v>3.3477404240248538</v>
      </c>
      <c r="E50" s="100">
        <v>944.06279957500874</v>
      </c>
      <c r="F50" s="100">
        <v>3.6321704780266511</v>
      </c>
      <c r="G50" s="100">
        <v>1024.2720748035156</v>
      </c>
      <c r="H50" s="100">
        <v>1.1124889839125842</v>
      </c>
      <c r="I50" s="100">
        <v>313.72189346334875</v>
      </c>
      <c r="J50" s="100">
        <v>4</v>
      </c>
      <c r="K50" s="100">
        <v>1128</v>
      </c>
      <c r="L50" s="100">
        <v>4</v>
      </c>
      <c r="M50" s="100">
        <v>1128</v>
      </c>
      <c r="N50" s="100">
        <v>6</v>
      </c>
      <c r="O50" s="100">
        <v>1692</v>
      </c>
      <c r="P50" s="100">
        <v>6</v>
      </c>
      <c r="Q50" s="100">
        <v>1692</v>
      </c>
      <c r="R50" s="100">
        <v>6</v>
      </c>
      <c r="S50" s="100">
        <v>1692</v>
      </c>
      <c r="T50" s="100">
        <v>4</v>
      </c>
      <c r="U50" s="100">
        <v>1128</v>
      </c>
      <c r="V50" s="100">
        <v>5</v>
      </c>
      <c r="W50" s="100">
        <v>1410</v>
      </c>
      <c r="X50" s="100">
        <v>3.4959284634396943</v>
      </c>
      <c r="Y50" s="100">
        <v>985.8518266899938</v>
      </c>
      <c r="Z50" s="100">
        <v>5</v>
      </c>
      <c r="AA50" s="100">
        <v>1410</v>
      </c>
      <c r="AB50" s="100">
        <v>4</v>
      </c>
      <c r="AC50" s="100">
        <v>1128</v>
      </c>
      <c r="AD50" s="100">
        <v>4.2227764101196961</v>
      </c>
      <c r="AE50" s="100">
        <v>1190.8229476537542</v>
      </c>
      <c r="AF50" s="100">
        <v>4.2951870435893786</v>
      </c>
      <c r="AG50" s="100">
        <v>1211.2427462922049</v>
      </c>
      <c r="AH50" s="100">
        <v>3.9814996672635945</v>
      </c>
      <c r="AI50" s="100">
        <v>1122.7829061683337</v>
      </c>
      <c r="AJ50" s="100">
        <v>5.4247342692985274</v>
      </c>
      <c r="AK50" s="100">
        <v>1529.7750639421847</v>
      </c>
      <c r="AL50" s="100">
        <v>1.5928712933408657</v>
      </c>
      <c r="AM50" s="100">
        <v>449.18970472212413</v>
      </c>
      <c r="AN50" s="100">
        <v>4.9532847240481219</v>
      </c>
      <c r="AO50" s="100">
        <v>1396.8262921815704</v>
      </c>
      <c r="AP50" s="100">
        <v>4.4102237443682704</v>
      </c>
      <c r="AQ50" s="100">
        <v>1243.6830959118522</v>
      </c>
      <c r="AR50" s="100">
        <v>3.164035528367545</v>
      </c>
      <c r="AS50" s="100">
        <v>892.25801899964767</v>
      </c>
      <c r="AT50" s="100">
        <v>3.8437599421895007E-4</v>
      </c>
      <c r="AU50" s="100">
        <v>0.10839403036974392</v>
      </c>
      <c r="AV50" s="100">
        <v>6</v>
      </c>
      <c r="AW50" s="100">
        <v>1692</v>
      </c>
      <c r="AX50" s="100">
        <v>7</v>
      </c>
      <c r="AY50" s="100">
        <v>1974</v>
      </c>
      <c r="AZ50" s="100">
        <v>6</v>
      </c>
      <c r="BA50" s="100">
        <v>1692</v>
      </c>
      <c r="BB50" s="100">
        <v>5</v>
      </c>
      <c r="BC50" s="100">
        <v>1410</v>
      </c>
      <c r="BD50" s="100">
        <v>7.1470869441063289</v>
      </c>
      <c r="BE50" s="100">
        <v>2015.4785182379849</v>
      </c>
      <c r="BF50" s="100">
        <v>6</v>
      </c>
      <c r="BG50" s="100">
        <v>1692</v>
      </c>
      <c r="BH50" s="100">
        <v>4.1261070525243726</v>
      </c>
      <c r="BI50" s="100">
        <v>1163.5621888118731</v>
      </c>
      <c r="BJ50" s="100">
        <v>3.2903621524022206</v>
      </c>
      <c r="BK50" s="100">
        <v>927.8821269774262</v>
      </c>
      <c r="BL50" s="100">
        <v>4</v>
      </c>
      <c r="BM50" s="100">
        <v>1128</v>
      </c>
      <c r="BN50" s="100">
        <v>4.1191077338628741</v>
      </c>
      <c r="BO50" s="100">
        <v>1161.5883809493305</v>
      </c>
      <c r="BP50" s="100">
        <v>3.4176138302273227</v>
      </c>
      <c r="BQ50" s="100">
        <v>963.76710012410501</v>
      </c>
      <c r="BR50" s="100">
        <v>5</v>
      </c>
      <c r="BS50" s="100">
        <v>1410</v>
      </c>
      <c r="BT50" s="100">
        <v>5</v>
      </c>
      <c r="BU50" s="100">
        <v>1410</v>
      </c>
      <c r="BV50" s="100">
        <v>3.3434301018406418</v>
      </c>
      <c r="BW50" s="100">
        <v>942.847288719061</v>
      </c>
      <c r="BX50" s="100">
        <v>4.5765571340420328</v>
      </c>
      <c r="BY50" s="100">
        <v>1290.5891117998533</v>
      </c>
      <c r="BZ50" s="100">
        <v>4.2318338870219401E-4</v>
      </c>
      <c r="CA50" s="100">
        <v>0.11933771561401871</v>
      </c>
      <c r="CB50" s="100">
        <v>1.1536625380193137</v>
      </c>
      <c r="CC50" s="100">
        <v>325.33283572144649</v>
      </c>
      <c r="CD50" s="100">
        <v>2.9406426753924153</v>
      </c>
      <c r="CE50" s="100">
        <v>829.26123446066117</v>
      </c>
      <c r="CF50" s="100">
        <v>7</v>
      </c>
      <c r="CG50" s="100">
        <v>1974</v>
      </c>
      <c r="CH50" s="100">
        <v>6</v>
      </c>
      <c r="CI50" s="100">
        <v>1692</v>
      </c>
      <c r="CJ50" s="100">
        <v>5</v>
      </c>
      <c r="CK50" s="100">
        <v>1410</v>
      </c>
      <c r="CL50" s="100">
        <v>5</v>
      </c>
      <c r="CM50" s="100">
        <v>1410</v>
      </c>
      <c r="CN50" s="100">
        <v>5.6145102961940596</v>
      </c>
      <c r="CO50" s="100">
        <v>1583.2919035267248</v>
      </c>
      <c r="CP50" s="100">
        <v>3.4366950872006814E-4</v>
      </c>
      <c r="CQ50" s="100">
        <v>9.6914801459059216E-2</v>
      </c>
      <c r="CR50" s="100">
        <v>5</v>
      </c>
      <c r="CS50" s="100">
        <v>1410</v>
      </c>
      <c r="CT50" s="100">
        <v>5.0835386105861256</v>
      </c>
      <c r="CU50" s="100">
        <v>1433.5578881852873</v>
      </c>
    </row>
    <row r="51" spans="2:99">
      <c r="C51" s="99" t="s">
        <v>217</v>
      </c>
      <c r="D51" s="100">
        <v>3.353782019134059</v>
      </c>
      <c r="E51" s="100">
        <v>2865.4713571481398</v>
      </c>
      <c r="F51" s="100">
        <v>4.4620135703249915</v>
      </c>
      <c r="G51" s="100">
        <v>3812.3443944856726</v>
      </c>
      <c r="H51" s="100">
        <v>1.1124889839125842</v>
      </c>
      <c r="I51" s="100">
        <v>950.51058785491193</v>
      </c>
      <c r="J51" s="100">
        <v>3</v>
      </c>
      <c r="K51" s="100">
        <v>2563.1999999999998</v>
      </c>
      <c r="L51" s="100">
        <v>4</v>
      </c>
      <c r="M51" s="100">
        <v>3417.6</v>
      </c>
      <c r="N51" s="100">
        <v>6</v>
      </c>
      <c r="O51" s="100">
        <v>5126.3999999999996</v>
      </c>
      <c r="P51" s="100">
        <v>5</v>
      </c>
      <c r="Q51" s="100">
        <v>4272</v>
      </c>
      <c r="R51" s="100">
        <v>5</v>
      </c>
      <c r="S51" s="100">
        <v>4272</v>
      </c>
      <c r="T51" s="100">
        <v>4</v>
      </c>
      <c r="U51" s="100">
        <v>3417.6</v>
      </c>
      <c r="V51" s="100">
        <v>4</v>
      </c>
      <c r="W51" s="100">
        <v>3417.6</v>
      </c>
      <c r="X51" s="100">
        <v>4.4959284634396948</v>
      </c>
      <c r="Y51" s="100">
        <v>3841.3212791628753</v>
      </c>
      <c r="Z51" s="100">
        <v>6</v>
      </c>
      <c r="AA51" s="100">
        <v>5126.3999999999996</v>
      </c>
      <c r="AB51" s="100">
        <v>4</v>
      </c>
      <c r="AC51" s="100">
        <v>3417.6</v>
      </c>
      <c r="AD51" s="100">
        <v>3.1822716082797515</v>
      </c>
      <c r="AE51" s="100">
        <v>2718.9328621142195</v>
      </c>
      <c r="AF51" s="100">
        <v>4.2530174659337527</v>
      </c>
      <c r="AG51" s="100">
        <v>3633.7781228937984</v>
      </c>
      <c r="AH51" s="100">
        <v>4.6450829451408611</v>
      </c>
      <c r="AI51" s="100">
        <v>3968.7588683283516</v>
      </c>
      <c r="AJ51" s="100">
        <v>5.4247342692985274</v>
      </c>
      <c r="AK51" s="100">
        <v>4634.8929596886619</v>
      </c>
      <c r="AL51" s="100">
        <v>1.5928712933408657</v>
      </c>
      <c r="AM51" s="100">
        <v>1360.9492330304356</v>
      </c>
      <c r="AN51" s="100">
        <v>4.9532847240481219</v>
      </c>
      <c r="AO51" s="100">
        <v>4232.0864682267156</v>
      </c>
      <c r="AP51" s="100">
        <v>4.4102237443682704</v>
      </c>
      <c r="AQ51" s="100">
        <v>3768.0951671882499</v>
      </c>
      <c r="AR51" s="100">
        <v>3.9550444104594318</v>
      </c>
      <c r="AS51" s="100">
        <v>3379.1899442965382</v>
      </c>
      <c r="AT51" s="100">
        <v>3.2031332851579169E-4</v>
      </c>
      <c r="AU51" s="100">
        <v>0.27367570788389239</v>
      </c>
      <c r="AV51" s="100">
        <v>6</v>
      </c>
      <c r="AW51" s="100">
        <v>5126.3999999999996</v>
      </c>
      <c r="AX51" s="100">
        <v>7</v>
      </c>
      <c r="AY51" s="100">
        <v>5980.8</v>
      </c>
      <c r="AZ51" s="100">
        <v>6</v>
      </c>
      <c r="BA51" s="100">
        <v>5126.3999999999996</v>
      </c>
      <c r="BB51" s="100">
        <v>6</v>
      </c>
      <c r="BC51" s="100">
        <v>5126.3999999999996</v>
      </c>
      <c r="BD51" s="100">
        <v>6.1307439503167371</v>
      </c>
      <c r="BE51" s="100">
        <v>5238.1076311506204</v>
      </c>
      <c r="BF51" s="100">
        <v>6</v>
      </c>
      <c r="BG51" s="100">
        <v>5126.3999999999996</v>
      </c>
      <c r="BH51" s="100">
        <v>3.126107052524373</v>
      </c>
      <c r="BI51" s="100">
        <v>2670.9458656768243</v>
      </c>
      <c r="BJ51" s="100">
        <v>3.2903621524022206</v>
      </c>
      <c r="BK51" s="100">
        <v>2811.2854230124572</v>
      </c>
      <c r="BL51" s="100">
        <v>4</v>
      </c>
      <c r="BM51" s="100">
        <v>3417.6</v>
      </c>
      <c r="BN51" s="100">
        <v>4.9429292806354486</v>
      </c>
      <c r="BO51" s="100">
        <v>4223.2387773749269</v>
      </c>
      <c r="BP51" s="100">
        <v>3.4176138302273227</v>
      </c>
      <c r="BQ51" s="100">
        <v>2920.0092565462246</v>
      </c>
      <c r="BR51" s="100">
        <v>5</v>
      </c>
      <c r="BS51" s="100">
        <v>4272</v>
      </c>
      <c r="BT51" s="100">
        <v>5</v>
      </c>
      <c r="BU51" s="100">
        <v>4272</v>
      </c>
      <c r="BV51" s="100">
        <v>2.5192200904342887</v>
      </c>
      <c r="BW51" s="100">
        <v>2152.4216452670562</v>
      </c>
      <c r="BX51" s="100">
        <v>4.5765571340420328</v>
      </c>
      <c r="BY51" s="100">
        <v>3910.2104153255127</v>
      </c>
      <c r="BZ51" s="100">
        <v>4.2318338870219401E-4</v>
      </c>
      <c r="CA51" s="100">
        <v>0.36156788730715456</v>
      </c>
      <c r="CB51" s="100">
        <v>1.1494812407937534</v>
      </c>
      <c r="CC51" s="100">
        <v>982.11677213418284</v>
      </c>
      <c r="CD51" s="100">
        <v>2.9406426753924153</v>
      </c>
      <c r="CE51" s="100">
        <v>2512.4851018552795</v>
      </c>
      <c r="CF51" s="100">
        <v>7</v>
      </c>
      <c r="CG51" s="100">
        <v>5980.8</v>
      </c>
      <c r="CH51" s="100">
        <v>5</v>
      </c>
      <c r="CI51" s="100">
        <v>4272</v>
      </c>
      <c r="CJ51" s="100">
        <v>5</v>
      </c>
      <c r="CK51" s="100">
        <v>4272</v>
      </c>
      <c r="CL51" s="100">
        <v>5</v>
      </c>
      <c r="CM51" s="100">
        <v>4272</v>
      </c>
      <c r="CN51" s="100">
        <v>5.5909386296473933</v>
      </c>
      <c r="CO51" s="100">
        <v>4776.8979651707323</v>
      </c>
      <c r="CP51" s="100">
        <v>3.4366950872006814E-4</v>
      </c>
      <c r="CQ51" s="100">
        <v>0.2936312282504262</v>
      </c>
      <c r="CR51" s="100">
        <v>5</v>
      </c>
      <c r="CS51" s="100">
        <v>4272</v>
      </c>
      <c r="CT51" s="100">
        <v>4.0716045233595359</v>
      </c>
      <c r="CU51" s="100">
        <v>3478.7789047583874</v>
      </c>
    </row>
    <row r="52" spans="2:99">
      <c r="C52" s="99" t="s">
        <v>218</v>
      </c>
      <c r="D52" s="100">
        <v>3.353782019134059</v>
      </c>
      <c r="E52" s="100">
        <v>1811.042290332392</v>
      </c>
      <c r="F52" s="100">
        <v>3.6008906671433225</v>
      </c>
      <c r="G52" s="100">
        <v>1944.4809602573941</v>
      </c>
      <c r="H52" s="100">
        <v>1.1124889839125842</v>
      </c>
      <c r="I52" s="100">
        <v>600.74405131279548</v>
      </c>
      <c r="J52" s="100">
        <v>4</v>
      </c>
      <c r="K52" s="100">
        <v>2160</v>
      </c>
      <c r="L52" s="100">
        <v>4</v>
      </c>
      <c r="M52" s="100">
        <v>2160</v>
      </c>
      <c r="N52" s="100">
        <v>6</v>
      </c>
      <c r="O52" s="100">
        <v>3240</v>
      </c>
      <c r="P52" s="100">
        <v>6</v>
      </c>
      <c r="Q52" s="100">
        <v>3240</v>
      </c>
      <c r="R52" s="100">
        <v>5</v>
      </c>
      <c r="S52" s="100">
        <v>2700</v>
      </c>
      <c r="T52" s="100">
        <v>4</v>
      </c>
      <c r="U52" s="100">
        <v>2160</v>
      </c>
      <c r="V52" s="100">
        <v>4</v>
      </c>
      <c r="W52" s="100">
        <v>2160</v>
      </c>
      <c r="X52" s="100">
        <v>3.545521309783664</v>
      </c>
      <c r="Y52" s="100">
        <v>1914.5815072831786</v>
      </c>
      <c r="Z52" s="100">
        <v>6</v>
      </c>
      <c r="AA52" s="100">
        <v>3240</v>
      </c>
      <c r="AB52" s="100">
        <v>4</v>
      </c>
      <c r="AC52" s="100">
        <v>2160</v>
      </c>
      <c r="AD52" s="100">
        <v>3.2227764101196961</v>
      </c>
      <c r="AE52" s="100">
        <v>1740.2992614646359</v>
      </c>
      <c r="AF52" s="100">
        <v>4.2951870435893786</v>
      </c>
      <c r="AG52" s="100">
        <v>2319.4010035382644</v>
      </c>
      <c r="AH52" s="100">
        <v>4.6450829451408611</v>
      </c>
      <c r="AI52" s="100">
        <v>2508.3447903760648</v>
      </c>
      <c r="AJ52" s="100">
        <v>5.4719269658872527</v>
      </c>
      <c r="AK52" s="100">
        <v>2954.8405615791166</v>
      </c>
      <c r="AL52" s="100">
        <v>1.5928712933408657</v>
      </c>
      <c r="AM52" s="100">
        <v>860.15049840406755</v>
      </c>
      <c r="AN52" s="100">
        <v>4.127737270040102</v>
      </c>
      <c r="AO52" s="100">
        <v>2228.9781258216549</v>
      </c>
      <c r="AP52" s="100">
        <v>4.4102237443682704</v>
      </c>
      <c r="AQ52" s="100">
        <v>2381.5208219588658</v>
      </c>
      <c r="AR52" s="100">
        <v>3.9550444104594318</v>
      </c>
      <c r="AS52" s="100">
        <v>2135.7239816480933</v>
      </c>
      <c r="AT52" s="100">
        <v>3.8437599421895007E-4</v>
      </c>
      <c r="AU52" s="100">
        <v>0.20756303687823305</v>
      </c>
      <c r="AV52" s="100">
        <v>7</v>
      </c>
      <c r="AW52" s="100">
        <v>3780</v>
      </c>
      <c r="AX52" s="100">
        <v>6</v>
      </c>
      <c r="AY52" s="100">
        <v>3240</v>
      </c>
      <c r="AZ52" s="100">
        <v>7</v>
      </c>
      <c r="BA52" s="100">
        <v>3780</v>
      </c>
      <c r="BB52" s="100">
        <v>5</v>
      </c>
      <c r="BC52" s="100">
        <v>2700</v>
      </c>
      <c r="BD52" s="100">
        <v>6.1307439503167371</v>
      </c>
      <c r="BE52" s="100">
        <v>3310.6017331710382</v>
      </c>
      <c r="BF52" s="100">
        <v>6</v>
      </c>
      <c r="BG52" s="100">
        <v>3240</v>
      </c>
      <c r="BH52" s="100">
        <v>4.1261070525243726</v>
      </c>
      <c r="BI52" s="100">
        <v>2228.0978083631612</v>
      </c>
      <c r="BJ52" s="100">
        <v>3.2903621524022206</v>
      </c>
      <c r="BK52" s="100">
        <v>1776.7955622971992</v>
      </c>
      <c r="BL52" s="100">
        <v>4</v>
      </c>
      <c r="BM52" s="100">
        <v>2160</v>
      </c>
      <c r="BN52" s="100">
        <v>4.9429292806354486</v>
      </c>
      <c r="BO52" s="100">
        <v>2669.1818115431424</v>
      </c>
      <c r="BP52" s="100">
        <v>3.4176138302273227</v>
      </c>
      <c r="BQ52" s="100">
        <v>1845.5114683227544</v>
      </c>
      <c r="BR52" s="100">
        <v>5</v>
      </c>
      <c r="BS52" s="100">
        <v>2700</v>
      </c>
      <c r="BT52" s="100">
        <v>5</v>
      </c>
      <c r="BU52" s="100">
        <v>2700</v>
      </c>
      <c r="BV52" s="100">
        <v>3.3434301018406418</v>
      </c>
      <c r="BW52" s="100">
        <v>1805.4522549939466</v>
      </c>
      <c r="BX52" s="100">
        <v>4.5765571340420328</v>
      </c>
      <c r="BY52" s="100">
        <v>2471.3408523826979</v>
      </c>
      <c r="BZ52" s="100">
        <v>4.2547360036570685E-4</v>
      </c>
      <c r="CA52" s="100">
        <v>0.22975574419748171</v>
      </c>
      <c r="CB52" s="100">
        <v>0.96556674557498834</v>
      </c>
      <c r="CC52" s="100">
        <v>521.40604261049373</v>
      </c>
      <c r="CD52" s="100">
        <v>2.9406426753924153</v>
      </c>
      <c r="CE52" s="100">
        <v>1587.9470447119043</v>
      </c>
      <c r="CF52" s="100">
        <v>7</v>
      </c>
      <c r="CG52" s="100">
        <v>3780</v>
      </c>
      <c r="CH52" s="100">
        <v>6</v>
      </c>
      <c r="CI52" s="100">
        <v>3240</v>
      </c>
      <c r="CJ52" s="100">
        <v>5</v>
      </c>
      <c r="CK52" s="100">
        <v>2700</v>
      </c>
      <c r="CL52" s="100">
        <v>4</v>
      </c>
      <c r="CM52" s="100">
        <v>2160</v>
      </c>
      <c r="CN52" s="100">
        <v>4.8427438251549084</v>
      </c>
      <c r="CO52" s="100">
        <v>2615.0816655836506</v>
      </c>
      <c r="CP52" s="100">
        <v>3.4366950872006814E-4</v>
      </c>
      <c r="CQ52" s="100">
        <v>0.18558153470883679</v>
      </c>
      <c r="CR52" s="100">
        <v>6</v>
      </c>
      <c r="CS52" s="100">
        <v>3240</v>
      </c>
      <c r="CT52" s="100">
        <v>5.0716045233595359</v>
      </c>
      <c r="CU52" s="100">
        <v>2738.6664426141492</v>
      </c>
    </row>
    <row r="53" spans="2:99">
      <c r="C53" s="99" t="s">
        <v>219</v>
      </c>
      <c r="D53" s="100">
        <v>3.353782019134059</v>
      </c>
      <c r="E53" s="100">
        <v>1364.3185253837353</v>
      </c>
      <c r="F53" s="100">
        <v>3.6321704780266511</v>
      </c>
      <c r="G53" s="100">
        <v>1477.5669504612417</v>
      </c>
      <c r="H53" s="100">
        <v>1.1124889839125842</v>
      </c>
      <c r="I53" s="100">
        <v>452.56051865563927</v>
      </c>
      <c r="J53" s="100">
        <v>4</v>
      </c>
      <c r="K53" s="100">
        <v>1627.2</v>
      </c>
      <c r="L53" s="100">
        <v>4</v>
      </c>
      <c r="M53" s="100">
        <v>1627.2</v>
      </c>
      <c r="N53" s="100">
        <v>6</v>
      </c>
      <c r="O53" s="100">
        <v>2440.8000000000002</v>
      </c>
      <c r="P53" s="100">
        <v>6</v>
      </c>
      <c r="Q53" s="100">
        <v>2440.8000000000002</v>
      </c>
      <c r="R53" s="100">
        <v>6</v>
      </c>
      <c r="S53" s="100">
        <v>2440.8000000000002</v>
      </c>
      <c r="T53" s="100">
        <v>5</v>
      </c>
      <c r="U53" s="100">
        <v>2034</v>
      </c>
      <c r="V53" s="100">
        <v>4</v>
      </c>
      <c r="W53" s="100">
        <v>1627.2</v>
      </c>
      <c r="X53" s="100">
        <v>3.4959284634396943</v>
      </c>
      <c r="Y53" s="100">
        <v>1422.1436989272677</v>
      </c>
      <c r="Z53" s="100">
        <v>6</v>
      </c>
      <c r="AA53" s="100">
        <v>2440.8000000000002</v>
      </c>
      <c r="AB53" s="100">
        <v>4</v>
      </c>
      <c r="AC53" s="100">
        <v>1627.2</v>
      </c>
      <c r="AD53" s="100">
        <v>4.202524009199724</v>
      </c>
      <c r="AE53" s="100">
        <v>1709.5867669424479</v>
      </c>
      <c r="AF53" s="100">
        <v>4.2951870435893786</v>
      </c>
      <c r="AG53" s="100">
        <v>1747.2820893321593</v>
      </c>
      <c r="AH53" s="100">
        <v>3.9814996672635945</v>
      </c>
      <c r="AI53" s="100">
        <v>1619.6740646428302</v>
      </c>
      <c r="AJ53" s="100">
        <v>5.4719269658872527</v>
      </c>
      <c r="AK53" s="100">
        <v>2225.9798897229343</v>
      </c>
      <c r="AL53" s="100">
        <v>1.5928712933408657</v>
      </c>
      <c r="AM53" s="100">
        <v>647.98004213106424</v>
      </c>
      <c r="AN53" s="100">
        <v>4.9532847240481219</v>
      </c>
      <c r="AO53" s="100">
        <v>2014.996225742776</v>
      </c>
      <c r="AP53" s="100">
        <v>4.4102237443682704</v>
      </c>
      <c r="AQ53" s="100">
        <v>1794.0790192090124</v>
      </c>
      <c r="AR53" s="100">
        <v>3.164035528367545</v>
      </c>
      <c r="AS53" s="100">
        <v>1287.1296529399174</v>
      </c>
      <c r="AT53" s="100">
        <v>3.8437599421895007E-4</v>
      </c>
      <c r="AU53" s="100">
        <v>0.1563641544482689</v>
      </c>
      <c r="AV53" s="100">
        <v>6</v>
      </c>
      <c r="AW53" s="100">
        <v>2440.8000000000002</v>
      </c>
      <c r="AX53" s="100">
        <v>6</v>
      </c>
      <c r="AY53" s="100">
        <v>2440.8000000000002</v>
      </c>
      <c r="AZ53" s="100">
        <v>6</v>
      </c>
      <c r="BA53" s="100">
        <v>2440.8000000000002</v>
      </c>
      <c r="BB53" s="100">
        <v>6</v>
      </c>
      <c r="BC53" s="100">
        <v>2440.8000000000002</v>
      </c>
      <c r="BD53" s="100">
        <v>6.1470869441063289</v>
      </c>
      <c r="BE53" s="100">
        <v>2500.6349688624546</v>
      </c>
      <c r="BF53" s="100">
        <v>7</v>
      </c>
      <c r="BG53" s="100">
        <v>2847.6</v>
      </c>
      <c r="BH53" s="100">
        <v>4.1261070525243726</v>
      </c>
      <c r="BI53" s="100">
        <v>1678.5003489669148</v>
      </c>
      <c r="BJ53" s="100">
        <v>4.1129526905027758</v>
      </c>
      <c r="BK53" s="100">
        <v>1673.1491544965293</v>
      </c>
      <c r="BL53" s="100">
        <v>4</v>
      </c>
      <c r="BM53" s="100">
        <v>1627.2</v>
      </c>
      <c r="BN53" s="100">
        <v>4.1191077338628741</v>
      </c>
      <c r="BO53" s="100">
        <v>1675.6530261354171</v>
      </c>
      <c r="BP53" s="100">
        <v>3.4176138302273227</v>
      </c>
      <c r="BQ53" s="100">
        <v>1390.2853061364749</v>
      </c>
      <c r="BR53" s="100">
        <v>5</v>
      </c>
      <c r="BS53" s="100">
        <v>2034</v>
      </c>
      <c r="BT53" s="100">
        <v>5</v>
      </c>
      <c r="BU53" s="100">
        <v>2034</v>
      </c>
      <c r="BV53" s="100">
        <v>3.3434301018406418</v>
      </c>
      <c r="BW53" s="100">
        <v>1360.1073654287732</v>
      </c>
      <c r="BX53" s="100">
        <v>5.4918685608504392</v>
      </c>
      <c r="BY53" s="100">
        <v>2234.0921305539587</v>
      </c>
      <c r="BZ53" s="100">
        <v>4.2318338870219401E-4</v>
      </c>
      <c r="CA53" s="100">
        <v>0.17215100252405252</v>
      </c>
      <c r="CB53" s="100">
        <v>1.1536625380193137</v>
      </c>
      <c r="CC53" s="100">
        <v>469.30992046625681</v>
      </c>
      <c r="CD53" s="100">
        <v>2.9406426753924153</v>
      </c>
      <c r="CE53" s="100">
        <v>1196.2534403496345</v>
      </c>
      <c r="CF53" s="100">
        <v>6</v>
      </c>
      <c r="CG53" s="100">
        <v>2440.8000000000002</v>
      </c>
      <c r="CH53" s="100">
        <v>5</v>
      </c>
      <c r="CI53" s="100">
        <v>2034</v>
      </c>
      <c r="CJ53" s="100">
        <v>6</v>
      </c>
      <c r="CK53" s="100">
        <v>2440.8000000000002</v>
      </c>
      <c r="CL53" s="100">
        <v>5</v>
      </c>
      <c r="CM53" s="100">
        <v>2034</v>
      </c>
      <c r="CN53" s="100">
        <v>5.6145102961940596</v>
      </c>
      <c r="CO53" s="100">
        <v>2283.9827884917436</v>
      </c>
      <c r="CP53" s="100">
        <v>4.009477601734129E-4</v>
      </c>
      <c r="CQ53" s="100">
        <v>0.16310554883854436</v>
      </c>
      <c r="CR53" s="100">
        <v>5</v>
      </c>
      <c r="CS53" s="100">
        <v>2034</v>
      </c>
      <c r="CT53" s="100">
        <v>5.0716045233595359</v>
      </c>
      <c r="CU53" s="100">
        <v>2063.1287201026594</v>
      </c>
    </row>
    <row r="54" spans="2:99">
      <c r="C54" s="99" t="s">
        <v>220</v>
      </c>
      <c r="D54" s="100">
        <v>3.353782019134059</v>
      </c>
      <c r="E54" s="100">
        <v>1122.8462200060831</v>
      </c>
      <c r="F54" s="100">
        <v>4.4620135703249915</v>
      </c>
      <c r="G54" s="100">
        <v>1493.8821433448072</v>
      </c>
      <c r="H54" s="100">
        <v>1.1124889839125842</v>
      </c>
      <c r="I54" s="100">
        <v>372.46131181393321</v>
      </c>
      <c r="J54" s="100">
        <v>4</v>
      </c>
      <c r="K54" s="100">
        <v>1339.2</v>
      </c>
      <c r="L54" s="100">
        <v>4</v>
      </c>
      <c r="M54" s="100">
        <v>1339.2</v>
      </c>
      <c r="N54" s="100">
        <v>5</v>
      </c>
      <c r="O54" s="100">
        <v>1674</v>
      </c>
      <c r="P54" s="100">
        <v>6</v>
      </c>
      <c r="Q54" s="100">
        <v>2008.8000000000002</v>
      </c>
      <c r="R54" s="100">
        <v>6</v>
      </c>
      <c r="S54" s="100">
        <v>2008.8000000000002</v>
      </c>
      <c r="T54" s="100">
        <v>4</v>
      </c>
      <c r="U54" s="100">
        <v>1339.2</v>
      </c>
      <c r="V54" s="100">
        <v>5</v>
      </c>
      <c r="W54" s="100">
        <v>1674</v>
      </c>
      <c r="X54" s="100">
        <v>3.4959284634396943</v>
      </c>
      <c r="Y54" s="100">
        <v>1170.4368495596098</v>
      </c>
      <c r="Z54" s="100">
        <v>5</v>
      </c>
      <c r="AA54" s="100">
        <v>1674</v>
      </c>
      <c r="AB54" s="100">
        <v>4</v>
      </c>
      <c r="AC54" s="100">
        <v>1339.2</v>
      </c>
      <c r="AD54" s="100">
        <v>4.2227764101196961</v>
      </c>
      <c r="AE54" s="100">
        <v>1413.7855421080742</v>
      </c>
      <c r="AF54" s="100">
        <v>4.2951870435893786</v>
      </c>
      <c r="AG54" s="100">
        <v>1438.028622193724</v>
      </c>
      <c r="AH54" s="100">
        <v>3.9814996672635945</v>
      </c>
      <c r="AI54" s="100">
        <v>1333.0060885998514</v>
      </c>
      <c r="AJ54" s="100">
        <v>5.4719269658872527</v>
      </c>
      <c r="AK54" s="100">
        <v>1832.0011481790523</v>
      </c>
      <c r="AL54" s="100">
        <v>1.5928712933408657</v>
      </c>
      <c r="AM54" s="100">
        <v>533.29330901052185</v>
      </c>
      <c r="AN54" s="100">
        <v>4.9532847240481219</v>
      </c>
      <c r="AO54" s="100">
        <v>1658.3597256113112</v>
      </c>
      <c r="AP54" s="100">
        <v>4.4102237443682704</v>
      </c>
      <c r="AQ54" s="100">
        <v>1476.5429096144969</v>
      </c>
      <c r="AR54" s="100">
        <v>3.9550444104594318</v>
      </c>
      <c r="AS54" s="100">
        <v>1324.1488686218179</v>
      </c>
      <c r="AT54" s="100">
        <v>3.8437599421895007E-4</v>
      </c>
      <c r="AU54" s="100">
        <v>0.12868908286450448</v>
      </c>
      <c r="AV54" s="100">
        <v>7</v>
      </c>
      <c r="AW54" s="100">
        <v>2343.6</v>
      </c>
      <c r="AX54" s="100">
        <v>6</v>
      </c>
      <c r="AY54" s="100">
        <v>2008.8000000000002</v>
      </c>
      <c r="AZ54" s="100">
        <v>7</v>
      </c>
      <c r="BA54" s="100">
        <v>2343.6</v>
      </c>
      <c r="BB54" s="100">
        <v>6</v>
      </c>
      <c r="BC54" s="100">
        <v>2008.8000000000002</v>
      </c>
      <c r="BD54" s="100">
        <v>6.1307439503167371</v>
      </c>
      <c r="BE54" s="100">
        <v>2052.5730745660435</v>
      </c>
      <c r="BF54" s="100">
        <v>6</v>
      </c>
      <c r="BG54" s="100">
        <v>2008.8000000000002</v>
      </c>
      <c r="BH54" s="100">
        <v>4.1261070525243726</v>
      </c>
      <c r="BI54" s="100">
        <v>1381.4206411851601</v>
      </c>
      <c r="BJ54" s="100">
        <v>3.2903621524022206</v>
      </c>
      <c r="BK54" s="100">
        <v>1101.6132486242634</v>
      </c>
      <c r="BL54" s="100">
        <v>4</v>
      </c>
      <c r="BM54" s="100">
        <v>1339.2</v>
      </c>
      <c r="BN54" s="100">
        <v>4.1191077338628741</v>
      </c>
      <c r="BO54" s="100">
        <v>1379.0772692972903</v>
      </c>
      <c r="BP54" s="100">
        <v>3.4176138302273227</v>
      </c>
      <c r="BQ54" s="100">
        <v>1144.2171103601077</v>
      </c>
      <c r="BR54" s="100">
        <v>5</v>
      </c>
      <c r="BS54" s="100">
        <v>1674</v>
      </c>
      <c r="BT54" s="100">
        <v>5</v>
      </c>
      <c r="BU54" s="100">
        <v>1674</v>
      </c>
      <c r="BV54" s="100">
        <v>3.3367743795241807</v>
      </c>
      <c r="BW54" s="100">
        <v>1117.1520622646958</v>
      </c>
      <c r="BX54" s="100">
        <v>4.5765571340420328</v>
      </c>
      <c r="BY54" s="100">
        <v>1532.2313284772727</v>
      </c>
      <c r="BZ54" s="100">
        <v>4.2547360036570685E-4</v>
      </c>
      <c r="CA54" s="100">
        <v>0.14244856140243867</v>
      </c>
      <c r="CB54" s="100">
        <v>1.1536625380193137</v>
      </c>
      <c r="CC54" s="100">
        <v>386.24621772886627</v>
      </c>
      <c r="CD54" s="100">
        <v>2.9406426753924153</v>
      </c>
      <c r="CE54" s="100">
        <v>984.52716772138069</v>
      </c>
      <c r="CF54" s="100">
        <v>6</v>
      </c>
      <c r="CG54" s="100">
        <v>2008.8000000000002</v>
      </c>
      <c r="CH54" s="100">
        <v>5</v>
      </c>
      <c r="CI54" s="100">
        <v>1674</v>
      </c>
      <c r="CJ54" s="100">
        <v>5</v>
      </c>
      <c r="CK54" s="100">
        <v>1674</v>
      </c>
      <c r="CL54" s="100">
        <v>4</v>
      </c>
      <c r="CM54" s="100">
        <v>1339.2</v>
      </c>
      <c r="CN54" s="100">
        <v>5.6380819627407277</v>
      </c>
      <c r="CO54" s="100">
        <v>1887.6298411255957</v>
      </c>
      <c r="CP54" s="100">
        <v>4.009477601734129E-4</v>
      </c>
      <c r="CQ54" s="100">
        <v>0.13423731010605863</v>
      </c>
      <c r="CR54" s="100">
        <v>5</v>
      </c>
      <c r="CS54" s="100">
        <v>1674</v>
      </c>
      <c r="CT54" s="100">
        <v>4.0716045233595359</v>
      </c>
      <c r="CU54" s="100">
        <v>1363.1731944207727</v>
      </c>
    </row>
    <row r="55" spans="2:99">
      <c r="C55" s="99" t="s">
        <v>221</v>
      </c>
      <c r="D55" s="100">
        <v>3.3477404240248538</v>
      </c>
      <c r="E55" s="100">
        <v>2221.560545382893</v>
      </c>
      <c r="F55" s="100">
        <v>3.6008906671433225</v>
      </c>
      <c r="G55" s="100">
        <v>2389.551046716309</v>
      </c>
      <c r="H55" s="100">
        <v>1.1124889839125842</v>
      </c>
      <c r="I55" s="100">
        <v>738.24768972439097</v>
      </c>
      <c r="J55" s="100">
        <v>4</v>
      </c>
      <c r="K55" s="100">
        <v>2654.4</v>
      </c>
      <c r="L55" s="100">
        <v>4</v>
      </c>
      <c r="M55" s="100">
        <v>2654.4</v>
      </c>
      <c r="N55" s="100">
        <v>5</v>
      </c>
      <c r="O55" s="100">
        <v>3318</v>
      </c>
      <c r="P55" s="100">
        <v>6</v>
      </c>
      <c r="Q55" s="100">
        <v>3981.6000000000004</v>
      </c>
      <c r="R55" s="100">
        <v>6</v>
      </c>
      <c r="S55" s="100">
        <v>3981.6000000000004</v>
      </c>
      <c r="T55" s="100">
        <v>4</v>
      </c>
      <c r="U55" s="100">
        <v>2654.4</v>
      </c>
      <c r="V55" s="100">
        <v>4</v>
      </c>
      <c r="W55" s="100">
        <v>2654.4</v>
      </c>
      <c r="X55" s="100">
        <v>3.4463356170957251</v>
      </c>
      <c r="Y55" s="100">
        <v>2286.9883155047232</v>
      </c>
      <c r="Z55" s="100">
        <v>5</v>
      </c>
      <c r="AA55" s="100">
        <v>3318</v>
      </c>
      <c r="AB55" s="100">
        <v>4</v>
      </c>
      <c r="AC55" s="100">
        <v>2654.4</v>
      </c>
      <c r="AD55" s="100">
        <v>3.1822716082797515</v>
      </c>
      <c r="AE55" s="100">
        <v>2111.755439254443</v>
      </c>
      <c r="AF55" s="100">
        <v>4.2951870435893786</v>
      </c>
      <c r="AG55" s="100">
        <v>2850.2861221259118</v>
      </c>
      <c r="AH55" s="100">
        <v>4.6450829451408611</v>
      </c>
      <c r="AI55" s="100">
        <v>3082.4770423954756</v>
      </c>
      <c r="AJ55" s="100">
        <v>5.4719269658872527</v>
      </c>
      <c r="AK55" s="100">
        <v>3631.170734562781</v>
      </c>
      <c r="AL55" s="100">
        <v>1.5928712933408657</v>
      </c>
      <c r="AM55" s="100">
        <v>1057.0293902609985</v>
      </c>
      <c r="AN55" s="100">
        <v>4.127737270040102</v>
      </c>
      <c r="AO55" s="100">
        <v>2739.1664523986119</v>
      </c>
      <c r="AP55" s="100">
        <v>4.4102237443682704</v>
      </c>
      <c r="AQ55" s="100">
        <v>2926.6244767627845</v>
      </c>
      <c r="AR55" s="100">
        <v>3.9550444104594318</v>
      </c>
      <c r="AS55" s="100">
        <v>2624.5674707808789</v>
      </c>
      <c r="AT55" s="100">
        <v>3.2031332851579169E-4</v>
      </c>
      <c r="AU55" s="100">
        <v>0.21255992480307936</v>
      </c>
      <c r="AV55" s="100">
        <v>6</v>
      </c>
      <c r="AW55" s="100">
        <v>3981.6000000000004</v>
      </c>
      <c r="AX55" s="100">
        <v>6</v>
      </c>
      <c r="AY55" s="100">
        <v>3981.6000000000004</v>
      </c>
      <c r="AZ55" s="100">
        <v>6</v>
      </c>
      <c r="BA55" s="100">
        <v>3981.6000000000004</v>
      </c>
      <c r="BB55" s="100">
        <v>6</v>
      </c>
      <c r="BC55" s="100">
        <v>3981.6000000000004</v>
      </c>
      <c r="BD55" s="100">
        <v>6.1470869441063289</v>
      </c>
      <c r="BE55" s="100">
        <v>4079.2068961089599</v>
      </c>
      <c r="BF55" s="100">
        <v>6</v>
      </c>
      <c r="BG55" s="100">
        <v>3981.6000000000004</v>
      </c>
      <c r="BH55" s="100">
        <v>4.1261070525243726</v>
      </c>
      <c r="BI55" s="100">
        <v>2738.0846400551736</v>
      </c>
      <c r="BJ55" s="100">
        <v>3.2903621524022206</v>
      </c>
      <c r="BK55" s="100">
        <v>2183.4843243341138</v>
      </c>
      <c r="BL55" s="100">
        <v>4</v>
      </c>
      <c r="BM55" s="100">
        <v>2654.4</v>
      </c>
      <c r="BN55" s="100">
        <v>4.9429292806354486</v>
      </c>
      <c r="BO55" s="100">
        <v>3280.1278706296839</v>
      </c>
      <c r="BP55" s="100">
        <v>2.7340910641818579</v>
      </c>
      <c r="BQ55" s="100">
        <v>1814.342830191081</v>
      </c>
      <c r="BR55" s="100">
        <v>6</v>
      </c>
      <c r="BS55" s="100">
        <v>3981.6000000000004</v>
      </c>
      <c r="BT55" s="100">
        <v>5</v>
      </c>
      <c r="BU55" s="100">
        <v>3318</v>
      </c>
      <c r="BV55" s="100">
        <v>3.3434301018406418</v>
      </c>
      <c r="BW55" s="100">
        <v>2218.7002155814498</v>
      </c>
      <c r="BX55" s="100">
        <v>4.5765571340420328</v>
      </c>
      <c r="BY55" s="100">
        <v>3037.0033141502931</v>
      </c>
      <c r="BZ55" s="100">
        <v>4.2089317703868112E-4</v>
      </c>
      <c r="CA55" s="100">
        <v>0.27930471228286879</v>
      </c>
      <c r="CB55" s="100">
        <v>0.96556674557498834</v>
      </c>
      <c r="CC55" s="100">
        <v>640.75009236356232</v>
      </c>
      <c r="CD55" s="100">
        <v>2.9406426753924153</v>
      </c>
      <c r="CE55" s="100">
        <v>1951.4104793904069</v>
      </c>
      <c r="CF55" s="100">
        <v>7</v>
      </c>
      <c r="CG55" s="100">
        <v>4645.2</v>
      </c>
      <c r="CH55" s="100">
        <v>5</v>
      </c>
      <c r="CI55" s="100">
        <v>3318</v>
      </c>
      <c r="CJ55" s="100">
        <v>6</v>
      </c>
      <c r="CK55" s="100">
        <v>3981.6000000000004</v>
      </c>
      <c r="CL55" s="100">
        <v>4</v>
      </c>
      <c r="CM55" s="100">
        <v>2654.4</v>
      </c>
      <c r="CN55" s="100">
        <v>4.8663154917015765</v>
      </c>
      <c r="CO55" s="100">
        <v>3229.2869602931664</v>
      </c>
      <c r="CP55" s="100">
        <v>3.4366950872006814E-4</v>
      </c>
      <c r="CQ55" s="100">
        <v>0.22805908598663721</v>
      </c>
      <c r="CR55" s="100">
        <v>5</v>
      </c>
      <c r="CS55" s="100">
        <v>3318</v>
      </c>
      <c r="CT55" s="100">
        <v>5.0716045233595359</v>
      </c>
      <c r="CU55" s="100">
        <v>3365.5167617013881</v>
      </c>
    </row>
    <row r="56" spans="2:99">
      <c r="C56" s="99" t="s">
        <v>222</v>
      </c>
      <c r="D56" s="100">
        <v>6</v>
      </c>
      <c r="E56" s="100">
        <v>5889.5999999999995</v>
      </c>
      <c r="F56" s="100">
        <v>4.4466131849546056</v>
      </c>
      <c r="G56" s="100">
        <v>4364.7955023514405</v>
      </c>
      <c r="H56" s="100">
        <v>1.8861106968920471</v>
      </c>
      <c r="I56" s="100">
        <v>1851.4062600692332</v>
      </c>
      <c r="J56" s="100">
        <v>3.1987847838963281</v>
      </c>
      <c r="K56" s="100">
        <v>3139.9271438726355</v>
      </c>
      <c r="L56" s="100">
        <v>1.6406817847149746</v>
      </c>
      <c r="M56" s="100">
        <v>1610.4932398762189</v>
      </c>
      <c r="N56" s="100">
        <v>5.5083368403333104</v>
      </c>
      <c r="O56" s="100">
        <v>5406.9834424711771</v>
      </c>
      <c r="P56" s="100">
        <v>4.3164606142349236</v>
      </c>
      <c r="Q56" s="100">
        <v>4237.0377389330006</v>
      </c>
      <c r="R56" s="100">
        <v>5</v>
      </c>
      <c r="S56" s="100">
        <v>4908</v>
      </c>
      <c r="T56" s="100">
        <v>2.5723089467508591</v>
      </c>
      <c r="U56" s="100">
        <v>2524.978462130643</v>
      </c>
      <c r="V56" s="100">
        <v>3.1757937158542511</v>
      </c>
      <c r="W56" s="100">
        <v>3117.3591114825326</v>
      </c>
      <c r="X56" s="100">
        <v>2.3423296580167929</v>
      </c>
      <c r="Y56" s="100">
        <v>2299.2307923092835</v>
      </c>
      <c r="Z56" s="100">
        <v>6</v>
      </c>
      <c r="AA56" s="100">
        <v>5889.5999999999995</v>
      </c>
      <c r="AB56" s="100">
        <v>3.2529134275534513</v>
      </c>
      <c r="AC56" s="100">
        <v>3193.0598204864673</v>
      </c>
      <c r="AD56" s="100">
        <v>3.0538299061604142</v>
      </c>
      <c r="AE56" s="100">
        <v>2997.6394358870621</v>
      </c>
      <c r="AF56" s="100">
        <v>4.0941984783633698</v>
      </c>
      <c r="AG56" s="100">
        <v>4018.8652263614836</v>
      </c>
      <c r="AH56" s="100">
        <v>0.42785068918864277</v>
      </c>
      <c r="AI56" s="100">
        <v>419.97823650757169</v>
      </c>
      <c r="AJ56" s="100">
        <v>4.8780487804877781</v>
      </c>
      <c r="AK56" s="100">
        <v>4788.2926829268026</v>
      </c>
      <c r="AL56" s="100">
        <v>5</v>
      </c>
      <c r="AM56" s="100">
        <v>4908</v>
      </c>
      <c r="AN56" s="100">
        <v>6.1082078064872798</v>
      </c>
      <c r="AO56" s="100">
        <v>5995.8167828479136</v>
      </c>
      <c r="AP56" s="100">
        <v>7.1432255930518602</v>
      </c>
      <c r="AQ56" s="100">
        <v>7011.7902421397057</v>
      </c>
      <c r="AR56" s="100">
        <v>3.5136210744459202</v>
      </c>
      <c r="AS56" s="100">
        <v>3448.970446676115</v>
      </c>
      <c r="AT56" s="100">
        <v>3.8735845867838243</v>
      </c>
      <c r="AU56" s="100">
        <v>3802.3106303870018</v>
      </c>
      <c r="AV56" s="100">
        <v>3.9141353916911781</v>
      </c>
      <c r="AW56" s="100">
        <v>3842.1153004840598</v>
      </c>
      <c r="AX56" s="100">
        <v>0.35328378569435515</v>
      </c>
      <c r="AY56" s="100">
        <v>346.78336403757896</v>
      </c>
      <c r="AZ56" s="100">
        <v>6.2521126109467531</v>
      </c>
      <c r="BA56" s="100">
        <v>6137.073738905332</v>
      </c>
      <c r="BB56" s="100">
        <v>4.2500814743013775</v>
      </c>
      <c r="BC56" s="100">
        <v>4171.8799751742317</v>
      </c>
      <c r="BD56" s="100">
        <v>6</v>
      </c>
      <c r="BE56" s="100">
        <v>5889.5999999999995</v>
      </c>
      <c r="BF56" s="100">
        <v>6</v>
      </c>
      <c r="BG56" s="100">
        <v>5889.5999999999995</v>
      </c>
      <c r="BH56" s="100">
        <v>4</v>
      </c>
      <c r="BI56" s="100">
        <v>3926.3999999999996</v>
      </c>
      <c r="BJ56" s="100">
        <v>4</v>
      </c>
      <c r="BK56" s="100">
        <v>3926.3999999999996</v>
      </c>
      <c r="BL56" s="100">
        <v>4</v>
      </c>
      <c r="BM56" s="100">
        <v>3926.3999999999996</v>
      </c>
      <c r="BN56" s="100">
        <v>5.4753049717748681</v>
      </c>
      <c r="BO56" s="100">
        <v>5374.5593602942099</v>
      </c>
      <c r="BP56" s="100">
        <v>4.2536818060301034</v>
      </c>
      <c r="BQ56" s="100">
        <v>4175.4140607991494</v>
      </c>
      <c r="BR56" s="100">
        <v>0.34040364767424841</v>
      </c>
      <c r="BS56" s="100">
        <v>334.1402205570422</v>
      </c>
      <c r="BT56" s="100">
        <v>5</v>
      </c>
      <c r="BU56" s="100">
        <v>4908</v>
      </c>
      <c r="BV56" s="100">
        <v>4</v>
      </c>
      <c r="BW56" s="100">
        <v>3926.3999999999996</v>
      </c>
      <c r="BX56" s="100">
        <v>5</v>
      </c>
      <c r="BY56" s="100">
        <v>4908</v>
      </c>
      <c r="BZ56" s="100">
        <v>6</v>
      </c>
      <c r="CA56" s="100">
        <v>5889.5999999999995</v>
      </c>
      <c r="CB56" s="100">
        <v>5</v>
      </c>
      <c r="CC56" s="100">
        <v>4908</v>
      </c>
      <c r="CD56" s="100">
        <v>4.0590052985032727</v>
      </c>
      <c r="CE56" s="100">
        <v>3984.3196010108122</v>
      </c>
      <c r="CF56" s="100">
        <v>6</v>
      </c>
      <c r="CG56" s="100">
        <v>5889.5999999999995</v>
      </c>
      <c r="CH56" s="100">
        <v>3.5646616662250788E-2</v>
      </c>
      <c r="CI56" s="100">
        <v>34.990718915665369</v>
      </c>
      <c r="CJ56" s="100">
        <v>5.6213914254125266</v>
      </c>
      <c r="CK56" s="100">
        <v>5517.9578231849355</v>
      </c>
      <c r="CL56" s="100">
        <v>3.303150632614158</v>
      </c>
      <c r="CM56" s="100">
        <v>3242.372660974057</v>
      </c>
      <c r="CN56" s="100">
        <v>3.9827195154919472</v>
      </c>
      <c r="CO56" s="100">
        <v>3909.4374764068953</v>
      </c>
      <c r="CP56" s="100">
        <v>0.4250894331932078</v>
      </c>
      <c r="CQ56" s="100">
        <v>417.26778762245272</v>
      </c>
      <c r="CR56" s="100">
        <v>5</v>
      </c>
      <c r="CS56" s="100">
        <v>4908</v>
      </c>
      <c r="CT56" s="100">
        <v>4</v>
      </c>
      <c r="CU56" s="100">
        <v>3926.3999999999996</v>
      </c>
    </row>
    <row r="57" spans="2:99">
      <c r="C57" s="99" t="s">
        <v>223</v>
      </c>
      <c r="D57" s="100">
        <v>2.8746703021149078</v>
      </c>
      <c r="E57" s="100">
        <v>4056.7347303445581</v>
      </c>
      <c r="F57" s="100">
        <v>3.6008906671433225</v>
      </c>
      <c r="G57" s="100">
        <v>5081.5769094726566</v>
      </c>
      <c r="H57" s="100">
        <v>1.1124889839125842</v>
      </c>
      <c r="I57" s="100">
        <v>1569.9444540974389</v>
      </c>
      <c r="J57" s="100">
        <v>4</v>
      </c>
      <c r="K57" s="100">
        <v>5644.8</v>
      </c>
      <c r="L57" s="100">
        <v>4</v>
      </c>
      <c r="M57" s="100">
        <v>5644.8</v>
      </c>
      <c r="N57" s="100">
        <v>5</v>
      </c>
      <c r="O57" s="100">
        <v>7056</v>
      </c>
      <c r="P57" s="100">
        <v>5</v>
      </c>
      <c r="Q57" s="100">
        <v>7056</v>
      </c>
      <c r="R57" s="100">
        <v>5</v>
      </c>
      <c r="S57" s="100">
        <v>7056</v>
      </c>
      <c r="T57" s="100">
        <v>4</v>
      </c>
      <c r="U57" s="100">
        <v>5644.8</v>
      </c>
      <c r="V57" s="100">
        <v>4</v>
      </c>
      <c r="W57" s="100">
        <v>5644.8</v>
      </c>
      <c r="X57" s="100">
        <v>3.4463356170957251</v>
      </c>
      <c r="Y57" s="100">
        <v>4863.468822845487</v>
      </c>
      <c r="Z57" s="100">
        <v>5</v>
      </c>
      <c r="AA57" s="100">
        <v>7056</v>
      </c>
      <c r="AB57" s="100">
        <v>4</v>
      </c>
      <c r="AC57" s="100">
        <v>5644.8</v>
      </c>
      <c r="AD57" s="100">
        <v>3.2227764101196961</v>
      </c>
      <c r="AE57" s="100">
        <v>4547.9820699609154</v>
      </c>
      <c r="AF57" s="100">
        <v>4.2530174659337527</v>
      </c>
      <c r="AG57" s="100">
        <v>6001.858247925712</v>
      </c>
      <c r="AH57" s="100">
        <v>3.9814996672635945</v>
      </c>
      <c r="AI57" s="100">
        <v>5618.6923304423844</v>
      </c>
      <c r="AJ57" s="100">
        <v>5.4719269658872527</v>
      </c>
      <c r="AK57" s="100">
        <v>7721.9833342600914</v>
      </c>
      <c r="AL57" s="100">
        <v>1.2742970346726925</v>
      </c>
      <c r="AM57" s="100">
        <v>1798.2879753301038</v>
      </c>
      <c r="AN57" s="100">
        <v>4.127737270040102</v>
      </c>
      <c r="AO57" s="100">
        <v>5825.0628354805922</v>
      </c>
      <c r="AP57" s="100">
        <v>5.0783328233093332</v>
      </c>
      <c r="AQ57" s="100">
        <v>7166.5432802541309</v>
      </c>
      <c r="AR57" s="100">
        <v>3.164035528367545</v>
      </c>
      <c r="AS57" s="100">
        <v>4465.0869376322798</v>
      </c>
      <c r="AT57" s="100">
        <v>3.2031332851579169E-4</v>
      </c>
      <c r="AU57" s="100">
        <v>0.45202616920148525</v>
      </c>
      <c r="AV57" s="100">
        <v>6</v>
      </c>
      <c r="AW57" s="100">
        <v>8467.2000000000007</v>
      </c>
      <c r="AX57" s="100">
        <v>6</v>
      </c>
      <c r="AY57" s="100">
        <v>8467.2000000000007</v>
      </c>
      <c r="AZ57" s="100">
        <v>6</v>
      </c>
      <c r="BA57" s="100">
        <v>8467.2000000000007</v>
      </c>
      <c r="BB57" s="100">
        <v>5</v>
      </c>
      <c r="BC57" s="100">
        <v>7056</v>
      </c>
      <c r="BD57" s="100">
        <v>5.1307439503167371</v>
      </c>
      <c r="BE57" s="100">
        <v>7240.5058626869795</v>
      </c>
      <c r="BF57" s="100">
        <v>6</v>
      </c>
      <c r="BG57" s="100">
        <v>8467.2000000000007</v>
      </c>
      <c r="BH57" s="100">
        <v>4.1261070525243726</v>
      </c>
      <c r="BI57" s="100">
        <v>5822.7622725223946</v>
      </c>
      <c r="BJ57" s="100">
        <v>3.2903621524022206</v>
      </c>
      <c r="BK57" s="100">
        <v>4643.3590694700142</v>
      </c>
      <c r="BL57" s="100">
        <v>4</v>
      </c>
      <c r="BM57" s="100">
        <v>5644.8</v>
      </c>
      <c r="BN57" s="100">
        <v>4.1191077338628741</v>
      </c>
      <c r="BO57" s="100">
        <v>5812.884834027288</v>
      </c>
      <c r="BP57" s="100">
        <v>3.4176138302273227</v>
      </c>
      <c r="BQ57" s="100">
        <v>4822.9366372167979</v>
      </c>
      <c r="BR57" s="100">
        <v>5</v>
      </c>
      <c r="BS57" s="100">
        <v>7056</v>
      </c>
      <c r="BT57" s="100">
        <v>5</v>
      </c>
      <c r="BU57" s="100">
        <v>7056</v>
      </c>
      <c r="BV57" s="100">
        <v>3.3434301018406418</v>
      </c>
      <c r="BW57" s="100">
        <v>4718.2485597175137</v>
      </c>
      <c r="BX57" s="100">
        <v>4.5765571340420328</v>
      </c>
      <c r="BY57" s="100">
        <v>6458.4374275601167</v>
      </c>
      <c r="BZ57" s="100">
        <v>4.2318338870219401E-4</v>
      </c>
      <c r="CA57" s="100">
        <v>0.59719639813653624</v>
      </c>
      <c r="CB57" s="100">
        <v>1.1536625380193137</v>
      </c>
      <c r="CC57" s="100">
        <v>1628.0485736528556</v>
      </c>
      <c r="CD57" s="100">
        <v>2.9406426753924153</v>
      </c>
      <c r="CE57" s="100">
        <v>4149.834943513777</v>
      </c>
      <c r="CF57" s="100">
        <v>6</v>
      </c>
      <c r="CG57" s="100">
        <v>8467.2000000000007</v>
      </c>
      <c r="CH57" s="100">
        <v>5</v>
      </c>
      <c r="CI57" s="100">
        <v>7056</v>
      </c>
      <c r="CJ57" s="100">
        <v>5</v>
      </c>
      <c r="CK57" s="100">
        <v>7056</v>
      </c>
      <c r="CL57" s="100">
        <v>5</v>
      </c>
      <c r="CM57" s="100">
        <v>7056</v>
      </c>
      <c r="CN57" s="100">
        <v>5.6145102961940596</v>
      </c>
      <c r="CO57" s="100">
        <v>7923.196929989057</v>
      </c>
      <c r="CP57" s="100">
        <v>3.4366950872006814E-4</v>
      </c>
      <c r="CQ57" s="100">
        <v>0.48498641070576015</v>
      </c>
      <c r="CR57" s="100">
        <v>5</v>
      </c>
      <c r="CS57" s="100">
        <v>7056</v>
      </c>
      <c r="CT57" s="100">
        <v>4.0596704361329463</v>
      </c>
      <c r="CU57" s="100">
        <v>5729.006919470814</v>
      </c>
    </row>
    <row r="58" spans="2:99">
      <c r="C58" s="99" t="s">
        <v>224</v>
      </c>
      <c r="D58" s="100">
        <v>6.2305140599908002</v>
      </c>
      <c r="E58" s="100">
        <v>7334.5611514211705</v>
      </c>
      <c r="F58" s="100">
        <v>2.0267651216190616</v>
      </c>
      <c r="G58" s="100">
        <v>2385.9079011699596</v>
      </c>
      <c r="H58" s="100">
        <v>0.35689024971706795</v>
      </c>
      <c r="I58" s="100">
        <v>420.13120196693239</v>
      </c>
      <c r="J58" s="100">
        <v>4</v>
      </c>
      <c r="K58" s="100">
        <v>4708.8</v>
      </c>
      <c r="L58" s="100">
        <v>4</v>
      </c>
      <c r="M58" s="100">
        <v>4708.8</v>
      </c>
      <c r="N58" s="100">
        <v>5</v>
      </c>
      <c r="O58" s="100">
        <v>5886</v>
      </c>
      <c r="P58" s="100">
        <v>5</v>
      </c>
      <c r="Q58" s="100">
        <v>5886</v>
      </c>
      <c r="R58" s="100">
        <v>5</v>
      </c>
      <c r="S58" s="100">
        <v>5886</v>
      </c>
      <c r="T58" s="100">
        <v>4</v>
      </c>
      <c r="U58" s="100">
        <v>4708.8</v>
      </c>
      <c r="V58" s="100">
        <v>4</v>
      </c>
      <c r="W58" s="100">
        <v>4708.8</v>
      </c>
      <c r="X58" s="100">
        <v>3.3422991656845351</v>
      </c>
      <c r="Y58" s="100">
        <v>3934.554577843835</v>
      </c>
      <c r="Z58" s="100">
        <v>4.9202101677409615</v>
      </c>
      <c r="AA58" s="100">
        <v>5792.0714094646601</v>
      </c>
      <c r="AB58" s="100">
        <v>4</v>
      </c>
      <c r="AC58" s="100">
        <v>4708.8</v>
      </c>
      <c r="AD58" s="100">
        <v>4</v>
      </c>
      <c r="AE58" s="100">
        <v>4708.8</v>
      </c>
      <c r="AF58" s="100">
        <v>4</v>
      </c>
      <c r="AG58" s="100">
        <v>4708.8</v>
      </c>
      <c r="AH58" s="100">
        <v>6</v>
      </c>
      <c r="AI58" s="100">
        <v>7063.2000000000007</v>
      </c>
      <c r="AJ58" s="100">
        <v>5</v>
      </c>
      <c r="AK58" s="100">
        <v>5886</v>
      </c>
      <c r="AL58" s="100">
        <v>4</v>
      </c>
      <c r="AM58" s="100">
        <v>4708.8</v>
      </c>
      <c r="AN58" s="100">
        <v>5.2067880761150063</v>
      </c>
      <c r="AO58" s="100">
        <v>6129.4309232025853</v>
      </c>
      <c r="AP58" s="100">
        <v>5.7161562039168041</v>
      </c>
      <c r="AQ58" s="100">
        <v>6729.0590832508624</v>
      </c>
      <c r="AR58" s="100">
        <v>3.7175277672232849</v>
      </c>
      <c r="AS58" s="100">
        <v>4376.2736875752507</v>
      </c>
      <c r="AT58" s="100">
        <v>5</v>
      </c>
      <c r="AU58" s="100">
        <v>5886</v>
      </c>
      <c r="AV58" s="100">
        <v>6</v>
      </c>
      <c r="AW58" s="100">
        <v>7063.2000000000007</v>
      </c>
      <c r="AX58" s="100">
        <v>6</v>
      </c>
      <c r="AY58" s="100">
        <v>7063.2000000000007</v>
      </c>
      <c r="AZ58" s="100">
        <v>5</v>
      </c>
      <c r="BA58" s="100">
        <v>5886</v>
      </c>
      <c r="BB58" s="100">
        <v>5</v>
      </c>
      <c r="BC58" s="100">
        <v>5886</v>
      </c>
      <c r="BD58" s="100">
        <v>5</v>
      </c>
      <c r="BE58" s="100">
        <v>5886</v>
      </c>
      <c r="BF58" s="100">
        <v>5.5304287564576207</v>
      </c>
      <c r="BG58" s="100">
        <v>6510.4207321019112</v>
      </c>
      <c r="BH58" s="100">
        <v>2.8555210230666468</v>
      </c>
      <c r="BI58" s="100">
        <v>3361.5193483540565</v>
      </c>
      <c r="BJ58" s="100">
        <v>2.7524003661172398</v>
      </c>
      <c r="BK58" s="100">
        <v>3240.1257109932149</v>
      </c>
      <c r="BL58" s="100">
        <v>4</v>
      </c>
      <c r="BM58" s="100">
        <v>4708.8</v>
      </c>
      <c r="BN58" s="100">
        <v>5</v>
      </c>
      <c r="BO58" s="100">
        <v>5886</v>
      </c>
      <c r="BP58" s="100">
        <v>4</v>
      </c>
      <c r="BQ58" s="100">
        <v>4708.8</v>
      </c>
      <c r="BR58" s="100">
        <v>5</v>
      </c>
      <c r="BS58" s="100">
        <v>5886</v>
      </c>
      <c r="BT58" s="100">
        <v>5</v>
      </c>
      <c r="BU58" s="100">
        <v>5886</v>
      </c>
      <c r="BV58" s="100">
        <v>4</v>
      </c>
      <c r="BW58" s="100">
        <v>4708.8</v>
      </c>
      <c r="BX58" s="100">
        <v>5.3469948860772707</v>
      </c>
      <c r="BY58" s="100">
        <v>6294.4823798901634</v>
      </c>
      <c r="BZ58" s="100">
        <v>4.2139920441461731</v>
      </c>
      <c r="CA58" s="100">
        <v>4960.7114343688754</v>
      </c>
      <c r="CB58" s="100">
        <v>5</v>
      </c>
      <c r="CC58" s="100">
        <v>5886</v>
      </c>
      <c r="CD58" s="100">
        <v>3</v>
      </c>
      <c r="CE58" s="100">
        <v>3531.6000000000004</v>
      </c>
      <c r="CF58" s="100">
        <v>6</v>
      </c>
      <c r="CG58" s="100">
        <v>7063.2000000000007</v>
      </c>
      <c r="CH58" s="100">
        <v>5</v>
      </c>
      <c r="CI58" s="100">
        <v>5886</v>
      </c>
      <c r="CJ58" s="100">
        <v>6.2050237524253893</v>
      </c>
      <c r="CK58" s="100">
        <v>7304.5539613551682</v>
      </c>
      <c r="CL58" s="100">
        <v>3.2950888851946898</v>
      </c>
      <c r="CM58" s="100">
        <v>3878.9786356511891</v>
      </c>
      <c r="CN58" s="100">
        <v>5.2157016847662891</v>
      </c>
      <c r="CO58" s="100">
        <v>6139.9240233068758</v>
      </c>
      <c r="CP58" s="100">
        <v>6</v>
      </c>
      <c r="CQ58" s="100">
        <v>7063.2000000000007</v>
      </c>
      <c r="CR58" s="100">
        <v>5</v>
      </c>
      <c r="CS58" s="100">
        <v>5886</v>
      </c>
      <c r="CT58" s="100">
        <v>4</v>
      </c>
      <c r="CU58" s="100">
        <v>4708.8</v>
      </c>
    </row>
    <row r="59" spans="2:99">
      <c r="C59" s="99" t="s">
        <v>225</v>
      </c>
      <c r="D59" s="100">
        <v>3.3477404240248538</v>
      </c>
      <c r="E59" s="100">
        <v>1016.3739927339456</v>
      </c>
      <c r="F59" s="100">
        <v>4.4620135703249915</v>
      </c>
      <c r="G59" s="100">
        <v>1354.6673199506672</v>
      </c>
      <c r="H59" s="100">
        <v>1.1124889839125842</v>
      </c>
      <c r="I59" s="100">
        <v>337.75165551586053</v>
      </c>
      <c r="J59" s="100">
        <v>4</v>
      </c>
      <c r="K59" s="100">
        <v>1214.3999999999999</v>
      </c>
      <c r="L59" s="100">
        <v>4</v>
      </c>
      <c r="M59" s="100">
        <v>1214.3999999999999</v>
      </c>
      <c r="N59" s="100">
        <v>5</v>
      </c>
      <c r="O59" s="100">
        <v>1517.9999999999998</v>
      </c>
      <c r="P59" s="100">
        <v>6</v>
      </c>
      <c r="Q59" s="100">
        <v>1821.6</v>
      </c>
      <c r="R59" s="100">
        <v>5</v>
      </c>
      <c r="S59" s="100">
        <v>1517.9999999999998</v>
      </c>
      <c r="T59" s="100">
        <v>5</v>
      </c>
      <c r="U59" s="100">
        <v>1517.9999999999998</v>
      </c>
      <c r="V59" s="100">
        <v>4</v>
      </c>
      <c r="W59" s="100">
        <v>1214.3999999999999</v>
      </c>
      <c r="X59" s="100">
        <v>3.4463356170957251</v>
      </c>
      <c r="Y59" s="100">
        <v>1046.3074933502621</v>
      </c>
      <c r="Z59" s="100">
        <v>6</v>
      </c>
      <c r="AA59" s="100">
        <v>1821.6</v>
      </c>
      <c r="AB59" s="100">
        <v>4</v>
      </c>
      <c r="AC59" s="100">
        <v>1214.3999999999999</v>
      </c>
      <c r="AD59" s="100">
        <v>4.202524009199724</v>
      </c>
      <c r="AE59" s="100">
        <v>1275.886289193036</v>
      </c>
      <c r="AF59" s="100">
        <v>4.2951870435893786</v>
      </c>
      <c r="AG59" s="100">
        <v>1304.0187864337352</v>
      </c>
      <c r="AH59" s="100">
        <v>4.6450829451408611</v>
      </c>
      <c r="AI59" s="100">
        <v>1410.2471821447652</v>
      </c>
      <c r="AJ59" s="100">
        <v>5.519119662475978</v>
      </c>
      <c r="AK59" s="100">
        <v>1675.6047295277067</v>
      </c>
      <c r="AL59" s="100">
        <v>1.5928712933408657</v>
      </c>
      <c r="AM59" s="100">
        <v>483.59572465828677</v>
      </c>
      <c r="AN59" s="100">
        <v>4.9532847240481219</v>
      </c>
      <c r="AO59" s="100">
        <v>1503.8172422210096</v>
      </c>
      <c r="AP59" s="100">
        <v>4.3815402250309923</v>
      </c>
      <c r="AQ59" s="100">
        <v>1330.235612319409</v>
      </c>
      <c r="AR59" s="100">
        <v>3.9550444104594318</v>
      </c>
      <c r="AS59" s="100">
        <v>1200.7514830154832</v>
      </c>
      <c r="AT59" s="100">
        <v>3.2031332851579169E-4</v>
      </c>
      <c r="AU59" s="100">
        <v>9.7247126537394341E-2</v>
      </c>
      <c r="AV59" s="100">
        <v>7</v>
      </c>
      <c r="AW59" s="100">
        <v>2125.1999999999998</v>
      </c>
      <c r="AX59" s="100">
        <v>6</v>
      </c>
      <c r="AY59" s="100">
        <v>1821.6</v>
      </c>
      <c r="AZ59" s="100">
        <v>7</v>
      </c>
      <c r="BA59" s="100">
        <v>2125.1999999999998</v>
      </c>
      <c r="BB59" s="100">
        <v>6</v>
      </c>
      <c r="BC59" s="100">
        <v>1821.6</v>
      </c>
      <c r="BD59" s="100">
        <v>6.1307439503167371</v>
      </c>
      <c r="BE59" s="100">
        <v>1861.2938633161612</v>
      </c>
      <c r="BF59" s="100">
        <v>6</v>
      </c>
      <c r="BG59" s="100">
        <v>1821.6</v>
      </c>
      <c r="BH59" s="100">
        <v>4.1261070525243726</v>
      </c>
      <c r="BI59" s="100">
        <v>1252.6861011463993</v>
      </c>
      <c r="BJ59" s="100">
        <v>3.2903621524022206</v>
      </c>
      <c r="BK59" s="100">
        <v>998.95394946931413</v>
      </c>
      <c r="BL59" s="100">
        <v>4</v>
      </c>
      <c r="BM59" s="100">
        <v>1214.3999999999999</v>
      </c>
      <c r="BN59" s="100">
        <v>4.9429292806354486</v>
      </c>
      <c r="BO59" s="100">
        <v>1500.673329600922</v>
      </c>
      <c r="BP59" s="100">
        <v>3.4176138302273227</v>
      </c>
      <c r="BQ59" s="100">
        <v>1037.587558857015</v>
      </c>
      <c r="BR59" s="100">
        <v>5</v>
      </c>
      <c r="BS59" s="100">
        <v>1517.9999999999998</v>
      </c>
      <c r="BT59" s="100">
        <v>5</v>
      </c>
      <c r="BU59" s="100">
        <v>1517.9999999999998</v>
      </c>
      <c r="BV59" s="100">
        <v>3.3434301018406418</v>
      </c>
      <c r="BW59" s="100">
        <v>1015.0653789188187</v>
      </c>
      <c r="BX59" s="100">
        <v>4.5765571340420328</v>
      </c>
      <c r="BY59" s="100">
        <v>1389.4427458951609</v>
      </c>
      <c r="BZ59" s="100">
        <v>3.6796338840419581E-4</v>
      </c>
      <c r="CA59" s="100">
        <v>0.11171368471951383</v>
      </c>
      <c r="CB59" s="100">
        <v>1.1536625380193137</v>
      </c>
      <c r="CC59" s="100">
        <v>350.25194654266363</v>
      </c>
      <c r="CD59" s="100">
        <v>2.9406426753924153</v>
      </c>
      <c r="CE59" s="100">
        <v>892.77911624913713</v>
      </c>
      <c r="CF59" s="100">
        <v>7</v>
      </c>
      <c r="CG59" s="100">
        <v>2125.1999999999998</v>
      </c>
      <c r="CH59" s="100">
        <v>5</v>
      </c>
      <c r="CI59" s="100">
        <v>1517.9999999999998</v>
      </c>
      <c r="CJ59" s="100">
        <v>6</v>
      </c>
      <c r="CK59" s="100">
        <v>1821.6</v>
      </c>
      <c r="CL59" s="100">
        <v>4</v>
      </c>
      <c r="CM59" s="100">
        <v>1214.3999999999999</v>
      </c>
      <c r="CN59" s="100">
        <v>5.6380819627407277</v>
      </c>
      <c r="CO59" s="100">
        <v>1711.7216838880847</v>
      </c>
      <c r="CP59" s="100">
        <v>3.4366950872006814E-4</v>
      </c>
      <c r="CQ59" s="100">
        <v>0.10433806284741268</v>
      </c>
      <c r="CR59" s="100">
        <v>5</v>
      </c>
      <c r="CS59" s="100">
        <v>1517.9999999999998</v>
      </c>
      <c r="CT59" s="100">
        <v>5.0835386105861256</v>
      </c>
      <c r="CU59" s="100">
        <v>1543.3623221739476</v>
      </c>
    </row>
    <row r="60" spans="2:99">
      <c r="C60" s="99" t="s">
        <v>226</v>
      </c>
      <c r="D60" s="100">
        <v>3.3477404240248538</v>
      </c>
      <c r="E60" s="100">
        <v>2181.3876602945948</v>
      </c>
      <c r="F60" s="100">
        <v>3.6008906671433225</v>
      </c>
      <c r="G60" s="100">
        <v>2346.340358710589</v>
      </c>
      <c r="H60" s="100">
        <v>1.1124889839125842</v>
      </c>
      <c r="I60" s="100">
        <v>724.89782191743996</v>
      </c>
      <c r="J60" s="100">
        <v>4</v>
      </c>
      <c r="K60" s="100">
        <v>2606.4</v>
      </c>
      <c r="L60" s="100">
        <v>4</v>
      </c>
      <c r="M60" s="100">
        <v>2606.4</v>
      </c>
      <c r="N60" s="100">
        <v>5</v>
      </c>
      <c r="O60" s="100">
        <v>3258</v>
      </c>
      <c r="P60" s="100">
        <v>5</v>
      </c>
      <c r="Q60" s="100">
        <v>3258</v>
      </c>
      <c r="R60" s="100">
        <v>5</v>
      </c>
      <c r="S60" s="100">
        <v>3258</v>
      </c>
      <c r="T60" s="100">
        <v>5</v>
      </c>
      <c r="U60" s="100">
        <v>3258</v>
      </c>
      <c r="V60" s="100">
        <v>4</v>
      </c>
      <c r="W60" s="100">
        <v>2606.4</v>
      </c>
      <c r="X60" s="100">
        <v>4.4959284634396948</v>
      </c>
      <c r="Y60" s="100">
        <v>2929.5469867773054</v>
      </c>
      <c r="Z60" s="100">
        <v>6</v>
      </c>
      <c r="AA60" s="100">
        <v>3909.6000000000004</v>
      </c>
      <c r="AB60" s="100">
        <v>4</v>
      </c>
      <c r="AC60" s="100">
        <v>2606.4</v>
      </c>
      <c r="AD60" s="100">
        <v>3.1822716082797515</v>
      </c>
      <c r="AE60" s="100">
        <v>2073.5681799550862</v>
      </c>
      <c r="AF60" s="100">
        <v>4.2951870435893786</v>
      </c>
      <c r="AG60" s="100">
        <v>2798.7438776028393</v>
      </c>
      <c r="AH60" s="100">
        <v>4.6450829451408611</v>
      </c>
      <c r="AI60" s="100">
        <v>3026.7360470537851</v>
      </c>
      <c r="AJ60" s="100">
        <v>5.4719269658872527</v>
      </c>
      <c r="AK60" s="100">
        <v>3565.507610972134</v>
      </c>
      <c r="AL60" s="100">
        <v>1.2742970346726925</v>
      </c>
      <c r="AM60" s="100">
        <v>830.33194779272651</v>
      </c>
      <c r="AN60" s="100">
        <v>4.9532847240481219</v>
      </c>
      <c r="AO60" s="100">
        <v>3227.5603261897563</v>
      </c>
      <c r="AP60" s="100">
        <v>4.4102237443682704</v>
      </c>
      <c r="AQ60" s="100">
        <v>2873.701791830365</v>
      </c>
      <c r="AR60" s="100">
        <v>3.9550444104594318</v>
      </c>
      <c r="AS60" s="100">
        <v>2577.1069378553657</v>
      </c>
      <c r="AT60" s="100">
        <v>3.8437599421895007E-4</v>
      </c>
      <c r="AU60" s="100">
        <v>0.25045939783306786</v>
      </c>
      <c r="AV60" s="100">
        <v>6</v>
      </c>
      <c r="AW60" s="100">
        <v>3909.6000000000004</v>
      </c>
      <c r="AX60" s="100">
        <v>6</v>
      </c>
      <c r="AY60" s="100">
        <v>3909.6000000000004</v>
      </c>
      <c r="AZ60" s="100">
        <v>6</v>
      </c>
      <c r="BA60" s="100">
        <v>3909.6000000000004</v>
      </c>
      <c r="BB60" s="100">
        <v>5</v>
      </c>
      <c r="BC60" s="100">
        <v>3258</v>
      </c>
      <c r="BD60" s="100">
        <v>6.1470869441063289</v>
      </c>
      <c r="BE60" s="100">
        <v>4005.4418527796843</v>
      </c>
      <c r="BF60" s="100">
        <v>6</v>
      </c>
      <c r="BG60" s="100">
        <v>3909.6000000000004</v>
      </c>
      <c r="BH60" s="100">
        <v>4.1050892104369776</v>
      </c>
      <c r="BI60" s="100">
        <v>2674.8761295207346</v>
      </c>
      <c r="BJ60" s="100">
        <v>3.2903621524022206</v>
      </c>
      <c r="BK60" s="100">
        <v>2143.9999785052869</v>
      </c>
      <c r="BL60" s="100">
        <v>4</v>
      </c>
      <c r="BM60" s="100">
        <v>2606.4</v>
      </c>
      <c r="BN60" s="100">
        <v>4.1191077338628741</v>
      </c>
      <c r="BO60" s="100">
        <v>2684.0105993850489</v>
      </c>
      <c r="BP60" s="100">
        <v>3.4176138302273227</v>
      </c>
      <c r="BQ60" s="100">
        <v>2226.9171717761237</v>
      </c>
      <c r="BR60" s="100">
        <v>5</v>
      </c>
      <c r="BS60" s="100">
        <v>3258</v>
      </c>
      <c r="BT60" s="100">
        <v>5</v>
      </c>
      <c r="BU60" s="100">
        <v>3258</v>
      </c>
      <c r="BV60" s="100">
        <v>3.3367743795241807</v>
      </c>
      <c r="BW60" s="100">
        <v>2174.2421856979563</v>
      </c>
      <c r="BX60" s="100">
        <v>4.5765571340420328</v>
      </c>
      <c r="BY60" s="100">
        <v>2982.0846285417888</v>
      </c>
      <c r="BZ60" s="100">
        <v>3.6567317674068286E-4</v>
      </c>
      <c r="CA60" s="100">
        <v>0.23827264196422895</v>
      </c>
      <c r="CB60" s="100">
        <v>1.1494812407937534</v>
      </c>
      <c r="CC60" s="100">
        <v>749.0019765012097</v>
      </c>
      <c r="CD60" s="100">
        <v>2.9406426753924153</v>
      </c>
      <c r="CE60" s="100">
        <v>1916.1227672856978</v>
      </c>
      <c r="CF60" s="100">
        <v>6</v>
      </c>
      <c r="CG60" s="100">
        <v>3909.6000000000004</v>
      </c>
      <c r="CH60" s="100">
        <v>6</v>
      </c>
      <c r="CI60" s="100">
        <v>3909.6000000000004</v>
      </c>
      <c r="CJ60" s="100">
        <v>5</v>
      </c>
      <c r="CK60" s="100">
        <v>3258</v>
      </c>
      <c r="CL60" s="100">
        <v>5</v>
      </c>
      <c r="CM60" s="100">
        <v>3258</v>
      </c>
      <c r="CN60" s="100">
        <v>5.6380819627407277</v>
      </c>
      <c r="CO60" s="100">
        <v>3673.7742069218584</v>
      </c>
      <c r="CP60" s="100">
        <v>3.4366950872006814E-4</v>
      </c>
      <c r="CQ60" s="100">
        <v>0.22393505188199642</v>
      </c>
      <c r="CR60" s="100">
        <v>5</v>
      </c>
      <c r="CS60" s="100">
        <v>3258</v>
      </c>
      <c r="CT60" s="100">
        <v>5.0716045233595359</v>
      </c>
      <c r="CU60" s="100">
        <v>3304.6575074210737</v>
      </c>
    </row>
    <row r="61" spans="2:99">
      <c r="C61" s="99" t="s">
        <v>227</v>
      </c>
      <c r="D61" s="100">
        <v>2.8746703021149078</v>
      </c>
      <c r="E61" s="100">
        <v>2735.5362594925459</v>
      </c>
      <c r="F61" s="100">
        <v>3.6008906671433225</v>
      </c>
      <c r="G61" s="100">
        <v>3426.6075588535855</v>
      </c>
      <c r="H61" s="100">
        <v>0.88999118713006742</v>
      </c>
      <c r="I61" s="100">
        <v>846.91561367297209</v>
      </c>
      <c r="J61" s="100">
        <v>3</v>
      </c>
      <c r="K61" s="100">
        <v>2854.7999999999997</v>
      </c>
      <c r="L61" s="100">
        <v>4</v>
      </c>
      <c r="M61" s="100">
        <v>3806.3999999999996</v>
      </c>
      <c r="N61" s="100">
        <v>5</v>
      </c>
      <c r="O61" s="100">
        <v>4758</v>
      </c>
      <c r="P61" s="100">
        <v>6</v>
      </c>
      <c r="Q61" s="100">
        <v>5709.5999999999995</v>
      </c>
      <c r="R61" s="100">
        <v>6</v>
      </c>
      <c r="S61" s="100">
        <v>5709.5999999999995</v>
      </c>
      <c r="T61" s="100">
        <v>5</v>
      </c>
      <c r="U61" s="100">
        <v>4758</v>
      </c>
      <c r="V61" s="100">
        <v>4</v>
      </c>
      <c r="W61" s="100">
        <v>3806.3999999999996</v>
      </c>
      <c r="X61" s="100">
        <v>4.4959284634396948</v>
      </c>
      <c r="Y61" s="100">
        <v>4278.3255258092131</v>
      </c>
      <c r="Z61" s="100">
        <v>5</v>
      </c>
      <c r="AA61" s="100">
        <v>4758</v>
      </c>
      <c r="AB61" s="100">
        <v>4</v>
      </c>
      <c r="AC61" s="100">
        <v>3806.3999999999996</v>
      </c>
      <c r="AD61" s="100">
        <v>3.2227764101196961</v>
      </c>
      <c r="AE61" s="100">
        <v>3066.7940318699025</v>
      </c>
      <c r="AF61" s="100">
        <v>4.2951870435893786</v>
      </c>
      <c r="AG61" s="100">
        <v>4087.2999906796522</v>
      </c>
      <c r="AH61" s="100">
        <v>3.9814996672635945</v>
      </c>
      <c r="AI61" s="100">
        <v>3788.7950833680361</v>
      </c>
      <c r="AJ61" s="100">
        <v>5.4719269658872527</v>
      </c>
      <c r="AK61" s="100">
        <v>5207.0857007383092</v>
      </c>
      <c r="AL61" s="100">
        <v>1.5928712933408657</v>
      </c>
      <c r="AM61" s="100">
        <v>1515.7763227431676</v>
      </c>
      <c r="AN61" s="100">
        <v>4.9532847240481219</v>
      </c>
      <c r="AO61" s="100">
        <v>4713.5457434041928</v>
      </c>
      <c r="AP61" s="100">
        <v>4.4102237443682704</v>
      </c>
      <c r="AQ61" s="100">
        <v>4196.7689151408458</v>
      </c>
      <c r="AR61" s="100">
        <v>3.9550444104594318</v>
      </c>
      <c r="AS61" s="100">
        <v>3763.6202609931947</v>
      </c>
      <c r="AT61" s="100">
        <v>3.2031332851579169E-4</v>
      </c>
      <c r="AU61" s="100">
        <v>0.30481016341562733</v>
      </c>
      <c r="AV61" s="100">
        <v>6</v>
      </c>
      <c r="AW61" s="100">
        <v>5709.5999999999995</v>
      </c>
      <c r="AX61" s="100">
        <v>6</v>
      </c>
      <c r="AY61" s="100">
        <v>5709.5999999999995</v>
      </c>
      <c r="AZ61" s="100">
        <v>6</v>
      </c>
      <c r="BA61" s="100">
        <v>5709.5999999999995</v>
      </c>
      <c r="BB61" s="100">
        <v>5</v>
      </c>
      <c r="BC61" s="100">
        <v>4758</v>
      </c>
      <c r="BD61" s="100">
        <v>6.1307439503167371</v>
      </c>
      <c r="BE61" s="100">
        <v>5834.0159431214061</v>
      </c>
      <c r="BF61" s="100">
        <v>6</v>
      </c>
      <c r="BG61" s="100">
        <v>5709.5999999999995</v>
      </c>
      <c r="BH61" s="100">
        <v>4.1261070525243726</v>
      </c>
      <c r="BI61" s="100">
        <v>3926.4034711821928</v>
      </c>
      <c r="BJ61" s="100">
        <v>3.2903621524022206</v>
      </c>
      <c r="BK61" s="100">
        <v>3131.108624225953</v>
      </c>
      <c r="BL61" s="100">
        <v>4</v>
      </c>
      <c r="BM61" s="100">
        <v>3806.3999999999996</v>
      </c>
      <c r="BN61" s="100">
        <v>4.1191077338628741</v>
      </c>
      <c r="BO61" s="100">
        <v>3919.7429195439108</v>
      </c>
      <c r="BP61" s="100">
        <v>3.4176138302273227</v>
      </c>
      <c r="BQ61" s="100">
        <v>3252.20132084432</v>
      </c>
      <c r="BR61" s="100">
        <v>5</v>
      </c>
      <c r="BS61" s="100">
        <v>4758</v>
      </c>
      <c r="BT61" s="100">
        <v>4</v>
      </c>
      <c r="BU61" s="100">
        <v>3806.3999999999996</v>
      </c>
      <c r="BV61" s="100">
        <v>3.3367743795241807</v>
      </c>
      <c r="BW61" s="100">
        <v>3175.2744995552098</v>
      </c>
      <c r="BX61" s="100">
        <v>4.5765571340420328</v>
      </c>
      <c r="BY61" s="100">
        <v>4355.0517687543979</v>
      </c>
      <c r="BZ61" s="100">
        <v>3.6567317674068286E-4</v>
      </c>
      <c r="CA61" s="100">
        <v>0.34797459498643379</v>
      </c>
      <c r="CB61" s="100">
        <v>0.96138544834942796</v>
      </c>
      <c r="CC61" s="100">
        <v>914.85439264931551</v>
      </c>
      <c r="CD61" s="100">
        <v>2.2054820065443117</v>
      </c>
      <c r="CE61" s="100">
        <v>2098.736677427567</v>
      </c>
      <c r="CF61" s="100">
        <v>7</v>
      </c>
      <c r="CG61" s="100">
        <v>6661.1999999999989</v>
      </c>
      <c r="CH61" s="100">
        <v>5</v>
      </c>
      <c r="CI61" s="100">
        <v>4758</v>
      </c>
      <c r="CJ61" s="100">
        <v>5</v>
      </c>
      <c r="CK61" s="100">
        <v>4758</v>
      </c>
      <c r="CL61" s="100">
        <v>4</v>
      </c>
      <c r="CM61" s="100">
        <v>3806.3999999999996</v>
      </c>
      <c r="CN61" s="100">
        <v>5.6145102961940596</v>
      </c>
      <c r="CO61" s="100">
        <v>5342.7679978582664</v>
      </c>
      <c r="CP61" s="100">
        <v>3.4366950872006814E-4</v>
      </c>
      <c r="CQ61" s="100">
        <v>0.32703590449801678</v>
      </c>
      <c r="CR61" s="100">
        <v>5</v>
      </c>
      <c r="CS61" s="100">
        <v>4758</v>
      </c>
      <c r="CT61" s="100">
        <v>4.0716045233595359</v>
      </c>
      <c r="CU61" s="100">
        <v>3874.5388644289342</v>
      </c>
    </row>
    <row r="62" spans="2:99">
      <c r="C62" s="99" t="s">
        <v>228</v>
      </c>
      <c r="D62" s="100">
        <v>6</v>
      </c>
      <c r="E62" s="100">
        <v>10015.200000000001</v>
      </c>
      <c r="F62" s="100">
        <v>4.3969894977374278</v>
      </c>
      <c r="G62" s="100">
        <v>7339.4548696233151</v>
      </c>
      <c r="H62" s="100">
        <v>2.3385806287302144</v>
      </c>
      <c r="I62" s="100">
        <v>3903.558785476474</v>
      </c>
      <c r="J62" s="100">
        <v>2.4631754235727525</v>
      </c>
      <c r="K62" s="100">
        <v>4111.532417027639</v>
      </c>
      <c r="L62" s="100">
        <v>1.6406817847149746</v>
      </c>
      <c r="M62" s="100">
        <v>2738.6260350462358</v>
      </c>
      <c r="N62" s="100">
        <v>5.4159119602727088</v>
      </c>
      <c r="O62" s="100">
        <v>9040.2402440872065</v>
      </c>
      <c r="P62" s="100">
        <v>4.3164606142349236</v>
      </c>
      <c r="Q62" s="100">
        <v>7205.036057280935</v>
      </c>
      <c r="R62" s="100">
        <v>5.3396230966163456</v>
      </c>
      <c r="S62" s="100">
        <v>8912.8988728720051</v>
      </c>
      <c r="T62" s="100">
        <v>2.5723089467508591</v>
      </c>
      <c r="U62" s="100">
        <v>4293.6980939165342</v>
      </c>
      <c r="V62" s="100">
        <v>3.1757937158542511</v>
      </c>
      <c r="W62" s="100">
        <v>5301.034870503916</v>
      </c>
      <c r="X62" s="100">
        <v>2.3668915594264122</v>
      </c>
      <c r="Y62" s="100">
        <v>3950.8153909945672</v>
      </c>
      <c r="Z62" s="100">
        <v>5</v>
      </c>
      <c r="AA62" s="100">
        <v>8346</v>
      </c>
      <c r="AB62" s="100">
        <v>3.2280729977430411</v>
      </c>
      <c r="AC62" s="100">
        <v>5388.2994478326846</v>
      </c>
      <c r="AD62" s="100">
        <v>3.0739342542398647</v>
      </c>
      <c r="AE62" s="100">
        <v>5131.011057177182</v>
      </c>
      <c r="AF62" s="100">
        <v>4.0941984783633698</v>
      </c>
      <c r="AG62" s="100">
        <v>6834.0361000841367</v>
      </c>
      <c r="AH62" s="100">
        <v>0.42634276719917302</v>
      </c>
      <c r="AI62" s="100">
        <v>711.6513470088596</v>
      </c>
      <c r="AJ62" s="100">
        <v>4.8780487804877781</v>
      </c>
      <c r="AK62" s="100">
        <v>8142.4390243901998</v>
      </c>
      <c r="AL62" s="100">
        <v>5</v>
      </c>
      <c r="AM62" s="100">
        <v>8346</v>
      </c>
      <c r="AN62" s="100">
        <v>5.090173172072733</v>
      </c>
      <c r="AO62" s="100">
        <v>8496.517058823807</v>
      </c>
      <c r="AP62" s="100">
        <v>5.1780863041005718</v>
      </c>
      <c r="AQ62" s="100">
        <v>8643.2616588046749</v>
      </c>
      <c r="AR62" s="100">
        <v>3.5136210744459202</v>
      </c>
      <c r="AS62" s="100">
        <v>5864.9362974651303</v>
      </c>
      <c r="AT62" s="100">
        <v>3.833023491634254</v>
      </c>
      <c r="AU62" s="100">
        <v>6398.0828122358971</v>
      </c>
      <c r="AV62" s="100">
        <v>3.9266923961399756</v>
      </c>
      <c r="AW62" s="100">
        <v>6554.434947636847</v>
      </c>
      <c r="AX62" s="100">
        <v>0.35328378569435515</v>
      </c>
      <c r="AY62" s="100">
        <v>589.70129508101763</v>
      </c>
      <c r="AZ62" s="100">
        <v>6.2521126109467531</v>
      </c>
      <c r="BA62" s="100">
        <v>10436.026370192321</v>
      </c>
      <c r="BB62" s="100">
        <v>4.2500814743013775</v>
      </c>
      <c r="BC62" s="100">
        <v>7094.2359969038598</v>
      </c>
      <c r="BD62" s="100">
        <v>5</v>
      </c>
      <c r="BE62" s="100">
        <v>8346</v>
      </c>
      <c r="BF62" s="100">
        <v>6</v>
      </c>
      <c r="BG62" s="100">
        <v>10015.200000000001</v>
      </c>
      <c r="BH62" s="100">
        <v>3</v>
      </c>
      <c r="BI62" s="100">
        <v>5007.6000000000004</v>
      </c>
      <c r="BJ62" s="100">
        <v>4</v>
      </c>
      <c r="BK62" s="100">
        <v>6676.8</v>
      </c>
      <c r="BL62" s="100">
        <v>4</v>
      </c>
      <c r="BM62" s="100">
        <v>6676.8</v>
      </c>
      <c r="BN62" s="100">
        <v>4.5627541431457228</v>
      </c>
      <c r="BO62" s="100">
        <v>7616.1492157388411</v>
      </c>
      <c r="BP62" s="100">
        <v>4.2937403549098621</v>
      </c>
      <c r="BQ62" s="100">
        <v>7167.1114004155415</v>
      </c>
      <c r="BR62" s="100">
        <v>0.34040364767424841</v>
      </c>
      <c r="BS62" s="100">
        <v>568.20176869785541</v>
      </c>
      <c r="BT62" s="100">
        <v>4</v>
      </c>
      <c r="BU62" s="100">
        <v>6676.8</v>
      </c>
      <c r="BV62" s="100">
        <v>4</v>
      </c>
      <c r="BW62" s="100">
        <v>6676.8</v>
      </c>
      <c r="BX62" s="100">
        <v>5</v>
      </c>
      <c r="BY62" s="100">
        <v>8346</v>
      </c>
      <c r="BZ62" s="100">
        <v>6</v>
      </c>
      <c r="CA62" s="100">
        <v>10015.200000000001</v>
      </c>
      <c r="CB62" s="100">
        <v>5</v>
      </c>
      <c r="CC62" s="100">
        <v>8346</v>
      </c>
      <c r="CD62" s="100">
        <v>3.0505759701456623</v>
      </c>
      <c r="CE62" s="100">
        <v>5092.0214093671393</v>
      </c>
      <c r="CF62" s="100">
        <v>6</v>
      </c>
      <c r="CG62" s="100">
        <v>10015.200000000001</v>
      </c>
      <c r="CH62" s="100">
        <v>3.5646616662250788E-2</v>
      </c>
      <c r="CI62" s="100">
        <v>59.501332532629014</v>
      </c>
      <c r="CJ62" s="100">
        <v>4.703602091096438</v>
      </c>
      <c r="CK62" s="100">
        <v>7851.2526104581748</v>
      </c>
      <c r="CL62" s="100">
        <v>3.303150632614158</v>
      </c>
      <c r="CM62" s="100">
        <v>5513.619035959553</v>
      </c>
      <c r="CN62" s="100">
        <v>3.9827195154919472</v>
      </c>
      <c r="CO62" s="100">
        <v>6647.9554152591581</v>
      </c>
      <c r="CP62" s="100">
        <v>0.4250894331932078</v>
      </c>
      <c r="CQ62" s="100">
        <v>709.55928188610244</v>
      </c>
      <c r="CR62" s="100">
        <v>6</v>
      </c>
      <c r="CS62" s="100">
        <v>10015.200000000001</v>
      </c>
      <c r="CT62" s="100">
        <v>4</v>
      </c>
      <c r="CU62" s="100">
        <v>6676.8</v>
      </c>
    </row>
    <row r="63" spans="2:99">
      <c r="C63" s="99" t="s">
        <v>229</v>
      </c>
      <c r="D63" s="100">
        <v>2.880711897224113</v>
      </c>
      <c r="E63" s="100">
        <v>2291.8943854315044</v>
      </c>
      <c r="F63" s="100">
        <v>3.6321704780266511</v>
      </c>
      <c r="G63" s="100">
        <v>2889.7548323180035</v>
      </c>
      <c r="H63" s="100">
        <v>1.1124889839125842</v>
      </c>
      <c r="I63" s="100">
        <v>885.09623560085208</v>
      </c>
      <c r="J63" s="100">
        <v>4</v>
      </c>
      <c r="K63" s="100">
        <v>3182.4</v>
      </c>
      <c r="L63" s="100">
        <v>4</v>
      </c>
      <c r="M63" s="100">
        <v>3182.4</v>
      </c>
      <c r="N63" s="100">
        <v>6</v>
      </c>
      <c r="O63" s="100">
        <v>4773.6000000000004</v>
      </c>
      <c r="P63" s="100">
        <v>6</v>
      </c>
      <c r="Q63" s="100">
        <v>4773.6000000000004</v>
      </c>
      <c r="R63" s="100">
        <v>6</v>
      </c>
      <c r="S63" s="100">
        <v>4773.6000000000004</v>
      </c>
      <c r="T63" s="100">
        <v>4</v>
      </c>
      <c r="U63" s="100">
        <v>3182.4</v>
      </c>
      <c r="V63" s="100">
        <v>4</v>
      </c>
      <c r="W63" s="100">
        <v>3182.4</v>
      </c>
      <c r="X63" s="100">
        <v>3.4463356170957251</v>
      </c>
      <c r="Y63" s="100">
        <v>2741.9046169613589</v>
      </c>
      <c r="Z63" s="100">
        <v>5</v>
      </c>
      <c r="AA63" s="100">
        <v>3978</v>
      </c>
      <c r="AB63" s="100">
        <v>4</v>
      </c>
      <c r="AC63" s="100">
        <v>3182.4</v>
      </c>
      <c r="AD63" s="100">
        <v>4.2227764101196961</v>
      </c>
      <c r="AE63" s="100">
        <v>3359.6409118912302</v>
      </c>
      <c r="AF63" s="100">
        <v>4.2951870435893786</v>
      </c>
      <c r="AG63" s="100">
        <v>3417.2508118797095</v>
      </c>
      <c r="AH63" s="100">
        <v>3.9814996672635945</v>
      </c>
      <c r="AI63" s="100">
        <v>3167.681135274916</v>
      </c>
      <c r="AJ63" s="100">
        <v>5.4247342692985274</v>
      </c>
      <c r="AK63" s="100">
        <v>4315.9185846539085</v>
      </c>
      <c r="AL63" s="100">
        <v>1.5928712933408657</v>
      </c>
      <c r="AM63" s="100">
        <v>1267.2884009819929</v>
      </c>
      <c r="AN63" s="100">
        <v>4.127737270040102</v>
      </c>
      <c r="AO63" s="100">
        <v>3284.0277720439053</v>
      </c>
      <c r="AP63" s="100">
        <v>4.4102237443682704</v>
      </c>
      <c r="AQ63" s="100">
        <v>3508.7740110193959</v>
      </c>
      <c r="AR63" s="100">
        <v>3.9550444104594318</v>
      </c>
      <c r="AS63" s="100">
        <v>3146.633332961524</v>
      </c>
      <c r="AT63" s="100">
        <v>3.8437599421895007E-4</v>
      </c>
      <c r="AU63" s="100">
        <v>0.30580954100059671</v>
      </c>
      <c r="AV63" s="100">
        <v>6</v>
      </c>
      <c r="AW63" s="100">
        <v>4773.6000000000004</v>
      </c>
      <c r="AX63" s="100">
        <v>6</v>
      </c>
      <c r="AY63" s="100">
        <v>4773.6000000000004</v>
      </c>
      <c r="AZ63" s="100">
        <v>7</v>
      </c>
      <c r="BA63" s="100">
        <v>5569.2</v>
      </c>
      <c r="BB63" s="100">
        <v>5</v>
      </c>
      <c r="BC63" s="100">
        <v>3978</v>
      </c>
      <c r="BD63" s="100">
        <v>6.1470869441063289</v>
      </c>
      <c r="BE63" s="100">
        <v>4890.6223727309953</v>
      </c>
      <c r="BF63" s="100">
        <v>6</v>
      </c>
      <c r="BG63" s="100">
        <v>4773.6000000000004</v>
      </c>
      <c r="BH63" s="100">
        <v>4.1050892104369776</v>
      </c>
      <c r="BI63" s="100">
        <v>3266.0089758236595</v>
      </c>
      <c r="BJ63" s="100">
        <v>3.2903621524022206</v>
      </c>
      <c r="BK63" s="100">
        <v>2617.8121284512067</v>
      </c>
      <c r="BL63" s="100">
        <v>4</v>
      </c>
      <c r="BM63" s="100">
        <v>3182.4</v>
      </c>
      <c r="BN63" s="100">
        <v>4.1191077338628741</v>
      </c>
      <c r="BO63" s="100">
        <v>3277.1621130613025</v>
      </c>
      <c r="BP63" s="100">
        <v>3.4176138302273227</v>
      </c>
      <c r="BQ63" s="100">
        <v>2719.0535633288582</v>
      </c>
      <c r="BR63" s="100">
        <v>5</v>
      </c>
      <c r="BS63" s="100">
        <v>3978</v>
      </c>
      <c r="BT63" s="100">
        <v>4</v>
      </c>
      <c r="BU63" s="100">
        <v>3182.4</v>
      </c>
      <c r="BV63" s="100">
        <v>2.5125643681178276</v>
      </c>
      <c r="BW63" s="100">
        <v>1998.9962112745436</v>
      </c>
      <c r="BX63" s="100">
        <v>4.5765571340420328</v>
      </c>
      <c r="BY63" s="100">
        <v>3641.1088558438414</v>
      </c>
      <c r="BZ63" s="100">
        <v>3.6567317674068286E-4</v>
      </c>
      <c r="CA63" s="100">
        <v>0.29092957941488728</v>
      </c>
      <c r="CB63" s="100">
        <v>1.1536625380193137</v>
      </c>
      <c r="CC63" s="100">
        <v>917.853915248166</v>
      </c>
      <c r="CD63" s="100">
        <v>2.9406426753924153</v>
      </c>
      <c r="CE63" s="100">
        <v>2339.5753125422057</v>
      </c>
      <c r="CF63" s="100">
        <v>7</v>
      </c>
      <c r="CG63" s="100">
        <v>5569.2</v>
      </c>
      <c r="CH63" s="100">
        <v>5</v>
      </c>
      <c r="CI63" s="100">
        <v>3978</v>
      </c>
      <c r="CJ63" s="100">
        <v>6</v>
      </c>
      <c r="CK63" s="100">
        <v>4773.6000000000004</v>
      </c>
      <c r="CL63" s="100">
        <v>5</v>
      </c>
      <c r="CM63" s="100">
        <v>3978</v>
      </c>
      <c r="CN63" s="100">
        <v>4.8663154917015765</v>
      </c>
      <c r="CO63" s="100">
        <v>3871.6406051977742</v>
      </c>
      <c r="CP63" s="100">
        <v>4.009477601734129E-4</v>
      </c>
      <c r="CQ63" s="100">
        <v>0.31899403799396731</v>
      </c>
      <c r="CR63" s="100">
        <v>5</v>
      </c>
      <c r="CS63" s="100">
        <v>3978</v>
      </c>
      <c r="CT63" s="100">
        <v>5.0716045233595359</v>
      </c>
      <c r="CU63" s="100">
        <v>4034.9685587848471</v>
      </c>
    </row>
    <row r="64" spans="2:99">
      <c r="C64" s="99" t="s">
        <v>230</v>
      </c>
      <c r="D64" s="100">
        <v>3.353782019134059</v>
      </c>
      <c r="E64" s="100">
        <v>3384.6368137100917</v>
      </c>
      <c r="F64" s="100">
        <v>3.6008906671433225</v>
      </c>
      <c r="G64" s="100">
        <v>3634.0188612810402</v>
      </c>
      <c r="H64" s="100">
        <v>1.1124889839125842</v>
      </c>
      <c r="I64" s="100">
        <v>1122.7238825645798</v>
      </c>
      <c r="J64" s="100">
        <v>4</v>
      </c>
      <c r="K64" s="100">
        <v>4036.7999999999993</v>
      </c>
      <c r="L64" s="100">
        <v>4</v>
      </c>
      <c r="M64" s="100">
        <v>4036.7999999999993</v>
      </c>
      <c r="N64" s="100">
        <v>5</v>
      </c>
      <c r="O64" s="100">
        <v>5045.9999999999991</v>
      </c>
      <c r="P64" s="100">
        <v>5</v>
      </c>
      <c r="Q64" s="100">
        <v>5045.9999999999991</v>
      </c>
      <c r="R64" s="100">
        <v>5</v>
      </c>
      <c r="S64" s="100">
        <v>5045.9999999999991</v>
      </c>
      <c r="T64" s="100">
        <v>4</v>
      </c>
      <c r="U64" s="100">
        <v>4036.7999999999993</v>
      </c>
      <c r="V64" s="100">
        <v>4</v>
      </c>
      <c r="W64" s="100">
        <v>4036.7999999999993</v>
      </c>
      <c r="X64" s="100">
        <v>3.4959284634396943</v>
      </c>
      <c r="Y64" s="100">
        <v>3528.091005303339</v>
      </c>
      <c r="Z64" s="100">
        <v>5</v>
      </c>
      <c r="AA64" s="100">
        <v>5045.9999999999991</v>
      </c>
      <c r="AB64" s="100">
        <v>3</v>
      </c>
      <c r="AC64" s="100">
        <v>3027.5999999999995</v>
      </c>
      <c r="AD64" s="100">
        <v>3.2227764101196961</v>
      </c>
      <c r="AE64" s="100">
        <v>3252.4259530927966</v>
      </c>
      <c r="AF64" s="100">
        <v>3.2951870435893782</v>
      </c>
      <c r="AG64" s="100">
        <v>3325.5027643904</v>
      </c>
      <c r="AH64" s="100">
        <v>4.6450829451408611</v>
      </c>
      <c r="AI64" s="100">
        <v>4687.8177082361562</v>
      </c>
      <c r="AJ64" s="100">
        <v>5.4247342692985274</v>
      </c>
      <c r="AK64" s="100">
        <v>5474.6418245760733</v>
      </c>
      <c r="AL64" s="100">
        <v>1.2742970346726925</v>
      </c>
      <c r="AM64" s="100">
        <v>1286.020567391681</v>
      </c>
      <c r="AN64" s="100">
        <v>4.127737270040102</v>
      </c>
      <c r="AO64" s="100">
        <v>4165.7124529244702</v>
      </c>
      <c r="AP64" s="100">
        <v>4.4102237443682704</v>
      </c>
      <c r="AQ64" s="100">
        <v>4450.797802816458</v>
      </c>
      <c r="AR64" s="100">
        <v>3.9550444104594318</v>
      </c>
      <c r="AS64" s="100">
        <v>3991.4308190356578</v>
      </c>
      <c r="AT64" s="100">
        <v>3.2031332851579169E-4</v>
      </c>
      <c r="AU64" s="100">
        <v>0.32326021113813691</v>
      </c>
      <c r="AV64" s="100">
        <v>6</v>
      </c>
      <c r="AW64" s="100">
        <v>6055.1999999999989</v>
      </c>
      <c r="AX64" s="100">
        <v>6</v>
      </c>
      <c r="AY64" s="100">
        <v>6055.1999999999989</v>
      </c>
      <c r="AZ64" s="100">
        <v>6</v>
      </c>
      <c r="BA64" s="100">
        <v>6055.1999999999989</v>
      </c>
      <c r="BB64" s="100">
        <v>5</v>
      </c>
      <c r="BC64" s="100">
        <v>5045.9999999999991</v>
      </c>
      <c r="BD64" s="100">
        <v>6.1470869441063289</v>
      </c>
      <c r="BE64" s="100">
        <v>6203.6401439921065</v>
      </c>
      <c r="BF64" s="100">
        <v>7</v>
      </c>
      <c r="BG64" s="100">
        <v>7064.3999999999987</v>
      </c>
      <c r="BH64" s="100">
        <v>4.1050892104369776</v>
      </c>
      <c r="BI64" s="100">
        <v>4142.8560311729971</v>
      </c>
      <c r="BJ64" s="100">
        <v>3.2903621524022206</v>
      </c>
      <c r="BK64" s="100">
        <v>3320.6334842043207</v>
      </c>
      <c r="BL64" s="100">
        <v>4</v>
      </c>
      <c r="BM64" s="100">
        <v>4036.7999999999993</v>
      </c>
      <c r="BN64" s="100">
        <v>4.9429292806354486</v>
      </c>
      <c r="BO64" s="100">
        <v>4988.4042300172941</v>
      </c>
      <c r="BP64" s="100">
        <v>2.7340910641818579</v>
      </c>
      <c r="BQ64" s="100">
        <v>2759.2447019723304</v>
      </c>
      <c r="BR64" s="100">
        <v>5</v>
      </c>
      <c r="BS64" s="100">
        <v>5045.9999999999991</v>
      </c>
      <c r="BT64" s="100">
        <v>5</v>
      </c>
      <c r="BU64" s="100">
        <v>5045.9999999999991</v>
      </c>
      <c r="BV64" s="100">
        <v>3.3367743795241807</v>
      </c>
      <c r="BW64" s="100">
        <v>3367.4727038158026</v>
      </c>
      <c r="BX64" s="100">
        <v>4.5765571340420328</v>
      </c>
      <c r="BY64" s="100">
        <v>4618.6614596752188</v>
      </c>
      <c r="BZ64" s="100">
        <v>4.2318338870219401E-4</v>
      </c>
      <c r="CA64" s="100">
        <v>0.4270766758782541</v>
      </c>
      <c r="CB64" s="100">
        <v>1.1494812407937534</v>
      </c>
      <c r="CC64" s="100">
        <v>1160.0564682090558</v>
      </c>
      <c r="CD64" s="100">
        <v>2.9406426753924153</v>
      </c>
      <c r="CE64" s="100">
        <v>2967.6965880060252</v>
      </c>
      <c r="CF64" s="100">
        <v>7</v>
      </c>
      <c r="CG64" s="100">
        <v>7064.3999999999987</v>
      </c>
      <c r="CH64" s="100">
        <v>5</v>
      </c>
      <c r="CI64" s="100">
        <v>5045.9999999999991</v>
      </c>
      <c r="CJ64" s="100">
        <v>5</v>
      </c>
      <c r="CK64" s="100">
        <v>5045.9999999999991</v>
      </c>
      <c r="CL64" s="100">
        <v>5</v>
      </c>
      <c r="CM64" s="100">
        <v>5045.9999999999991</v>
      </c>
      <c r="CN64" s="100">
        <v>4.8663154917015765</v>
      </c>
      <c r="CO64" s="100">
        <v>4911.0855942252301</v>
      </c>
      <c r="CP64" s="100">
        <v>3.4366950872006814E-4</v>
      </c>
      <c r="CQ64" s="100">
        <v>0.3468312682002927</v>
      </c>
      <c r="CR64" s="100">
        <v>5</v>
      </c>
      <c r="CS64" s="100">
        <v>5045.9999999999991</v>
      </c>
      <c r="CT64" s="100">
        <v>4.0835386105861256</v>
      </c>
      <c r="CU64" s="100">
        <v>4121.1071658035171</v>
      </c>
    </row>
    <row r="65" spans="2:99">
      <c r="C65" s="99" t="s">
        <v>231</v>
      </c>
      <c r="D65" s="100">
        <v>2.8746703021149078</v>
      </c>
      <c r="E65" s="100">
        <v>2949.4117299698955</v>
      </c>
      <c r="F65" s="100">
        <v>3.6008906671433225</v>
      </c>
      <c r="G65" s="100">
        <v>3694.5138244890491</v>
      </c>
      <c r="H65" s="100">
        <v>1.1124889839125842</v>
      </c>
      <c r="I65" s="100">
        <v>1141.4136974943115</v>
      </c>
      <c r="J65" s="100">
        <v>3</v>
      </c>
      <c r="K65" s="100">
        <v>3078</v>
      </c>
      <c r="L65" s="100">
        <v>4</v>
      </c>
      <c r="M65" s="100">
        <v>4104</v>
      </c>
      <c r="N65" s="100">
        <v>5</v>
      </c>
      <c r="O65" s="100">
        <v>5130</v>
      </c>
      <c r="P65" s="100">
        <v>6</v>
      </c>
      <c r="Q65" s="100">
        <v>6156</v>
      </c>
      <c r="R65" s="100">
        <v>6</v>
      </c>
      <c r="S65" s="100">
        <v>6156</v>
      </c>
      <c r="T65" s="100">
        <v>4</v>
      </c>
      <c r="U65" s="100">
        <v>4104</v>
      </c>
      <c r="V65" s="100">
        <v>4</v>
      </c>
      <c r="W65" s="100">
        <v>4104</v>
      </c>
      <c r="X65" s="100">
        <v>3.4959284634396943</v>
      </c>
      <c r="Y65" s="100">
        <v>3586.8226034891263</v>
      </c>
      <c r="Z65" s="100">
        <v>6</v>
      </c>
      <c r="AA65" s="100">
        <v>6156</v>
      </c>
      <c r="AB65" s="100">
        <v>4</v>
      </c>
      <c r="AC65" s="100">
        <v>4104</v>
      </c>
      <c r="AD65" s="100">
        <v>4.202524009199724</v>
      </c>
      <c r="AE65" s="100">
        <v>4311.789633438917</v>
      </c>
      <c r="AF65" s="100">
        <v>4.2951870435893786</v>
      </c>
      <c r="AG65" s="100">
        <v>4406.8619067227028</v>
      </c>
      <c r="AH65" s="100">
        <v>3.9814996672635945</v>
      </c>
      <c r="AI65" s="100">
        <v>4085.0186586124478</v>
      </c>
      <c r="AJ65" s="100">
        <v>4.4247342692985274</v>
      </c>
      <c r="AK65" s="100">
        <v>4539.7773603002888</v>
      </c>
      <c r="AL65" s="100">
        <v>1.2742970346726925</v>
      </c>
      <c r="AM65" s="100">
        <v>1307.4287575741826</v>
      </c>
      <c r="AN65" s="100">
        <v>4.127737270040102</v>
      </c>
      <c r="AO65" s="100">
        <v>4235.0584390611448</v>
      </c>
      <c r="AP65" s="100">
        <v>4.4102237443682704</v>
      </c>
      <c r="AQ65" s="100">
        <v>4524.889561721845</v>
      </c>
      <c r="AR65" s="100">
        <v>3.164035528367545</v>
      </c>
      <c r="AS65" s="100">
        <v>3246.3004521051012</v>
      </c>
      <c r="AT65" s="100">
        <v>3.8437599421895007E-4</v>
      </c>
      <c r="AU65" s="100">
        <v>0.39436977006864277</v>
      </c>
      <c r="AV65" s="100">
        <v>6</v>
      </c>
      <c r="AW65" s="100">
        <v>6156</v>
      </c>
      <c r="AX65" s="100">
        <v>5</v>
      </c>
      <c r="AY65" s="100">
        <v>5130</v>
      </c>
      <c r="AZ65" s="100">
        <v>5</v>
      </c>
      <c r="BA65" s="100">
        <v>5130</v>
      </c>
      <c r="BB65" s="100">
        <v>5</v>
      </c>
      <c r="BC65" s="100">
        <v>5130</v>
      </c>
      <c r="BD65" s="100">
        <v>6.1307439503167371</v>
      </c>
      <c r="BE65" s="100">
        <v>6290.1432930249721</v>
      </c>
      <c r="BF65" s="100">
        <v>6</v>
      </c>
      <c r="BG65" s="100">
        <v>6156</v>
      </c>
      <c r="BH65" s="100">
        <v>4.1261070525243726</v>
      </c>
      <c r="BI65" s="100">
        <v>4233.3858358900061</v>
      </c>
      <c r="BJ65" s="100">
        <v>4.1129526905027758</v>
      </c>
      <c r="BK65" s="100">
        <v>4219.8894604558482</v>
      </c>
      <c r="BL65" s="100">
        <v>4</v>
      </c>
      <c r="BM65" s="100">
        <v>4104</v>
      </c>
      <c r="BN65" s="100">
        <v>4.1191077338628741</v>
      </c>
      <c r="BO65" s="100">
        <v>4226.2045349433092</v>
      </c>
      <c r="BP65" s="100">
        <v>3.4176138302273227</v>
      </c>
      <c r="BQ65" s="100">
        <v>3506.471789813233</v>
      </c>
      <c r="BR65" s="100">
        <v>6</v>
      </c>
      <c r="BS65" s="100">
        <v>6156</v>
      </c>
      <c r="BT65" s="100">
        <v>5</v>
      </c>
      <c r="BU65" s="100">
        <v>5130</v>
      </c>
      <c r="BV65" s="100">
        <v>3.3367743795241807</v>
      </c>
      <c r="BW65" s="100">
        <v>3423.5305133918096</v>
      </c>
      <c r="BX65" s="100">
        <v>4.5765571340420328</v>
      </c>
      <c r="BY65" s="100">
        <v>4695.5476195271258</v>
      </c>
      <c r="BZ65" s="100">
        <v>3.6796338840419581E-4</v>
      </c>
      <c r="CA65" s="100">
        <v>0.3775304365027049</v>
      </c>
      <c r="CB65" s="100">
        <v>1.1494812407937534</v>
      </c>
      <c r="CC65" s="100">
        <v>1179.367753054391</v>
      </c>
      <c r="CD65" s="100">
        <v>2.9406426753924153</v>
      </c>
      <c r="CE65" s="100">
        <v>3017.099384952618</v>
      </c>
      <c r="CF65" s="100">
        <v>6</v>
      </c>
      <c r="CG65" s="100">
        <v>6156</v>
      </c>
      <c r="CH65" s="100">
        <v>5</v>
      </c>
      <c r="CI65" s="100">
        <v>5130</v>
      </c>
      <c r="CJ65" s="100">
        <v>5</v>
      </c>
      <c r="CK65" s="100">
        <v>5130</v>
      </c>
      <c r="CL65" s="100">
        <v>4</v>
      </c>
      <c r="CM65" s="100">
        <v>4104</v>
      </c>
      <c r="CN65" s="100">
        <v>5.5909386296473933</v>
      </c>
      <c r="CO65" s="100">
        <v>5736.3030340182258</v>
      </c>
      <c r="CP65" s="100">
        <v>3.4366950872006814E-4</v>
      </c>
      <c r="CQ65" s="100">
        <v>0.35260491594678989</v>
      </c>
      <c r="CR65" s="100">
        <v>6</v>
      </c>
      <c r="CS65" s="100">
        <v>6156</v>
      </c>
      <c r="CT65" s="100">
        <v>4.0716045233595359</v>
      </c>
      <c r="CU65" s="100">
        <v>4177.4662409668836</v>
      </c>
    </row>
    <row r="66" spans="2:99">
      <c r="C66" s="99" t="s">
        <v>232</v>
      </c>
      <c r="D66" s="100">
        <v>3.3477404240248538</v>
      </c>
      <c r="E66" s="100">
        <v>3985.1502007591857</v>
      </c>
      <c r="F66" s="100">
        <v>3.6008906671433225</v>
      </c>
      <c r="G66" s="100">
        <v>4286.5002501674107</v>
      </c>
      <c r="H66" s="100">
        <v>1.1124889839125842</v>
      </c>
      <c r="I66" s="100">
        <v>1324.3068864495401</v>
      </c>
      <c r="J66" s="100">
        <v>3</v>
      </c>
      <c r="K66" s="100">
        <v>3571.2</v>
      </c>
      <c r="L66" s="100">
        <v>4</v>
      </c>
      <c r="M66" s="100">
        <v>4761.5999999999995</v>
      </c>
      <c r="N66" s="100">
        <v>5</v>
      </c>
      <c r="O66" s="100">
        <v>5951.9999999999991</v>
      </c>
      <c r="P66" s="100">
        <v>6</v>
      </c>
      <c r="Q66" s="100">
        <v>7142.4</v>
      </c>
      <c r="R66" s="100">
        <v>6</v>
      </c>
      <c r="S66" s="100">
        <v>7142.4</v>
      </c>
      <c r="T66" s="100">
        <v>4</v>
      </c>
      <c r="U66" s="100">
        <v>4761.5999999999995</v>
      </c>
      <c r="V66" s="100">
        <v>4</v>
      </c>
      <c r="W66" s="100">
        <v>4761.5999999999995</v>
      </c>
      <c r="X66" s="100">
        <v>4.4959284634396948</v>
      </c>
      <c r="Y66" s="100">
        <v>5351.9532428786124</v>
      </c>
      <c r="Z66" s="100">
        <v>6</v>
      </c>
      <c r="AA66" s="100">
        <v>7142.4</v>
      </c>
      <c r="AB66" s="100">
        <v>4</v>
      </c>
      <c r="AC66" s="100">
        <v>4761.5999999999995</v>
      </c>
      <c r="AD66" s="100">
        <v>3.2025240091997236</v>
      </c>
      <c r="AE66" s="100">
        <v>3812.2845805513507</v>
      </c>
      <c r="AF66" s="100">
        <v>3.2951870435893782</v>
      </c>
      <c r="AG66" s="100">
        <v>3922.5906566887952</v>
      </c>
      <c r="AH66" s="100">
        <v>4.6450829451408611</v>
      </c>
      <c r="AI66" s="100">
        <v>5529.5067378956801</v>
      </c>
      <c r="AJ66" s="100">
        <v>5.4719269658872527</v>
      </c>
      <c r="AK66" s="100">
        <v>6513.7818601921845</v>
      </c>
      <c r="AL66" s="100">
        <v>1.5928712933408657</v>
      </c>
      <c r="AM66" s="100">
        <v>1896.1539875929664</v>
      </c>
      <c r="AN66" s="100">
        <v>4.9532847240481219</v>
      </c>
      <c r="AO66" s="100">
        <v>5896.3901355068838</v>
      </c>
      <c r="AP66" s="100">
        <v>4.3815402250309923</v>
      </c>
      <c r="AQ66" s="100">
        <v>5215.7854838768926</v>
      </c>
      <c r="AR66" s="100">
        <v>3.9550444104594318</v>
      </c>
      <c r="AS66" s="100">
        <v>4708.0848662109074</v>
      </c>
      <c r="AT66" s="100">
        <v>3.2031332851579169E-4</v>
      </c>
      <c r="AU66" s="100">
        <v>0.38130098626519837</v>
      </c>
      <c r="AV66" s="100">
        <v>6</v>
      </c>
      <c r="AW66" s="100">
        <v>7142.4</v>
      </c>
      <c r="AX66" s="100">
        <v>6</v>
      </c>
      <c r="AY66" s="100">
        <v>7142.4</v>
      </c>
      <c r="AZ66" s="100">
        <v>6</v>
      </c>
      <c r="BA66" s="100">
        <v>7142.4</v>
      </c>
      <c r="BB66" s="100">
        <v>5</v>
      </c>
      <c r="BC66" s="100">
        <v>5951.9999999999991</v>
      </c>
      <c r="BD66" s="100">
        <v>6.1307439503167371</v>
      </c>
      <c r="BE66" s="100">
        <v>7298.0375984570428</v>
      </c>
      <c r="BF66" s="100">
        <v>6</v>
      </c>
      <c r="BG66" s="100">
        <v>7142.4</v>
      </c>
      <c r="BH66" s="100">
        <v>4.1261070525243726</v>
      </c>
      <c r="BI66" s="100">
        <v>4911.7178353250129</v>
      </c>
      <c r="BJ66" s="100">
        <v>3.2903621524022206</v>
      </c>
      <c r="BK66" s="100">
        <v>3916.8471062196031</v>
      </c>
      <c r="BL66" s="100">
        <v>4</v>
      </c>
      <c r="BM66" s="100">
        <v>4761.5999999999995</v>
      </c>
      <c r="BN66" s="100">
        <v>4.9429292806354486</v>
      </c>
      <c r="BO66" s="100">
        <v>5884.0630156684374</v>
      </c>
      <c r="BP66" s="100">
        <v>3.4176138302273227</v>
      </c>
      <c r="BQ66" s="100">
        <v>4068.3275035026045</v>
      </c>
      <c r="BR66" s="100">
        <v>5</v>
      </c>
      <c r="BS66" s="100">
        <v>5951.9999999999991</v>
      </c>
      <c r="BT66" s="100">
        <v>5</v>
      </c>
      <c r="BU66" s="100">
        <v>5951.9999999999991</v>
      </c>
      <c r="BV66" s="100">
        <v>3.3434301018406418</v>
      </c>
      <c r="BW66" s="100">
        <v>3980.0191932310995</v>
      </c>
      <c r="BX66" s="100">
        <v>4.5765571340420328</v>
      </c>
      <c r="BY66" s="100">
        <v>5447.9336123636349</v>
      </c>
      <c r="BZ66" s="100">
        <v>3.6338296507716996E-4</v>
      </c>
      <c r="CA66" s="100">
        <v>0.43257108162786306</v>
      </c>
      <c r="CB66" s="100">
        <v>0.96138544834942796</v>
      </c>
      <c r="CC66" s="100">
        <v>1144.4332377151588</v>
      </c>
      <c r="CD66" s="100">
        <v>2.9406426753924153</v>
      </c>
      <c r="CE66" s="100">
        <v>3500.5410407871309</v>
      </c>
      <c r="CF66" s="100">
        <v>6</v>
      </c>
      <c r="CG66" s="100">
        <v>7142.4</v>
      </c>
      <c r="CH66" s="100">
        <v>5</v>
      </c>
      <c r="CI66" s="100">
        <v>5951.9999999999991</v>
      </c>
      <c r="CJ66" s="100">
        <v>5</v>
      </c>
      <c r="CK66" s="100">
        <v>5951.9999999999991</v>
      </c>
      <c r="CL66" s="100">
        <v>4</v>
      </c>
      <c r="CM66" s="100">
        <v>4761.5999999999995</v>
      </c>
      <c r="CN66" s="100">
        <v>5.6380819627407277</v>
      </c>
      <c r="CO66" s="100">
        <v>6711.5727684465619</v>
      </c>
      <c r="CP66" s="100">
        <v>3.4366950872006814E-4</v>
      </c>
      <c r="CQ66" s="100">
        <v>0.40910418318036906</v>
      </c>
      <c r="CR66" s="100">
        <v>6</v>
      </c>
      <c r="CS66" s="100">
        <v>7142.4</v>
      </c>
      <c r="CT66" s="100">
        <v>4.0716045233595359</v>
      </c>
      <c r="CU66" s="100">
        <v>4846.8380246071911</v>
      </c>
    </row>
    <row r="67" spans="2:99">
      <c r="C67" s="99" t="s">
        <v>233</v>
      </c>
      <c r="D67" s="100">
        <v>2.8746703021149078</v>
      </c>
      <c r="E67" s="100">
        <v>3228.8296833354648</v>
      </c>
      <c r="F67" s="100">
        <v>3.5696108562599944</v>
      </c>
      <c r="G67" s="100">
        <v>4009.3869137512261</v>
      </c>
      <c r="H67" s="100">
        <v>1.1124889839125842</v>
      </c>
      <c r="I67" s="100">
        <v>1249.5476267306146</v>
      </c>
      <c r="J67" s="100">
        <v>3</v>
      </c>
      <c r="K67" s="100">
        <v>3369.6000000000004</v>
      </c>
      <c r="L67" s="100">
        <v>4</v>
      </c>
      <c r="M67" s="100">
        <v>4492.8</v>
      </c>
      <c r="N67" s="100">
        <v>5</v>
      </c>
      <c r="O67" s="100">
        <v>5616</v>
      </c>
      <c r="P67" s="100">
        <v>6</v>
      </c>
      <c r="Q67" s="100">
        <v>6739.2000000000007</v>
      </c>
      <c r="R67" s="100">
        <v>5</v>
      </c>
      <c r="S67" s="100">
        <v>5616</v>
      </c>
      <c r="T67" s="100">
        <v>4</v>
      </c>
      <c r="U67" s="100">
        <v>4492.8</v>
      </c>
      <c r="V67" s="100">
        <v>4</v>
      </c>
      <c r="W67" s="100">
        <v>4492.8</v>
      </c>
      <c r="X67" s="100">
        <v>4.4463356170957251</v>
      </c>
      <c r="Y67" s="100">
        <v>4994.1241651219188</v>
      </c>
      <c r="Z67" s="100">
        <v>6</v>
      </c>
      <c r="AA67" s="100">
        <v>6739.2000000000007</v>
      </c>
      <c r="AB67" s="100">
        <v>4</v>
      </c>
      <c r="AC67" s="100">
        <v>4492.8</v>
      </c>
      <c r="AD67" s="100">
        <v>3.2025240091997236</v>
      </c>
      <c r="AE67" s="100">
        <v>3597.0749671331296</v>
      </c>
      <c r="AF67" s="100">
        <v>4.2530174659337527</v>
      </c>
      <c r="AG67" s="100">
        <v>4776.989217736791</v>
      </c>
      <c r="AH67" s="100">
        <v>3.9814996672635945</v>
      </c>
      <c r="AI67" s="100">
        <v>4472.0204262704692</v>
      </c>
      <c r="AJ67" s="100">
        <v>5.4719269658872527</v>
      </c>
      <c r="AK67" s="100">
        <v>6146.0683680845623</v>
      </c>
      <c r="AL67" s="100">
        <v>1.5928712933408657</v>
      </c>
      <c r="AM67" s="100">
        <v>1789.1130366804605</v>
      </c>
      <c r="AN67" s="100">
        <v>4.127737270040102</v>
      </c>
      <c r="AO67" s="100">
        <v>4636.2745017090429</v>
      </c>
      <c r="AP67" s="100">
        <v>4.4102237443682704</v>
      </c>
      <c r="AQ67" s="100">
        <v>4953.5633096744414</v>
      </c>
      <c r="AR67" s="100">
        <v>3.164035528367545</v>
      </c>
      <c r="AS67" s="100">
        <v>3553.8447054624266</v>
      </c>
      <c r="AT67" s="100">
        <v>3.2031332851579169E-4</v>
      </c>
      <c r="AU67" s="100">
        <v>0.35977593058893725</v>
      </c>
      <c r="AV67" s="100">
        <v>6</v>
      </c>
      <c r="AW67" s="100">
        <v>6739.2000000000007</v>
      </c>
      <c r="AX67" s="100">
        <v>6</v>
      </c>
      <c r="AY67" s="100">
        <v>6739.2000000000007</v>
      </c>
      <c r="AZ67" s="100">
        <v>6</v>
      </c>
      <c r="BA67" s="100">
        <v>6739.2000000000007</v>
      </c>
      <c r="BB67" s="100">
        <v>5</v>
      </c>
      <c r="BC67" s="100">
        <v>5616</v>
      </c>
      <c r="BD67" s="100">
        <v>6.1307439503167371</v>
      </c>
      <c r="BE67" s="100">
        <v>6886.0516049957596</v>
      </c>
      <c r="BF67" s="100">
        <v>6</v>
      </c>
      <c r="BG67" s="100">
        <v>6739.2000000000007</v>
      </c>
      <c r="BH67" s="100">
        <v>4.1261070525243726</v>
      </c>
      <c r="BI67" s="100">
        <v>4634.4434413953759</v>
      </c>
      <c r="BJ67" s="100">
        <v>3.2903621524022206</v>
      </c>
      <c r="BK67" s="100">
        <v>3695.7347695781746</v>
      </c>
      <c r="BL67" s="100">
        <v>4</v>
      </c>
      <c r="BM67" s="100">
        <v>4492.8</v>
      </c>
      <c r="BN67" s="100">
        <v>4.1191077338628741</v>
      </c>
      <c r="BO67" s="100">
        <v>4626.5818066747806</v>
      </c>
      <c r="BP67" s="100">
        <v>3.4176138302273227</v>
      </c>
      <c r="BQ67" s="100">
        <v>3838.6638541113289</v>
      </c>
      <c r="BR67" s="100">
        <v>5</v>
      </c>
      <c r="BS67" s="100">
        <v>5616</v>
      </c>
      <c r="BT67" s="100">
        <v>5</v>
      </c>
      <c r="BU67" s="100">
        <v>5616</v>
      </c>
      <c r="BV67" s="100">
        <v>3.3367743795241807</v>
      </c>
      <c r="BW67" s="100">
        <v>3747.8649830815598</v>
      </c>
      <c r="BX67" s="100">
        <v>4.5765571340420328</v>
      </c>
      <c r="BY67" s="100">
        <v>5140.3889729560115</v>
      </c>
      <c r="BZ67" s="100">
        <v>4.2318338870219401E-4</v>
      </c>
      <c r="CA67" s="100">
        <v>0.47531958219030435</v>
      </c>
      <c r="CB67" s="100">
        <v>1.1494812407937534</v>
      </c>
      <c r="CC67" s="100">
        <v>1291.0973296595439</v>
      </c>
      <c r="CD67" s="100">
        <v>2.9406426753924153</v>
      </c>
      <c r="CE67" s="100">
        <v>3302.9298530007609</v>
      </c>
      <c r="CF67" s="100">
        <v>6</v>
      </c>
      <c r="CG67" s="100">
        <v>6739.2000000000007</v>
      </c>
      <c r="CH67" s="100">
        <v>5</v>
      </c>
      <c r="CI67" s="100">
        <v>5616</v>
      </c>
      <c r="CJ67" s="100">
        <v>5</v>
      </c>
      <c r="CK67" s="100">
        <v>5616</v>
      </c>
      <c r="CL67" s="100">
        <v>5</v>
      </c>
      <c r="CM67" s="100">
        <v>5616</v>
      </c>
      <c r="CN67" s="100">
        <v>5.6145102961940596</v>
      </c>
      <c r="CO67" s="100">
        <v>6306.2179646851682</v>
      </c>
      <c r="CP67" s="100">
        <v>4.009477601734129E-4</v>
      </c>
      <c r="CQ67" s="100">
        <v>0.4503445242267774</v>
      </c>
      <c r="CR67" s="100">
        <v>5</v>
      </c>
      <c r="CS67" s="100">
        <v>5616</v>
      </c>
      <c r="CT67" s="100">
        <v>4.0716045233595359</v>
      </c>
      <c r="CU67" s="100">
        <v>4573.2262006374312</v>
      </c>
    </row>
    <row r="68" spans="2:99">
      <c r="C68" s="99" t="s">
        <v>234</v>
      </c>
      <c r="D68" s="100">
        <v>3.3477404240248538</v>
      </c>
      <c r="E68" s="100">
        <v>3458.885406102479</v>
      </c>
      <c r="F68" s="100">
        <v>3.6321704780266511</v>
      </c>
      <c r="G68" s="100">
        <v>3752.7585378971362</v>
      </c>
      <c r="H68" s="100">
        <v>1.1124889839125842</v>
      </c>
      <c r="I68" s="100">
        <v>1149.423618178482</v>
      </c>
      <c r="J68" s="100">
        <v>4</v>
      </c>
      <c r="K68" s="100">
        <v>4132.8</v>
      </c>
      <c r="L68" s="100">
        <v>4</v>
      </c>
      <c r="M68" s="100">
        <v>4132.8</v>
      </c>
      <c r="N68" s="100">
        <v>6</v>
      </c>
      <c r="O68" s="100">
        <v>6199.2000000000007</v>
      </c>
      <c r="P68" s="100">
        <v>5</v>
      </c>
      <c r="Q68" s="100">
        <v>5166</v>
      </c>
      <c r="R68" s="100">
        <v>6</v>
      </c>
      <c r="S68" s="100">
        <v>6199.2000000000007</v>
      </c>
      <c r="T68" s="100">
        <v>4</v>
      </c>
      <c r="U68" s="100">
        <v>4132.8</v>
      </c>
      <c r="V68" s="100">
        <v>4</v>
      </c>
      <c r="W68" s="100">
        <v>4132.8</v>
      </c>
      <c r="X68" s="100">
        <v>3.4959284634396943</v>
      </c>
      <c r="Y68" s="100">
        <v>3611.9932884258924</v>
      </c>
      <c r="Z68" s="100">
        <v>6</v>
      </c>
      <c r="AA68" s="100">
        <v>6199.2000000000007</v>
      </c>
      <c r="AB68" s="100">
        <v>3</v>
      </c>
      <c r="AC68" s="100">
        <v>3099.6000000000004</v>
      </c>
      <c r="AD68" s="100">
        <v>3.1822716082797515</v>
      </c>
      <c r="AE68" s="100">
        <v>3287.9230256746396</v>
      </c>
      <c r="AF68" s="100">
        <v>3.3373566212450037</v>
      </c>
      <c r="AG68" s="100">
        <v>3448.156861070338</v>
      </c>
      <c r="AH68" s="100">
        <v>3.9814996672635945</v>
      </c>
      <c r="AI68" s="100">
        <v>4113.6854562167464</v>
      </c>
      <c r="AJ68" s="100">
        <v>5.4719269658872527</v>
      </c>
      <c r="AK68" s="100">
        <v>5653.5949411547099</v>
      </c>
      <c r="AL68" s="100">
        <v>1.5928712933408657</v>
      </c>
      <c r="AM68" s="100">
        <v>1645.7546202797826</v>
      </c>
      <c r="AN68" s="100">
        <v>4.127737270040102</v>
      </c>
      <c r="AO68" s="100">
        <v>4264.7781474054336</v>
      </c>
      <c r="AP68" s="100">
        <v>4.3815402250309923</v>
      </c>
      <c r="AQ68" s="100">
        <v>4527.0073605020216</v>
      </c>
      <c r="AR68" s="100">
        <v>3.164035528367545</v>
      </c>
      <c r="AS68" s="100">
        <v>3269.0815079093477</v>
      </c>
      <c r="AT68" s="100">
        <v>3.2031332851579169E-4</v>
      </c>
      <c r="AU68" s="100">
        <v>0.33094773102251596</v>
      </c>
      <c r="AV68" s="100">
        <v>6</v>
      </c>
      <c r="AW68" s="100">
        <v>6199.2000000000007</v>
      </c>
      <c r="AX68" s="100">
        <v>6</v>
      </c>
      <c r="AY68" s="100">
        <v>6199.2000000000007</v>
      </c>
      <c r="AZ68" s="100">
        <v>6</v>
      </c>
      <c r="BA68" s="100">
        <v>6199.2000000000007</v>
      </c>
      <c r="BB68" s="100">
        <v>5</v>
      </c>
      <c r="BC68" s="100">
        <v>5166</v>
      </c>
      <c r="BD68" s="100">
        <v>6.1307439503167371</v>
      </c>
      <c r="BE68" s="100">
        <v>6334.2846494672531</v>
      </c>
      <c r="BF68" s="100">
        <v>6</v>
      </c>
      <c r="BG68" s="100">
        <v>6199.2000000000007</v>
      </c>
      <c r="BH68" s="100">
        <v>4.1261070525243726</v>
      </c>
      <c r="BI68" s="100">
        <v>4263.093806668182</v>
      </c>
      <c r="BJ68" s="100">
        <v>3.2903621524022206</v>
      </c>
      <c r="BK68" s="100">
        <v>3399.6021758619745</v>
      </c>
      <c r="BL68" s="100">
        <v>4</v>
      </c>
      <c r="BM68" s="100">
        <v>4132.8</v>
      </c>
      <c r="BN68" s="100">
        <v>4.1191077338628741</v>
      </c>
      <c r="BO68" s="100">
        <v>4255.8621106271221</v>
      </c>
      <c r="BP68" s="100">
        <v>3.4176138302273227</v>
      </c>
      <c r="BQ68" s="100">
        <v>3531.07860939087</v>
      </c>
      <c r="BR68" s="100">
        <v>6</v>
      </c>
      <c r="BS68" s="100">
        <v>6199.2000000000007</v>
      </c>
      <c r="BT68" s="100">
        <v>4</v>
      </c>
      <c r="BU68" s="100">
        <v>4132.8</v>
      </c>
      <c r="BV68" s="100">
        <v>2.5192200904342887</v>
      </c>
      <c r="BW68" s="100">
        <v>2602.8581974367071</v>
      </c>
      <c r="BX68" s="100">
        <v>4.5765571340420328</v>
      </c>
      <c r="BY68" s="100">
        <v>4728.4988308922284</v>
      </c>
      <c r="BZ68" s="100">
        <v>3.6338296507716996E-4</v>
      </c>
      <c r="CA68" s="100">
        <v>0.37544727951773205</v>
      </c>
      <c r="CB68" s="100">
        <v>1.1494812407937534</v>
      </c>
      <c r="CC68" s="100">
        <v>1187.644017988106</v>
      </c>
      <c r="CD68" s="100">
        <v>2.9406426753924153</v>
      </c>
      <c r="CE68" s="100">
        <v>3038.2720122154437</v>
      </c>
      <c r="CF68" s="100">
        <v>7</v>
      </c>
      <c r="CG68" s="100">
        <v>7232.4000000000005</v>
      </c>
      <c r="CH68" s="100">
        <v>5</v>
      </c>
      <c r="CI68" s="100">
        <v>5166</v>
      </c>
      <c r="CJ68" s="100">
        <v>5</v>
      </c>
      <c r="CK68" s="100">
        <v>5166</v>
      </c>
      <c r="CL68" s="100">
        <v>5</v>
      </c>
      <c r="CM68" s="100">
        <v>5166</v>
      </c>
      <c r="CN68" s="100">
        <v>4.8427438251549084</v>
      </c>
      <c r="CO68" s="100">
        <v>5003.5229201500515</v>
      </c>
      <c r="CP68" s="100">
        <v>3.4366950872006814E-4</v>
      </c>
      <c r="CQ68" s="100">
        <v>0.3550793364095744</v>
      </c>
      <c r="CR68" s="100">
        <v>5</v>
      </c>
      <c r="CS68" s="100">
        <v>5166</v>
      </c>
      <c r="CT68" s="100">
        <v>5.0835386105861256</v>
      </c>
      <c r="CU68" s="100">
        <v>5252.3120924575851</v>
      </c>
    </row>
    <row r="69" spans="2:99">
      <c r="C69" s="99" t="s">
        <v>235</v>
      </c>
      <c r="D69" s="100">
        <v>3.353782019134059</v>
      </c>
      <c r="E69" s="100">
        <v>2543.5082833112701</v>
      </c>
      <c r="F69" s="100">
        <v>3.5696108562599944</v>
      </c>
      <c r="G69" s="100">
        <v>2707.1928733875798</v>
      </c>
      <c r="H69" s="100">
        <v>1.1124889839125842</v>
      </c>
      <c r="I69" s="100">
        <v>843.71164539930385</v>
      </c>
      <c r="J69" s="100">
        <v>4</v>
      </c>
      <c r="K69" s="100">
        <v>3033.6</v>
      </c>
      <c r="L69" s="100">
        <v>4</v>
      </c>
      <c r="M69" s="100">
        <v>3033.6</v>
      </c>
      <c r="N69" s="100">
        <v>6</v>
      </c>
      <c r="O69" s="100">
        <v>4550.3999999999996</v>
      </c>
      <c r="P69" s="100">
        <v>6</v>
      </c>
      <c r="Q69" s="100">
        <v>4550.3999999999996</v>
      </c>
      <c r="R69" s="100">
        <v>5</v>
      </c>
      <c r="S69" s="100">
        <v>3792</v>
      </c>
      <c r="T69" s="100">
        <v>5</v>
      </c>
      <c r="U69" s="100">
        <v>3792</v>
      </c>
      <c r="V69" s="100">
        <v>4</v>
      </c>
      <c r="W69" s="100">
        <v>3033.6</v>
      </c>
      <c r="X69" s="100">
        <v>4.4463356170957251</v>
      </c>
      <c r="Y69" s="100">
        <v>3372.1009320053977</v>
      </c>
      <c r="Z69" s="100">
        <v>6</v>
      </c>
      <c r="AA69" s="100">
        <v>4550.3999999999996</v>
      </c>
      <c r="AB69" s="100">
        <v>4</v>
      </c>
      <c r="AC69" s="100">
        <v>3033.6</v>
      </c>
      <c r="AD69" s="100">
        <v>3.2227764101196961</v>
      </c>
      <c r="AE69" s="100">
        <v>2444.1536294347775</v>
      </c>
      <c r="AF69" s="100">
        <v>4.2951870435893786</v>
      </c>
      <c r="AG69" s="100">
        <v>3257.4698538581847</v>
      </c>
      <c r="AH69" s="100">
        <v>3.9814996672635945</v>
      </c>
      <c r="AI69" s="100">
        <v>3019.5693476527099</v>
      </c>
      <c r="AJ69" s="100">
        <v>5.4719269658872527</v>
      </c>
      <c r="AK69" s="100">
        <v>4149.9094109288926</v>
      </c>
      <c r="AL69" s="100">
        <v>1.5928712933408657</v>
      </c>
      <c r="AM69" s="100">
        <v>1208.0335888697125</v>
      </c>
      <c r="AN69" s="100">
        <v>4.127737270040102</v>
      </c>
      <c r="AO69" s="100">
        <v>3130.4759455984131</v>
      </c>
      <c r="AP69" s="100">
        <v>4.3815402250309923</v>
      </c>
      <c r="AQ69" s="100">
        <v>3322.9601066635046</v>
      </c>
      <c r="AR69" s="100">
        <v>3.9550444104594318</v>
      </c>
      <c r="AS69" s="100">
        <v>2999.5056808924328</v>
      </c>
      <c r="AT69" s="100">
        <v>3.8437599421895007E-4</v>
      </c>
      <c r="AU69" s="100">
        <v>0.29151075401565174</v>
      </c>
      <c r="AV69" s="100">
        <v>6</v>
      </c>
      <c r="AW69" s="100">
        <v>4550.3999999999996</v>
      </c>
      <c r="AX69" s="100">
        <v>6</v>
      </c>
      <c r="AY69" s="100">
        <v>4550.3999999999996</v>
      </c>
      <c r="AZ69" s="100">
        <v>7</v>
      </c>
      <c r="BA69" s="100">
        <v>5308.8</v>
      </c>
      <c r="BB69" s="100">
        <v>6</v>
      </c>
      <c r="BC69" s="100">
        <v>4550.3999999999996</v>
      </c>
      <c r="BD69" s="100">
        <v>6.1470869441063289</v>
      </c>
      <c r="BE69" s="100">
        <v>4661.9507384102399</v>
      </c>
      <c r="BF69" s="100">
        <v>7</v>
      </c>
      <c r="BG69" s="100">
        <v>5308.8</v>
      </c>
      <c r="BH69" s="100">
        <v>4.1261070525243726</v>
      </c>
      <c r="BI69" s="100">
        <v>3129.2395886344839</v>
      </c>
      <c r="BJ69" s="100">
        <v>4.1129526905027758</v>
      </c>
      <c r="BK69" s="100">
        <v>3119.2633204773051</v>
      </c>
      <c r="BL69" s="100">
        <v>4</v>
      </c>
      <c r="BM69" s="100">
        <v>3033.6</v>
      </c>
      <c r="BN69" s="100">
        <v>4.1191077338628741</v>
      </c>
      <c r="BO69" s="100">
        <v>3123.9313053616038</v>
      </c>
      <c r="BP69" s="100">
        <v>3.4176138302273227</v>
      </c>
      <c r="BQ69" s="100">
        <v>2591.9183288444015</v>
      </c>
      <c r="BR69" s="100">
        <v>5</v>
      </c>
      <c r="BS69" s="100">
        <v>3792</v>
      </c>
      <c r="BT69" s="100">
        <v>5</v>
      </c>
      <c r="BU69" s="100">
        <v>3792</v>
      </c>
      <c r="BV69" s="100">
        <v>3.3367743795241807</v>
      </c>
      <c r="BW69" s="100">
        <v>2530.6096894311386</v>
      </c>
      <c r="BX69" s="100">
        <v>5.4918685608504392</v>
      </c>
      <c r="BY69" s="100">
        <v>4165.0331165489733</v>
      </c>
      <c r="BZ69" s="100">
        <v>3.6567317674068286E-4</v>
      </c>
      <c r="CA69" s="100">
        <v>0.2773265372401339</v>
      </c>
      <c r="CB69" s="100">
        <v>1.1536625380193137</v>
      </c>
      <c r="CC69" s="100">
        <v>874.93766883384751</v>
      </c>
      <c r="CD69" s="100">
        <v>2.9406426753924153</v>
      </c>
      <c r="CE69" s="100">
        <v>2230.1834050176076</v>
      </c>
      <c r="CF69" s="100">
        <v>7</v>
      </c>
      <c r="CG69" s="100">
        <v>5308.8</v>
      </c>
      <c r="CH69" s="100">
        <v>5</v>
      </c>
      <c r="CI69" s="100">
        <v>3792</v>
      </c>
      <c r="CJ69" s="100">
        <v>5</v>
      </c>
      <c r="CK69" s="100">
        <v>3792</v>
      </c>
      <c r="CL69" s="100">
        <v>5</v>
      </c>
      <c r="CM69" s="100">
        <v>3792</v>
      </c>
      <c r="CN69" s="100">
        <v>4.8427438251549084</v>
      </c>
      <c r="CO69" s="100">
        <v>3672.7369169974822</v>
      </c>
      <c r="CP69" s="100">
        <v>4.009477601734129E-4</v>
      </c>
      <c r="CQ69" s="100">
        <v>0.30407878131551636</v>
      </c>
      <c r="CR69" s="100">
        <v>5</v>
      </c>
      <c r="CS69" s="100">
        <v>3792</v>
      </c>
      <c r="CT69" s="100">
        <v>4.0835386105861256</v>
      </c>
      <c r="CU69" s="100">
        <v>3096.9556822685176</v>
      </c>
    </row>
    <row r="70" spans="2:99">
      <c r="C70" s="99" t="s">
        <v>236</v>
      </c>
      <c r="D70" s="100">
        <v>3.353782019134059</v>
      </c>
      <c r="E70" s="100">
        <v>1794.9441366405481</v>
      </c>
      <c r="F70" s="100">
        <v>3.6321704780266511</v>
      </c>
      <c r="G70" s="100">
        <v>1943.9376398398633</v>
      </c>
      <c r="H70" s="100">
        <v>1.1124889839125842</v>
      </c>
      <c r="I70" s="100">
        <v>595.404104190015</v>
      </c>
      <c r="J70" s="100">
        <v>4</v>
      </c>
      <c r="K70" s="100">
        <v>2140.7999999999997</v>
      </c>
      <c r="L70" s="100">
        <v>4</v>
      </c>
      <c r="M70" s="100">
        <v>2140.7999999999997</v>
      </c>
      <c r="N70" s="100">
        <v>5</v>
      </c>
      <c r="O70" s="100">
        <v>2675.9999999999995</v>
      </c>
      <c r="P70" s="100">
        <v>6</v>
      </c>
      <c r="Q70" s="100">
        <v>3211.2</v>
      </c>
      <c r="R70" s="100">
        <v>5</v>
      </c>
      <c r="S70" s="100">
        <v>2675.9999999999995</v>
      </c>
      <c r="T70" s="100">
        <v>4</v>
      </c>
      <c r="U70" s="100">
        <v>2140.7999999999997</v>
      </c>
      <c r="V70" s="100">
        <v>4</v>
      </c>
      <c r="W70" s="100">
        <v>2140.7999999999997</v>
      </c>
      <c r="X70" s="100">
        <v>4.4959284634396948</v>
      </c>
      <c r="Y70" s="100">
        <v>2406.2209136329243</v>
      </c>
      <c r="Z70" s="100">
        <v>5</v>
      </c>
      <c r="AA70" s="100">
        <v>2675.9999999999995</v>
      </c>
      <c r="AB70" s="100">
        <v>4</v>
      </c>
      <c r="AC70" s="100">
        <v>2140.7999999999997</v>
      </c>
      <c r="AD70" s="100">
        <v>4.202524009199724</v>
      </c>
      <c r="AE70" s="100">
        <v>2249.1908497236918</v>
      </c>
      <c r="AF70" s="100">
        <v>4.3373566212450037</v>
      </c>
      <c r="AG70" s="100">
        <v>2321.3532636903255</v>
      </c>
      <c r="AH70" s="100">
        <v>4.6450829451408611</v>
      </c>
      <c r="AI70" s="100">
        <v>2486.0483922393887</v>
      </c>
      <c r="AJ70" s="100">
        <v>5.4719269658872527</v>
      </c>
      <c r="AK70" s="100">
        <v>2928.5753121428575</v>
      </c>
      <c r="AL70" s="100">
        <v>1.5928712933408657</v>
      </c>
      <c r="AM70" s="100">
        <v>852.50471619603127</v>
      </c>
      <c r="AN70" s="100">
        <v>4.127737270040102</v>
      </c>
      <c r="AO70" s="100">
        <v>2209.1649869254625</v>
      </c>
      <c r="AP70" s="100">
        <v>4.4102237443682704</v>
      </c>
      <c r="AQ70" s="100">
        <v>2360.3517479858979</v>
      </c>
      <c r="AR70" s="100">
        <v>3.9550444104594318</v>
      </c>
      <c r="AS70" s="100">
        <v>2116.7397684778875</v>
      </c>
      <c r="AT70" s="100">
        <v>3.2031332851579169E-4</v>
      </c>
      <c r="AU70" s="100">
        <v>0.17143169342165168</v>
      </c>
      <c r="AV70" s="100">
        <v>6</v>
      </c>
      <c r="AW70" s="100">
        <v>3211.2</v>
      </c>
      <c r="AX70" s="100">
        <v>7</v>
      </c>
      <c r="AY70" s="100">
        <v>3746.3999999999996</v>
      </c>
      <c r="AZ70" s="100">
        <v>6</v>
      </c>
      <c r="BA70" s="100">
        <v>3211.2</v>
      </c>
      <c r="BB70" s="100">
        <v>5</v>
      </c>
      <c r="BC70" s="100">
        <v>2675.9999999999995</v>
      </c>
      <c r="BD70" s="100">
        <v>7.1470869441063289</v>
      </c>
      <c r="BE70" s="100">
        <v>3825.1209324857068</v>
      </c>
      <c r="BF70" s="100">
        <v>6</v>
      </c>
      <c r="BG70" s="100">
        <v>3211.2</v>
      </c>
      <c r="BH70" s="100">
        <v>4.1261070525243726</v>
      </c>
      <c r="BI70" s="100">
        <v>2208.292494511044</v>
      </c>
      <c r="BJ70" s="100">
        <v>4.1129526905027758</v>
      </c>
      <c r="BK70" s="100">
        <v>2201.2522799570852</v>
      </c>
      <c r="BL70" s="100">
        <v>4</v>
      </c>
      <c r="BM70" s="100">
        <v>2140.7999999999997</v>
      </c>
      <c r="BN70" s="100">
        <v>4.9429292806354486</v>
      </c>
      <c r="BO70" s="100">
        <v>2645.4557509960919</v>
      </c>
      <c r="BP70" s="100">
        <v>3.4176138302273227</v>
      </c>
      <c r="BQ70" s="100">
        <v>1829.1069219376629</v>
      </c>
      <c r="BR70" s="100">
        <v>5</v>
      </c>
      <c r="BS70" s="100">
        <v>2675.9999999999995</v>
      </c>
      <c r="BT70" s="100">
        <v>5</v>
      </c>
      <c r="BU70" s="100">
        <v>2675.9999999999995</v>
      </c>
      <c r="BV70" s="100">
        <v>3.3367743795241807</v>
      </c>
      <c r="BW70" s="100">
        <v>1785.8416479213413</v>
      </c>
      <c r="BX70" s="100">
        <v>5.4918685608504392</v>
      </c>
      <c r="BY70" s="100">
        <v>2939.2480537671545</v>
      </c>
      <c r="BZ70" s="100">
        <v>3.6567317674068286E-4</v>
      </c>
      <c r="CA70" s="100">
        <v>0.19570828419161343</v>
      </c>
      <c r="CB70" s="100">
        <v>1.1494812407937534</v>
      </c>
      <c r="CC70" s="100">
        <v>615.20236007281676</v>
      </c>
      <c r="CD70" s="100">
        <v>2.9406426753924153</v>
      </c>
      <c r="CE70" s="100">
        <v>1573.8319598700205</v>
      </c>
      <c r="CF70" s="100">
        <v>6</v>
      </c>
      <c r="CG70" s="100">
        <v>3211.2</v>
      </c>
      <c r="CH70" s="100">
        <v>5</v>
      </c>
      <c r="CI70" s="100">
        <v>2675.9999999999995</v>
      </c>
      <c r="CJ70" s="100">
        <v>5</v>
      </c>
      <c r="CK70" s="100">
        <v>2675.9999999999995</v>
      </c>
      <c r="CL70" s="100">
        <v>5</v>
      </c>
      <c r="CM70" s="100">
        <v>2675.9999999999995</v>
      </c>
      <c r="CN70" s="100">
        <v>4.8427438251549084</v>
      </c>
      <c r="CO70" s="100">
        <v>2591.8364952229067</v>
      </c>
      <c r="CP70" s="100">
        <v>4.009477601734129E-4</v>
      </c>
      <c r="CQ70" s="100">
        <v>0.21458724124481054</v>
      </c>
      <c r="CR70" s="100">
        <v>5</v>
      </c>
      <c r="CS70" s="100">
        <v>2675.9999999999995</v>
      </c>
      <c r="CT70" s="100">
        <v>4.0835386105861256</v>
      </c>
      <c r="CU70" s="100">
        <v>2185.5098643856941</v>
      </c>
    </row>
    <row r="71" spans="2:99">
      <c r="B71" s="99" t="s">
        <v>130</v>
      </c>
      <c r="C71" s="99" t="s">
        <v>237</v>
      </c>
      <c r="D71" s="100">
        <v>3.3073520799877332</v>
      </c>
      <c r="E71" s="100">
        <v>1865.3465731130816</v>
      </c>
      <c r="F71" s="100">
        <v>3.0374079257296853</v>
      </c>
      <c r="G71" s="100">
        <v>1713.0980701115425</v>
      </c>
      <c r="H71" s="100">
        <v>0.35689024971706795</v>
      </c>
      <c r="I71" s="100">
        <v>201.28610084042631</v>
      </c>
      <c r="J71" s="100">
        <v>4</v>
      </c>
      <c r="K71" s="100">
        <v>2256</v>
      </c>
      <c r="L71" s="100">
        <v>5</v>
      </c>
      <c r="M71" s="100">
        <v>2820</v>
      </c>
      <c r="N71" s="100">
        <v>4</v>
      </c>
      <c r="O71" s="100">
        <v>2256</v>
      </c>
      <c r="P71" s="100">
        <v>4</v>
      </c>
      <c r="Q71" s="100">
        <v>2256</v>
      </c>
      <c r="R71" s="100">
        <v>6</v>
      </c>
      <c r="S71" s="100">
        <v>3384</v>
      </c>
      <c r="T71" s="100">
        <v>5</v>
      </c>
      <c r="U71" s="100">
        <v>2820</v>
      </c>
      <c r="V71" s="100">
        <v>4</v>
      </c>
      <c r="W71" s="100">
        <v>2256</v>
      </c>
      <c r="X71" s="100">
        <v>4.2738393325476283</v>
      </c>
      <c r="Y71" s="100">
        <v>2410.4453835568625</v>
      </c>
      <c r="Z71" s="100">
        <v>4.9202101677409615</v>
      </c>
      <c r="AA71" s="100">
        <v>2774.9985346059025</v>
      </c>
      <c r="AB71" s="100">
        <v>6</v>
      </c>
      <c r="AC71" s="100">
        <v>3384</v>
      </c>
      <c r="AD71" s="100">
        <v>4</v>
      </c>
      <c r="AE71" s="100">
        <v>2256</v>
      </c>
      <c r="AF71" s="100">
        <v>5</v>
      </c>
      <c r="AG71" s="100">
        <v>2820</v>
      </c>
      <c r="AH71" s="100">
        <v>6</v>
      </c>
      <c r="AI71" s="100">
        <v>3384</v>
      </c>
      <c r="AJ71" s="100">
        <v>3</v>
      </c>
      <c r="AK71" s="100">
        <v>1692</v>
      </c>
      <c r="AL71" s="100">
        <v>4</v>
      </c>
      <c r="AM71" s="100">
        <v>2256</v>
      </c>
      <c r="AN71" s="100">
        <v>3</v>
      </c>
      <c r="AO71" s="100">
        <v>1692</v>
      </c>
      <c r="AP71" s="100">
        <v>3.9596187757721903</v>
      </c>
      <c r="AQ71" s="100">
        <v>2233.2249895355153</v>
      </c>
      <c r="AR71" s="100">
        <v>3.7175277672232849</v>
      </c>
      <c r="AS71" s="100">
        <v>2096.6856607139325</v>
      </c>
      <c r="AT71" s="100">
        <v>3</v>
      </c>
      <c r="AU71" s="100">
        <v>1692</v>
      </c>
      <c r="AV71" s="100">
        <v>5</v>
      </c>
      <c r="AW71" s="100">
        <v>2820</v>
      </c>
      <c r="AX71" s="100">
        <v>4</v>
      </c>
      <c r="AY71" s="100">
        <v>2256</v>
      </c>
      <c r="AZ71" s="100">
        <v>5</v>
      </c>
      <c r="BA71" s="100">
        <v>2820</v>
      </c>
      <c r="BB71" s="100">
        <v>4</v>
      </c>
      <c r="BC71" s="100">
        <v>2256</v>
      </c>
      <c r="BD71" s="100">
        <v>6</v>
      </c>
      <c r="BE71" s="100">
        <v>3384</v>
      </c>
      <c r="BF71" s="100">
        <v>4.9185430276964031</v>
      </c>
      <c r="BG71" s="100">
        <v>2774.0582676207714</v>
      </c>
      <c r="BH71" s="100">
        <v>2.0623479312120852</v>
      </c>
      <c r="BI71" s="100">
        <v>1163.164233203616</v>
      </c>
      <c r="BJ71" s="100">
        <v>4.1286005491758599</v>
      </c>
      <c r="BK71" s="100">
        <v>2328.5307097351852</v>
      </c>
      <c r="BL71" s="100">
        <v>4</v>
      </c>
      <c r="BM71" s="100">
        <v>2256</v>
      </c>
      <c r="BN71" s="100">
        <v>6</v>
      </c>
      <c r="BO71" s="100">
        <v>3384</v>
      </c>
      <c r="BP71" s="100">
        <v>4</v>
      </c>
      <c r="BQ71" s="100">
        <v>2256</v>
      </c>
      <c r="BR71" s="100">
        <v>5</v>
      </c>
      <c r="BS71" s="100">
        <v>2820</v>
      </c>
      <c r="BT71" s="100">
        <v>5</v>
      </c>
      <c r="BU71" s="100">
        <v>2820</v>
      </c>
      <c r="BV71" s="100">
        <v>6</v>
      </c>
      <c r="BW71" s="100">
        <v>3384</v>
      </c>
      <c r="BX71" s="100">
        <v>4</v>
      </c>
      <c r="BY71" s="100">
        <v>2256</v>
      </c>
      <c r="BZ71" s="100">
        <v>2.8093280294307821</v>
      </c>
      <c r="CA71" s="100">
        <v>1584.4610085989611</v>
      </c>
      <c r="CB71" s="100">
        <v>5</v>
      </c>
      <c r="CC71" s="100">
        <v>2820</v>
      </c>
      <c r="CD71" s="100">
        <v>5</v>
      </c>
      <c r="CE71" s="100">
        <v>2820</v>
      </c>
      <c r="CF71" s="100">
        <v>6</v>
      </c>
      <c r="CG71" s="100">
        <v>3384</v>
      </c>
      <c r="CH71" s="100">
        <v>6</v>
      </c>
      <c r="CI71" s="100">
        <v>3384</v>
      </c>
      <c r="CJ71" s="100">
        <v>4</v>
      </c>
      <c r="CK71" s="100">
        <v>2256</v>
      </c>
      <c r="CL71" s="100">
        <v>4.496247817115318</v>
      </c>
      <c r="CM71" s="100">
        <v>2535.8837688530393</v>
      </c>
      <c r="CN71" s="100">
        <v>3.7255012034044923</v>
      </c>
      <c r="CO71" s="100">
        <v>2101.1826787201335</v>
      </c>
      <c r="CP71" s="100">
        <v>4</v>
      </c>
      <c r="CQ71" s="100">
        <v>2256</v>
      </c>
      <c r="CR71" s="100">
        <v>5</v>
      </c>
      <c r="CS71" s="100">
        <v>2820</v>
      </c>
      <c r="CT71" s="100">
        <v>7</v>
      </c>
      <c r="CU71" s="100">
        <v>3948</v>
      </c>
    </row>
    <row r="72" spans="2:99">
      <c r="C72" s="99" t="s">
        <v>238</v>
      </c>
      <c r="D72" s="100">
        <v>4.3073520799877336</v>
      </c>
      <c r="E72" s="100">
        <v>320.46699475108733</v>
      </c>
      <c r="F72" s="100">
        <v>3.0428874391274983</v>
      </c>
      <c r="G72" s="100">
        <v>226.39082547108583</v>
      </c>
      <c r="H72" s="100">
        <v>0.28551219977365433</v>
      </c>
      <c r="I72" s="100">
        <v>21.242107663159878</v>
      </c>
      <c r="J72" s="100">
        <v>3</v>
      </c>
      <c r="K72" s="100">
        <v>223.2</v>
      </c>
      <c r="L72" s="100">
        <v>6</v>
      </c>
      <c r="M72" s="100">
        <v>446.4</v>
      </c>
      <c r="N72" s="100">
        <v>3</v>
      </c>
      <c r="O72" s="100">
        <v>223.2</v>
      </c>
      <c r="P72" s="100">
        <v>4</v>
      </c>
      <c r="Q72" s="100">
        <v>297.59999999999997</v>
      </c>
      <c r="R72" s="100">
        <v>6</v>
      </c>
      <c r="S72" s="100">
        <v>446.4</v>
      </c>
      <c r="T72" s="100">
        <v>5</v>
      </c>
      <c r="U72" s="100">
        <v>371.99999999999994</v>
      </c>
      <c r="V72" s="100">
        <v>5</v>
      </c>
      <c r="W72" s="100">
        <v>371.99999999999994</v>
      </c>
      <c r="X72" s="100">
        <v>4.3422991656845351</v>
      </c>
      <c r="Y72" s="100">
        <v>323.06705792692935</v>
      </c>
      <c r="Z72" s="100">
        <v>5.9042522012891538</v>
      </c>
      <c r="AA72" s="100">
        <v>439.27636377591301</v>
      </c>
      <c r="AB72" s="100">
        <v>6</v>
      </c>
      <c r="AC72" s="100">
        <v>446.4</v>
      </c>
      <c r="AD72" s="100">
        <v>4</v>
      </c>
      <c r="AE72" s="100">
        <v>297.59999999999997</v>
      </c>
      <c r="AF72" s="100">
        <v>5</v>
      </c>
      <c r="AG72" s="100">
        <v>371.99999999999994</v>
      </c>
      <c r="AH72" s="100">
        <v>6</v>
      </c>
      <c r="AI72" s="100">
        <v>446.4</v>
      </c>
      <c r="AJ72" s="100">
        <v>4</v>
      </c>
      <c r="AK72" s="100">
        <v>297.59999999999997</v>
      </c>
      <c r="AL72" s="100">
        <v>3</v>
      </c>
      <c r="AM72" s="100">
        <v>223.2</v>
      </c>
      <c r="AN72" s="100">
        <v>3</v>
      </c>
      <c r="AO72" s="100">
        <v>223.2</v>
      </c>
      <c r="AP72" s="100">
        <v>3.9596187757721903</v>
      </c>
      <c r="AQ72" s="100">
        <v>294.59563691745092</v>
      </c>
      <c r="AR72" s="100">
        <v>4.6469097090291056</v>
      </c>
      <c r="AS72" s="100">
        <v>345.73008235176542</v>
      </c>
      <c r="AT72" s="100">
        <v>4</v>
      </c>
      <c r="AU72" s="100">
        <v>297.59999999999997</v>
      </c>
      <c r="AV72" s="100">
        <v>5</v>
      </c>
      <c r="AW72" s="100">
        <v>371.99999999999994</v>
      </c>
      <c r="AX72" s="100">
        <v>4</v>
      </c>
      <c r="AY72" s="100">
        <v>297.59999999999997</v>
      </c>
      <c r="AZ72" s="100">
        <v>5</v>
      </c>
      <c r="BA72" s="100">
        <v>371.99999999999994</v>
      </c>
      <c r="BB72" s="100">
        <v>4</v>
      </c>
      <c r="BC72" s="100">
        <v>297.59999999999997</v>
      </c>
      <c r="BD72" s="100">
        <v>7</v>
      </c>
      <c r="BE72" s="100">
        <v>520.79999999999995</v>
      </c>
      <c r="BF72" s="100">
        <v>4.9185430276964031</v>
      </c>
      <c r="BG72" s="100">
        <v>365.93960126061233</v>
      </c>
      <c r="BH72" s="100">
        <v>2.7497972416161129</v>
      </c>
      <c r="BI72" s="100">
        <v>204.58491477623878</v>
      </c>
      <c r="BJ72" s="100">
        <v>4.1286005491758599</v>
      </c>
      <c r="BK72" s="100">
        <v>307.16788085868393</v>
      </c>
      <c r="BL72" s="100">
        <v>4</v>
      </c>
      <c r="BM72" s="100">
        <v>297.59999999999997</v>
      </c>
      <c r="BN72" s="100">
        <v>5</v>
      </c>
      <c r="BO72" s="100">
        <v>371.99999999999994</v>
      </c>
      <c r="BP72" s="100">
        <v>4</v>
      </c>
      <c r="BQ72" s="100">
        <v>297.59999999999997</v>
      </c>
      <c r="BR72" s="100">
        <v>5</v>
      </c>
      <c r="BS72" s="100">
        <v>371.99999999999994</v>
      </c>
      <c r="BT72" s="100">
        <v>5</v>
      </c>
      <c r="BU72" s="100">
        <v>371.99999999999994</v>
      </c>
      <c r="BV72" s="100">
        <v>7</v>
      </c>
      <c r="BW72" s="100">
        <v>520.79999999999995</v>
      </c>
      <c r="BX72" s="100">
        <v>4</v>
      </c>
      <c r="BY72" s="100">
        <v>297.59999999999997</v>
      </c>
      <c r="BZ72" s="100">
        <v>3.5116600367884772</v>
      </c>
      <c r="CA72" s="100">
        <v>261.26750673706266</v>
      </c>
      <c r="CB72" s="100">
        <v>6</v>
      </c>
      <c r="CC72" s="100">
        <v>446.4</v>
      </c>
      <c r="CD72" s="100">
        <v>5</v>
      </c>
      <c r="CE72" s="100">
        <v>371.99999999999994</v>
      </c>
      <c r="CF72" s="100">
        <v>6</v>
      </c>
      <c r="CG72" s="100">
        <v>446.4</v>
      </c>
      <c r="CH72" s="100">
        <v>6</v>
      </c>
      <c r="CI72" s="100">
        <v>446.4</v>
      </c>
      <c r="CJ72" s="100">
        <v>5</v>
      </c>
      <c r="CK72" s="100">
        <v>371.99999999999994</v>
      </c>
      <c r="CL72" s="100">
        <v>3.8539267003845583</v>
      </c>
      <c r="CM72" s="100">
        <v>286.73214650861109</v>
      </c>
      <c r="CN72" s="100">
        <v>3.7255012034044923</v>
      </c>
      <c r="CO72" s="100">
        <v>277.17728953329419</v>
      </c>
      <c r="CP72" s="100">
        <v>4</v>
      </c>
      <c r="CQ72" s="100">
        <v>297.59999999999997</v>
      </c>
      <c r="CR72" s="100">
        <v>6</v>
      </c>
      <c r="CS72" s="100">
        <v>446.4</v>
      </c>
      <c r="CT72" s="100">
        <v>7</v>
      </c>
      <c r="CU72" s="100">
        <v>520.79999999999995</v>
      </c>
    </row>
    <row r="73" spans="2:99">
      <c r="C73" s="99" t="s">
        <v>239</v>
      </c>
      <c r="D73" s="100">
        <v>4.2689330699892665</v>
      </c>
      <c r="E73" s="100">
        <v>2387.1873727379975</v>
      </c>
      <c r="F73" s="100">
        <v>3.0374079257296853</v>
      </c>
      <c r="G73" s="100">
        <v>1698.5185120680399</v>
      </c>
      <c r="H73" s="100">
        <v>0.28551219977365433</v>
      </c>
      <c r="I73" s="100">
        <v>159.65842211342749</v>
      </c>
      <c r="J73" s="100">
        <v>3</v>
      </c>
      <c r="K73" s="100">
        <v>1677.6</v>
      </c>
      <c r="L73" s="100">
        <v>5</v>
      </c>
      <c r="M73" s="100">
        <v>2795.9999999999995</v>
      </c>
      <c r="N73" s="100">
        <v>3</v>
      </c>
      <c r="O73" s="100">
        <v>1677.6</v>
      </c>
      <c r="P73" s="100">
        <v>5</v>
      </c>
      <c r="Q73" s="100">
        <v>2795.9999999999995</v>
      </c>
      <c r="R73" s="100">
        <v>6</v>
      </c>
      <c r="S73" s="100">
        <v>3355.2</v>
      </c>
      <c r="T73" s="100">
        <v>5</v>
      </c>
      <c r="U73" s="100">
        <v>2795.9999999999995</v>
      </c>
      <c r="V73" s="100">
        <v>4</v>
      </c>
      <c r="W73" s="100">
        <v>2236.7999999999997</v>
      </c>
      <c r="X73" s="100">
        <v>4.2738393325476283</v>
      </c>
      <c r="Y73" s="100">
        <v>2389.9309547606335</v>
      </c>
      <c r="Z73" s="100">
        <v>4.9202101677409615</v>
      </c>
      <c r="AA73" s="100">
        <v>2751.3815258007453</v>
      </c>
      <c r="AB73" s="100">
        <v>6</v>
      </c>
      <c r="AC73" s="100">
        <v>3355.2</v>
      </c>
      <c r="AD73" s="100">
        <v>3</v>
      </c>
      <c r="AE73" s="100">
        <v>1677.6</v>
      </c>
      <c r="AF73" s="100">
        <v>5</v>
      </c>
      <c r="AG73" s="100">
        <v>2795.9999999999995</v>
      </c>
      <c r="AH73" s="100">
        <v>6</v>
      </c>
      <c r="AI73" s="100">
        <v>3355.2</v>
      </c>
      <c r="AJ73" s="100">
        <v>3</v>
      </c>
      <c r="AK73" s="100">
        <v>1677.6</v>
      </c>
      <c r="AL73" s="100">
        <v>3</v>
      </c>
      <c r="AM73" s="100">
        <v>1677.6</v>
      </c>
      <c r="AN73" s="100">
        <v>3</v>
      </c>
      <c r="AO73" s="100">
        <v>1677.6</v>
      </c>
      <c r="AP73" s="100">
        <v>3.1676950206177521</v>
      </c>
      <c r="AQ73" s="100">
        <v>1771.3750555294469</v>
      </c>
      <c r="AR73" s="100">
        <v>4.6469097090291056</v>
      </c>
      <c r="AS73" s="100">
        <v>2598.5519092890754</v>
      </c>
      <c r="AT73" s="100">
        <v>3</v>
      </c>
      <c r="AU73" s="100">
        <v>1677.6</v>
      </c>
      <c r="AV73" s="100">
        <v>5</v>
      </c>
      <c r="AW73" s="100">
        <v>2795.9999999999995</v>
      </c>
      <c r="AX73" s="100">
        <v>4</v>
      </c>
      <c r="AY73" s="100">
        <v>2236.7999999999997</v>
      </c>
      <c r="AZ73" s="100">
        <v>5</v>
      </c>
      <c r="BA73" s="100">
        <v>2795.9999999999995</v>
      </c>
      <c r="BB73" s="100">
        <v>4</v>
      </c>
      <c r="BC73" s="100">
        <v>2236.7999999999997</v>
      </c>
      <c r="BD73" s="100">
        <v>6</v>
      </c>
      <c r="BE73" s="100">
        <v>3355.2</v>
      </c>
      <c r="BF73" s="100">
        <v>4.832072591236388</v>
      </c>
      <c r="BG73" s="100">
        <v>2702.0949930193879</v>
      </c>
      <c r="BH73" s="100">
        <v>2.0623479312120852</v>
      </c>
      <c r="BI73" s="100">
        <v>1153.2649631337979</v>
      </c>
      <c r="BJ73" s="100">
        <v>4.1286005491758599</v>
      </c>
      <c r="BK73" s="100">
        <v>2308.7134270991405</v>
      </c>
      <c r="BL73" s="100">
        <v>4</v>
      </c>
      <c r="BM73" s="100">
        <v>2236.7999999999997</v>
      </c>
      <c r="BN73" s="100">
        <v>5</v>
      </c>
      <c r="BO73" s="100">
        <v>2795.9999999999995</v>
      </c>
      <c r="BP73" s="100">
        <v>4</v>
      </c>
      <c r="BQ73" s="100">
        <v>2236.7999999999997</v>
      </c>
      <c r="BR73" s="100">
        <v>5</v>
      </c>
      <c r="BS73" s="100">
        <v>2795.9999999999995</v>
      </c>
      <c r="BT73" s="100">
        <v>5</v>
      </c>
      <c r="BU73" s="100">
        <v>2795.9999999999995</v>
      </c>
      <c r="BV73" s="100">
        <v>6</v>
      </c>
      <c r="BW73" s="100">
        <v>3355.2</v>
      </c>
      <c r="BX73" s="100">
        <v>4.644419074143503</v>
      </c>
      <c r="BY73" s="100">
        <v>2597.1591462610463</v>
      </c>
      <c r="BZ73" s="100">
        <v>3.5116600367884772</v>
      </c>
      <c r="CA73" s="100">
        <v>1963.7202925721163</v>
      </c>
      <c r="CB73" s="100">
        <v>6</v>
      </c>
      <c r="CC73" s="100">
        <v>3355.2</v>
      </c>
      <c r="CD73" s="100">
        <v>5</v>
      </c>
      <c r="CE73" s="100">
        <v>2795.9999999999995</v>
      </c>
      <c r="CF73" s="100">
        <v>6</v>
      </c>
      <c r="CG73" s="100">
        <v>3355.2</v>
      </c>
      <c r="CH73" s="100">
        <v>6</v>
      </c>
      <c r="CI73" s="100">
        <v>3355.2</v>
      </c>
      <c r="CJ73" s="100">
        <v>4</v>
      </c>
      <c r="CK73" s="100">
        <v>2236.7999999999997</v>
      </c>
      <c r="CL73" s="100">
        <v>3.8539267003845583</v>
      </c>
      <c r="CM73" s="100">
        <v>2155.1158108550449</v>
      </c>
      <c r="CN73" s="100">
        <v>3.7255012034044923</v>
      </c>
      <c r="CO73" s="100">
        <v>2083.3002729437917</v>
      </c>
      <c r="CP73" s="100">
        <v>4</v>
      </c>
      <c r="CQ73" s="100">
        <v>2236.7999999999997</v>
      </c>
      <c r="CR73" s="100">
        <v>5</v>
      </c>
      <c r="CS73" s="100">
        <v>2795.9999999999995</v>
      </c>
      <c r="CT73" s="100">
        <v>6</v>
      </c>
      <c r="CU73" s="100">
        <v>3355.2</v>
      </c>
    </row>
    <row r="74" spans="2:99">
      <c r="C74" s="99" t="s">
        <v>240</v>
      </c>
      <c r="D74" s="100">
        <v>4.2689330699892665</v>
      </c>
      <c r="E74" s="100">
        <v>1721.2338138196722</v>
      </c>
      <c r="F74" s="100">
        <v>2.5430455504699991</v>
      </c>
      <c r="G74" s="100">
        <v>1025.3559659495036</v>
      </c>
      <c r="H74" s="100">
        <v>0.28551219977365433</v>
      </c>
      <c r="I74" s="100">
        <v>115.11851894873742</v>
      </c>
      <c r="J74" s="100">
        <v>3</v>
      </c>
      <c r="K74" s="100">
        <v>1209.5999999999999</v>
      </c>
      <c r="L74" s="100">
        <v>6</v>
      </c>
      <c r="M74" s="100">
        <v>2419.1999999999998</v>
      </c>
      <c r="N74" s="100">
        <v>3</v>
      </c>
      <c r="O74" s="100">
        <v>1209.5999999999999</v>
      </c>
      <c r="P74" s="100">
        <v>5</v>
      </c>
      <c r="Q74" s="100">
        <v>2016</v>
      </c>
      <c r="R74" s="100">
        <v>6</v>
      </c>
      <c r="S74" s="100">
        <v>2419.1999999999998</v>
      </c>
      <c r="T74" s="100">
        <v>5</v>
      </c>
      <c r="U74" s="100">
        <v>2016</v>
      </c>
      <c r="V74" s="100">
        <v>5</v>
      </c>
      <c r="W74" s="100">
        <v>2016</v>
      </c>
      <c r="X74" s="100">
        <v>4.3080692491160821</v>
      </c>
      <c r="Y74" s="100">
        <v>1737.0135212436044</v>
      </c>
      <c r="Z74" s="100">
        <v>4.9202101677409615</v>
      </c>
      <c r="AA74" s="100">
        <v>1983.8287396331557</v>
      </c>
      <c r="AB74" s="100">
        <v>6</v>
      </c>
      <c r="AC74" s="100">
        <v>2419.1999999999998</v>
      </c>
      <c r="AD74" s="100">
        <v>3</v>
      </c>
      <c r="AE74" s="100">
        <v>1209.5999999999999</v>
      </c>
      <c r="AF74" s="100">
        <v>5</v>
      </c>
      <c r="AG74" s="100">
        <v>2016</v>
      </c>
      <c r="AH74" s="100">
        <v>6</v>
      </c>
      <c r="AI74" s="100">
        <v>2419.1999999999998</v>
      </c>
      <c r="AJ74" s="100">
        <v>3</v>
      </c>
      <c r="AK74" s="100">
        <v>1209.5999999999999</v>
      </c>
      <c r="AL74" s="100">
        <v>4</v>
      </c>
      <c r="AM74" s="100">
        <v>1612.8</v>
      </c>
      <c r="AN74" s="100">
        <v>3</v>
      </c>
      <c r="AO74" s="100">
        <v>1209.5999999999999</v>
      </c>
      <c r="AP74" s="100">
        <v>3.9596187757721903</v>
      </c>
      <c r="AQ74" s="100">
        <v>1596.5182903913471</v>
      </c>
      <c r="AR74" s="100">
        <v>4.6469097090291056</v>
      </c>
      <c r="AS74" s="100">
        <v>1873.6339946805354</v>
      </c>
      <c r="AT74" s="100">
        <v>4</v>
      </c>
      <c r="AU74" s="100">
        <v>1612.8</v>
      </c>
      <c r="AV74" s="100">
        <v>5</v>
      </c>
      <c r="AW74" s="100">
        <v>2016</v>
      </c>
      <c r="AX74" s="100">
        <v>4</v>
      </c>
      <c r="AY74" s="100">
        <v>1612.8</v>
      </c>
      <c r="AZ74" s="100">
        <v>5</v>
      </c>
      <c r="BA74" s="100">
        <v>2016</v>
      </c>
      <c r="BB74" s="100">
        <v>4</v>
      </c>
      <c r="BC74" s="100">
        <v>1612.8</v>
      </c>
      <c r="BD74" s="100">
        <v>6</v>
      </c>
      <c r="BE74" s="100">
        <v>2419.1999999999998</v>
      </c>
      <c r="BF74" s="100">
        <v>4.8753078094663955</v>
      </c>
      <c r="BG74" s="100">
        <v>1965.7241087768507</v>
      </c>
      <c r="BH74" s="100">
        <v>2.7497972416161129</v>
      </c>
      <c r="BI74" s="100">
        <v>1108.7182478196166</v>
      </c>
      <c r="BJ74" s="100">
        <v>4.1286005491758599</v>
      </c>
      <c r="BK74" s="100">
        <v>1664.6517414277066</v>
      </c>
      <c r="BL74" s="100">
        <v>4</v>
      </c>
      <c r="BM74" s="100">
        <v>1612.8</v>
      </c>
      <c r="BN74" s="100">
        <v>5</v>
      </c>
      <c r="BO74" s="100">
        <v>2016</v>
      </c>
      <c r="BP74" s="100">
        <v>3</v>
      </c>
      <c r="BQ74" s="100">
        <v>1209.5999999999999</v>
      </c>
      <c r="BR74" s="100">
        <v>4</v>
      </c>
      <c r="BS74" s="100">
        <v>1612.8</v>
      </c>
      <c r="BT74" s="100">
        <v>6</v>
      </c>
      <c r="BU74" s="100">
        <v>2419.1999999999998</v>
      </c>
      <c r="BV74" s="100">
        <v>6</v>
      </c>
      <c r="BW74" s="100">
        <v>2419.1999999999998</v>
      </c>
      <c r="BX74" s="100">
        <v>4</v>
      </c>
      <c r="BY74" s="100">
        <v>1612.8</v>
      </c>
      <c r="BZ74" s="100">
        <v>3.5116600367884772</v>
      </c>
      <c r="CA74" s="100">
        <v>1415.9013268331139</v>
      </c>
      <c r="CB74" s="100">
        <v>6</v>
      </c>
      <c r="CC74" s="100">
        <v>2419.1999999999998</v>
      </c>
      <c r="CD74" s="100">
        <v>5</v>
      </c>
      <c r="CE74" s="100">
        <v>2016</v>
      </c>
      <c r="CF74" s="100">
        <v>7</v>
      </c>
      <c r="CG74" s="100">
        <v>2822.4</v>
      </c>
      <c r="CH74" s="100">
        <v>6</v>
      </c>
      <c r="CI74" s="100">
        <v>2419.1999999999998</v>
      </c>
      <c r="CJ74" s="100">
        <v>5</v>
      </c>
      <c r="CK74" s="100">
        <v>2016</v>
      </c>
      <c r="CL74" s="100">
        <v>4.496247817115318</v>
      </c>
      <c r="CM74" s="100">
        <v>1812.8871198608961</v>
      </c>
      <c r="CN74" s="100">
        <v>3.7255012034044923</v>
      </c>
      <c r="CO74" s="100">
        <v>1502.1220852126912</v>
      </c>
      <c r="CP74" s="100">
        <v>3</v>
      </c>
      <c r="CQ74" s="100">
        <v>1209.5999999999999</v>
      </c>
      <c r="CR74" s="100">
        <v>5</v>
      </c>
      <c r="CS74" s="100">
        <v>2016</v>
      </c>
      <c r="CT74" s="100">
        <v>6</v>
      </c>
      <c r="CU74" s="100">
        <v>2419.1999999999998</v>
      </c>
    </row>
    <row r="75" spans="2:99">
      <c r="C75" s="99" t="s">
        <v>241</v>
      </c>
      <c r="D75" s="100">
        <v>3.3073520799877332</v>
      </c>
      <c r="E75" s="100">
        <v>2127.2888578481097</v>
      </c>
      <c r="F75" s="100">
        <v>3.0483669525253112</v>
      </c>
      <c r="G75" s="100">
        <v>1960.70962386428</v>
      </c>
      <c r="H75" s="100">
        <v>0.28551219977365433</v>
      </c>
      <c r="I75" s="100">
        <v>183.64144689441446</v>
      </c>
      <c r="J75" s="100">
        <v>3</v>
      </c>
      <c r="K75" s="100">
        <v>1929.6</v>
      </c>
      <c r="L75" s="100">
        <v>5</v>
      </c>
      <c r="M75" s="100">
        <v>3215.9999999999995</v>
      </c>
      <c r="N75" s="100">
        <v>3</v>
      </c>
      <c r="O75" s="100">
        <v>1929.6</v>
      </c>
      <c r="P75" s="100">
        <v>4</v>
      </c>
      <c r="Q75" s="100">
        <v>2572.7999999999997</v>
      </c>
      <c r="R75" s="100">
        <v>5</v>
      </c>
      <c r="S75" s="100">
        <v>3215.9999999999995</v>
      </c>
      <c r="T75" s="100">
        <v>5</v>
      </c>
      <c r="U75" s="100">
        <v>3215.9999999999995</v>
      </c>
      <c r="V75" s="100">
        <v>4</v>
      </c>
      <c r="W75" s="100">
        <v>2572.7999999999997</v>
      </c>
      <c r="X75" s="100">
        <v>4.3080692491160821</v>
      </c>
      <c r="Y75" s="100">
        <v>2770.9501410314638</v>
      </c>
      <c r="Z75" s="100">
        <v>4.9202101677409615</v>
      </c>
      <c r="AA75" s="100">
        <v>3164.6791798909862</v>
      </c>
      <c r="AB75" s="100">
        <v>6</v>
      </c>
      <c r="AC75" s="100">
        <v>3859.2</v>
      </c>
      <c r="AD75" s="100">
        <v>4</v>
      </c>
      <c r="AE75" s="100">
        <v>2572.7999999999997</v>
      </c>
      <c r="AF75" s="100">
        <v>5</v>
      </c>
      <c r="AG75" s="100">
        <v>3215.9999999999995</v>
      </c>
      <c r="AH75" s="100">
        <v>6</v>
      </c>
      <c r="AI75" s="100">
        <v>3859.2</v>
      </c>
      <c r="AJ75" s="100">
        <v>4</v>
      </c>
      <c r="AK75" s="100">
        <v>2572.7999999999997</v>
      </c>
      <c r="AL75" s="100">
        <v>3</v>
      </c>
      <c r="AM75" s="100">
        <v>1929.6</v>
      </c>
      <c r="AN75" s="100">
        <v>3</v>
      </c>
      <c r="AO75" s="100">
        <v>1929.6</v>
      </c>
      <c r="AP75" s="100">
        <v>3.9596187757721903</v>
      </c>
      <c r="AQ75" s="100">
        <v>2546.8267965766727</v>
      </c>
      <c r="AR75" s="100">
        <v>3.7175277672232849</v>
      </c>
      <c r="AS75" s="100">
        <v>2391.1138598780167</v>
      </c>
      <c r="AT75" s="100">
        <v>3</v>
      </c>
      <c r="AU75" s="100">
        <v>1929.6</v>
      </c>
      <c r="AV75" s="100">
        <v>5</v>
      </c>
      <c r="AW75" s="100">
        <v>3215.9999999999995</v>
      </c>
      <c r="AX75" s="100">
        <v>3</v>
      </c>
      <c r="AY75" s="100">
        <v>1929.6</v>
      </c>
      <c r="AZ75" s="100">
        <v>5</v>
      </c>
      <c r="BA75" s="100">
        <v>3215.9999999999995</v>
      </c>
      <c r="BB75" s="100">
        <v>4</v>
      </c>
      <c r="BC75" s="100">
        <v>2572.7999999999997</v>
      </c>
      <c r="BD75" s="100">
        <v>6</v>
      </c>
      <c r="BE75" s="100">
        <v>3859.2</v>
      </c>
      <c r="BF75" s="100">
        <v>4.3564851907063078</v>
      </c>
      <c r="BG75" s="100">
        <v>2802.0912746622967</v>
      </c>
      <c r="BH75" s="100">
        <v>2.7497972416161129</v>
      </c>
      <c r="BI75" s="100">
        <v>1768.6695858074836</v>
      </c>
      <c r="BJ75" s="100">
        <v>4.1286005491758599</v>
      </c>
      <c r="BK75" s="100">
        <v>2655.5158732299128</v>
      </c>
      <c r="BL75" s="100">
        <v>5</v>
      </c>
      <c r="BM75" s="100">
        <v>3215.9999999999995</v>
      </c>
      <c r="BN75" s="100">
        <v>5</v>
      </c>
      <c r="BO75" s="100">
        <v>3215.9999999999995</v>
      </c>
      <c r="BP75" s="100">
        <v>4</v>
      </c>
      <c r="BQ75" s="100">
        <v>2572.7999999999997</v>
      </c>
      <c r="BR75" s="100">
        <v>5</v>
      </c>
      <c r="BS75" s="100">
        <v>3215.9999999999995</v>
      </c>
      <c r="BT75" s="100">
        <v>5</v>
      </c>
      <c r="BU75" s="100">
        <v>3215.9999999999995</v>
      </c>
      <c r="BV75" s="100">
        <v>7</v>
      </c>
      <c r="BW75" s="100">
        <v>4502.3999999999996</v>
      </c>
      <c r="BX75" s="100">
        <v>4</v>
      </c>
      <c r="BY75" s="100">
        <v>2572.7999999999997</v>
      </c>
      <c r="BZ75" s="100">
        <v>3.5116600367884772</v>
      </c>
      <c r="CA75" s="100">
        <v>2258.6997356623483</v>
      </c>
      <c r="CB75" s="100">
        <v>5</v>
      </c>
      <c r="CC75" s="100">
        <v>3215.9999999999995</v>
      </c>
      <c r="CD75" s="100">
        <v>4</v>
      </c>
      <c r="CE75" s="100">
        <v>2572.7999999999997</v>
      </c>
      <c r="CF75" s="100">
        <v>7</v>
      </c>
      <c r="CG75" s="100">
        <v>4502.3999999999996</v>
      </c>
      <c r="CH75" s="100">
        <v>5</v>
      </c>
      <c r="CI75" s="100">
        <v>3215.9999999999995</v>
      </c>
      <c r="CJ75" s="100">
        <v>4</v>
      </c>
      <c r="CK75" s="100">
        <v>2572.7999999999997</v>
      </c>
      <c r="CL75" s="100">
        <v>4.496247817115318</v>
      </c>
      <c r="CM75" s="100">
        <v>2891.9865959685721</v>
      </c>
      <c r="CN75" s="100">
        <v>3.7255012034044923</v>
      </c>
      <c r="CO75" s="100">
        <v>2396.2423740297691</v>
      </c>
      <c r="CP75" s="100">
        <v>3</v>
      </c>
      <c r="CQ75" s="100">
        <v>1929.6</v>
      </c>
      <c r="CR75" s="100">
        <v>5</v>
      </c>
      <c r="CS75" s="100">
        <v>3215.9999999999995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4.3073520799877336</v>
      </c>
      <c r="E76" s="100">
        <v>3354.5657998944466</v>
      </c>
      <c r="F76" s="100">
        <v>3.0428874391274983</v>
      </c>
      <c r="G76" s="100">
        <v>2369.8007375924954</v>
      </c>
      <c r="H76" s="100">
        <v>0.28551219977365433</v>
      </c>
      <c r="I76" s="100">
        <v>222.35690118372199</v>
      </c>
      <c r="J76" s="100">
        <v>3</v>
      </c>
      <c r="K76" s="100">
        <v>2336.3999999999996</v>
      </c>
      <c r="L76" s="100">
        <v>6</v>
      </c>
      <c r="M76" s="100">
        <v>4672.7999999999993</v>
      </c>
      <c r="N76" s="100">
        <v>4</v>
      </c>
      <c r="O76" s="100">
        <v>3115.2</v>
      </c>
      <c r="P76" s="100">
        <v>5</v>
      </c>
      <c r="Q76" s="100">
        <v>3894</v>
      </c>
      <c r="R76" s="100">
        <v>5</v>
      </c>
      <c r="S76" s="100">
        <v>3894</v>
      </c>
      <c r="T76" s="100">
        <v>5</v>
      </c>
      <c r="U76" s="100">
        <v>3894</v>
      </c>
      <c r="V76" s="100">
        <v>5</v>
      </c>
      <c r="W76" s="100">
        <v>3894</v>
      </c>
      <c r="X76" s="100">
        <v>4.2738393325476283</v>
      </c>
      <c r="Y76" s="100">
        <v>3328.4660721880928</v>
      </c>
      <c r="Z76" s="100">
        <v>4.9202101677409615</v>
      </c>
      <c r="AA76" s="100">
        <v>3831.8596786366606</v>
      </c>
      <c r="AB76" s="100">
        <v>6</v>
      </c>
      <c r="AC76" s="100">
        <v>4672.7999999999993</v>
      </c>
      <c r="AD76" s="100">
        <v>4</v>
      </c>
      <c r="AE76" s="100">
        <v>3115.2</v>
      </c>
      <c r="AF76" s="100">
        <v>5</v>
      </c>
      <c r="AG76" s="100">
        <v>3894</v>
      </c>
      <c r="AH76" s="100">
        <v>6</v>
      </c>
      <c r="AI76" s="100">
        <v>4672.7999999999993</v>
      </c>
      <c r="AJ76" s="100">
        <v>3</v>
      </c>
      <c r="AK76" s="100">
        <v>2336.3999999999996</v>
      </c>
      <c r="AL76" s="100">
        <v>3</v>
      </c>
      <c r="AM76" s="100">
        <v>2336.3999999999996</v>
      </c>
      <c r="AN76" s="100">
        <v>3</v>
      </c>
      <c r="AO76" s="100">
        <v>2336.3999999999996</v>
      </c>
      <c r="AP76" s="100">
        <v>3.1676950206177521</v>
      </c>
      <c r="AQ76" s="100">
        <v>2467.0008820571052</v>
      </c>
      <c r="AR76" s="100">
        <v>3.7175277672232849</v>
      </c>
      <c r="AS76" s="100">
        <v>2895.2106251134942</v>
      </c>
      <c r="AT76" s="100">
        <v>4</v>
      </c>
      <c r="AU76" s="100">
        <v>3115.2</v>
      </c>
      <c r="AV76" s="100">
        <v>5</v>
      </c>
      <c r="AW76" s="100">
        <v>3894</v>
      </c>
      <c r="AX76" s="100">
        <v>4</v>
      </c>
      <c r="AY76" s="100">
        <v>3115.2</v>
      </c>
      <c r="AZ76" s="100">
        <v>5</v>
      </c>
      <c r="BA76" s="100">
        <v>3894</v>
      </c>
      <c r="BB76" s="100">
        <v>4</v>
      </c>
      <c r="BC76" s="100">
        <v>3115.2</v>
      </c>
      <c r="BD76" s="100">
        <v>5</v>
      </c>
      <c r="BE76" s="100">
        <v>3894</v>
      </c>
      <c r="BF76" s="100">
        <v>5.2277822288475697</v>
      </c>
      <c r="BG76" s="100">
        <v>4071.396799826487</v>
      </c>
      <c r="BH76" s="100">
        <v>2.0623479312120852</v>
      </c>
      <c r="BI76" s="100">
        <v>1606.1565688279718</v>
      </c>
      <c r="BJ76" s="100">
        <v>4.1286005491758599</v>
      </c>
      <c r="BK76" s="100">
        <v>3215.3541076981596</v>
      </c>
      <c r="BL76" s="100">
        <v>4</v>
      </c>
      <c r="BM76" s="100">
        <v>3115.2</v>
      </c>
      <c r="BN76" s="100">
        <v>5</v>
      </c>
      <c r="BO76" s="100">
        <v>3894</v>
      </c>
      <c r="BP76" s="100">
        <v>4</v>
      </c>
      <c r="BQ76" s="100">
        <v>3115.2</v>
      </c>
      <c r="BR76" s="100">
        <v>4</v>
      </c>
      <c r="BS76" s="100">
        <v>3115.2</v>
      </c>
      <c r="BT76" s="100">
        <v>5</v>
      </c>
      <c r="BU76" s="100">
        <v>3894</v>
      </c>
      <c r="BV76" s="100">
        <v>6</v>
      </c>
      <c r="BW76" s="100">
        <v>4672.7999999999993</v>
      </c>
      <c r="BX76" s="100">
        <v>4</v>
      </c>
      <c r="BY76" s="100">
        <v>3115.2</v>
      </c>
      <c r="BZ76" s="100">
        <v>2.8093280294307821</v>
      </c>
      <c r="CA76" s="100">
        <v>2187.9046693206928</v>
      </c>
      <c r="CB76" s="100">
        <v>5</v>
      </c>
      <c r="CC76" s="100">
        <v>3894</v>
      </c>
      <c r="CD76" s="100">
        <v>5</v>
      </c>
      <c r="CE76" s="100">
        <v>3894</v>
      </c>
      <c r="CF76" s="100">
        <v>7</v>
      </c>
      <c r="CG76" s="100">
        <v>5451.5999999999995</v>
      </c>
      <c r="CH76" s="100">
        <v>6</v>
      </c>
      <c r="CI76" s="100">
        <v>4672.7999999999993</v>
      </c>
      <c r="CJ76" s="100">
        <v>5</v>
      </c>
      <c r="CK76" s="100">
        <v>3894</v>
      </c>
      <c r="CL76" s="100">
        <v>3.8539267003845583</v>
      </c>
      <c r="CM76" s="100">
        <v>3001.4381142594939</v>
      </c>
      <c r="CN76" s="100">
        <v>3.7255012034044923</v>
      </c>
      <c r="CO76" s="100">
        <v>2901.4203372114184</v>
      </c>
      <c r="CP76" s="100">
        <v>3</v>
      </c>
      <c r="CQ76" s="100">
        <v>2336.3999999999996</v>
      </c>
      <c r="CR76" s="100">
        <v>5</v>
      </c>
      <c r="CS76" s="100">
        <v>3894</v>
      </c>
      <c r="CT76" s="100">
        <v>6</v>
      </c>
      <c r="CU76" s="100">
        <v>4672.7999999999993</v>
      </c>
    </row>
    <row r="77" spans="2:99">
      <c r="C77" s="99" t="s">
        <v>243</v>
      </c>
      <c r="D77" s="100">
        <v>4.2689330699892665</v>
      </c>
      <c r="E77" s="100">
        <v>1188.4709666850117</v>
      </c>
      <c r="F77" s="100">
        <v>2.5485250638678125</v>
      </c>
      <c r="G77" s="100">
        <v>709.5093777807989</v>
      </c>
      <c r="H77" s="100">
        <v>0.28551219977365433</v>
      </c>
      <c r="I77" s="100">
        <v>79.486596416985364</v>
      </c>
      <c r="J77" s="100">
        <v>3</v>
      </c>
      <c r="K77" s="100">
        <v>835.19999999999993</v>
      </c>
      <c r="L77" s="100">
        <v>6</v>
      </c>
      <c r="M77" s="100">
        <v>1670.3999999999999</v>
      </c>
      <c r="N77" s="100">
        <v>3</v>
      </c>
      <c r="O77" s="100">
        <v>835.19999999999993</v>
      </c>
      <c r="P77" s="100">
        <v>4</v>
      </c>
      <c r="Q77" s="100">
        <v>1113.5999999999999</v>
      </c>
      <c r="R77" s="100">
        <v>6</v>
      </c>
      <c r="S77" s="100">
        <v>1670.3999999999999</v>
      </c>
      <c r="T77" s="100">
        <v>5</v>
      </c>
      <c r="U77" s="100">
        <v>1392</v>
      </c>
      <c r="V77" s="100">
        <v>4</v>
      </c>
      <c r="W77" s="100">
        <v>1113.5999999999999</v>
      </c>
      <c r="X77" s="100">
        <v>4.3422991656845351</v>
      </c>
      <c r="Y77" s="100">
        <v>1208.8960877265745</v>
      </c>
      <c r="Z77" s="100">
        <v>5.9042522012891538</v>
      </c>
      <c r="AA77" s="100">
        <v>1643.7438128389003</v>
      </c>
      <c r="AB77" s="100">
        <v>6</v>
      </c>
      <c r="AC77" s="100">
        <v>1670.3999999999999</v>
      </c>
      <c r="AD77" s="100">
        <v>3</v>
      </c>
      <c r="AE77" s="100">
        <v>835.19999999999993</v>
      </c>
      <c r="AF77" s="100">
        <v>5</v>
      </c>
      <c r="AG77" s="100">
        <v>1392</v>
      </c>
      <c r="AH77" s="100">
        <v>6</v>
      </c>
      <c r="AI77" s="100">
        <v>1670.3999999999999</v>
      </c>
      <c r="AJ77" s="100">
        <v>3</v>
      </c>
      <c r="AK77" s="100">
        <v>835.19999999999993</v>
      </c>
      <c r="AL77" s="100">
        <v>3</v>
      </c>
      <c r="AM77" s="100">
        <v>835.19999999999993</v>
      </c>
      <c r="AN77" s="100">
        <v>4</v>
      </c>
      <c r="AO77" s="100">
        <v>1113.5999999999999</v>
      </c>
      <c r="AP77" s="100">
        <v>3.1676950206177521</v>
      </c>
      <c r="AQ77" s="100">
        <v>881.88629373998208</v>
      </c>
      <c r="AR77" s="100">
        <v>4.6469097090291056</v>
      </c>
      <c r="AS77" s="100">
        <v>1293.699662993703</v>
      </c>
      <c r="AT77" s="100">
        <v>3</v>
      </c>
      <c r="AU77" s="100">
        <v>835.19999999999993</v>
      </c>
      <c r="AV77" s="100">
        <v>5</v>
      </c>
      <c r="AW77" s="100">
        <v>1392</v>
      </c>
      <c r="AX77" s="100">
        <v>4</v>
      </c>
      <c r="AY77" s="100">
        <v>1113.5999999999999</v>
      </c>
      <c r="AZ77" s="100">
        <v>5</v>
      </c>
      <c r="BA77" s="100">
        <v>1392</v>
      </c>
      <c r="BB77" s="100">
        <v>4</v>
      </c>
      <c r="BC77" s="100">
        <v>1113.5999999999999</v>
      </c>
      <c r="BD77" s="100">
        <v>6</v>
      </c>
      <c r="BE77" s="100">
        <v>1670.3999999999999</v>
      </c>
      <c r="BF77" s="100">
        <v>4.3564851907063078</v>
      </c>
      <c r="BG77" s="100">
        <v>1212.845477092636</v>
      </c>
      <c r="BH77" s="100">
        <v>2.7497972416161129</v>
      </c>
      <c r="BI77" s="100">
        <v>765.54355206592572</v>
      </c>
      <c r="BJ77" s="100">
        <v>4.1286005491758599</v>
      </c>
      <c r="BK77" s="100">
        <v>1149.4023928905592</v>
      </c>
      <c r="BL77" s="100">
        <v>4</v>
      </c>
      <c r="BM77" s="100">
        <v>1113.5999999999999</v>
      </c>
      <c r="BN77" s="100">
        <v>5</v>
      </c>
      <c r="BO77" s="100">
        <v>1392</v>
      </c>
      <c r="BP77" s="100">
        <v>4</v>
      </c>
      <c r="BQ77" s="100">
        <v>1113.5999999999999</v>
      </c>
      <c r="BR77" s="100">
        <v>5</v>
      </c>
      <c r="BS77" s="100">
        <v>1392</v>
      </c>
      <c r="BT77" s="100">
        <v>6</v>
      </c>
      <c r="BU77" s="100">
        <v>1670.3999999999999</v>
      </c>
      <c r="BV77" s="100">
        <v>6</v>
      </c>
      <c r="BW77" s="100">
        <v>1670.3999999999999</v>
      </c>
      <c r="BX77" s="100">
        <v>5</v>
      </c>
      <c r="BY77" s="100">
        <v>1392</v>
      </c>
      <c r="BZ77" s="100">
        <v>3.5116600367884772</v>
      </c>
      <c r="CA77" s="100">
        <v>977.64615424191197</v>
      </c>
      <c r="CB77" s="100">
        <v>6</v>
      </c>
      <c r="CC77" s="100">
        <v>1670.3999999999999</v>
      </c>
      <c r="CD77" s="100">
        <v>5</v>
      </c>
      <c r="CE77" s="100">
        <v>1392</v>
      </c>
      <c r="CF77" s="100">
        <v>6</v>
      </c>
      <c r="CG77" s="100">
        <v>1670.3999999999999</v>
      </c>
      <c r="CH77" s="100">
        <v>7</v>
      </c>
      <c r="CI77" s="100">
        <v>1948.7999999999997</v>
      </c>
      <c r="CJ77" s="100">
        <v>4</v>
      </c>
      <c r="CK77" s="100">
        <v>1113.5999999999999</v>
      </c>
      <c r="CL77" s="100">
        <v>3.8539267003845583</v>
      </c>
      <c r="CM77" s="100">
        <v>1072.933193387061</v>
      </c>
      <c r="CN77" s="100">
        <v>3.7255012034044923</v>
      </c>
      <c r="CO77" s="100">
        <v>1037.1795350278105</v>
      </c>
      <c r="CP77" s="100">
        <v>4</v>
      </c>
      <c r="CQ77" s="100">
        <v>1113.5999999999999</v>
      </c>
      <c r="CR77" s="100">
        <v>6</v>
      </c>
      <c r="CS77" s="100">
        <v>1670.3999999999999</v>
      </c>
      <c r="CT77" s="100">
        <v>7</v>
      </c>
      <c r="CU77" s="100">
        <v>1948.7999999999997</v>
      </c>
    </row>
    <row r="78" spans="2:99">
      <c r="C78" s="99" t="s">
        <v>244</v>
      </c>
      <c r="D78" s="100">
        <v>3.3073520799877332</v>
      </c>
      <c r="E78" s="100">
        <v>1825.6583481532286</v>
      </c>
      <c r="F78" s="100">
        <v>2.5430455504699991</v>
      </c>
      <c r="G78" s="100">
        <v>1403.7611438594395</v>
      </c>
      <c r="H78" s="100">
        <v>0.28551219977365433</v>
      </c>
      <c r="I78" s="100">
        <v>157.6027342750572</v>
      </c>
      <c r="J78" s="100">
        <v>3</v>
      </c>
      <c r="K78" s="100">
        <v>1656</v>
      </c>
      <c r="L78" s="100">
        <v>5</v>
      </c>
      <c r="M78" s="100">
        <v>2760</v>
      </c>
      <c r="N78" s="100">
        <v>3</v>
      </c>
      <c r="O78" s="100">
        <v>1656</v>
      </c>
      <c r="P78" s="100">
        <v>4</v>
      </c>
      <c r="Q78" s="100">
        <v>2208</v>
      </c>
      <c r="R78" s="100">
        <v>6</v>
      </c>
      <c r="S78" s="100">
        <v>3312</v>
      </c>
      <c r="T78" s="100">
        <v>5</v>
      </c>
      <c r="U78" s="100">
        <v>2760</v>
      </c>
      <c r="V78" s="100">
        <v>5</v>
      </c>
      <c r="W78" s="100">
        <v>2760</v>
      </c>
      <c r="X78" s="100">
        <v>4.3080692491160821</v>
      </c>
      <c r="Y78" s="100">
        <v>2378.0542255120772</v>
      </c>
      <c r="Z78" s="100">
        <v>4.9202101677409615</v>
      </c>
      <c r="AA78" s="100">
        <v>2715.9560125930107</v>
      </c>
      <c r="AB78" s="100">
        <v>6</v>
      </c>
      <c r="AC78" s="100">
        <v>3312</v>
      </c>
      <c r="AD78" s="100">
        <v>3</v>
      </c>
      <c r="AE78" s="100">
        <v>1656</v>
      </c>
      <c r="AF78" s="100">
        <v>6</v>
      </c>
      <c r="AG78" s="100">
        <v>3312</v>
      </c>
      <c r="AH78" s="100">
        <v>6</v>
      </c>
      <c r="AI78" s="100">
        <v>3312</v>
      </c>
      <c r="AJ78" s="100">
        <v>4</v>
      </c>
      <c r="AK78" s="100">
        <v>2208</v>
      </c>
      <c r="AL78" s="100">
        <v>4</v>
      </c>
      <c r="AM78" s="100">
        <v>2208</v>
      </c>
      <c r="AN78" s="100">
        <v>3</v>
      </c>
      <c r="AO78" s="100">
        <v>1656</v>
      </c>
      <c r="AP78" s="100">
        <v>3.1676950206177521</v>
      </c>
      <c r="AQ78" s="100">
        <v>1748.5676513809992</v>
      </c>
      <c r="AR78" s="100">
        <v>3.7175277672232849</v>
      </c>
      <c r="AS78" s="100">
        <v>2052.0753275072534</v>
      </c>
      <c r="AT78" s="100">
        <v>4</v>
      </c>
      <c r="AU78" s="100">
        <v>2208</v>
      </c>
      <c r="AV78" s="100">
        <v>5</v>
      </c>
      <c r="AW78" s="100">
        <v>2760</v>
      </c>
      <c r="AX78" s="100">
        <v>4</v>
      </c>
      <c r="AY78" s="100">
        <v>2208</v>
      </c>
      <c r="AZ78" s="100">
        <v>5</v>
      </c>
      <c r="BA78" s="100">
        <v>2760</v>
      </c>
      <c r="BB78" s="100">
        <v>4</v>
      </c>
      <c r="BC78" s="100">
        <v>2208</v>
      </c>
      <c r="BD78" s="100">
        <v>6</v>
      </c>
      <c r="BE78" s="100">
        <v>3312</v>
      </c>
      <c r="BF78" s="100">
        <v>4.3564851907063078</v>
      </c>
      <c r="BG78" s="100">
        <v>2404.7798252698817</v>
      </c>
      <c r="BH78" s="100">
        <v>2.0623479312120852</v>
      </c>
      <c r="BI78" s="100">
        <v>1138.4160580290711</v>
      </c>
      <c r="BJ78" s="100">
        <v>4.1286005491758599</v>
      </c>
      <c r="BK78" s="100">
        <v>2278.9875031450747</v>
      </c>
      <c r="BL78" s="100">
        <v>4</v>
      </c>
      <c r="BM78" s="100">
        <v>2208</v>
      </c>
      <c r="BN78" s="100">
        <v>5</v>
      </c>
      <c r="BO78" s="100">
        <v>2760</v>
      </c>
      <c r="BP78" s="100">
        <v>3</v>
      </c>
      <c r="BQ78" s="100">
        <v>1656</v>
      </c>
      <c r="BR78" s="100">
        <v>5</v>
      </c>
      <c r="BS78" s="100">
        <v>2760</v>
      </c>
      <c r="BT78" s="100">
        <v>6</v>
      </c>
      <c r="BU78" s="100">
        <v>3312</v>
      </c>
      <c r="BV78" s="100">
        <v>6</v>
      </c>
      <c r="BW78" s="100">
        <v>3312</v>
      </c>
      <c r="BX78" s="100">
        <v>4</v>
      </c>
      <c r="BY78" s="100">
        <v>2208</v>
      </c>
      <c r="BZ78" s="100">
        <v>3.5116600367884772</v>
      </c>
      <c r="CA78" s="100">
        <v>1938.4363403072393</v>
      </c>
      <c r="CB78" s="100">
        <v>6</v>
      </c>
      <c r="CC78" s="100">
        <v>3312</v>
      </c>
      <c r="CD78" s="100">
        <v>5</v>
      </c>
      <c r="CE78" s="100">
        <v>2760</v>
      </c>
      <c r="CF78" s="100">
        <v>6</v>
      </c>
      <c r="CG78" s="100">
        <v>3312</v>
      </c>
      <c r="CH78" s="100">
        <v>6</v>
      </c>
      <c r="CI78" s="100">
        <v>3312</v>
      </c>
      <c r="CJ78" s="100">
        <v>5</v>
      </c>
      <c r="CK78" s="100">
        <v>2760</v>
      </c>
      <c r="CL78" s="100">
        <v>3.8539267003845583</v>
      </c>
      <c r="CM78" s="100">
        <v>2127.3675386122763</v>
      </c>
      <c r="CN78" s="100">
        <v>3.7255012034044923</v>
      </c>
      <c r="CO78" s="100">
        <v>2056.4766642792797</v>
      </c>
      <c r="CP78" s="100">
        <v>4</v>
      </c>
      <c r="CQ78" s="100">
        <v>2208</v>
      </c>
      <c r="CR78" s="100">
        <v>5</v>
      </c>
      <c r="CS78" s="100">
        <v>2760</v>
      </c>
      <c r="CT78" s="100">
        <v>6</v>
      </c>
      <c r="CU78" s="100">
        <v>3312</v>
      </c>
    </row>
    <row r="79" spans="2:99">
      <c r="C79" s="99" t="s">
        <v>245</v>
      </c>
      <c r="D79" s="100">
        <v>3.3073520799877332</v>
      </c>
      <c r="E79" s="100">
        <v>2504.3269949667115</v>
      </c>
      <c r="F79" s="100">
        <v>3.0483669525253112</v>
      </c>
      <c r="G79" s="100">
        <v>2308.2234564521655</v>
      </c>
      <c r="H79" s="100">
        <v>0.28551219977365433</v>
      </c>
      <c r="I79" s="100">
        <v>216.18983766861103</v>
      </c>
      <c r="J79" s="100">
        <v>3</v>
      </c>
      <c r="K79" s="100">
        <v>2271.6</v>
      </c>
      <c r="L79" s="100">
        <v>6</v>
      </c>
      <c r="M79" s="100">
        <v>4543.2</v>
      </c>
      <c r="N79" s="100">
        <v>4</v>
      </c>
      <c r="O79" s="100">
        <v>3028.7999999999997</v>
      </c>
      <c r="P79" s="100">
        <v>4</v>
      </c>
      <c r="Q79" s="100">
        <v>3028.7999999999997</v>
      </c>
      <c r="R79" s="100">
        <v>5</v>
      </c>
      <c r="S79" s="100">
        <v>3785.9999999999995</v>
      </c>
      <c r="T79" s="100">
        <v>5</v>
      </c>
      <c r="U79" s="100">
        <v>3785.9999999999995</v>
      </c>
      <c r="V79" s="100">
        <v>5</v>
      </c>
      <c r="W79" s="100">
        <v>3785.9999999999995</v>
      </c>
      <c r="X79" s="100">
        <v>4.3080692491160821</v>
      </c>
      <c r="Y79" s="100">
        <v>3262.0700354306973</v>
      </c>
      <c r="Z79" s="100">
        <v>4.9202101677409615</v>
      </c>
      <c r="AA79" s="100">
        <v>3725.5831390134558</v>
      </c>
      <c r="AB79" s="100">
        <v>6</v>
      </c>
      <c r="AC79" s="100">
        <v>4543.2</v>
      </c>
      <c r="AD79" s="100">
        <v>3</v>
      </c>
      <c r="AE79" s="100">
        <v>2271.6</v>
      </c>
      <c r="AF79" s="100">
        <v>5</v>
      </c>
      <c r="AG79" s="100">
        <v>3785.9999999999995</v>
      </c>
      <c r="AH79" s="100">
        <v>6</v>
      </c>
      <c r="AI79" s="100">
        <v>4543.2</v>
      </c>
      <c r="AJ79" s="100">
        <v>3</v>
      </c>
      <c r="AK79" s="100">
        <v>2271.6</v>
      </c>
      <c r="AL79" s="100">
        <v>4</v>
      </c>
      <c r="AM79" s="100">
        <v>3028.7999999999997</v>
      </c>
      <c r="AN79" s="100">
        <v>3</v>
      </c>
      <c r="AO79" s="100">
        <v>2271.6</v>
      </c>
      <c r="AP79" s="100">
        <v>3.1676950206177521</v>
      </c>
      <c r="AQ79" s="100">
        <v>2398.5786696117616</v>
      </c>
      <c r="AR79" s="100">
        <v>3.7175277672232849</v>
      </c>
      <c r="AS79" s="100">
        <v>2814.9120253414712</v>
      </c>
      <c r="AT79" s="100">
        <v>3</v>
      </c>
      <c r="AU79" s="100">
        <v>2271.6</v>
      </c>
      <c r="AV79" s="100">
        <v>5</v>
      </c>
      <c r="AW79" s="100">
        <v>3785.9999999999995</v>
      </c>
      <c r="AX79" s="100">
        <v>4</v>
      </c>
      <c r="AY79" s="100">
        <v>3028.7999999999997</v>
      </c>
      <c r="AZ79" s="100">
        <v>5</v>
      </c>
      <c r="BA79" s="100">
        <v>3785.9999999999995</v>
      </c>
      <c r="BB79" s="100">
        <v>4</v>
      </c>
      <c r="BC79" s="100">
        <v>3028.7999999999997</v>
      </c>
      <c r="BD79" s="100">
        <v>5</v>
      </c>
      <c r="BE79" s="100">
        <v>3785.9999999999995</v>
      </c>
      <c r="BF79" s="100">
        <v>5.2277822288475697</v>
      </c>
      <c r="BG79" s="100">
        <v>3958.4767036833796</v>
      </c>
      <c r="BH79" s="100">
        <v>2.7497972416161129</v>
      </c>
      <c r="BI79" s="100">
        <v>2082.1464713517207</v>
      </c>
      <c r="BJ79" s="100">
        <v>4.1286005491758599</v>
      </c>
      <c r="BK79" s="100">
        <v>3126.1763358359608</v>
      </c>
      <c r="BL79" s="100">
        <v>4</v>
      </c>
      <c r="BM79" s="100">
        <v>3028.7999999999997</v>
      </c>
      <c r="BN79" s="100">
        <v>6</v>
      </c>
      <c r="BO79" s="100">
        <v>4543.2</v>
      </c>
      <c r="BP79" s="100">
        <v>4</v>
      </c>
      <c r="BQ79" s="100">
        <v>3028.7999999999997</v>
      </c>
      <c r="BR79" s="100">
        <v>5</v>
      </c>
      <c r="BS79" s="100">
        <v>3785.9999999999995</v>
      </c>
      <c r="BT79" s="100">
        <v>6</v>
      </c>
      <c r="BU79" s="100">
        <v>4543.2</v>
      </c>
      <c r="BV79" s="100">
        <v>6</v>
      </c>
      <c r="BW79" s="100">
        <v>4543.2</v>
      </c>
      <c r="BX79" s="100">
        <v>4</v>
      </c>
      <c r="BY79" s="100">
        <v>3028.7999999999997</v>
      </c>
      <c r="BZ79" s="100">
        <v>3.5116600367884772</v>
      </c>
      <c r="CA79" s="100">
        <v>2659.0289798562349</v>
      </c>
      <c r="CB79" s="100">
        <v>6</v>
      </c>
      <c r="CC79" s="100">
        <v>4543.2</v>
      </c>
      <c r="CD79" s="100">
        <v>5</v>
      </c>
      <c r="CE79" s="100">
        <v>3785.9999999999995</v>
      </c>
      <c r="CF79" s="100">
        <v>6</v>
      </c>
      <c r="CG79" s="100">
        <v>4543.2</v>
      </c>
      <c r="CH79" s="100">
        <v>5</v>
      </c>
      <c r="CI79" s="100">
        <v>3785.9999999999995</v>
      </c>
      <c r="CJ79" s="100">
        <v>5</v>
      </c>
      <c r="CK79" s="100">
        <v>3785.9999999999995</v>
      </c>
      <c r="CL79" s="100">
        <v>3.8539267003845583</v>
      </c>
      <c r="CM79" s="100">
        <v>2918.1932975311875</v>
      </c>
      <c r="CN79" s="100">
        <v>3.7255012034044923</v>
      </c>
      <c r="CO79" s="100">
        <v>2820.9495112178815</v>
      </c>
      <c r="CP79" s="100">
        <v>4</v>
      </c>
      <c r="CQ79" s="100">
        <v>3028.7999999999997</v>
      </c>
      <c r="CR79" s="100">
        <v>6</v>
      </c>
      <c r="CS79" s="100">
        <v>4543.2</v>
      </c>
      <c r="CT79" s="100">
        <v>6</v>
      </c>
      <c r="CU79" s="100">
        <v>4543.2</v>
      </c>
    </row>
    <row r="80" spans="2:99">
      <c r="C80" s="99" t="s">
        <v>246</v>
      </c>
      <c r="D80" s="100">
        <v>4.3073520799877336</v>
      </c>
      <c r="E80" s="100">
        <v>3468.2798948061227</v>
      </c>
      <c r="F80" s="100">
        <v>3.0374079257296853</v>
      </c>
      <c r="G80" s="100">
        <v>2445.7208617975425</v>
      </c>
      <c r="H80" s="100">
        <v>0.35689024971706795</v>
      </c>
      <c r="I80" s="100">
        <v>287.36802907218311</v>
      </c>
      <c r="J80" s="100">
        <v>4</v>
      </c>
      <c r="K80" s="100">
        <v>3220.7999999999997</v>
      </c>
      <c r="L80" s="100">
        <v>6</v>
      </c>
      <c r="M80" s="100">
        <v>4831.2</v>
      </c>
      <c r="N80" s="100">
        <v>3</v>
      </c>
      <c r="O80" s="100">
        <v>2415.6</v>
      </c>
      <c r="P80" s="100">
        <v>4</v>
      </c>
      <c r="Q80" s="100">
        <v>3220.7999999999997</v>
      </c>
      <c r="R80" s="100">
        <v>6</v>
      </c>
      <c r="S80" s="100">
        <v>4831.2</v>
      </c>
      <c r="T80" s="100">
        <v>5</v>
      </c>
      <c r="U80" s="100">
        <v>4025.9999999999995</v>
      </c>
      <c r="V80" s="100">
        <v>4</v>
      </c>
      <c r="W80" s="100">
        <v>3220.7999999999997</v>
      </c>
      <c r="X80" s="100">
        <v>4.3422991656845351</v>
      </c>
      <c r="Y80" s="100">
        <v>3496.4192882091875</v>
      </c>
      <c r="Z80" s="100">
        <v>4.9202101677409615</v>
      </c>
      <c r="AA80" s="100">
        <v>3961.7532270650217</v>
      </c>
      <c r="AB80" s="100">
        <v>6</v>
      </c>
      <c r="AC80" s="100">
        <v>4831.2</v>
      </c>
      <c r="AD80" s="100">
        <v>3</v>
      </c>
      <c r="AE80" s="100">
        <v>2415.6</v>
      </c>
      <c r="AF80" s="100">
        <v>6</v>
      </c>
      <c r="AG80" s="100">
        <v>4831.2</v>
      </c>
      <c r="AH80" s="100">
        <v>6</v>
      </c>
      <c r="AI80" s="100">
        <v>4831.2</v>
      </c>
      <c r="AJ80" s="100">
        <v>4</v>
      </c>
      <c r="AK80" s="100">
        <v>3220.7999999999997</v>
      </c>
      <c r="AL80" s="100">
        <v>3</v>
      </c>
      <c r="AM80" s="100">
        <v>2415.6</v>
      </c>
      <c r="AN80" s="100">
        <v>3</v>
      </c>
      <c r="AO80" s="100">
        <v>2415.6</v>
      </c>
      <c r="AP80" s="100">
        <v>3.9596187757721903</v>
      </c>
      <c r="AQ80" s="100">
        <v>3188.2850382517672</v>
      </c>
      <c r="AR80" s="100">
        <v>3.7175277672232849</v>
      </c>
      <c r="AS80" s="100">
        <v>2993.3533581681886</v>
      </c>
      <c r="AT80" s="100">
        <v>3</v>
      </c>
      <c r="AU80" s="100">
        <v>2415.6</v>
      </c>
      <c r="AV80" s="100">
        <v>4</v>
      </c>
      <c r="AW80" s="100">
        <v>3220.7999999999997</v>
      </c>
      <c r="AX80" s="100">
        <v>4</v>
      </c>
      <c r="AY80" s="100">
        <v>3220.7999999999997</v>
      </c>
      <c r="AZ80" s="100">
        <v>5</v>
      </c>
      <c r="BA80" s="100">
        <v>4025.9999999999995</v>
      </c>
      <c r="BB80" s="100">
        <v>4</v>
      </c>
      <c r="BC80" s="100">
        <v>3220.7999999999997</v>
      </c>
      <c r="BD80" s="100">
        <v>6</v>
      </c>
      <c r="BE80" s="100">
        <v>4831.2</v>
      </c>
      <c r="BF80" s="100">
        <v>4.3564851907063078</v>
      </c>
      <c r="BG80" s="100">
        <v>3507.8418755567186</v>
      </c>
      <c r="BH80" s="100">
        <v>2.0623479312120852</v>
      </c>
      <c r="BI80" s="100">
        <v>1660.6025542119708</v>
      </c>
      <c r="BJ80" s="100">
        <v>4.1286005491758599</v>
      </c>
      <c r="BK80" s="100">
        <v>3324.3491621964022</v>
      </c>
      <c r="BL80" s="100">
        <v>4</v>
      </c>
      <c r="BM80" s="100">
        <v>3220.7999999999997</v>
      </c>
      <c r="BN80" s="100">
        <v>5</v>
      </c>
      <c r="BO80" s="100">
        <v>4025.9999999999995</v>
      </c>
      <c r="BP80" s="100">
        <v>3</v>
      </c>
      <c r="BQ80" s="100">
        <v>2415.6</v>
      </c>
      <c r="BR80" s="100">
        <v>5</v>
      </c>
      <c r="BS80" s="100">
        <v>4025.9999999999995</v>
      </c>
      <c r="BT80" s="100">
        <v>6</v>
      </c>
      <c r="BU80" s="100">
        <v>4831.2</v>
      </c>
      <c r="BV80" s="100">
        <v>6</v>
      </c>
      <c r="BW80" s="100">
        <v>4831.2</v>
      </c>
      <c r="BX80" s="100">
        <v>4</v>
      </c>
      <c r="BY80" s="100">
        <v>3220.7999999999997</v>
      </c>
      <c r="BZ80" s="100">
        <v>3.5116600367884772</v>
      </c>
      <c r="CA80" s="100">
        <v>2827.5886616220814</v>
      </c>
      <c r="CB80" s="100">
        <v>5</v>
      </c>
      <c r="CC80" s="100">
        <v>4025.9999999999995</v>
      </c>
      <c r="CD80" s="100">
        <v>5</v>
      </c>
      <c r="CE80" s="100">
        <v>4025.9999999999995</v>
      </c>
      <c r="CF80" s="100">
        <v>7</v>
      </c>
      <c r="CG80" s="100">
        <v>5636.4</v>
      </c>
      <c r="CH80" s="100">
        <v>5</v>
      </c>
      <c r="CI80" s="100">
        <v>4025.9999999999995</v>
      </c>
      <c r="CJ80" s="100">
        <v>4</v>
      </c>
      <c r="CK80" s="100">
        <v>3220.7999999999997</v>
      </c>
      <c r="CL80" s="100">
        <v>3.8539267003845583</v>
      </c>
      <c r="CM80" s="100">
        <v>3103.181779149646</v>
      </c>
      <c r="CN80" s="100">
        <v>3.7255012034044923</v>
      </c>
      <c r="CO80" s="100">
        <v>2999.7735689812971</v>
      </c>
      <c r="CP80" s="100">
        <v>3</v>
      </c>
      <c r="CQ80" s="100">
        <v>2415.6</v>
      </c>
      <c r="CR80" s="100">
        <v>5</v>
      </c>
      <c r="CS80" s="100">
        <v>4025.9999999999995</v>
      </c>
      <c r="CT80" s="100">
        <v>6</v>
      </c>
      <c r="CU80" s="100">
        <v>4831.2</v>
      </c>
    </row>
    <row r="81" spans="2:99">
      <c r="C81" s="99" t="s">
        <v>247</v>
      </c>
      <c r="D81" s="100">
        <v>3.3073520799877332</v>
      </c>
      <c r="E81" s="100">
        <v>2492.420527478756</v>
      </c>
      <c r="F81" s="100">
        <v>3.0374079257296853</v>
      </c>
      <c r="G81" s="100">
        <v>2288.9906128298908</v>
      </c>
      <c r="H81" s="100">
        <v>0.35689024971706795</v>
      </c>
      <c r="I81" s="100">
        <v>268.95249218678242</v>
      </c>
      <c r="J81" s="100">
        <v>3</v>
      </c>
      <c r="K81" s="100">
        <v>2260.8000000000002</v>
      </c>
      <c r="L81" s="100">
        <v>6</v>
      </c>
      <c r="M81" s="100">
        <v>4521.6000000000004</v>
      </c>
      <c r="N81" s="100">
        <v>4</v>
      </c>
      <c r="O81" s="100">
        <v>3014.4</v>
      </c>
      <c r="P81" s="100">
        <v>5</v>
      </c>
      <c r="Q81" s="100">
        <v>3768</v>
      </c>
      <c r="R81" s="100">
        <v>6</v>
      </c>
      <c r="S81" s="100">
        <v>4521.6000000000004</v>
      </c>
      <c r="T81" s="100">
        <v>5</v>
      </c>
      <c r="U81" s="100">
        <v>3768</v>
      </c>
      <c r="V81" s="100">
        <v>5</v>
      </c>
      <c r="W81" s="100">
        <v>3768</v>
      </c>
      <c r="X81" s="100">
        <v>4.3080692491160821</v>
      </c>
      <c r="Y81" s="100">
        <v>3246.5609861338794</v>
      </c>
      <c r="Z81" s="100">
        <v>4.9202101677409615</v>
      </c>
      <c r="AA81" s="100">
        <v>3707.8703824095887</v>
      </c>
      <c r="AB81" s="100">
        <v>6</v>
      </c>
      <c r="AC81" s="100">
        <v>4521.6000000000004</v>
      </c>
      <c r="AD81" s="100">
        <v>4</v>
      </c>
      <c r="AE81" s="100">
        <v>3014.4</v>
      </c>
      <c r="AF81" s="100">
        <v>5</v>
      </c>
      <c r="AG81" s="100">
        <v>3768</v>
      </c>
      <c r="AH81" s="100">
        <v>6</v>
      </c>
      <c r="AI81" s="100">
        <v>4521.6000000000004</v>
      </c>
      <c r="AJ81" s="100">
        <v>3</v>
      </c>
      <c r="AK81" s="100">
        <v>2260.8000000000002</v>
      </c>
      <c r="AL81" s="100">
        <v>4</v>
      </c>
      <c r="AM81" s="100">
        <v>3014.4</v>
      </c>
      <c r="AN81" s="100">
        <v>3</v>
      </c>
      <c r="AO81" s="100">
        <v>2260.8000000000002</v>
      </c>
      <c r="AP81" s="100">
        <v>3.1676950206177521</v>
      </c>
      <c r="AQ81" s="100">
        <v>2387.1749675375381</v>
      </c>
      <c r="AR81" s="100">
        <v>3.7175277672232849</v>
      </c>
      <c r="AS81" s="100">
        <v>2801.5289253794676</v>
      </c>
      <c r="AT81" s="100">
        <v>3</v>
      </c>
      <c r="AU81" s="100">
        <v>2260.8000000000002</v>
      </c>
      <c r="AV81" s="100">
        <v>4</v>
      </c>
      <c r="AW81" s="100">
        <v>3014.4</v>
      </c>
      <c r="AX81" s="100">
        <v>4</v>
      </c>
      <c r="AY81" s="100">
        <v>3014.4</v>
      </c>
      <c r="AZ81" s="100">
        <v>5</v>
      </c>
      <c r="BA81" s="100">
        <v>3768</v>
      </c>
      <c r="BB81" s="100">
        <v>4</v>
      </c>
      <c r="BC81" s="100">
        <v>3014.4</v>
      </c>
      <c r="BD81" s="100">
        <v>6</v>
      </c>
      <c r="BE81" s="100">
        <v>4521.6000000000004</v>
      </c>
      <c r="BF81" s="100">
        <v>5.789840065837665</v>
      </c>
      <c r="BG81" s="100">
        <v>4363.2234736152641</v>
      </c>
      <c r="BH81" s="100">
        <v>2.0623479312120852</v>
      </c>
      <c r="BI81" s="100">
        <v>1554.1854009614274</v>
      </c>
      <c r="BJ81" s="100">
        <v>4.1286005491758599</v>
      </c>
      <c r="BK81" s="100">
        <v>3111.3133738589281</v>
      </c>
      <c r="BL81" s="100">
        <v>4</v>
      </c>
      <c r="BM81" s="100">
        <v>3014.4</v>
      </c>
      <c r="BN81" s="100">
        <v>5</v>
      </c>
      <c r="BO81" s="100">
        <v>3768</v>
      </c>
      <c r="BP81" s="100">
        <v>4</v>
      </c>
      <c r="BQ81" s="100">
        <v>3014.4</v>
      </c>
      <c r="BR81" s="100">
        <v>5</v>
      </c>
      <c r="BS81" s="100">
        <v>3768</v>
      </c>
      <c r="BT81" s="100">
        <v>5</v>
      </c>
      <c r="BU81" s="100">
        <v>3768</v>
      </c>
      <c r="BV81" s="100">
        <v>6</v>
      </c>
      <c r="BW81" s="100">
        <v>4521.6000000000004</v>
      </c>
      <c r="BX81" s="100">
        <v>4.644419074143503</v>
      </c>
      <c r="BY81" s="100">
        <v>3500.034214274544</v>
      </c>
      <c r="BZ81" s="100">
        <v>3.5116600367884772</v>
      </c>
      <c r="CA81" s="100">
        <v>2646.3870037237966</v>
      </c>
      <c r="CB81" s="100">
        <v>6</v>
      </c>
      <c r="CC81" s="100">
        <v>4521.6000000000004</v>
      </c>
      <c r="CD81" s="100">
        <v>5</v>
      </c>
      <c r="CE81" s="100">
        <v>3768</v>
      </c>
      <c r="CF81" s="100">
        <v>7</v>
      </c>
      <c r="CG81" s="100">
        <v>5275.2</v>
      </c>
      <c r="CH81" s="100">
        <v>6</v>
      </c>
      <c r="CI81" s="100">
        <v>4521.6000000000004</v>
      </c>
      <c r="CJ81" s="100">
        <v>4</v>
      </c>
      <c r="CK81" s="100">
        <v>3014.4</v>
      </c>
      <c r="CL81" s="100">
        <v>4.496247817115318</v>
      </c>
      <c r="CM81" s="100">
        <v>3388.3723549781039</v>
      </c>
      <c r="CN81" s="100">
        <v>3.7255012034044923</v>
      </c>
      <c r="CO81" s="100">
        <v>2807.5377068856255</v>
      </c>
      <c r="CP81" s="100">
        <v>3</v>
      </c>
      <c r="CQ81" s="100">
        <v>2260.8000000000002</v>
      </c>
      <c r="CR81" s="100">
        <v>6</v>
      </c>
      <c r="CS81" s="100">
        <v>4521.6000000000004</v>
      </c>
      <c r="CT81" s="100">
        <v>6</v>
      </c>
      <c r="CU81" s="100">
        <v>4521.6000000000004</v>
      </c>
    </row>
    <row r="82" spans="2:99">
      <c r="C82" s="99" t="s">
        <v>248</v>
      </c>
      <c r="D82" s="100">
        <v>4.3073520799877336</v>
      </c>
      <c r="E82" s="100">
        <v>2191.5807382977582</v>
      </c>
      <c r="F82" s="100">
        <v>3.0374079257296853</v>
      </c>
      <c r="G82" s="100">
        <v>1545.4331526112635</v>
      </c>
      <c r="H82" s="100">
        <v>0.35689024971706795</v>
      </c>
      <c r="I82" s="100">
        <v>181.58575905604414</v>
      </c>
      <c r="J82" s="100">
        <v>3</v>
      </c>
      <c r="K82" s="100">
        <v>1526.3999999999996</v>
      </c>
      <c r="L82" s="100">
        <v>6</v>
      </c>
      <c r="M82" s="100">
        <v>3052.7999999999993</v>
      </c>
      <c r="N82" s="100">
        <v>4</v>
      </c>
      <c r="O82" s="100">
        <v>2035.1999999999996</v>
      </c>
      <c r="P82" s="100">
        <v>5</v>
      </c>
      <c r="Q82" s="100">
        <v>2543.9999999999995</v>
      </c>
      <c r="R82" s="100">
        <v>6</v>
      </c>
      <c r="S82" s="100">
        <v>3052.7999999999993</v>
      </c>
      <c r="T82" s="100">
        <v>5</v>
      </c>
      <c r="U82" s="100">
        <v>2543.9999999999995</v>
      </c>
      <c r="V82" s="100">
        <v>4</v>
      </c>
      <c r="W82" s="100">
        <v>2035.1999999999996</v>
      </c>
      <c r="X82" s="100">
        <v>4.3080692491160821</v>
      </c>
      <c r="Y82" s="100">
        <v>2191.9456339502622</v>
      </c>
      <c r="Z82" s="100">
        <v>5.9042522012891538</v>
      </c>
      <c r="AA82" s="100">
        <v>3004.0835200159208</v>
      </c>
      <c r="AB82" s="100">
        <v>6</v>
      </c>
      <c r="AC82" s="100">
        <v>3052.7999999999993</v>
      </c>
      <c r="AD82" s="100">
        <v>4</v>
      </c>
      <c r="AE82" s="100">
        <v>2035.1999999999996</v>
      </c>
      <c r="AF82" s="100">
        <v>5</v>
      </c>
      <c r="AG82" s="100">
        <v>2543.9999999999995</v>
      </c>
      <c r="AH82" s="100">
        <v>6</v>
      </c>
      <c r="AI82" s="100">
        <v>3052.7999999999993</v>
      </c>
      <c r="AJ82" s="100">
        <v>3</v>
      </c>
      <c r="AK82" s="100">
        <v>1526.3999999999996</v>
      </c>
      <c r="AL82" s="100">
        <v>3</v>
      </c>
      <c r="AM82" s="100">
        <v>1526.3999999999996</v>
      </c>
      <c r="AN82" s="100">
        <v>3</v>
      </c>
      <c r="AO82" s="100">
        <v>1526.3999999999996</v>
      </c>
      <c r="AP82" s="100">
        <v>3.9596187757721903</v>
      </c>
      <c r="AQ82" s="100">
        <v>2014.6540331128901</v>
      </c>
      <c r="AR82" s="100">
        <v>3.7175277672232849</v>
      </c>
      <c r="AS82" s="100">
        <v>1891.478127963207</v>
      </c>
      <c r="AT82" s="100">
        <v>3</v>
      </c>
      <c r="AU82" s="100">
        <v>1526.3999999999996</v>
      </c>
      <c r="AV82" s="100">
        <v>5</v>
      </c>
      <c r="AW82" s="100">
        <v>2543.9999999999995</v>
      </c>
      <c r="AX82" s="100">
        <v>4</v>
      </c>
      <c r="AY82" s="100">
        <v>2035.1999999999996</v>
      </c>
      <c r="AZ82" s="100">
        <v>5</v>
      </c>
      <c r="BA82" s="100">
        <v>2543.9999999999995</v>
      </c>
      <c r="BB82" s="100">
        <v>4</v>
      </c>
      <c r="BC82" s="100">
        <v>2035.1999999999996</v>
      </c>
      <c r="BD82" s="100">
        <v>6</v>
      </c>
      <c r="BE82" s="100">
        <v>3052.7999999999993</v>
      </c>
      <c r="BF82" s="100">
        <v>4.832072591236388</v>
      </c>
      <c r="BG82" s="100">
        <v>2458.5585344210735</v>
      </c>
      <c r="BH82" s="100">
        <v>2.0623479312120852</v>
      </c>
      <c r="BI82" s="100">
        <v>1049.3226274007088</v>
      </c>
      <c r="BJ82" s="100">
        <v>4.1286005491758599</v>
      </c>
      <c r="BK82" s="100">
        <v>2100.631959420677</v>
      </c>
      <c r="BL82" s="100">
        <v>4</v>
      </c>
      <c r="BM82" s="100">
        <v>2035.1999999999996</v>
      </c>
      <c r="BN82" s="100">
        <v>5</v>
      </c>
      <c r="BO82" s="100">
        <v>2543.9999999999995</v>
      </c>
      <c r="BP82" s="100">
        <v>4</v>
      </c>
      <c r="BQ82" s="100">
        <v>2035.1999999999996</v>
      </c>
      <c r="BR82" s="100">
        <v>5</v>
      </c>
      <c r="BS82" s="100">
        <v>2543.9999999999995</v>
      </c>
      <c r="BT82" s="100">
        <v>5</v>
      </c>
      <c r="BU82" s="100">
        <v>2543.9999999999995</v>
      </c>
      <c r="BV82" s="100">
        <v>7</v>
      </c>
      <c r="BW82" s="100">
        <v>3561.5999999999995</v>
      </c>
      <c r="BX82" s="100">
        <v>4</v>
      </c>
      <c r="BY82" s="100">
        <v>2035.1999999999996</v>
      </c>
      <c r="BZ82" s="100">
        <v>3.5116600367884772</v>
      </c>
      <c r="CA82" s="100">
        <v>1786.7326267179769</v>
      </c>
      <c r="CB82" s="100">
        <v>6</v>
      </c>
      <c r="CC82" s="100">
        <v>3052.7999999999993</v>
      </c>
      <c r="CD82" s="100">
        <v>5</v>
      </c>
      <c r="CE82" s="100">
        <v>2543.9999999999995</v>
      </c>
      <c r="CF82" s="100">
        <v>6</v>
      </c>
      <c r="CG82" s="100">
        <v>3052.7999999999993</v>
      </c>
      <c r="CH82" s="100">
        <v>6</v>
      </c>
      <c r="CI82" s="100">
        <v>3052.7999999999993</v>
      </c>
      <c r="CJ82" s="100">
        <v>5</v>
      </c>
      <c r="CK82" s="100">
        <v>2543.9999999999995</v>
      </c>
      <c r="CL82" s="100">
        <v>4.6274358623938623</v>
      </c>
      <c r="CM82" s="100">
        <v>2354.4393667859968</v>
      </c>
      <c r="CN82" s="100">
        <v>3.7255012034044923</v>
      </c>
      <c r="CO82" s="100">
        <v>1895.5350122922052</v>
      </c>
      <c r="CP82" s="100">
        <v>4</v>
      </c>
      <c r="CQ82" s="100">
        <v>2035.1999999999996</v>
      </c>
      <c r="CR82" s="100">
        <v>5</v>
      </c>
      <c r="CS82" s="100">
        <v>2543.9999999999995</v>
      </c>
      <c r="CT82" s="100">
        <v>6</v>
      </c>
      <c r="CU82" s="100">
        <v>3052.7999999999993</v>
      </c>
    </row>
    <row r="83" spans="2:99">
      <c r="C83" s="99" t="s">
        <v>249</v>
      </c>
      <c r="D83" s="100">
        <v>4.3073520799877336</v>
      </c>
      <c r="E83" s="100">
        <v>3706.0457296214458</v>
      </c>
      <c r="F83" s="100">
        <v>2.554004577265625</v>
      </c>
      <c r="G83" s="100">
        <v>2197.4655382793435</v>
      </c>
      <c r="H83" s="100">
        <v>0.28551219977365433</v>
      </c>
      <c r="I83" s="100">
        <v>245.65469668525219</v>
      </c>
      <c r="J83" s="100">
        <v>3</v>
      </c>
      <c r="K83" s="100">
        <v>2581.1999999999998</v>
      </c>
      <c r="L83" s="100">
        <v>6</v>
      </c>
      <c r="M83" s="100">
        <v>5162.3999999999996</v>
      </c>
      <c r="N83" s="100">
        <v>4</v>
      </c>
      <c r="O83" s="100">
        <v>3441.6</v>
      </c>
      <c r="P83" s="100">
        <v>4</v>
      </c>
      <c r="Q83" s="100">
        <v>3441.6</v>
      </c>
      <c r="R83" s="100">
        <v>6</v>
      </c>
      <c r="S83" s="100">
        <v>5162.3999999999996</v>
      </c>
      <c r="T83" s="100">
        <v>5</v>
      </c>
      <c r="U83" s="100">
        <v>4302</v>
      </c>
      <c r="V83" s="100">
        <v>4</v>
      </c>
      <c r="W83" s="100">
        <v>3441.6</v>
      </c>
      <c r="X83" s="100">
        <v>4.3080692491160821</v>
      </c>
      <c r="Y83" s="100">
        <v>3706.6627819394771</v>
      </c>
      <c r="Z83" s="100">
        <v>4.9202101677409615</v>
      </c>
      <c r="AA83" s="100">
        <v>4233.3488283243232</v>
      </c>
      <c r="AB83" s="100">
        <v>6</v>
      </c>
      <c r="AC83" s="100">
        <v>5162.3999999999996</v>
      </c>
      <c r="AD83" s="100">
        <v>4</v>
      </c>
      <c r="AE83" s="100">
        <v>3441.6</v>
      </c>
      <c r="AF83" s="100">
        <v>5</v>
      </c>
      <c r="AG83" s="100">
        <v>4302</v>
      </c>
      <c r="AH83" s="100">
        <v>6</v>
      </c>
      <c r="AI83" s="100">
        <v>5162.3999999999996</v>
      </c>
      <c r="AJ83" s="100">
        <v>3</v>
      </c>
      <c r="AK83" s="100">
        <v>2581.1999999999998</v>
      </c>
      <c r="AL83" s="100">
        <v>3</v>
      </c>
      <c r="AM83" s="100">
        <v>2581.1999999999998</v>
      </c>
      <c r="AN83" s="100">
        <v>3</v>
      </c>
      <c r="AO83" s="100">
        <v>2581.1999999999998</v>
      </c>
      <c r="AP83" s="100">
        <v>3.9596187757721903</v>
      </c>
      <c r="AQ83" s="100">
        <v>3406.8559946743926</v>
      </c>
      <c r="AR83" s="100">
        <v>3.7175277672232849</v>
      </c>
      <c r="AS83" s="100">
        <v>3198.5608909189141</v>
      </c>
      <c r="AT83" s="100">
        <v>3</v>
      </c>
      <c r="AU83" s="100">
        <v>2581.1999999999998</v>
      </c>
      <c r="AV83" s="100">
        <v>5</v>
      </c>
      <c r="AW83" s="100">
        <v>4302</v>
      </c>
      <c r="AX83" s="100">
        <v>3</v>
      </c>
      <c r="AY83" s="100">
        <v>2581.1999999999998</v>
      </c>
      <c r="AZ83" s="100">
        <v>5</v>
      </c>
      <c r="BA83" s="100">
        <v>4302</v>
      </c>
      <c r="BB83" s="100">
        <v>4</v>
      </c>
      <c r="BC83" s="100">
        <v>3441.6</v>
      </c>
      <c r="BD83" s="100">
        <v>5</v>
      </c>
      <c r="BE83" s="100">
        <v>4302</v>
      </c>
      <c r="BF83" s="100">
        <v>5.2277822288475697</v>
      </c>
      <c r="BG83" s="100">
        <v>4497.983829700449</v>
      </c>
      <c r="BH83" s="100">
        <v>2.7497972416161129</v>
      </c>
      <c r="BI83" s="100">
        <v>2365.9255466865034</v>
      </c>
      <c r="BJ83" s="100">
        <v>4.1286005491758599</v>
      </c>
      <c r="BK83" s="100">
        <v>3552.2479125109098</v>
      </c>
      <c r="BL83" s="100">
        <v>4</v>
      </c>
      <c r="BM83" s="100">
        <v>3441.6</v>
      </c>
      <c r="BN83" s="100">
        <v>5</v>
      </c>
      <c r="BO83" s="100">
        <v>4302</v>
      </c>
      <c r="BP83" s="100">
        <v>4</v>
      </c>
      <c r="BQ83" s="100">
        <v>3441.6</v>
      </c>
      <c r="BR83" s="100">
        <v>5</v>
      </c>
      <c r="BS83" s="100">
        <v>4302</v>
      </c>
      <c r="BT83" s="100">
        <v>5</v>
      </c>
      <c r="BU83" s="100">
        <v>4302</v>
      </c>
      <c r="BV83" s="100">
        <v>6</v>
      </c>
      <c r="BW83" s="100">
        <v>5162.3999999999996</v>
      </c>
      <c r="BX83" s="100">
        <v>4</v>
      </c>
      <c r="BY83" s="100">
        <v>3441.6</v>
      </c>
      <c r="BZ83" s="100">
        <v>2.8093280294307821</v>
      </c>
      <c r="CA83" s="100">
        <v>2417.1458365222447</v>
      </c>
      <c r="CB83" s="100">
        <v>6</v>
      </c>
      <c r="CC83" s="100">
        <v>5162.3999999999996</v>
      </c>
      <c r="CD83" s="100">
        <v>5</v>
      </c>
      <c r="CE83" s="100">
        <v>4302</v>
      </c>
      <c r="CF83" s="100">
        <v>6</v>
      </c>
      <c r="CG83" s="100">
        <v>5162.3999999999996</v>
      </c>
      <c r="CH83" s="100">
        <v>6</v>
      </c>
      <c r="CI83" s="100">
        <v>5162.3999999999996</v>
      </c>
      <c r="CJ83" s="100">
        <v>4</v>
      </c>
      <c r="CK83" s="100">
        <v>3441.6</v>
      </c>
      <c r="CL83" s="100">
        <v>3.9731885597286891</v>
      </c>
      <c r="CM83" s="100">
        <v>3418.5314367905639</v>
      </c>
      <c r="CN83" s="100">
        <v>3.7255012034044923</v>
      </c>
      <c r="CO83" s="100">
        <v>3205.4212354092251</v>
      </c>
      <c r="CP83" s="100">
        <v>4</v>
      </c>
      <c r="CQ83" s="100">
        <v>3441.6</v>
      </c>
      <c r="CR83" s="100">
        <v>5</v>
      </c>
      <c r="CS83" s="100">
        <v>4302</v>
      </c>
      <c r="CT83" s="100">
        <v>6</v>
      </c>
      <c r="CU83" s="100">
        <v>5162.3999999999996</v>
      </c>
    </row>
    <row r="84" spans="2:99">
      <c r="C84" s="99" t="s">
        <v>250</v>
      </c>
      <c r="D84" s="100">
        <v>4.3073520799877336</v>
      </c>
      <c r="E84" s="100">
        <v>3364.9034448864172</v>
      </c>
      <c r="F84" s="100">
        <v>2.554004577265625</v>
      </c>
      <c r="G84" s="100">
        <v>1995.1883757599062</v>
      </c>
      <c r="H84" s="100">
        <v>0.28551219977365433</v>
      </c>
      <c r="I84" s="100">
        <v>223.04213046317875</v>
      </c>
      <c r="J84" s="100">
        <v>3</v>
      </c>
      <c r="K84" s="100">
        <v>2343.6</v>
      </c>
      <c r="L84" s="100">
        <v>6</v>
      </c>
      <c r="M84" s="100">
        <v>4687.2</v>
      </c>
      <c r="N84" s="100">
        <v>3</v>
      </c>
      <c r="O84" s="100">
        <v>2343.6</v>
      </c>
      <c r="P84" s="100">
        <v>4</v>
      </c>
      <c r="Q84" s="100">
        <v>3124.7999999999997</v>
      </c>
      <c r="R84" s="100">
        <v>6</v>
      </c>
      <c r="S84" s="100">
        <v>4687.2</v>
      </c>
      <c r="T84" s="100">
        <v>5</v>
      </c>
      <c r="U84" s="100">
        <v>3905.9999999999995</v>
      </c>
      <c r="V84" s="100">
        <v>4</v>
      </c>
      <c r="W84" s="100">
        <v>3124.7999999999997</v>
      </c>
      <c r="X84" s="100">
        <v>3.2738393325476283</v>
      </c>
      <c r="Y84" s="100">
        <v>2557.5232865862072</v>
      </c>
      <c r="Z84" s="100">
        <v>4.9202101677409615</v>
      </c>
      <c r="AA84" s="100">
        <v>3843.668183039239</v>
      </c>
      <c r="AB84" s="100">
        <v>6</v>
      </c>
      <c r="AC84" s="100">
        <v>4687.2</v>
      </c>
      <c r="AD84" s="100">
        <v>4</v>
      </c>
      <c r="AE84" s="100">
        <v>3124.7999999999997</v>
      </c>
      <c r="AF84" s="100">
        <v>5</v>
      </c>
      <c r="AG84" s="100">
        <v>3905.9999999999995</v>
      </c>
      <c r="AH84" s="100">
        <v>6</v>
      </c>
      <c r="AI84" s="100">
        <v>4687.2</v>
      </c>
      <c r="AJ84" s="100">
        <v>4</v>
      </c>
      <c r="AK84" s="100">
        <v>3124.7999999999997</v>
      </c>
      <c r="AL84" s="100">
        <v>4</v>
      </c>
      <c r="AM84" s="100">
        <v>3124.7999999999997</v>
      </c>
      <c r="AN84" s="100">
        <v>3</v>
      </c>
      <c r="AO84" s="100">
        <v>2343.6</v>
      </c>
      <c r="AP84" s="100">
        <v>3.1676950206177521</v>
      </c>
      <c r="AQ84" s="100">
        <v>2474.6033501065876</v>
      </c>
      <c r="AR84" s="100">
        <v>3.7175277672232849</v>
      </c>
      <c r="AS84" s="100">
        <v>2904.1326917548299</v>
      </c>
      <c r="AT84" s="100">
        <v>3</v>
      </c>
      <c r="AU84" s="100">
        <v>2343.6</v>
      </c>
      <c r="AV84" s="100">
        <v>5</v>
      </c>
      <c r="AW84" s="100">
        <v>3905.9999999999995</v>
      </c>
      <c r="AX84" s="100">
        <v>4</v>
      </c>
      <c r="AY84" s="100">
        <v>3124.7999999999997</v>
      </c>
      <c r="AZ84" s="100">
        <v>5</v>
      </c>
      <c r="BA84" s="100">
        <v>3905.9999999999995</v>
      </c>
      <c r="BB84" s="100">
        <v>4</v>
      </c>
      <c r="BC84" s="100">
        <v>3124.7999999999997</v>
      </c>
      <c r="BD84" s="100">
        <v>5</v>
      </c>
      <c r="BE84" s="100">
        <v>3905.9999999999995</v>
      </c>
      <c r="BF84" s="100">
        <v>4.3564851907063078</v>
      </c>
      <c r="BG84" s="100">
        <v>3403.2862309797674</v>
      </c>
      <c r="BH84" s="100">
        <v>2.0623479312120852</v>
      </c>
      <c r="BI84" s="100">
        <v>1611.1062038628809</v>
      </c>
      <c r="BJ84" s="100">
        <v>4.1286005491758599</v>
      </c>
      <c r="BK84" s="100">
        <v>3225.2627490161817</v>
      </c>
      <c r="BL84" s="100">
        <v>5</v>
      </c>
      <c r="BM84" s="100">
        <v>3905.9999999999995</v>
      </c>
      <c r="BN84" s="100">
        <v>6</v>
      </c>
      <c r="BO84" s="100">
        <v>4687.2</v>
      </c>
      <c r="BP84" s="100">
        <v>3</v>
      </c>
      <c r="BQ84" s="100">
        <v>2343.6</v>
      </c>
      <c r="BR84" s="100">
        <v>4</v>
      </c>
      <c r="BS84" s="100">
        <v>3124.7999999999997</v>
      </c>
      <c r="BT84" s="100">
        <v>5</v>
      </c>
      <c r="BU84" s="100">
        <v>3905.9999999999995</v>
      </c>
      <c r="BV84" s="100">
        <v>6</v>
      </c>
      <c r="BW84" s="100">
        <v>4687.2</v>
      </c>
      <c r="BX84" s="100">
        <v>4</v>
      </c>
      <c r="BY84" s="100">
        <v>3124.7999999999997</v>
      </c>
      <c r="BZ84" s="100">
        <v>3.5116600367884772</v>
      </c>
      <c r="CA84" s="100">
        <v>2743.3088207391579</v>
      </c>
      <c r="CB84" s="100">
        <v>5</v>
      </c>
      <c r="CC84" s="100">
        <v>3905.9999999999995</v>
      </c>
      <c r="CD84" s="100">
        <v>5</v>
      </c>
      <c r="CE84" s="100">
        <v>3905.9999999999995</v>
      </c>
      <c r="CF84" s="100">
        <v>6</v>
      </c>
      <c r="CG84" s="100">
        <v>4687.2</v>
      </c>
      <c r="CH84" s="100">
        <v>6</v>
      </c>
      <c r="CI84" s="100">
        <v>4687.2</v>
      </c>
      <c r="CJ84" s="100">
        <v>4</v>
      </c>
      <c r="CK84" s="100">
        <v>3124.7999999999997</v>
      </c>
      <c r="CL84" s="100">
        <v>4.496247817115318</v>
      </c>
      <c r="CM84" s="100">
        <v>3512.468794730486</v>
      </c>
      <c r="CN84" s="100">
        <v>3.7255012034044923</v>
      </c>
      <c r="CO84" s="100">
        <v>2910.3615400995891</v>
      </c>
      <c r="CP84" s="100">
        <v>4</v>
      </c>
      <c r="CQ84" s="100">
        <v>3124.7999999999997</v>
      </c>
      <c r="CR84" s="100">
        <v>6</v>
      </c>
      <c r="CS84" s="100">
        <v>4687.2</v>
      </c>
      <c r="CT84" s="100">
        <v>6</v>
      </c>
      <c r="CU84" s="100">
        <v>4687.2</v>
      </c>
    </row>
    <row r="85" spans="2:99">
      <c r="C85" s="99" t="s">
        <v>251</v>
      </c>
      <c r="D85" s="100">
        <v>4.3073520799877336</v>
      </c>
      <c r="E85" s="100">
        <v>646.10281199816006</v>
      </c>
      <c r="F85" s="100">
        <v>3.0428874391274983</v>
      </c>
      <c r="G85" s="100">
        <v>456.43311586912472</v>
      </c>
      <c r="H85" s="100">
        <v>0.35689024971706795</v>
      </c>
      <c r="I85" s="100">
        <v>53.533537457560193</v>
      </c>
      <c r="J85" s="100">
        <v>3</v>
      </c>
      <c r="K85" s="100">
        <v>450</v>
      </c>
      <c r="L85" s="100">
        <v>5</v>
      </c>
      <c r="M85" s="100">
        <v>750</v>
      </c>
      <c r="N85" s="100">
        <v>3</v>
      </c>
      <c r="O85" s="100">
        <v>450</v>
      </c>
      <c r="P85" s="100">
        <v>4</v>
      </c>
      <c r="Q85" s="100">
        <v>600</v>
      </c>
      <c r="R85" s="100">
        <v>6</v>
      </c>
      <c r="S85" s="100">
        <v>900</v>
      </c>
      <c r="T85" s="100">
        <v>5</v>
      </c>
      <c r="U85" s="100">
        <v>750</v>
      </c>
      <c r="V85" s="100">
        <v>5</v>
      </c>
      <c r="W85" s="100">
        <v>750</v>
      </c>
      <c r="X85" s="100">
        <v>4.3080692491160821</v>
      </c>
      <c r="Y85" s="100">
        <v>646.2103873674123</v>
      </c>
      <c r="Z85" s="100">
        <v>4.9202101677409615</v>
      </c>
      <c r="AA85" s="100">
        <v>738.03152516114426</v>
      </c>
      <c r="AB85" s="100">
        <v>6</v>
      </c>
      <c r="AC85" s="100">
        <v>900</v>
      </c>
      <c r="AD85" s="100">
        <v>4</v>
      </c>
      <c r="AE85" s="100">
        <v>600</v>
      </c>
      <c r="AF85" s="100">
        <v>5</v>
      </c>
      <c r="AG85" s="100">
        <v>750</v>
      </c>
      <c r="AH85" s="100">
        <v>7</v>
      </c>
      <c r="AI85" s="100">
        <v>1050</v>
      </c>
      <c r="AJ85" s="100">
        <v>4</v>
      </c>
      <c r="AK85" s="100">
        <v>600</v>
      </c>
      <c r="AL85" s="100">
        <v>4</v>
      </c>
      <c r="AM85" s="100">
        <v>600</v>
      </c>
      <c r="AN85" s="100">
        <v>3</v>
      </c>
      <c r="AO85" s="100">
        <v>450</v>
      </c>
      <c r="AP85" s="100">
        <v>3.9596187757721903</v>
      </c>
      <c r="AQ85" s="100">
        <v>593.94281636582855</v>
      </c>
      <c r="AR85" s="100">
        <v>3.7175277672232849</v>
      </c>
      <c r="AS85" s="100">
        <v>557.62916508349269</v>
      </c>
      <c r="AT85" s="100">
        <v>4</v>
      </c>
      <c r="AU85" s="100">
        <v>600</v>
      </c>
      <c r="AV85" s="100">
        <v>4</v>
      </c>
      <c r="AW85" s="100">
        <v>600</v>
      </c>
      <c r="AX85" s="100">
        <v>4</v>
      </c>
      <c r="AY85" s="100">
        <v>600</v>
      </c>
      <c r="AZ85" s="100">
        <v>5</v>
      </c>
      <c r="BA85" s="100">
        <v>750</v>
      </c>
      <c r="BB85" s="100">
        <v>4</v>
      </c>
      <c r="BC85" s="100">
        <v>600</v>
      </c>
      <c r="BD85" s="100">
        <v>7</v>
      </c>
      <c r="BE85" s="100">
        <v>1050</v>
      </c>
      <c r="BF85" s="100">
        <v>4.9185430276964031</v>
      </c>
      <c r="BG85" s="100">
        <v>737.78145415446045</v>
      </c>
      <c r="BH85" s="100">
        <v>2.0623479312120852</v>
      </c>
      <c r="BI85" s="100">
        <v>309.35218968181277</v>
      </c>
      <c r="BJ85" s="100">
        <v>4.1286005491758599</v>
      </c>
      <c r="BK85" s="100">
        <v>619.29008237637902</v>
      </c>
      <c r="BL85" s="100">
        <v>4</v>
      </c>
      <c r="BM85" s="100">
        <v>600</v>
      </c>
      <c r="BN85" s="100">
        <v>5</v>
      </c>
      <c r="BO85" s="100">
        <v>750</v>
      </c>
      <c r="BP85" s="100">
        <v>4</v>
      </c>
      <c r="BQ85" s="100">
        <v>600</v>
      </c>
      <c r="BR85" s="100">
        <v>5</v>
      </c>
      <c r="BS85" s="100">
        <v>750</v>
      </c>
      <c r="BT85" s="100">
        <v>6</v>
      </c>
      <c r="BU85" s="100">
        <v>900</v>
      </c>
      <c r="BV85" s="100">
        <v>7</v>
      </c>
      <c r="BW85" s="100">
        <v>1050</v>
      </c>
      <c r="BX85" s="100">
        <v>4</v>
      </c>
      <c r="BY85" s="100">
        <v>600</v>
      </c>
      <c r="BZ85" s="100">
        <v>3.5116600367884772</v>
      </c>
      <c r="CA85" s="100">
        <v>526.74900551827159</v>
      </c>
      <c r="CB85" s="100">
        <v>6</v>
      </c>
      <c r="CC85" s="100">
        <v>900</v>
      </c>
      <c r="CD85" s="100">
        <v>5</v>
      </c>
      <c r="CE85" s="100">
        <v>750</v>
      </c>
      <c r="CF85" s="100">
        <v>6</v>
      </c>
      <c r="CG85" s="100">
        <v>900</v>
      </c>
      <c r="CH85" s="100">
        <v>6</v>
      </c>
      <c r="CI85" s="100">
        <v>900</v>
      </c>
      <c r="CJ85" s="100">
        <v>4</v>
      </c>
      <c r="CK85" s="100">
        <v>600</v>
      </c>
      <c r="CL85" s="100">
        <v>4.496247817115318</v>
      </c>
      <c r="CM85" s="100">
        <v>674.43717256729769</v>
      </c>
      <c r="CN85" s="100">
        <v>3.7255012034044923</v>
      </c>
      <c r="CO85" s="100">
        <v>558.82518051067382</v>
      </c>
      <c r="CP85" s="100">
        <v>4</v>
      </c>
      <c r="CQ85" s="100">
        <v>600</v>
      </c>
      <c r="CR85" s="100">
        <v>6</v>
      </c>
      <c r="CS85" s="100">
        <v>900</v>
      </c>
      <c r="CT85" s="100">
        <v>7</v>
      </c>
      <c r="CU85" s="100">
        <v>1050</v>
      </c>
    </row>
    <row r="86" spans="2:99">
      <c r="C86" s="99" t="s">
        <v>252</v>
      </c>
      <c r="D86" s="100">
        <v>4.3073520799877336</v>
      </c>
      <c r="E86" s="100">
        <v>2325.9701231933764</v>
      </c>
      <c r="F86" s="100">
        <v>3.0428874391274983</v>
      </c>
      <c r="G86" s="100">
        <v>1643.1592171288491</v>
      </c>
      <c r="H86" s="100">
        <v>0.28551219977365433</v>
      </c>
      <c r="I86" s="100">
        <v>154.17658787777333</v>
      </c>
      <c r="J86" s="100">
        <v>4</v>
      </c>
      <c r="K86" s="100">
        <v>2160</v>
      </c>
      <c r="L86" s="100">
        <v>6</v>
      </c>
      <c r="M86" s="100">
        <v>3240</v>
      </c>
      <c r="N86" s="100">
        <v>4</v>
      </c>
      <c r="O86" s="100">
        <v>2160</v>
      </c>
      <c r="P86" s="100">
        <v>4</v>
      </c>
      <c r="Q86" s="100">
        <v>2160</v>
      </c>
      <c r="R86" s="100">
        <v>6</v>
      </c>
      <c r="S86" s="100">
        <v>3240</v>
      </c>
      <c r="T86" s="100">
        <v>4</v>
      </c>
      <c r="U86" s="100">
        <v>2160</v>
      </c>
      <c r="V86" s="100">
        <v>5</v>
      </c>
      <c r="W86" s="100">
        <v>2700</v>
      </c>
      <c r="X86" s="100">
        <v>4.2738393325476283</v>
      </c>
      <c r="Y86" s="100">
        <v>2307.8732395757193</v>
      </c>
      <c r="Z86" s="100">
        <v>5.9042522012891538</v>
      </c>
      <c r="AA86" s="100">
        <v>3188.296188696143</v>
      </c>
      <c r="AB86" s="100">
        <v>6</v>
      </c>
      <c r="AC86" s="100">
        <v>3240</v>
      </c>
      <c r="AD86" s="100">
        <v>3</v>
      </c>
      <c r="AE86" s="100">
        <v>1620</v>
      </c>
      <c r="AF86" s="100">
        <v>5</v>
      </c>
      <c r="AG86" s="100">
        <v>2700</v>
      </c>
      <c r="AH86" s="100">
        <v>6</v>
      </c>
      <c r="AI86" s="100">
        <v>3240</v>
      </c>
      <c r="AJ86" s="100">
        <v>4</v>
      </c>
      <c r="AK86" s="100">
        <v>2160</v>
      </c>
      <c r="AL86" s="100">
        <v>4</v>
      </c>
      <c r="AM86" s="100">
        <v>2160</v>
      </c>
      <c r="AN86" s="100">
        <v>3</v>
      </c>
      <c r="AO86" s="100">
        <v>1620</v>
      </c>
      <c r="AP86" s="100">
        <v>3.9596187757721903</v>
      </c>
      <c r="AQ86" s="100">
        <v>2138.1941389169829</v>
      </c>
      <c r="AR86" s="100">
        <v>4.6469097090291056</v>
      </c>
      <c r="AS86" s="100">
        <v>2509.3312428757172</v>
      </c>
      <c r="AT86" s="100">
        <v>3</v>
      </c>
      <c r="AU86" s="100">
        <v>1620</v>
      </c>
      <c r="AV86" s="100">
        <v>5</v>
      </c>
      <c r="AW86" s="100">
        <v>2700</v>
      </c>
      <c r="AX86" s="100">
        <v>4</v>
      </c>
      <c r="AY86" s="100">
        <v>2160</v>
      </c>
      <c r="AZ86" s="100">
        <v>5</v>
      </c>
      <c r="BA86" s="100">
        <v>2700</v>
      </c>
      <c r="BB86" s="100">
        <v>4</v>
      </c>
      <c r="BC86" s="100">
        <v>2160</v>
      </c>
      <c r="BD86" s="100">
        <v>7</v>
      </c>
      <c r="BE86" s="100">
        <v>3780</v>
      </c>
      <c r="BF86" s="100">
        <v>4.3564851907063078</v>
      </c>
      <c r="BG86" s="100">
        <v>2352.5020029814063</v>
      </c>
      <c r="BH86" s="100">
        <v>2.0623479312120852</v>
      </c>
      <c r="BI86" s="100">
        <v>1113.6678828545259</v>
      </c>
      <c r="BJ86" s="100">
        <v>4.1286005491758599</v>
      </c>
      <c r="BK86" s="100">
        <v>2229.4442965549642</v>
      </c>
      <c r="BL86" s="100">
        <v>5</v>
      </c>
      <c r="BM86" s="100">
        <v>2700</v>
      </c>
      <c r="BN86" s="100">
        <v>5</v>
      </c>
      <c r="BO86" s="100">
        <v>2700</v>
      </c>
      <c r="BP86" s="100">
        <v>4</v>
      </c>
      <c r="BQ86" s="100">
        <v>2160</v>
      </c>
      <c r="BR86" s="100">
        <v>5</v>
      </c>
      <c r="BS86" s="100">
        <v>2700</v>
      </c>
      <c r="BT86" s="100">
        <v>6</v>
      </c>
      <c r="BU86" s="100">
        <v>3240</v>
      </c>
      <c r="BV86" s="100">
        <v>6</v>
      </c>
      <c r="BW86" s="100">
        <v>3240</v>
      </c>
      <c r="BX86" s="100">
        <v>4</v>
      </c>
      <c r="BY86" s="100">
        <v>2160</v>
      </c>
      <c r="BZ86" s="100">
        <v>3.5116600367884772</v>
      </c>
      <c r="CA86" s="100">
        <v>1896.2964198657776</v>
      </c>
      <c r="CB86" s="100">
        <v>5</v>
      </c>
      <c r="CC86" s="100">
        <v>2700</v>
      </c>
      <c r="CD86" s="100">
        <v>5</v>
      </c>
      <c r="CE86" s="100">
        <v>2700</v>
      </c>
      <c r="CF86" s="100">
        <v>7</v>
      </c>
      <c r="CG86" s="100">
        <v>3780</v>
      </c>
      <c r="CH86" s="100">
        <v>6</v>
      </c>
      <c r="CI86" s="100">
        <v>3240</v>
      </c>
      <c r="CJ86" s="100">
        <v>5</v>
      </c>
      <c r="CK86" s="100">
        <v>2700</v>
      </c>
      <c r="CL86" s="100">
        <v>4.496247817115318</v>
      </c>
      <c r="CM86" s="100">
        <v>2427.9738212422717</v>
      </c>
      <c r="CN86" s="100">
        <v>3.7255012034044923</v>
      </c>
      <c r="CO86" s="100">
        <v>2011.7706498384259</v>
      </c>
      <c r="CP86" s="100">
        <v>3</v>
      </c>
      <c r="CQ86" s="100">
        <v>1620</v>
      </c>
      <c r="CR86" s="100">
        <v>6</v>
      </c>
      <c r="CS86" s="100">
        <v>3240</v>
      </c>
      <c r="CT86" s="100">
        <v>7</v>
      </c>
      <c r="CU86" s="100">
        <v>3780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7.4466131849546056</v>
      </c>
      <c r="G87" s="100">
        <v>7997.6625606412463</v>
      </c>
      <c r="H87" s="100">
        <v>2.7148195910290043</v>
      </c>
      <c r="I87" s="100">
        <v>2915.7162407651508</v>
      </c>
      <c r="J87" s="100">
        <v>3.897773095276758</v>
      </c>
      <c r="K87" s="100">
        <v>4186.2083043272378</v>
      </c>
      <c r="L87" s="100">
        <v>2.4610226770724619</v>
      </c>
      <c r="M87" s="100">
        <v>2643.138355175824</v>
      </c>
      <c r="N87" s="100">
        <v>5.369699520242408</v>
      </c>
      <c r="O87" s="100">
        <v>5767.0572847403464</v>
      </c>
      <c r="P87" s="100">
        <v>4.3164606142349236</v>
      </c>
      <c r="Q87" s="100">
        <v>4635.8786996883082</v>
      </c>
      <c r="R87" s="100">
        <v>5.2469986157209787</v>
      </c>
      <c r="S87" s="100">
        <v>5635.2765132843315</v>
      </c>
      <c r="T87" s="100">
        <v>3.6928421131279299</v>
      </c>
      <c r="U87" s="100">
        <v>3966.1124294993965</v>
      </c>
      <c r="V87" s="100">
        <v>3.8862343776136905</v>
      </c>
      <c r="W87" s="100">
        <v>4173.8157215571036</v>
      </c>
      <c r="X87" s="100">
        <v>5.1215692489711859</v>
      </c>
      <c r="Y87" s="100">
        <v>5500.5653733950539</v>
      </c>
      <c r="Z87" s="100">
        <v>4</v>
      </c>
      <c r="AA87" s="100">
        <v>4296</v>
      </c>
      <c r="AB87" s="100">
        <v>4.804848851898945</v>
      </c>
      <c r="AC87" s="100">
        <v>5160.4076669394672</v>
      </c>
      <c r="AD87" s="100">
        <v>4.908777377552302</v>
      </c>
      <c r="AE87" s="100">
        <v>5272.0269034911726</v>
      </c>
      <c r="AF87" s="100">
        <v>4.1211123293243324</v>
      </c>
      <c r="AG87" s="100">
        <v>4426.074641694333</v>
      </c>
      <c r="AH87" s="100">
        <v>0.42785068918864277</v>
      </c>
      <c r="AI87" s="100">
        <v>459.51164018860231</v>
      </c>
      <c r="AJ87" s="100">
        <v>5.8536585365853337</v>
      </c>
      <c r="AK87" s="100">
        <v>6286.8292682926485</v>
      </c>
      <c r="AL87" s="100">
        <v>4</v>
      </c>
      <c r="AM87" s="100">
        <v>4296</v>
      </c>
      <c r="AN87" s="100">
        <v>7.1082078064872798</v>
      </c>
      <c r="AO87" s="100">
        <v>7634.2151841673385</v>
      </c>
      <c r="AP87" s="100">
        <v>6.8779875113295104</v>
      </c>
      <c r="AQ87" s="100">
        <v>7386.9585871678937</v>
      </c>
      <c r="AR87" s="100">
        <v>4.0994233809479406</v>
      </c>
      <c r="AS87" s="100">
        <v>4402.780711138088</v>
      </c>
      <c r="AT87" s="100">
        <v>3.8127429440594689</v>
      </c>
      <c r="AU87" s="100">
        <v>4094.8859219198698</v>
      </c>
      <c r="AV87" s="100">
        <v>3.9329708983643745</v>
      </c>
      <c r="AW87" s="100">
        <v>4224.0107448433382</v>
      </c>
      <c r="AX87" s="100">
        <v>0.47104504759247351</v>
      </c>
      <c r="AY87" s="100">
        <v>505.90238111431654</v>
      </c>
      <c r="AZ87" s="100">
        <v>5.3601608727810754</v>
      </c>
      <c r="BA87" s="100">
        <v>5756.8127773668748</v>
      </c>
      <c r="BB87" s="100">
        <v>5.1000977691616525</v>
      </c>
      <c r="BC87" s="100">
        <v>5477.505004079615</v>
      </c>
      <c r="BD87" s="100">
        <v>5</v>
      </c>
      <c r="BE87" s="100">
        <v>5370</v>
      </c>
      <c r="BF87" s="100">
        <v>4</v>
      </c>
      <c r="BG87" s="100">
        <v>4296</v>
      </c>
      <c r="BH87" s="100">
        <v>6</v>
      </c>
      <c r="BI87" s="100">
        <v>6444</v>
      </c>
      <c r="BJ87" s="100">
        <v>6</v>
      </c>
      <c r="BK87" s="100">
        <v>6444</v>
      </c>
      <c r="BL87" s="100">
        <v>6</v>
      </c>
      <c r="BM87" s="100">
        <v>6444</v>
      </c>
      <c r="BN87" s="100">
        <v>7.300406629033156</v>
      </c>
      <c r="BO87" s="100">
        <v>7840.6367195816092</v>
      </c>
      <c r="BP87" s="100">
        <v>3.2203052661823959</v>
      </c>
      <c r="BQ87" s="100">
        <v>3458.6078558798931</v>
      </c>
      <c r="BR87" s="100">
        <v>0.47656510674394781</v>
      </c>
      <c r="BS87" s="100">
        <v>511.83092464299995</v>
      </c>
      <c r="BT87" s="100">
        <v>5</v>
      </c>
      <c r="BU87" s="100">
        <v>5370</v>
      </c>
      <c r="BV87" s="100">
        <v>5</v>
      </c>
      <c r="BW87" s="100">
        <v>5370</v>
      </c>
      <c r="BX87" s="100">
        <v>5</v>
      </c>
      <c r="BY87" s="100">
        <v>5370</v>
      </c>
      <c r="BZ87" s="100">
        <v>4</v>
      </c>
      <c r="CA87" s="100">
        <v>4296</v>
      </c>
      <c r="CB87" s="100">
        <v>7</v>
      </c>
      <c r="CC87" s="100">
        <v>7518</v>
      </c>
      <c r="CD87" s="100">
        <v>8</v>
      </c>
      <c r="CE87" s="100">
        <v>8592</v>
      </c>
      <c r="CF87" s="100">
        <v>5</v>
      </c>
      <c r="CG87" s="100">
        <v>5370</v>
      </c>
      <c r="CH87" s="100">
        <v>4.2775939994700946E-2</v>
      </c>
      <c r="CI87" s="100">
        <v>45.941359554308818</v>
      </c>
      <c r="CJ87" s="100">
        <v>6.6309050953414115</v>
      </c>
      <c r="CK87" s="100">
        <v>7121.5920723966756</v>
      </c>
      <c r="CL87" s="100">
        <v>4.7577775692910897</v>
      </c>
      <c r="CM87" s="100">
        <v>5109.8531094186301</v>
      </c>
      <c r="CN87" s="100">
        <v>4.6557851684715947</v>
      </c>
      <c r="CO87" s="100">
        <v>5000.3132709384927</v>
      </c>
      <c r="CP87" s="100">
        <v>0.4250894331932078</v>
      </c>
      <c r="CQ87" s="100">
        <v>456.54605124950518</v>
      </c>
      <c r="CR87" s="100">
        <v>6</v>
      </c>
      <c r="CS87" s="100">
        <v>6444</v>
      </c>
      <c r="CT87" s="100">
        <v>7</v>
      </c>
      <c r="CU87" s="100">
        <v>7518</v>
      </c>
    </row>
    <row r="88" spans="2:99">
      <c r="C88" s="99" t="s">
        <v>254</v>
      </c>
      <c r="D88" s="100">
        <v>5</v>
      </c>
      <c r="E88" s="100">
        <v>4962</v>
      </c>
      <c r="F88" s="100">
        <v>6.4466131849546056</v>
      </c>
      <c r="G88" s="100">
        <v>6397.6189247489501</v>
      </c>
      <c r="H88" s="100">
        <v>2.7148195910290043</v>
      </c>
      <c r="I88" s="100">
        <v>2694.1869621371839</v>
      </c>
      <c r="J88" s="100">
        <v>3.897773095276758</v>
      </c>
      <c r="K88" s="100">
        <v>3868.1500197526543</v>
      </c>
      <c r="L88" s="100">
        <v>2.4610226770724619</v>
      </c>
      <c r="M88" s="100">
        <v>2442.318904726711</v>
      </c>
      <c r="N88" s="100">
        <v>5.369699520242408</v>
      </c>
      <c r="O88" s="100">
        <v>5328.8898038885654</v>
      </c>
      <c r="P88" s="100">
        <v>4.3164606142349236</v>
      </c>
      <c r="Q88" s="100">
        <v>4283.6555135667377</v>
      </c>
      <c r="R88" s="100">
        <v>6</v>
      </c>
      <c r="S88" s="100">
        <v>5954.4</v>
      </c>
      <c r="T88" s="100">
        <v>3.6928421131279299</v>
      </c>
      <c r="U88" s="100">
        <v>3664.7765130681573</v>
      </c>
      <c r="V88" s="100">
        <v>3.1089875020909523</v>
      </c>
      <c r="W88" s="100">
        <v>3085.3591970750608</v>
      </c>
      <c r="X88" s="100">
        <v>4.414478400527778</v>
      </c>
      <c r="Y88" s="100">
        <v>4380.9283646837666</v>
      </c>
      <c r="Z88" s="100">
        <v>4</v>
      </c>
      <c r="AA88" s="100">
        <v>3969.6</v>
      </c>
      <c r="AB88" s="100">
        <v>4.8172690668041502</v>
      </c>
      <c r="AC88" s="100">
        <v>4780.6578218964387</v>
      </c>
      <c r="AD88" s="100">
        <v>5.8664076353674224</v>
      </c>
      <c r="AE88" s="100">
        <v>5821.8229373386303</v>
      </c>
      <c r="AF88" s="100">
        <v>5.1211123293243324</v>
      </c>
      <c r="AG88" s="100">
        <v>5082.1918756214673</v>
      </c>
      <c r="AH88" s="100">
        <v>0.35830148331158362</v>
      </c>
      <c r="AI88" s="100">
        <v>355.57839203841559</v>
      </c>
      <c r="AJ88" s="100">
        <v>4.8780487804877781</v>
      </c>
      <c r="AK88" s="100">
        <v>4840.9756097560712</v>
      </c>
      <c r="AL88" s="100">
        <v>5</v>
      </c>
      <c r="AM88" s="100">
        <v>4962</v>
      </c>
      <c r="AN88" s="100">
        <v>7.1082078064872798</v>
      </c>
      <c r="AO88" s="100">
        <v>7054.1854271579759</v>
      </c>
      <c r="AP88" s="100">
        <v>5.8954178668538662</v>
      </c>
      <c r="AQ88" s="100">
        <v>5850.6126910657767</v>
      </c>
      <c r="AR88" s="100">
        <v>4.0994233809479406</v>
      </c>
      <c r="AS88" s="100">
        <v>4068.2677632527361</v>
      </c>
      <c r="AT88" s="100">
        <v>3.7721818489098995</v>
      </c>
      <c r="AU88" s="100">
        <v>3743.5132668581841</v>
      </c>
      <c r="AV88" s="100">
        <v>4.5706769584559739</v>
      </c>
      <c r="AW88" s="100">
        <v>4535.9398135717083</v>
      </c>
      <c r="AX88" s="100">
        <v>0.41216441664341436</v>
      </c>
      <c r="AY88" s="100">
        <v>409.03196707692439</v>
      </c>
      <c r="AZ88" s="100">
        <v>6.324144785502968</v>
      </c>
      <c r="BA88" s="100">
        <v>6276.0812851331457</v>
      </c>
      <c r="BB88" s="100">
        <v>5.1000977691616525</v>
      </c>
      <c r="BC88" s="100">
        <v>5061.3370261160235</v>
      </c>
      <c r="BD88" s="100">
        <v>4</v>
      </c>
      <c r="BE88" s="100">
        <v>3969.6</v>
      </c>
      <c r="BF88" s="100">
        <v>4</v>
      </c>
      <c r="BG88" s="100">
        <v>3969.6</v>
      </c>
      <c r="BH88" s="100">
        <v>6</v>
      </c>
      <c r="BI88" s="100">
        <v>5954.4</v>
      </c>
      <c r="BJ88" s="100">
        <v>6.1297984935959429</v>
      </c>
      <c r="BK88" s="100">
        <v>6083.2120250446133</v>
      </c>
      <c r="BL88" s="100">
        <v>5</v>
      </c>
      <c r="BM88" s="100">
        <v>4962</v>
      </c>
      <c r="BN88" s="100">
        <v>6.3878558004040116</v>
      </c>
      <c r="BO88" s="100">
        <v>6339.3080963209413</v>
      </c>
      <c r="BP88" s="100">
        <v>3.2603638150621541</v>
      </c>
      <c r="BQ88" s="100">
        <v>3235.5850500676815</v>
      </c>
      <c r="BR88" s="100">
        <v>0.40848437720909814</v>
      </c>
      <c r="BS88" s="100">
        <v>405.37989594230896</v>
      </c>
      <c r="BT88" s="100">
        <v>6</v>
      </c>
      <c r="BU88" s="100">
        <v>5954.4</v>
      </c>
      <c r="BV88" s="100">
        <v>5</v>
      </c>
      <c r="BW88" s="100">
        <v>4962</v>
      </c>
      <c r="BX88" s="100">
        <v>5</v>
      </c>
      <c r="BY88" s="100">
        <v>4962</v>
      </c>
      <c r="BZ88" s="100">
        <v>4</v>
      </c>
      <c r="CA88" s="100">
        <v>3969.6</v>
      </c>
      <c r="CB88" s="100">
        <v>7</v>
      </c>
      <c r="CC88" s="100">
        <v>6946.8</v>
      </c>
      <c r="CD88" s="100">
        <v>7.0674346268608828</v>
      </c>
      <c r="CE88" s="100">
        <v>7013.7221236967398</v>
      </c>
      <c r="CF88" s="100">
        <v>4</v>
      </c>
      <c r="CG88" s="100">
        <v>3969.6</v>
      </c>
      <c r="CH88" s="100">
        <v>4.9905263327151103E-2</v>
      </c>
      <c r="CI88" s="100">
        <v>49.52598332586475</v>
      </c>
      <c r="CJ88" s="100">
        <v>6.6079740114382126</v>
      </c>
      <c r="CK88" s="100">
        <v>6557.7534089512819</v>
      </c>
      <c r="CL88" s="100">
        <v>5.550740497506272</v>
      </c>
      <c r="CM88" s="100">
        <v>5508.5548697252243</v>
      </c>
      <c r="CN88" s="100">
        <v>4.0074636943301414</v>
      </c>
      <c r="CO88" s="100">
        <v>3977.0069702532323</v>
      </c>
      <c r="CP88" s="100">
        <v>0.4250894331932078</v>
      </c>
      <c r="CQ88" s="100">
        <v>421.85875350093943</v>
      </c>
      <c r="CR88" s="100">
        <v>6</v>
      </c>
      <c r="CS88" s="100">
        <v>5954.4</v>
      </c>
      <c r="CT88" s="100">
        <v>7</v>
      </c>
      <c r="CU88" s="100">
        <v>6946.8</v>
      </c>
    </row>
    <row r="89" spans="2:99">
      <c r="C89" s="99" t="s">
        <v>255</v>
      </c>
      <c r="D89" s="100">
        <v>5</v>
      </c>
      <c r="E89" s="100">
        <v>5310</v>
      </c>
      <c r="F89" s="100">
        <v>6.3969894977374278</v>
      </c>
      <c r="G89" s="100">
        <v>6793.6028465971485</v>
      </c>
      <c r="H89" s="100">
        <v>2.2623496591908365</v>
      </c>
      <c r="I89" s="100">
        <v>2402.6153380606684</v>
      </c>
      <c r="J89" s="100">
        <v>3.897773095276758</v>
      </c>
      <c r="K89" s="100">
        <v>4139.4350271839166</v>
      </c>
      <c r="L89" s="100">
        <v>2.4610226770724619</v>
      </c>
      <c r="M89" s="100">
        <v>2613.6060830509546</v>
      </c>
      <c r="N89" s="100">
        <v>5.369699520242408</v>
      </c>
      <c r="O89" s="100">
        <v>5702.6208904974374</v>
      </c>
      <c r="P89" s="100">
        <v>4.3164606142349236</v>
      </c>
      <c r="Q89" s="100">
        <v>4584.0811723174884</v>
      </c>
      <c r="R89" s="100">
        <v>6</v>
      </c>
      <c r="S89" s="100">
        <v>6372</v>
      </c>
      <c r="T89" s="100">
        <v>3.665238561961536</v>
      </c>
      <c r="U89" s="100">
        <v>3892.4833528031513</v>
      </c>
      <c r="V89" s="100">
        <v>3.8862343776136905</v>
      </c>
      <c r="W89" s="100">
        <v>4127.1809090257393</v>
      </c>
      <c r="X89" s="100">
        <v>5.1215692489711859</v>
      </c>
      <c r="Y89" s="100">
        <v>5439.1065424073995</v>
      </c>
      <c r="Z89" s="100">
        <v>4</v>
      </c>
      <c r="AA89" s="100">
        <v>4248</v>
      </c>
      <c r="AB89" s="100">
        <v>4.8172690668041502</v>
      </c>
      <c r="AC89" s="100">
        <v>5115.939748946008</v>
      </c>
      <c r="AD89" s="100">
        <v>4.908777377552302</v>
      </c>
      <c r="AE89" s="100">
        <v>5213.1215749605444</v>
      </c>
      <c r="AF89" s="100">
        <v>4.1345692548048136</v>
      </c>
      <c r="AG89" s="100">
        <v>4390.9125486027124</v>
      </c>
      <c r="AH89" s="100">
        <v>0.35830148331158362</v>
      </c>
      <c r="AI89" s="100">
        <v>380.51617527690183</v>
      </c>
      <c r="AJ89" s="100">
        <v>5.8536585365853337</v>
      </c>
      <c r="AK89" s="100">
        <v>6216.5853658536244</v>
      </c>
      <c r="AL89" s="100">
        <v>5</v>
      </c>
      <c r="AM89" s="100">
        <v>5310</v>
      </c>
      <c r="AN89" s="100">
        <v>7.1082078064872798</v>
      </c>
      <c r="AO89" s="100">
        <v>7548.916690489491</v>
      </c>
      <c r="AP89" s="100">
        <v>5.8954178668538662</v>
      </c>
      <c r="AQ89" s="100">
        <v>6260.9337745988059</v>
      </c>
      <c r="AR89" s="100">
        <v>4.0994233809479406</v>
      </c>
      <c r="AS89" s="100">
        <v>4353.5876305667125</v>
      </c>
      <c r="AT89" s="100">
        <v>3.7924623964846842</v>
      </c>
      <c r="AU89" s="100">
        <v>4027.5950650667346</v>
      </c>
      <c r="AV89" s="100">
        <v>4.5706769584559739</v>
      </c>
      <c r="AW89" s="100">
        <v>4854.0589298802442</v>
      </c>
      <c r="AX89" s="100">
        <v>0.41216441664341436</v>
      </c>
      <c r="AY89" s="100">
        <v>437.71861047530604</v>
      </c>
      <c r="AZ89" s="100">
        <v>6.324144785502968</v>
      </c>
      <c r="BA89" s="100">
        <v>6716.2417622041521</v>
      </c>
      <c r="BB89" s="100">
        <v>5.1000977691616525</v>
      </c>
      <c r="BC89" s="100">
        <v>5416.3038308496753</v>
      </c>
      <c r="BD89" s="100">
        <v>4</v>
      </c>
      <c r="BE89" s="100">
        <v>4248</v>
      </c>
      <c r="BF89" s="100">
        <v>4</v>
      </c>
      <c r="BG89" s="100">
        <v>4248</v>
      </c>
      <c r="BH89" s="100">
        <v>6</v>
      </c>
      <c r="BI89" s="100">
        <v>6372</v>
      </c>
      <c r="BJ89" s="100">
        <v>7.1297984935959429</v>
      </c>
      <c r="BK89" s="100">
        <v>7571.8460001988915</v>
      </c>
      <c r="BL89" s="100">
        <v>5</v>
      </c>
      <c r="BM89" s="100">
        <v>5310</v>
      </c>
      <c r="BN89" s="100">
        <v>6.3878558004040116</v>
      </c>
      <c r="BO89" s="100">
        <v>6783.9028600290603</v>
      </c>
      <c r="BP89" s="100">
        <v>3.2603638150621541</v>
      </c>
      <c r="BQ89" s="100">
        <v>3462.5063715960077</v>
      </c>
      <c r="BR89" s="100">
        <v>0.47656510674394781</v>
      </c>
      <c r="BS89" s="100">
        <v>506.11214336207257</v>
      </c>
      <c r="BT89" s="100">
        <v>5</v>
      </c>
      <c r="BU89" s="100">
        <v>5310</v>
      </c>
      <c r="BV89" s="100">
        <v>4</v>
      </c>
      <c r="BW89" s="100">
        <v>4248</v>
      </c>
      <c r="BX89" s="100">
        <v>5</v>
      </c>
      <c r="BY89" s="100">
        <v>5310</v>
      </c>
      <c r="BZ89" s="100">
        <v>4</v>
      </c>
      <c r="CA89" s="100">
        <v>4248</v>
      </c>
      <c r="CB89" s="100">
        <v>7</v>
      </c>
      <c r="CC89" s="100">
        <v>7434</v>
      </c>
      <c r="CD89" s="100">
        <v>6.0674346268608828</v>
      </c>
      <c r="CE89" s="100">
        <v>6443.6155737262579</v>
      </c>
      <c r="CF89" s="100">
        <v>5</v>
      </c>
      <c r="CG89" s="100">
        <v>5310</v>
      </c>
      <c r="CH89" s="100">
        <v>4.2775939994700946E-2</v>
      </c>
      <c r="CI89" s="100">
        <v>45.428048274372401</v>
      </c>
      <c r="CJ89" s="100">
        <v>5.5067360058965305</v>
      </c>
      <c r="CK89" s="100">
        <v>5848.1536382621152</v>
      </c>
      <c r="CL89" s="100">
        <v>5.550740497506272</v>
      </c>
      <c r="CM89" s="100">
        <v>5894.886408351661</v>
      </c>
      <c r="CN89" s="100">
        <v>3.9950916049110443</v>
      </c>
      <c r="CO89" s="100">
        <v>4242.787284415529</v>
      </c>
      <c r="CP89" s="100">
        <v>0.35424119432767315</v>
      </c>
      <c r="CQ89" s="100">
        <v>376.20414837598889</v>
      </c>
      <c r="CR89" s="100">
        <v>7</v>
      </c>
      <c r="CS89" s="100">
        <v>7434</v>
      </c>
      <c r="CT89" s="100">
        <v>7</v>
      </c>
      <c r="CU89" s="100">
        <v>7434</v>
      </c>
    </row>
    <row r="90" spans="2:99">
      <c r="C90" s="99" t="s">
        <v>256</v>
      </c>
      <c r="D90" s="100">
        <v>6</v>
      </c>
      <c r="E90" s="100">
        <v>6652.7999999999993</v>
      </c>
      <c r="F90" s="100">
        <v>7.3969894977374278</v>
      </c>
      <c r="G90" s="100">
        <v>8201.7819550912591</v>
      </c>
      <c r="H90" s="100">
        <v>2.7148195910290043</v>
      </c>
      <c r="I90" s="100">
        <v>3010.1919625329597</v>
      </c>
      <c r="J90" s="100">
        <v>3.897773095276758</v>
      </c>
      <c r="K90" s="100">
        <v>4321.8508080428692</v>
      </c>
      <c r="L90" s="100">
        <v>2.4610226770724619</v>
      </c>
      <c r="M90" s="100">
        <v>2728.7819443379458</v>
      </c>
      <c r="N90" s="100">
        <v>5.369699520242408</v>
      </c>
      <c r="O90" s="100">
        <v>5953.9228280447815</v>
      </c>
      <c r="P90" s="100">
        <v>4.3164606142349236</v>
      </c>
      <c r="Q90" s="100">
        <v>4786.0915290636831</v>
      </c>
      <c r="R90" s="100">
        <v>5.2469986157209787</v>
      </c>
      <c r="S90" s="100">
        <v>5817.8720651114209</v>
      </c>
      <c r="T90" s="100">
        <v>3.118773754356198</v>
      </c>
      <c r="U90" s="100">
        <v>3458.096338830152</v>
      </c>
      <c r="V90" s="100">
        <v>3.8862343776136905</v>
      </c>
      <c r="W90" s="100">
        <v>4309.0566778980601</v>
      </c>
      <c r="X90" s="100">
        <v>4.414478400527778</v>
      </c>
      <c r="Y90" s="100">
        <v>4894.7736505051998</v>
      </c>
      <c r="Z90" s="100">
        <v>4</v>
      </c>
      <c r="AA90" s="100">
        <v>4435.2</v>
      </c>
      <c r="AB90" s="100">
        <v>5.5870266715242947</v>
      </c>
      <c r="AC90" s="100">
        <v>6194.8951733861377</v>
      </c>
      <c r="AD90" s="100">
        <v>4.908777377552302</v>
      </c>
      <c r="AE90" s="100">
        <v>5442.8523562299924</v>
      </c>
      <c r="AF90" s="100">
        <v>5.1345692548048136</v>
      </c>
      <c r="AG90" s="100">
        <v>5693.2103897275774</v>
      </c>
      <c r="AH90" s="100">
        <v>0.35830148331158362</v>
      </c>
      <c r="AI90" s="100">
        <v>397.28468469588393</v>
      </c>
      <c r="AJ90" s="100">
        <v>5.8536585365853337</v>
      </c>
      <c r="AK90" s="100">
        <v>6490.5365853658177</v>
      </c>
      <c r="AL90" s="100">
        <v>4</v>
      </c>
      <c r="AM90" s="100">
        <v>4435.2</v>
      </c>
      <c r="AN90" s="100">
        <v>7.1082078064872798</v>
      </c>
      <c r="AO90" s="100">
        <v>7881.5808158330956</v>
      </c>
      <c r="AP90" s="100">
        <v>6.8779875113295104</v>
      </c>
      <c r="AQ90" s="100">
        <v>7626.3125525621608</v>
      </c>
      <c r="AR90" s="100">
        <v>4.7631736263747371</v>
      </c>
      <c r="AS90" s="100">
        <v>5281.4069169243085</v>
      </c>
      <c r="AT90" s="100">
        <v>3.7924623964846842</v>
      </c>
      <c r="AU90" s="100">
        <v>4205.0823052222177</v>
      </c>
      <c r="AV90" s="100">
        <v>3.9329708983643745</v>
      </c>
      <c r="AW90" s="100">
        <v>4360.878132106418</v>
      </c>
      <c r="AX90" s="100">
        <v>0.35328378569435515</v>
      </c>
      <c r="AY90" s="100">
        <v>391.72106157790097</v>
      </c>
      <c r="AZ90" s="100">
        <v>6.3601608727810754</v>
      </c>
      <c r="BA90" s="100">
        <v>7052.1463757396559</v>
      </c>
      <c r="BB90" s="100">
        <v>5.1000977691616525</v>
      </c>
      <c r="BC90" s="100">
        <v>5654.9884064464404</v>
      </c>
      <c r="BD90" s="100">
        <v>5</v>
      </c>
      <c r="BE90" s="100">
        <v>5544</v>
      </c>
      <c r="BF90" s="100">
        <v>4</v>
      </c>
      <c r="BG90" s="100">
        <v>4435.2</v>
      </c>
      <c r="BH90" s="100">
        <v>7</v>
      </c>
      <c r="BI90" s="100">
        <v>7761.5999999999995</v>
      </c>
      <c r="BJ90" s="100">
        <v>6</v>
      </c>
      <c r="BK90" s="100">
        <v>6652.7999999999993</v>
      </c>
      <c r="BL90" s="100">
        <v>6</v>
      </c>
      <c r="BM90" s="100">
        <v>6652.7999999999993</v>
      </c>
      <c r="BN90" s="100">
        <v>6.3878558004040116</v>
      </c>
      <c r="BO90" s="100">
        <v>7082.854511487968</v>
      </c>
      <c r="BP90" s="100">
        <v>4.2536818060301034</v>
      </c>
      <c r="BQ90" s="100">
        <v>4716.4823865261787</v>
      </c>
      <c r="BR90" s="100">
        <v>0.47656510674394781</v>
      </c>
      <c r="BS90" s="100">
        <v>528.41539035768926</v>
      </c>
      <c r="BT90" s="100">
        <v>5</v>
      </c>
      <c r="BU90" s="100">
        <v>5544</v>
      </c>
      <c r="BV90" s="100">
        <v>4</v>
      </c>
      <c r="BW90" s="100">
        <v>4435.2</v>
      </c>
      <c r="BX90" s="100">
        <v>5</v>
      </c>
      <c r="BY90" s="100">
        <v>5544</v>
      </c>
      <c r="BZ90" s="100">
        <v>4</v>
      </c>
      <c r="CA90" s="100">
        <v>4435.2</v>
      </c>
      <c r="CB90" s="100">
        <v>8</v>
      </c>
      <c r="CC90" s="100">
        <v>8870.4</v>
      </c>
      <c r="CD90" s="100">
        <v>7.0590052985032727</v>
      </c>
      <c r="CE90" s="100">
        <v>7827.0250749804281</v>
      </c>
      <c r="CF90" s="100">
        <v>4</v>
      </c>
      <c r="CG90" s="100">
        <v>4435.2</v>
      </c>
      <c r="CH90" s="100">
        <v>4.2775939994700946E-2</v>
      </c>
      <c r="CI90" s="100">
        <v>47.429962266124406</v>
      </c>
      <c r="CJ90" s="100">
        <v>6.6079740114382126</v>
      </c>
      <c r="CK90" s="100">
        <v>7326.9215838826894</v>
      </c>
      <c r="CL90" s="100">
        <v>5.550740497506272</v>
      </c>
      <c r="CM90" s="100">
        <v>6154.6610636349542</v>
      </c>
      <c r="CN90" s="100">
        <v>4.6557851684715947</v>
      </c>
      <c r="CO90" s="100">
        <v>5162.3345948013039</v>
      </c>
      <c r="CP90" s="100">
        <v>0.4250894331932078</v>
      </c>
      <c r="CQ90" s="100">
        <v>471.33916352462882</v>
      </c>
      <c r="CR90" s="100">
        <v>6</v>
      </c>
      <c r="CS90" s="100">
        <v>6652.7999999999993</v>
      </c>
      <c r="CT90" s="100">
        <v>8</v>
      </c>
      <c r="CU90" s="100">
        <v>8870.4</v>
      </c>
    </row>
    <row r="91" spans="2:99">
      <c r="C91" s="99" t="s">
        <v>257</v>
      </c>
      <c r="D91" s="100">
        <v>5</v>
      </c>
      <c r="E91" s="100">
        <v>5681.9999999999991</v>
      </c>
      <c r="F91" s="100">
        <v>6.3969894977374278</v>
      </c>
      <c r="G91" s="100">
        <v>7269.538865228812</v>
      </c>
      <c r="H91" s="100">
        <v>2.7148195910290043</v>
      </c>
      <c r="I91" s="100">
        <v>3085.1209832453601</v>
      </c>
      <c r="J91" s="100">
        <v>3.897773095276758</v>
      </c>
      <c r="K91" s="100">
        <v>4429.4293454725075</v>
      </c>
      <c r="L91" s="100">
        <v>2.4610226770724619</v>
      </c>
      <c r="M91" s="100">
        <v>2796.7061702251453</v>
      </c>
      <c r="N91" s="100">
        <v>5.3234870802121073</v>
      </c>
      <c r="O91" s="100">
        <v>6049.6107179530381</v>
      </c>
      <c r="P91" s="100">
        <v>4.3164606142349236</v>
      </c>
      <c r="Q91" s="100">
        <v>4905.2258420165663</v>
      </c>
      <c r="R91" s="100">
        <v>5.2469986157209787</v>
      </c>
      <c r="S91" s="100">
        <v>5962.6892269053196</v>
      </c>
      <c r="T91" s="100">
        <v>3.0911702031898045</v>
      </c>
      <c r="U91" s="100">
        <v>3512.8058189048934</v>
      </c>
      <c r="V91" s="100">
        <v>3.8862343776136905</v>
      </c>
      <c r="W91" s="100">
        <v>4416.3167467201974</v>
      </c>
      <c r="X91" s="100">
        <v>4.414478400527778</v>
      </c>
      <c r="Y91" s="100">
        <v>5016.613254359766</v>
      </c>
      <c r="Z91" s="100">
        <v>3</v>
      </c>
      <c r="AA91" s="100">
        <v>3409.2</v>
      </c>
      <c r="AB91" s="100">
        <v>4.8172690668041502</v>
      </c>
      <c r="AC91" s="100">
        <v>5474.3445675162357</v>
      </c>
      <c r="AD91" s="100">
        <v>5.846303287287971</v>
      </c>
      <c r="AE91" s="100">
        <v>6643.7390556740493</v>
      </c>
      <c r="AF91" s="100">
        <v>5.1345692548048136</v>
      </c>
      <c r="AG91" s="100">
        <v>5834.9245011601897</v>
      </c>
      <c r="AH91" s="100">
        <v>0.35830148331158362</v>
      </c>
      <c r="AI91" s="100">
        <v>407.1738056352836</v>
      </c>
      <c r="AJ91" s="100">
        <v>4.8780487804877781</v>
      </c>
      <c r="AK91" s="100">
        <v>5543.4146341463102</v>
      </c>
      <c r="AL91" s="100">
        <v>4</v>
      </c>
      <c r="AM91" s="100">
        <v>4545.5999999999995</v>
      </c>
      <c r="AN91" s="100">
        <v>7.090173172072733</v>
      </c>
      <c r="AO91" s="100">
        <v>8057.2727927434526</v>
      </c>
      <c r="AP91" s="100">
        <v>6.8779875113295104</v>
      </c>
      <c r="AQ91" s="100">
        <v>7816.1450078748549</v>
      </c>
      <c r="AR91" s="100">
        <v>4.743686641643543</v>
      </c>
      <c r="AS91" s="100">
        <v>5390.7254995637213</v>
      </c>
      <c r="AT91" s="100">
        <v>3.8127429440594689</v>
      </c>
      <c r="AU91" s="100">
        <v>4332.8010816291799</v>
      </c>
      <c r="AV91" s="100">
        <v>3.9266923961399756</v>
      </c>
      <c r="AW91" s="100">
        <v>4462.2932389734679</v>
      </c>
      <c r="AX91" s="100">
        <v>0.41216441664341436</v>
      </c>
      <c r="AY91" s="100">
        <v>468.38364307357602</v>
      </c>
      <c r="AZ91" s="100">
        <v>6.324144785502968</v>
      </c>
      <c r="BA91" s="100">
        <v>7186.7581342455724</v>
      </c>
      <c r="BB91" s="100">
        <v>5.1000977691616525</v>
      </c>
      <c r="BC91" s="100">
        <v>5795.7511048753013</v>
      </c>
      <c r="BD91" s="100">
        <v>4</v>
      </c>
      <c r="BE91" s="100">
        <v>4545.5999999999995</v>
      </c>
      <c r="BF91" s="100">
        <v>4</v>
      </c>
      <c r="BG91" s="100">
        <v>4545.5999999999995</v>
      </c>
      <c r="BH91" s="100">
        <v>7</v>
      </c>
      <c r="BI91" s="100">
        <v>7954.7999999999993</v>
      </c>
      <c r="BJ91" s="100">
        <v>6</v>
      </c>
      <c r="BK91" s="100">
        <v>6818.4</v>
      </c>
      <c r="BL91" s="100">
        <v>6</v>
      </c>
      <c r="BM91" s="100">
        <v>6818.4</v>
      </c>
      <c r="BN91" s="100">
        <v>6.3878558004040116</v>
      </c>
      <c r="BO91" s="100">
        <v>7259.1593315791179</v>
      </c>
      <c r="BP91" s="100">
        <v>4.2136232571503465</v>
      </c>
      <c r="BQ91" s="100">
        <v>4788.361469425653</v>
      </c>
      <c r="BR91" s="100">
        <v>0.40848437720909814</v>
      </c>
      <c r="BS91" s="100">
        <v>464.20164626041907</v>
      </c>
      <c r="BT91" s="100">
        <v>6</v>
      </c>
      <c r="BU91" s="100">
        <v>6818.4</v>
      </c>
      <c r="BV91" s="100">
        <v>4</v>
      </c>
      <c r="BW91" s="100">
        <v>4545.5999999999995</v>
      </c>
      <c r="BX91" s="100">
        <v>5</v>
      </c>
      <c r="BY91" s="100">
        <v>5681.9999999999991</v>
      </c>
      <c r="BZ91" s="100">
        <v>4</v>
      </c>
      <c r="CA91" s="100">
        <v>4545.5999999999995</v>
      </c>
      <c r="CB91" s="100">
        <v>7</v>
      </c>
      <c r="CC91" s="100">
        <v>7954.7999999999993</v>
      </c>
      <c r="CD91" s="100">
        <v>6.0590052985032727</v>
      </c>
      <c r="CE91" s="100">
        <v>6885.4536212191188</v>
      </c>
      <c r="CF91" s="100">
        <v>4</v>
      </c>
      <c r="CG91" s="100">
        <v>4545.5999999999995</v>
      </c>
      <c r="CH91" s="100">
        <v>4.2775939994700946E-2</v>
      </c>
      <c r="CI91" s="100">
        <v>48.610578209978151</v>
      </c>
      <c r="CJ91" s="100">
        <v>6.6309050953414115</v>
      </c>
      <c r="CK91" s="100">
        <v>7535.3605503459794</v>
      </c>
      <c r="CL91" s="100">
        <v>4.7577775692910897</v>
      </c>
      <c r="CM91" s="100">
        <v>5406.7384297423941</v>
      </c>
      <c r="CN91" s="100">
        <v>4.0012776496205928</v>
      </c>
      <c r="CO91" s="100">
        <v>4547.0519210288412</v>
      </c>
      <c r="CP91" s="100">
        <v>0.35424119432767315</v>
      </c>
      <c r="CQ91" s="100">
        <v>402.55969323396772</v>
      </c>
      <c r="CR91" s="100">
        <v>7</v>
      </c>
      <c r="CS91" s="100">
        <v>7954.7999999999993</v>
      </c>
      <c r="CT91" s="100">
        <v>7</v>
      </c>
      <c r="CU91" s="100">
        <v>7954.7999999999993</v>
      </c>
    </row>
    <row r="92" spans="2:99">
      <c r="C92" s="99" t="s">
        <v>258</v>
      </c>
      <c r="D92" s="100">
        <v>5</v>
      </c>
      <c r="E92" s="100">
        <v>3924</v>
      </c>
      <c r="F92" s="100">
        <v>6.3969894977374278</v>
      </c>
      <c r="G92" s="100">
        <v>5020.3573578243331</v>
      </c>
      <c r="H92" s="100">
        <v>2.7148195910290043</v>
      </c>
      <c r="I92" s="100">
        <v>2130.5904150395622</v>
      </c>
      <c r="J92" s="100">
        <v>3.1621637349531824</v>
      </c>
      <c r="K92" s="100">
        <v>2481.6660991912572</v>
      </c>
      <c r="L92" s="100">
        <v>2.4610226770724619</v>
      </c>
      <c r="M92" s="100">
        <v>1931.4105969664679</v>
      </c>
      <c r="N92" s="100">
        <v>5.369699520242408</v>
      </c>
      <c r="O92" s="100">
        <v>4214.1401834862418</v>
      </c>
      <c r="P92" s="100">
        <v>4.3164606142349236</v>
      </c>
      <c r="Q92" s="100">
        <v>3387.5582900515678</v>
      </c>
      <c r="R92" s="100">
        <v>5</v>
      </c>
      <c r="S92" s="100">
        <v>3924</v>
      </c>
      <c r="T92" s="100">
        <v>3.665238561961536</v>
      </c>
      <c r="U92" s="100">
        <v>2876.4792234274132</v>
      </c>
      <c r="V92" s="100">
        <v>3.8862343776136905</v>
      </c>
      <c r="W92" s="100">
        <v>3049.9167395512241</v>
      </c>
      <c r="X92" s="100">
        <v>4.4390403019373972</v>
      </c>
      <c r="Y92" s="100">
        <v>3483.7588289604691</v>
      </c>
      <c r="Z92" s="100">
        <v>4</v>
      </c>
      <c r="AA92" s="100">
        <v>3139.2</v>
      </c>
      <c r="AB92" s="100">
        <v>4.6930669177520983</v>
      </c>
      <c r="AC92" s="100">
        <v>3683.1189170518464</v>
      </c>
      <c r="AD92" s="100">
        <v>5.8664076353674224</v>
      </c>
      <c r="AE92" s="100">
        <v>4603.9567122363533</v>
      </c>
      <c r="AF92" s="100">
        <v>5.1211123293243324</v>
      </c>
      <c r="AG92" s="100">
        <v>4019.0489560537358</v>
      </c>
      <c r="AH92" s="100">
        <v>0.35980940530105332</v>
      </c>
      <c r="AI92" s="100">
        <v>282.37842128026665</v>
      </c>
      <c r="AJ92" s="100">
        <v>5.8536585365853337</v>
      </c>
      <c r="AK92" s="100">
        <v>4593.9512195121697</v>
      </c>
      <c r="AL92" s="100">
        <v>4</v>
      </c>
      <c r="AM92" s="100">
        <v>3139.2</v>
      </c>
      <c r="AN92" s="100">
        <v>7.1082078064872798</v>
      </c>
      <c r="AO92" s="100">
        <v>5578.5214865312173</v>
      </c>
      <c r="AP92" s="100">
        <v>6.8779875113295104</v>
      </c>
      <c r="AQ92" s="100">
        <v>5397.8445988913991</v>
      </c>
      <c r="AR92" s="100">
        <v>4.6462517179875737</v>
      </c>
      <c r="AS92" s="100">
        <v>3646.3783482766476</v>
      </c>
      <c r="AT92" s="100">
        <v>3.7721818489098995</v>
      </c>
      <c r="AU92" s="100">
        <v>2960.4083150244887</v>
      </c>
      <c r="AV92" s="100">
        <v>4.576955460680372</v>
      </c>
      <c r="AW92" s="100">
        <v>3591.9946455419558</v>
      </c>
      <c r="AX92" s="100">
        <v>0.41216441664341436</v>
      </c>
      <c r="AY92" s="100">
        <v>323.46663418175154</v>
      </c>
      <c r="AZ92" s="100">
        <v>6.324144785502968</v>
      </c>
      <c r="BA92" s="100">
        <v>4963.1888276627287</v>
      </c>
      <c r="BB92" s="100">
        <v>5.9501140640219283</v>
      </c>
      <c r="BC92" s="100">
        <v>4669.649517444409</v>
      </c>
      <c r="BD92" s="100">
        <v>4</v>
      </c>
      <c r="BE92" s="100">
        <v>3139.2</v>
      </c>
      <c r="BF92" s="100">
        <v>4</v>
      </c>
      <c r="BG92" s="100">
        <v>3139.2</v>
      </c>
      <c r="BH92" s="100">
        <v>7</v>
      </c>
      <c r="BI92" s="100">
        <v>5493.5999999999995</v>
      </c>
      <c r="BJ92" s="100">
        <v>7.1297984935959429</v>
      </c>
      <c r="BK92" s="100">
        <v>5595.4658577740956</v>
      </c>
      <c r="BL92" s="100">
        <v>6</v>
      </c>
      <c r="BM92" s="100">
        <v>4708.7999999999993</v>
      </c>
      <c r="BN92" s="100">
        <v>7.300406629033156</v>
      </c>
      <c r="BO92" s="100">
        <v>5729.35912246522</v>
      </c>
      <c r="BP92" s="100">
        <v>4.2536818060301034</v>
      </c>
      <c r="BQ92" s="100">
        <v>3338.2894813724251</v>
      </c>
      <c r="BR92" s="100">
        <v>0.47656510674394781</v>
      </c>
      <c r="BS92" s="100">
        <v>374.00829577265023</v>
      </c>
      <c r="BT92" s="100">
        <v>5</v>
      </c>
      <c r="BU92" s="100">
        <v>3924</v>
      </c>
      <c r="BV92" s="100">
        <v>5</v>
      </c>
      <c r="BW92" s="100">
        <v>3924</v>
      </c>
      <c r="BX92" s="100">
        <v>5</v>
      </c>
      <c r="BY92" s="100">
        <v>3924</v>
      </c>
      <c r="BZ92" s="100">
        <v>4</v>
      </c>
      <c r="CA92" s="100">
        <v>3139.2</v>
      </c>
      <c r="CB92" s="100">
        <v>7</v>
      </c>
      <c r="CC92" s="100">
        <v>5493.5999999999995</v>
      </c>
      <c r="CD92" s="100">
        <v>7.0674346268608828</v>
      </c>
      <c r="CE92" s="100">
        <v>5546.5226951604209</v>
      </c>
      <c r="CF92" s="100">
        <v>5</v>
      </c>
      <c r="CG92" s="100">
        <v>3924</v>
      </c>
      <c r="CH92" s="100">
        <v>4.2775939994700946E-2</v>
      </c>
      <c r="CI92" s="100">
        <v>33.570557707841303</v>
      </c>
      <c r="CJ92" s="100">
        <v>6.6079740114382126</v>
      </c>
      <c r="CK92" s="100">
        <v>5185.938004176709</v>
      </c>
      <c r="CL92" s="100">
        <v>5.550740497506272</v>
      </c>
      <c r="CM92" s="100">
        <v>4356.2211424429224</v>
      </c>
      <c r="CN92" s="100">
        <v>4.6495991237620453</v>
      </c>
      <c r="CO92" s="100">
        <v>3649.0053923284531</v>
      </c>
      <c r="CP92" s="100">
        <v>0.4250894331932078</v>
      </c>
      <c r="CQ92" s="100">
        <v>333.61018717002946</v>
      </c>
      <c r="CR92" s="100">
        <v>6</v>
      </c>
      <c r="CS92" s="100">
        <v>4708.7999999999993</v>
      </c>
      <c r="CT92" s="100">
        <v>7</v>
      </c>
      <c r="CU92" s="100">
        <v>5493.5999999999995</v>
      </c>
    </row>
    <row r="93" spans="2:99">
      <c r="C93" s="99" t="s">
        <v>259</v>
      </c>
      <c r="D93" s="100">
        <v>5</v>
      </c>
      <c r="E93" s="100">
        <v>3468</v>
      </c>
      <c r="F93" s="100">
        <v>6.3969894977374278</v>
      </c>
      <c r="G93" s="100">
        <v>4436.9519156306797</v>
      </c>
      <c r="H93" s="100">
        <v>2.7148195910290043</v>
      </c>
      <c r="I93" s="100">
        <v>1882.9988683377173</v>
      </c>
      <c r="J93" s="100">
        <v>3.9343941442199042</v>
      </c>
      <c r="K93" s="100">
        <v>2728.8957784309255</v>
      </c>
      <c r="L93" s="100">
        <v>2.4610226770724619</v>
      </c>
      <c r="M93" s="100">
        <v>1706.9653288174597</v>
      </c>
      <c r="N93" s="100">
        <v>5.369699520242408</v>
      </c>
      <c r="O93" s="100">
        <v>3724.4235872401346</v>
      </c>
      <c r="P93" s="100">
        <v>4.3164606142349236</v>
      </c>
      <c r="Q93" s="100">
        <v>2993.8970820333429</v>
      </c>
      <c r="R93" s="100">
        <v>6.2469986157209787</v>
      </c>
      <c r="S93" s="100">
        <v>4332.9182398640705</v>
      </c>
      <c r="T93" s="100">
        <v>3.665238561961536</v>
      </c>
      <c r="U93" s="100">
        <v>2542.2094665765212</v>
      </c>
      <c r="V93" s="100">
        <v>3.8862343776136905</v>
      </c>
      <c r="W93" s="100">
        <v>2695.4921643128559</v>
      </c>
      <c r="X93" s="100">
        <v>4.4390403019373972</v>
      </c>
      <c r="Y93" s="100">
        <v>3078.9183534237786</v>
      </c>
      <c r="Z93" s="100">
        <v>4</v>
      </c>
      <c r="AA93" s="100">
        <v>2774.4</v>
      </c>
      <c r="AB93" s="100">
        <v>5.5994468864294999</v>
      </c>
      <c r="AC93" s="100">
        <v>3883.7763604275015</v>
      </c>
      <c r="AD93" s="100">
        <v>5.846303287287971</v>
      </c>
      <c r="AE93" s="100">
        <v>4054.9959600629368</v>
      </c>
      <c r="AF93" s="100">
        <v>5.1211123293243324</v>
      </c>
      <c r="AG93" s="100">
        <v>3552.0035116193571</v>
      </c>
      <c r="AH93" s="100">
        <v>0.42935861117811247</v>
      </c>
      <c r="AI93" s="100">
        <v>297.80313271313884</v>
      </c>
      <c r="AJ93" s="100">
        <v>4.8780487804877781</v>
      </c>
      <c r="AK93" s="100">
        <v>3383.4146341463229</v>
      </c>
      <c r="AL93" s="100">
        <v>5</v>
      </c>
      <c r="AM93" s="100">
        <v>3468</v>
      </c>
      <c r="AN93" s="100">
        <v>7.1082078064872798</v>
      </c>
      <c r="AO93" s="100">
        <v>4930.2529345795774</v>
      </c>
      <c r="AP93" s="100">
        <v>6.8779875113295104</v>
      </c>
      <c r="AQ93" s="100">
        <v>4770.5721378581484</v>
      </c>
      <c r="AR93" s="100">
        <v>4.0994233809479406</v>
      </c>
      <c r="AS93" s="100">
        <v>2843.3600570254916</v>
      </c>
      <c r="AT93" s="100">
        <v>3.7721818489098995</v>
      </c>
      <c r="AU93" s="100">
        <v>2616.3853304039062</v>
      </c>
      <c r="AV93" s="100">
        <v>4.576955460680372</v>
      </c>
      <c r="AW93" s="100">
        <v>3174.576307527906</v>
      </c>
      <c r="AX93" s="100">
        <v>0.41216441664341436</v>
      </c>
      <c r="AY93" s="100">
        <v>285.87723938387222</v>
      </c>
      <c r="AZ93" s="100">
        <v>6.324144785502968</v>
      </c>
      <c r="BA93" s="100">
        <v>4386.4268232248587</v>
      </c>
      <c r="BB93" s="100">
        <v>5.1000977691616525</v>
      </c>
      <c r="BC93" s="100">
        <v>3537.4278126905224</v>
      </c>
      <c r="BD93" s="100">
        <v>4</v>
      </c>
      <c r="BE93" s="100">
        <v>2774.4</v>
      </c>
      <c r="BF93" s="100">
        <v>4</v>
      </c>
      <c r="BG93" s="100">
        <v>2774.4</v>
      </c>
      <c r="BH93" s="100">
        <v>6</v>
      </c>
      <c r="BI93" s="100">
        <v>4161.6000000000004</v>
      </c>
      <c r="BJ93" s="100">
        <v>7.1297984935959429</v>
      </c>
      <c r="BK93" s="100">
        <v>4945.2282351581462</v>
      </c>
      <c r="BL93" s="100">
        <v>6</v>
      </c>
      <c r="BM93" s="100">
        <v>4161.6000000000004</v>
      </c>
      <c r="BN93" s="100">
        <v>6.3878558004040116</v>
      </c>
      <c r="BO93" s="100">
        <v>4430.6167831602224</v>
      </c>
      <c r="BP93" s="100">
        <v>4.2136232571503465</v>
      </c>
      <c r="BQ93" s="100">
        <v>2922.5690911594802</v>
      </c>
      <c r="BR93" s="100">
        <v>0.40848437720909814</v>
      </c>
      <c r="BS93" s="100">
        <v>283.32476403223046</v>
      </c>
      <c r="BT93" s="100">
        <v>5</v>
      </c>
      <c r="BU93" s="100">
        <v>3468</v>
      </c>
      <c r="BV93" s="100">
        <v>5</v>
      </c>
      <c r="BW93" s="100">
        <v>3468</v>
      </c>
      <c r="BX93" s="100">
        <v>5</v>
      </c>
      <c r="BY93" s="100">
        <v>3468</v>
      </c>
      <c r="BZ93" s="100">
        <v>4</v>
      </c>
      <c r="CA93" s="100">
        <v>2774.4</v>
      </c>
      <c r="CB93" s="100">
        <v>7</v>
      </c>
      <c r="CC93" s="100">
        <v>4855.2</v>
      </c>
      <c r="CD93" s="100">
        <v>7.0758639552184937</v>
      </c>
      <c r="CE93" s="100">
        <v>4907.8192393395475</v>
      </c>
      <c r="CF93" s="100">
        <v>4</v>
      </c>
      <c r="CG93" s="100">
        <v>2774.4</v>
      </c>
      <c r="CH93" s="100">
        <v>4.2775939994700946E-2</v>
      </c>
      <c r="CI93" s="100">
        <v>29.669391980324576</v>
      </c>
      <c r="CJ93" s="100">
        <v>6.6309050953414115</v>
      </c>
      <c r="CK93" s="100">
        <v>4599.1957741288034</v>
      </c>
      <c r="CL93" s="100">
        <v>4.7577775692910897</v>
      </c>
      <c r="CM93" s="100">
        <v>3299.9945220602999</v>
      </c>
      <c r="CN93" s="100">
        <v>4.6557851684715947</v>
      </c>
      <c r="CO93" s="100">
        <v>3229.252592851898</v>
      </c>
      <c r="CP93" s="100">
        <v>0.35424119432767315</v>
      </c>
      <c r="CQ93" s="100">
        <v>245.70169238567411</v>
      </c>
      <c r="CR93" s="100">
        <v>6</v>
      </c>
      <c r="CS93" s="100">
        <v>4161.6000000000004</v>
      </c>
      <c r="CT93" s="100">
        <v>7</v>
      </c>
      <c r="CU93" s="100">
        <v>4855.2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7.3969894977374278</v>
      </c>
      <c r="G94" s="100">
        <v>8823.1290729012035</v>
      </c>
      <c r="H94" s="100">
        <v>2.7148195910290043</v>
      </c>
      <c r="I94" s="100">
        <v>3238.2368081793961</v>
      </c>
      <c r="J94" s="100">
        <v>3.897773095276758</v>
      </c>
      <c r="K94" s="100">
        <v>4649.2637480461171</v>
      </c>
      <c r="L94" s="100">
        <v>2.4610226770724619</v>
      </c>
      <c r="M94" s="100">
        <v>2935.5078492120324</v>
      </c>
      <c r="N94" s="100">
        <v>5.369699520242408</v>
      </c>
      <c r="O94" s="100">
        <v>6404.9775877451439</v>
      </c>
      <c r="P94" s="100">
        <v>4.3164606142349236</v>
      </c>
      <c r="Q94" s="100">
        <v>5148.6742206594163</v>
      </c>
      <c r="R94" s="100">
        <v>6</v>
      </c>
      <c r="S94" s="100">
        <v>7156.7999999999993</v>
      </c>
      <c r="T94" s="100">
        <v>3.6928421131279299</v>
      </c>
      <c r="U94" s="100">
        <v>4404.8220725389947</v>
      </c>
      <c r="V94" s="100">
        <v>3.8862343776136905</v>
      </c>
      <c r="W94" s="100">
        <v>4635.5003656176095</v>
      </c>
      <c r="X94" s="100">
        <v>4.4390403019373972</v>
      </c>
      <c r="Y94" s="100">
        <v>5294.8872721509269</v>
      </c>
      <c r="Z94" s="100">
        <v>3</v>
      </c>
      <c r="AA94" s="100">
        <v>3578.3999999999996</v>
      </c>
      <c r="AB94" s="100">
        <v>4.804848851898945</v>
      </c>
      <c r="AC94" s="100">
        <v>5731.2237105450613</v>
      </c>
      <c r="AD94" s="100">
        <v>4.908777377552302</v>
      </c>
      <c r="AE94" s="100">
        <v>5855.1896559443858</v>
      </c>
      <c r="AF94" s="100">
        <v>5.1211123293243324</v>
      </c>
      <c r="AG94" s="100">
        <v>6108.4627864180638</v>
      </c>
      <c r="AH94" s="100">
        <v>0.35830148331158362</v>
      </c>
      <c r="AI94" s="100">
        <v>427.38200929405696</v>
      </c>
      <c r="AJ94" s="100">
        <v>5.8536585365853337</v>
      </c>
      <c r="AK94" s="100">
        <v>6982.243902438986</v>
      </c>
      <c r="AL94" s="100">
        <v>5</v>
      </c>
      <c r="AM94" s="100">
        <v>5964</v>
      </c>
      <c r="AN94" s="100">
        <v>7.1082078064872798</v>
      </c>
      <c r="AO94" s="100">
        <v>8478.6702715780266</v>
      </c>
      <c r="AP94" s="100">
        <v>6.8779875113295104</v>
      </c>
      <c r="AQ94" s="100">
        <v>8204.0635035138403</v>
      </c>
      <c r="AR94" s="100">
        <v>4.0994233809479406</v>
      </c>
      <c r="AS94" s="100">
        <v>4889.7922087947036</v>
      </c>
      <c r="AT94" s="100">
        <v>3.7924623964846842</v>
      </c>
      <c r="AU94" s="100">
        <v>4523.649146526931</v>
      </c>
      <c r="AV94" s="100">
        <v>4.5706769584559739</v>
      </c>
      <c r="AW94" s="100">
        <v>5451.9034760462855</v>
      </c>
      <c r="AX94" s="100">
        <v>0.41216441664341436</v>
      </c>
      <c r="AY94" s="100">
        <v>491.62971617226464</v>
      </c>
      <c r="AZ94" s="100">
        <v>6.3601608727810754</v>
      </c>
      <c r="BA94" s="100">
        <v>7586.3998890532666</v>
      </c>
      <c r="BB94" s="100">
        <v>5.1000977691616525</v>
      </c>
      <c r="BC94" s="100">
        <v>6083.3966190560186</v>
      </c>
      <c r="BD94" s="100">
        <v>4</v>
      </c>
      <c r="BE94" s="100">
        <v>4771.2</v>
      </c>
      <c r="BF94" s="100">
        <v>4</v>
      </c>
      <c r="BG94" s="100">
        <v>4771.2</v>
      </c>
      <c r="BH94" s="100">
        <v>7</v>
      </c>
      <c r="BI94" s="100">
        <v>8349.6</v>
      </c>
      <c r="BJ94" s="100">
        <v>7</v>
      </c>
      <c r="BK94" s="100">
        <v>8349.6</v>
      </c>
      <c r="BL94" s="100">
        <v>5</v>
      </c>
      <c r="BM94" s="100">
        <v>5964</v>
      </c>
      <c r="BN94" s="100">
        <v>6.3878558004040116</v>
      </c>
      <c r="BO94" s="100">
        <v>7619.4343987219045</v>
      </c>
      <c r="BP94" s="100">
        <v>4.2136232571503465</v>
      </c>
      <c r="BQ94" s="100">
        <v>5026.0098211289333</v>
      </c>
      <c r="BR94" s="100">
        <v>0.47656510674394781</v>
      </c>
      <c r="BS94" s="100">
        <v>568.44685932418088</v>
      </c>
      <c r="BT94" s="100">
        <v>5</v>
      </c>
      <c r="BU94" s="100">
        <v>5964</v>
      </c>
      <c r="BV94" s="100">
        <v>4</v>
      </c>
      <c r="BW94" s="100">
        <v>4771.2</v>
      </c>
      <c r="BX94" s="100">
        <v>5</v>
      </c>
      <c r="BY94" s="100">
        <v>5964</v>
      </c>
      <c r="BZ94" s="100">
        <v>4</v>
      </c>
      <c r="CA94" s="100">
        <v>4771.2</v>
      </c>
      <c r="CB94" s="100">
        <v>7</v>
      </c>
      <c r="CC94" s="100">
        <v>8349.6</v>
      </c>
      <c r="CD94" s="100">
        <v>6.0674346268608828</v>
      </c>
      <c r="CE94" s="100">
        <v>7237.2360229196611</v>
      </c>
      <c r="CF94" s="100">
        <v>5</v>
      </c>
      <c r="CG94" s="100">
        <v>5964</v>
      </c>
      <c r="CH94" s="100">
        <v>4.2775939994700946E-2</v>
      </c>
      <c r="CI94" s="100">
        <v>51.023141225679289</v>
      </c>
      <c r="CJ94" s="100">
        <v>6.6309050953414115</v>
      </c>
      <c r="CK94" s="100">
        <v>7909.3435977232357</v>
      </c>
      <c r="CL94" s="100">
        <v>4.7577775692910897</v>
      </c>
      <c r="CM94" s="100">
        <v>5675.077084650412</v>
      </c>
      <c r="CN94" s="100">
        <v>3.9950916049110443</v>
      </c>
      <c r="CO94" s="100">
        <v>4765.3452663378939</v>
      </c>
      <c r="CP94" s="100">
        <v>0.35424119432767315</v>
      </c>
      <c r="CQ94" s="100">
        <v>422.53889659404854</v>
      </c>
      <c r="CR94" s="100">
        <v>6</v>
      </c>
      <c r="CS94" s="100">
        <v>7156.7999999999993</v>
      </c>
      <c r="CT94" s="100">
        <v>7</v>
      </c>
      <c r="CU94" s="100">
        <v>8349.6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6.5954842466061407</v>
      </c>
      <c r="G95" s="100">
        <v>2168.595220284099</v>
      </c>
      <c r="H95" s="100">
        <v>4.5246993183816731</v>
      </c>
      <c r="I95" s="100">
        <v>1487.7211358838942</v>
      </c>
      <c r="J95" s="100">
        <v>8.4212924040476551</v>
      </c>
      <c r="K95" s="100">
        <v>2768.920942450869</v>
      </c>
      <c r="L95" s="100">
        <v>3.2813635694299492</v>
      </c>
      <c r="M95" s="100">
        <v>1078.9123416285674</v>
      </c>
      <c r="N95" s="100">
        <v>8.5545492803636112</v>
      </c>
      <c r="O95" s="100">
        <v>2812.7358033835553</v>
      </c>
      <c r="P95" s="100">
        <v>5.0358707166074099</v>
      </c>
      <c r="Q95" s="100">
        <v>1655.7942916205163</v>
      </c>
      <c r="R95" s="100">
        <v>8.2161237887558567</v>
      </c>
      <c r="S95" s="100">
        <v>2701.461501742926</v>
      </c>
      <c r="T95" s="100">
        <v>4.3221175742324487</v>
      </c>
      <c r="U95" s="100">
        <v>1421.1122584076293</v>
      </c>
      <c r="V95" s="100">
        <v>5.4926885171417323</v>
      </c>
      <c r="W95" s="100">
        <v>1805.9959844362018</v>
      </c>
      <c r="X95" s="100">
        <v>7.7779993328774832</v>
      </c>
      <c r="Y95" s="100">
        <v>2557.4061806501168</v>
      </c>
      <c r="Z95" s="100">
        <v>7</v>
      </c>
      <c r="AA95" s="100">
        <v>2301.6</v>
      </c>
      <c r="AB95" s="100">
        <v>7.1638025256802003</v>
      </c>
      <c r="AC95" s="100">
        <v>2355.4582704436498</v>
      </c>
      <c r="AD95" s="100">
        <v>6.7034118047058389</v>
      </c>
      <c r="AE95" s="100">
        <v>2204.0818013872799</v>
      </c>
      <c r="AF95" s="100">
        <v>7.0941984783633698</v>
      </c>
      <c r="AG95" s="100">
        <v>2332.5724596858759</v>
      </c>
      <c r="AH95" s="100">
        <v>0.55639364701647298</v>
      </c>
      <c r="AI95" s="100">
        <v>182.94223113901631</v>
      </c>
      <c r="AJ95" s="100">
        <v>5.8536585365853337</v>
      </c>
      <c r="AK95" s="100">
        <v>1924.6829268292579</v>
      </c>
      <c r="AL95" s="100">
        <v>7</v>
      </c>
      <c r="AM95" s="100">
        <v>2301.6</v>
      </c>
      <c r="AN95" s="100">
        <v>7</v>
      </c>
      <c r="AO95" s="100">
        <v>2301.6</v>
      </c>
      <c r="AP95" s="100">
        <v>7.3705725202424466</v>
      </c>
      <c r="AQ95" s="100">
        <v>2423.4442446557164</v>
      </c>
      <c r="AR95" s="100">
        <v>6.6375024542679624</v>
      </c>
      <c r="AS95" s="100">
        <v>2182.4108069633062</v>
      </c>
      <c r="AT95" s="100">
        <v>7.544363697819799</v>
      </c>
      <c r="AU95" s="100">
        <v>2480.58678384315</v>
      </c>
      <c r="AV95" s="100">
        <v>6.5214661520771635</v>
      </c>
      <c r="AW95" s="100">
        <v>2144.2580708029714</v>
      </c>
      <c r="AX95" s="100">
        <v>0.41216441664341436</v>
      </c>
      <c r="AY95" s="100">
        <v>135.51966019235465</v>
      </c>
      <c r="AZ95" s="100">
        <v>7</v>
      </c>
      <c r="BA95" s="100">
        <v>2301.6</v>
      </c>
      <c r="BB95" s="100">
        <v>7.6501466537424783</v>
      </c>
      <c r="BC95" s="100">
        <v>2515.3682197505268</v>
      </c>
      <c r="BD95" s="100">
        <v>12</v>
      </c>
      <c r="BE95" s="100">
        <v>3945.6000000000004</v>
      </c>
      <c r="BF95" s="100">
        <v>6</v>
      </c>
      <c r="BG95" s="100">
        <v>1972.8000000000002</v>
      </c>
      <c r="BH95" s="100">
        <v>7</v>
      </c>
      <c r="BI95" s="100">
        <v>2301.6</v>
      </c>
      <c r="BJ95" s="100">
        <v>8.1297984935959438</v>
      </c>
      <c r="BK95" s="100">
        <v>2673.0777446943466</v>
      </c>
      <c r="BL95" s="100">
        <v>6</v>
      </c>
      <c r="BM95" s="100">
        <v>1972.8000000000002</v>
      </c>
      <c r="BN95" s="100">
        <v>10.038059114920589</v>
      </c>
      <c r="BO95" s="100">
        <v>3300.5138369858896</v>
      </c>
      <c r="BP95" s="100">
        <v>7.2736943278137112</v>
      </c>
      <c r="BQ95" s="100">
        <v>2391.5906949851483</v>
      </c>
      <c r="BR95" s="100">
        <v>0.40848437720909814</v>
      </c>
      <c r="BS95" s="100">
        <v>134.30966322635146</v>
      </c>
      <c r="BT95" s="100">
        <v>7</v>
      </c>
      <c r="BU95" s="100">
        <v>2301.6</v>
      </c>
      <c r="BV95" s="100">
        <v>10</v>
      </c>
      <c r="BW95" s="100">
        <v>3288</v>
      </c>
      <c r="BX95" s="100">
        <v>7</v>
      </c>
      <c r="BY95" s="100">
        <v>2301.6</v>
      </c>
      <c r="BZ95" s="100">
        <v>10</v>
      </c>
      <c r="CA95" s="100">
        <v>3288</v>
      </c>
      <c r="CB95" s="100">
        <v>7</v>
      </c>
      <c r="CC95" s="100">
        <v>2301.6</v>
      </c>
      <c r="CD95" s="100">
        <v>10</v>
      </c>
      <c r="CE95" s="100">
        <v>3288</v>
      </c>
      <c r="CF95" s="100">
        <v>8</v>
      </c>
      <c r="CG95" s="100">
        <v>2630.4</v>
      </c>
      <c r="CH95" s="100">
        <v>8.5551879989401891E-2</v>
      </c>
      <c r="CI95" s="100">
        <v>28.129458140515343</v>
      </c>
      <c r="CJ95" s="100">
        <v>5.5067360058965305</v>
      </c>
      <c r="CK95" s="100">
        <v>1810.6147987387792</v>
      </c>
      <c r="CL95" s="100">
        <v>7.1366663539366346</v>
      </c>
      <c r="CM95" s="100">
        <v>2346.5358971743653</v>
      </c>
      <c r="CN95" s="100">
        <v>7.9345088074361509</v>
      </c>
      <c r="CO95" s="100">
        <v>2608.8664958850063</v>
      </c>
      <c r="CP95" s="100">
        <v>0.4250894331932078</v>
      </c>
      <c r="CQ95" s="100">
        <v>139.76940563392674</v>
      </c>
      <c r="CR95" s="100">
        <v>9</v>
      </c>
      <c r="CS95" s="100">
        <v>2959.2000000000003</v>
      </c>
      <c r="CT95" s="100">
        <v>9</v>
      </c>
      <c r="CU95" s="100">
        <v>2959.2000000000003</v>
      </c>
    </row>
    <row r="96" spans="2:99">
      <c r="C96" s="99" t="s">
        <v>262</v>
      </c>
      <c r="D96" s="100">
        <v>8</v>
      </c>
      <c r="E96" s="100">
        <v>5558.4</v>
      </c>
      <c r="F96" s="100">
        <v>5.4962368721717842</v>
      </c>
      <c r="G96" s="100">
        <v>3818.7853787849554</v>
      </c>
      <c r="H96" s="100">
        <v>4.9771692502198412</v>
      </c>
      <c r="I96" s="100">
        <v>3458.1371950527455</v>
      </c>
      <c r="J96" s="100">
        <v>7.6856830437240768</v>
      </c>
      <c r="K96" s="100">
        <v>5340.0125787794886</v>
      </c>
      <c r="L96" s="100">
        <v>3.2813635694299492</v>
      </c>
      <c r="M96" s="100">
        <v>2279.8914080399286</v>
      </c>
      <c r="N96" s="100">
        <v>8.600761720393912</v>
      </c>
      <c r="O96" s="100">
        <v>5975.8092433296897</v>
      </c>
      <c r="P96" s="100">
        <v>5.0358707166074099</v>
      </c>
      <c r="Q96" s="100">
        <v>3498.9229738988283</v>
      </c>
      <c r="R96" s="100">
        <v>8.2469986157209796</v>
      </c>
      <c r="S96" s="100">
        <v>5730.0146382029361</v>
      </c>
      <c r="T96" s="100">
        <v>4.3221175742324487</v>
      </c>
      <c r="U96" s="100">
        <v>3003.0072905767051</v>
      </c>
      <c r="V96" s="100">
        <v>4.6634812531364283</v>
      </c>
      <c r="W96" s="100">
        <v>3240.18677467919</v>
      </c>
      <c r="X96" s="100">
        <v>7.0709084844340762</v>
      </c>
      <c r="Y96" s="100">
        <v>4912.8672149847962</v>
      </c>
      <c r="Z96" s="100">
        <v>7</v>
      </c>
      <c r="AA96" s="100">
        <v>4863.5999999999995</v>
      </c>
      <c r="AB96" s="100">
        <v>7.8217781962534962</v>
      </c>
      <c r="AC96" s="100">
        <v>5434.5714907569291</v>
      </c>
      <c r="AD96" s="100">
        <v>6.9245596335797952</v>
      </c>
      <c r="AE96" s="100">
        <v>4811.1840334112412</v>
      </c>
      <c r="AF96" s="100">
        <v>7.0941984783633698</v>
      </c>
      <c r="AG96" s="100">
        <v>4929.0491027668686</v>
      </c>
      <c r="AH96" s="100">
        <v>0.48684444113941389</v>
      </c>
      <c r="AI96" s="100">
        <v>338.25951770366476</v>
      </c>
      <c r="AJ96" s="100">
        <v>5.8536585365853337</v>
      </c>
      <c r="AK96" s="100">
        <v>4067.1219512194898</v>
      </c>
      <c r="AL96" s="100">
        <v>6</v>
      </c>
      <c r="AM96" s="100">
        <v>4168.7999999999993</v>
      </c>
      <c r="AN96" s="100">
        <v>7</v>
      </c>
      <c r="AO96" s="100">
        <v>4863.5999999999995</v>
      </c>
      <c r="AP96" s="100">
        <v>5.8954178668538662</v>
      </c>
      <c r="AQ96" s="100">
        <v>4096.1363338900655</v>
      </c>
      <c r="AR96" s="100">
        <v>7.3012526996947589</v>
      </c>
      <c r="AS96" s="100">
        <v>5072.9103757479179</v>
      </c>
      <c r="AT96" s="100">
        <v>6.5708974142301431</v>
      </c>
      <c r="AU96" s="100">
        <v>4565.459523407103</v>
      </c>
      <c r="AV96" s="100">
        <v>7.8031567744847612</v>
      </c>
      <c r="AW96" s="100">
        <v>5421.6333269120114</v>
      </c>
      <c r="AX96" s="100">
        <v>0.47104504759247351</v>
      </c>
      <c r="AY96" s="100">
        <v>327.28209906725056</v>
      </c>
      <c r="AZ96" s="100">
        <v>7</v>
      </c>
      <c r="BA96" s="100">
        <v>4863.5999999999995</v>
      </c>
      <c r="BB96" s="100">
        <v>8.500162948602755</v>
      </c>
      <c r="BC96" s="100">
        <v>5905.9132166891941</v>
      </c>
      <c r="BD96" s="100">
        <v>11</v>
      </c>
      <c r="BE96" s="100">
        <v>7642.7999999999993</v>
      </c>
      <c r="BF96" s="100">
        <v>6</v>
      </c>
      <c r="BG96" s="100">
        <v>4168.7999999999993</v>
      </c>
      <c r="BH96" s="100">
        <v>7</v>
      </c>
      <c r="BI96" s="100">
        <v>4863.5999999999995</v>
      </c>
      <c r="BJ96" s="100">
        <v>8</v>
      </c>
      <c r="BK96" s="100">
        <v>5558.4</v>
      </c>
      <c r="BL96" s="100">
        <v>5</v>
      </c>
      <c r="BM96" s="100">
        <v>3474</v>
      </c>
      <c r="BN96" s="100">
        <v>10.950609943549736</v>
      </c>
      <c r="BO96" s="100">
        <v>7608.483788778356</v>
      </c>
      <c r="BP96" s="100">
        <v>7.2336357789339525</v>
      </c>
      <c r="BQ96" s="100">
        <v>5025.9301392033094</v>
      </c>
      <c r="BR96" s="100">
        <v>0.40848437720909814</v>
      </c>
      <c r="BS96" s="100">
        <v>283.81494528488139</v>
      </c>
      <c r="BT96" s="100">
        <v>7</v>
      </c>
      <c r="BU96" s="100">
        <v>4863.5999999999995</v>
      </c>
      <c r="BV96" s="100">
        <v>10</v>
      </c>
      <c r="BW96" s="100">
        <v>6948</v>
      </c>
      <c r="BX96" s="100">
        <v>7</v>
      </c>
      <c r="BY96" s="100">
        <v>4863.5999999999995</v>
      </c>
      <c r="BZ96" s="100">
        <v>10</v>
      </c>
      <c r="CA96" s="100">
        <v>6948</v>
      </c>
      <c r="CB96" s="100">
        <v>7</v>
      </c>
      <c r="CC96" s="100">
        <v>4863.5999999999995</v>
      </c>
      <c r="CD96" s="100">
        <v>9</v>
      </c>
      <c r="CE96" s="100">
        <v>6253.2</v>
      </c>
      <c r="CF96" s="100">
        <v>7</v>
      </c>
      <c r="CG96" s="100">
        <v>4863.5999999999995</v>
      </c>
      <c r="CH96" s="100">
        <v>7.1293233324501576E-2</v>
      </c>
      <c r="CI96" s="100">
        <v>49.534538513863694</v>
      </c>
      <c r="CJ96" s="100">
        <v>5.5067360058965305</v>
      </c>
      <c r="CK96" s="100">
        <v>3826.0801768969091</v>
      </c>
      <c r="CL96" s="100">
        <v>6.3437034257214533</v>
      </c>
      <c r="CM96" s="100">
        <v>4407.6051401912655</v>
      </c>
      <c r="CN96" s="100">
        <v>6.6254937697341489</v>
      </c>
      <c r="CO96" s="100">
        <v>4603.393071211286</v>
      </c>
      <c r="CP96" s="100">
        <v>0.4250894331932078</v>
      </c>
      <c r="CQ96" s="100">
        <v>295.35213818264077</v>
      </c>
      <c r="CR96" s="100">
        <v>9</v>
      </c>
      <c r="CS96" s="100">
        <v>6253.2</v>
      </c>
      <c r="CT96" s="100">
        <v>10</v>
      </c>
      <c r="CU96" s="100">
        <v>6948</v>
      </c>
    </row>
    <row r="97" spans="2:99">
      <c r="C97" s="99" t="s">
        <v>263</v>
      </c>
      <c r="D97" s="100">
        <v>8</v>
      </c>
      <c r="E97" s="100">
        <v>3139.2</v>
      </c>
      <c r="F97" s="100">
        <v>5.6451079338233194</v>
      </c>
      <c r="G97" s="100">
        <v>2215.1403532322706</v>
      </c>
      <c r="H97" s="100">
        <v>4.9771692502198412</v>
      </c>
      <c r="I97" s="100">
        <v>1953.0412137862656</v>
      </c>
      <c r="J97" s="100">
        <v>7.6856830437240768</v>
      </c>
      <c r="K97" s="100">
        <v>3015.8620263573275</v>
      </c>
      <c r="L97" s="100">
        <v>3.6915340156086933</v>
      </c>
      <c r="M97" s="100">
        <v>1448.5579477248511</v>
      </c>
      <c r="N97" s="100">
        <v>8.600761720393912</v>
      </c>
      <c r="O97" s="100">
        <v>3374.938899082571</v>
      </c>
      <c r="P97" s="100">
        <v>5.0358707166074099</v>
      </c>
      <c r="Q97" s="100">
        <v>1976.0756691967476</v>
      </c>
      <c r="R97" s="100">
        <v>8.2469986157209796</v>
      </c>
      <c r="S97" s="100">
        <v>3236.1222568089124</v>
      </c>
      <c r="T97" s="100">
        <v>4.9237894841705723</v>
      </c>
      <c r="U97" s="100">
        <v>1932.0949935885324</v>
      </c>
      <c r="V97" s="100">
        <v>4.6634812531364283</v>
      </c>
      <c r="W97" s="100">
        <v>1829.9500437307343</v>
      </c>
      <c r="X97" s="100">
        <v>7.7779993328774832</v>
      </c>
      <c r="Y97" s="100">
        <v>3052.0869382211245</v>
      </c>
      <c r="Z97" s="100">
        <v>7</v>
      </c>
      <c r="AA97" s="100">
        <v>2746.7999999999997</v>
      </c>
      <c r="AB97" s="100">
        <v>7.0396003766281465</v>
      </c>
      <c r="AC97" s="100">
        <v>2762.3391877888844</v>
      </c>
      <c r="AD97" s="100">
        <v>6.7034118047058389</v>
      </c>
      <c r="AE97" s="100">
        <v>2630.4187921665712</v>
      </c>
      <c r="AF97" s="100">
        <v>6.0941984783633698</v>
      </c>
      <c r="AG97" s="100">
        <v>2391.3634829097864</v>
      </c>
      <c r="AH97" s="100">
        <v>0.48684444113941389</v>
      </c>
      <c r="AI97" s="100">
        <v>191.03775870310599</v>
      </c>
      <c r="AJ97" s="100">
        <v>6.8292682926828894</v>
      </c>
      <c r="AK97" s="100">
        <v>2679.8048780487657</v>
      </c>
      <c r="AL97" s="100">
        <v>7</v>
      </c>
      <c r="AM97" s="100">
        <v>2746.7999999999997</v>
      </c>
      <c r="AN97" s="100">
        <v>7</v>
      </c>
      <c r="AO97" s="100">
        <v>2746.7999999999997</v>
      </c>
      <c r="AP97" s="100">
        <v>5.8954178668538662</v>
      </c>
      <c r="AQ97" s="100">
        <v>2313.3619709534569</v>
      </c>
      <c r="AR97" s="100">
        <v>6.6375024542679624</v>
      </c>
      <c r="AS97" s="100">
        <v>2604.5559630547482</v>
      </c>
      <c r="AT97" s="100">
        <v>8.0310968396146194</v>
      </c>
      <c r="AU97" s="100">
        <v>3151.4023998647763</v>
      </c>
      <c r="AV97" s="100">
        <v>7.1654507143931614</v>
      </c>
      <c r="AW97" s="100">
        <v>2811.7228603278763</v>
      </c>
      <c r="AX97" s="100">
        <v>0.47104504759247351</v>
      </c>
      <c r="AY97" s="100">
        <v>184.8380766752866</v>
      </c>
      <c r="AZ97" s="100">
        <v>7</v>
      </c>
      <c r="BA97" s="100">
        <v>2746.7999999999997</v>
      </c>
      <c r="BB97" s="100">
        <v>9.35017924346303</v>
      </c>
      <c r="BC97" s="100">
        <v>3669.0103351348926</v>
      </c>
      <c r="BD97" s="100">
        <v>12</v>
      </c>
      <c r="BE97" s="100">
        <v>4708.7999999999993</v>
      </c>
      <c r="BF97" s="100">
        <v>6</v>
      </c>
      <c r="BG97" s="100">
        <v>2354.3999999999996</v>
      </c>
      <c r="BH97" s="100">
        <v>8</v>
      </c>
      <c r="BI97" s="100">
        <v>3139.2</v>
      </c>
      <c r="BJ97" s="100">
        <v>9</v>
      </c>
      <c r="BK97" s="100">
        <v>3531.6</v>
      </c>
      <c r="BL97" s="100">
        <v>6</v>
      </c>
      <c r="BM97" s="100">
        <v>2354.3999999999996</v>
      </c>
      <c r="BN97" s="100">
        <v>9.1255082862914456</v>
      </c>
      <c r="BO97" s="100">
        <v>3580.8494515407629</v>
      </c>
      <c r="BP97" s="100">
        <v>7.2336357789339525</v>
      </c>
      <c r="BQ97" s="100">
        <v>2838.4786796536828</v>
      </c>
      <c r="BR97" s="100">
        <v>0.40848437720909814</v>
      </c>
      <c r="BS97" s="100">
        <v>160.28926961685011</v>
      </c>
      <c r="BT97" s="100">
        <v>7</v>
      </c>
      <c r="BU97" s="100">
        <v>2746.7999999999997</v>
      </c>
      <c r="BV97" s="100">
        <v>10</v>
      </c>
      <c r="BW97" s="100">
        <v>3924</v>
      </c>
      <c r="BX97" s="100">
        <v>8</v>
      </c>
      <c r="BY97" s="100">
        <v>3139.2</v>
      </c>
      <c r="BZ97" s="100">
        <v>10</v>
      </c>
      <c r="CA97" s="100">
        <v>3924</v>
      </c>
      <c r="CB97" s="100">
        <v>7</v>
      </c>
      <c r="CC97" s="100">
        <v>2746.7999999999997</v>
      </c>
      <c r="CD97" s="100">
        <v>9</v>
      </c>
      <c r="CE97" s="100">
        <v>3531.6</v>
      </c>
      <c r="CF97" s="100">
        <v>7</v>
      </c>
      <c r="CG97" s="100">
        <v>2746.7999999999997</v>
      </c>
      <c r="CH97" s="100">
        <v>7.8422556656951734E-2</v>
      </c>
      <c r="CI97" s="100">
        <v>30.773011232187859</v>
      </c>
      <c r="CJ97" s="100">
        <v>5.5067360058965305</v>
      </c>
      <c r="CK97" s="100">
        <v>2160.8432087137985</v>
      </c>
      <c r="CL97" s="100">
        <v>7.1366663539366346</v>
      </c>
      <c r="CM97" s="100">
        <v>2800.4278772847351</v>
      </c>
      <c r="CN97" s="100">
        <v>7.2800012885851499</v>
      </c>
      <c r="CO97" s="100">
        <v>2856.6725056408127</v>
      </c>
      <c r="CP97" s="100">
        <v>0.4250894331932078</v>
      </c>
      <c r="CQ97" s="100">
        <v>166.80509358501473</v>
      </c>
      <c r="CR97" s="100">
        <v>9</v>
      </c>
      <c r="CS97" s="100">
        <v>3531.6</v>
      </c>
      <c r="CT97" s="100">
        <v>10</v>
      </c>
      <c r="CU97" s="100">
        <v>3924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5.5954842466061407</v>
      </c>
      <c r="G98" s="100">
        <v>2940.9865200161876</v>
      </c>
      <c r="H98" s="100">
        <v>4.5246993183816731</v>
      </c>
      <c r="I98" s="100">
        <v>2378.1819617414076</v>
      </c>
      <c r="J98" s="100">
        <v>7.6856830437240768</v>
      </c>
      <c r="K98" s="100">
        <v>4039.595007781375</v>
      </c>
      <c r="L98" s="100">
        <v>3.6915340156086933</v>
      </c>
      <c r="M98" s="100">
        <v>1940.2702786039292</v>
      </c>
      <c r="N98" s="100">
        <v>8.5545492803636112</v>
      </c>
      <c r="O98" s="100">
        <v>4496.2711017591146</v>
      </c>
      <c r="P98" s="100">
        <v>5.7552808189798981</v>
      </c>
      <c r="Q98" s="100">
        <v>3024.9755984558346</v>
      </c>
      <c r="R98" s="100">
        <v>7.2161237887558567</v>
      </c>
      <c r="S98" s="100">
        <v>3792.7946633700785</v>
      </c>
      <c r="T98" s="100">
        <v>4.9513930353369657</v>
      </c>
      <c r="U98" s="100">
        <v>2602.4521793731092</v>
      </c>
      <c r="V98" s="100">
        <v>5.4407281286591669</v>
      </c>
      <c r="W98" s="100">
        <v>2859.6467044232581</v>
      </c>
      <c r="X98" s="100">
        <v>7.0709084844340762</v>
      </c>
      <c r="Y98" s="100">
        <v>3716.4694994185506</v>
      </c>
      <c r="Z98" s="100">
        <v>7</v>
      </c>
      <c r="AA98" s="100">
        <v>3679.2000000000003</v>
      </c>
      <c r="AB98" s="100">
        <v>7.0396003766281465</v>
      </c>
      <c r="AC98" s="100">
        <v>3700.013957955754</v>
      </c>
      <c r="AD98" s="100">
        <v>6.7034118047058389</v>
      </c>
      <c r="AE98" s="100">
        <v>3523.3132445533893</v>
      </c>
      <c r="AF98" s="100">
        <v>6.0941984783633698</v>
      </c>
      <c r="AG98" s="100">
        <v>3203.1107202277872</v>
      </c>
      <c r="AH98" s="100">
        <v>0.48684444113941389</v>
      </c>
      <c r="AI98" s="100">
        <v>255.88543826287594</v>
      </c>
      <c r="AJ98" s="100">
        <v>5.8536585365853337</v>
      </c>
      <c r="AK98" s="100">
        <v>3076.6829268292518</v>
      </c>
      <c r="AL98" s="100">
        <v>7</v>
      </c>
      <c r="AM98" s="100">
        <v>3679.2000000000003</v>
      </c>
      <c r="AN98" s="100">
        <v>7</v>
      </c>
      <c r="AO98" s="100">
        <v>3679.2000000000003</v>
      </c>
      <c r="AP98" s="100">
        <v>5.8954178668538662</v>
      </c>
      <c r="AQ98" s="100">
        <v>3098.6316308183923</v>
      </c>
      <c r="AR98" s="100">
        <v>7.9650029451215554</v>
      </c>
      <c r="AS98" s="100">
        <v>4186.4055479558901</v>
      </c>
      <c r="AT98" s="100">
        <v>7.3009971269223808</v>
      </c>
      <c r="AU98" s="100">
        <v>3837.4040899104034</v>
      </c>
      <c r="AV98" s="100">
        <v>7.8031567744847612</v>
      </c>
      <c r="AW98" s="100">
        <v>4101.3392006691911</v>
      </c>
      <c r="AX98" s="100">
        <v>0.41216441664341436</v>
      </c>
      <c r="AY98" s="100">
        <v>216.6336173877786</v>
      </c>
      <c r="AZ98" s="100">
        <v>7.3601608727810754</v>
      </c>
      <c r="BA98" s="100">
        <v>3868.5005547337332</v>
      </c>
      <c r="BB98" s="100">
        <v>7.6501466537424783</v>
      </c>
      <c r="BC98" s="100">
        <v>4020.917081207047</v>
      </c>
      <c r="BD98" s="100">
        <v>12</v>
      </c>
      <c r="BE98" s="100">
        <v>6307.2000000000007</v>
      </c>
      <c r="BF98" s="100">
        <v>7</v>
      </c>
      <c r="BG98" s="100">
        <v>3679.2000000000003</v>
      </c>
      <c r="BH98" s="100">
        <v>7</v>
      </c>
      <c r="BI98" s="100">
        <v>3679.2000000000003</v>
      </c>
      <c r="BJ98" s="100">
        <v>8</v>
      </c>
      <c r="BK98" s="100">
        <v>4204.8</v>
      </c>
      <c r="BL98" s="100">
        <v>6</v>
      </c>
      <c r="BM98" s="100">
        <v>3153.6000000000004</v>
      </c>
      <c r="BN98" s="100">
        <v>9.1255082862914456</v>
      </c>
      <c r="BO98" s="100">
        <v>4796.3671552747837</v>
      </c>
      <c r="BP98" s="100">
        <v>7.2336357789339525</v>
      </c>
      <c r="BQ98" s="100">
        <v>3801.9989654076858</v>
      </c>
      <c r="BR98" s="100">
        <v>0.40848437720909814</v>
      </c>
      <c r="BS98" s="100">
        <v>214.69938866110198</v>
      </c>
      <c r="BT98" s="100">
        <v>7</v>
      </c>
      <c r="BU98" s="100">
        <v>3679.2000000000003</v>
      </c>
      <c r="BV98" s="100">
        <v>9</v>
      </c>
      <c r="BW98" s="100">
        <v>4730.4000000000005</v>
      </c>
      <c r="BX98" s="100">
        <v>8</v>
      </c>
      <c r="BY98" s="100">
        <v>4204.8</v>
      </c>
      <c r="BZ98" s="100">
        <v>10</v>
      </c>
      <c r="CA98" s="100">
        <v>5256</v>
      </c>
      <c r="CB98" s="100">
        <v>7</v>
      </c>
      <c r="CC98" s="100">
        <v>3679.2000000000003</v>
      </c>
      <c r="CD98" s="100">
        <v>11</v>
      </c>
      <c r="CE98" s="100">
        <v>5781.6</v>
      </c>
      <c r="CF98" s="100">
        <v>7</v>
      </c>
      <c r="CG98" s="100">
        <v>3679.2000000000003</v>
      </c>
      <c r="CH98" s="100">
        <v>8.5551879989401891E-2</v>
      </c>
      <c r="CI98" s="100">
        <v>44.966068122429633</v>
      </c>
      <c r="CJ98" s="100">
        <v>5.5067360058965305</v>
      </c>
      <c r="CK98" s="100">
        <v>2894.3404446992167</v>
      </c>
      <c r="CL98" s="100">
        <v>6.3437034257214533</v>
      </c>
      <c r="CM98" s="100">
        <v>3334.250520559196</v>
      </c>
      <c r="CN98" s="100">
        <v>7.2676291991660529</v>
      </c>
      <c r="CO98" s="100">
        <v>3819.8659070816775</v>
      </c>
      <c r="CP98" s="100">
        <v>0.4959376720587424</v>
      </c>
      <c r="CQ98" s="100">
        <v>260.66484043407502</v>
      </c>
      <c r="CR98" s="100">
        <v>8</v>
      </c>
      <c r="CS98" s="100">
        <v>4204.8</v>
      </c>
      <c r="CT98" s="100">
        <v>9</v>
      </c>
      <c r="CU98" s="100">
        <v>4730.4000000000005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4</v>
      </c>
      <c r="G99" s="100">
        <v>16833.599999999999</v>
      </c>
      <c r="H99" s="100">
        <v>4.5246993183816731</v>
      </c>
      <c r="I99" s="100">
        <v>19041.744611477432</v>
      </c>
      <c r="J99" s="100">
        <v>6.1412222251906323</v>
      </c>
      <c r="K99" s="100">
        <v>25844.719612492256</v>
      </c>
      <c r="L99" s="100">
        <v>2.871193123251206</v>
      </c>
      <c r="M99" s="100">
        <v>12083.129139890374</v>
      </c>
      <c r="N99" s="100">
        <v>7.4159119602727088</v>
      </c>
      <c r="O99" s="100">
        <v>31209.123893611664</v>
      </c>
      <c r="P99" s="100">
        <v>4.3164606142349236</v>
      </c>
      <c r="Q99" s="100">
        <v>18165.392848946252</v>
      </c>
      <c r="R99" s="100">
        <v>6.1852489617907338</v>
      </c>
      <c r="S99" s="100">
        <v>26030.001730800122</v>
      </c>
      <c r="T99" s="100">
        <v>3.6928421131279299</v>
      </c>
      <c r="U99" s="100">
        <v>15540.956748887578</v>
      </c>
      <c r="V99" s="100">
        <v>3.8862343776136905</v>
      </c>
      <c r="W99" s="100">
        <v>16354.828754749453</v>
      </c>
      <c r="X99" s="100">
        <v>5.6567267875472611</v>
      </c>
      <c r="Y99" s="100">
        <v>23805.769012713892</v>
      </c>
      <c r="Z99" s="100">
        <v>6</v>
      </c>
      <c r="AA99" s="100">
        <v>25250.399999999998</v>
      </c>
      <c r="AB99" s="100">
        <v>5.4752447373774471</v>
      </c>
      <c r="AC99" s="100">
        <v>23042.019952779247</v>
      </c>
      <c r="AD99" s="100">
        <v>4.7881512890755991</v>
      </c>
      <c r="AE99" s="100">
        <v>20150.45588494575</v>
      </c>
      <c r="AF99" s="100">
        <v>5.0807415528828876</v>
      </c>
      <c r="AG99" s="100">
        <v>21381.792751152341</v>
      </c>
      <c r="AH99" s="100">
        <v>0.41729523526235474</v>
      </c>
      <c r="AI99" s="100">
        <v>1756.1452680780935</v>
      </c>
      <c r="AJ99" s="100">
        <v>5.8536585365853337</v>
      </c>
      <c r="AK99" s="100">
        <v>24634.536585365717</v>
      </c>
      <c r="AL99" s="100">
        <v>6</v>
      </c>
      <c r="AM99" s="100">
        <v>25250.399999999998</v>
      </c>
      <c r="AN99" s="100">
        <v>6</v>
      </c>
      <c r="AO99" s="100">
        <v>25250.399999999998</v>
      </c>
      <c r="AP99" s="100">
        <v>5.2538686131641015</v>
      </c>
      <c r="AQ99" s="100">
        <v>22110.380671639803</v>
      </c>
      <c r="AR99" s="100">
        <v>5.9737522088411668</v>
      </c>
      <c r="AS99" s="100">
        <v>25139.938795687165</v>
      </c>
      <c r="AT99" s="100">
        <v>6.5708974142301431</v>
      </c>
      <c r="AU99" s="100">
        <v>27652.964678046133</v>
      </c>
      <c r="AV99" s="100">
        <v>5.8586460830879696</v>
      </c>
      <c r="AW99" s="100">
        <v>24655.526176067408</v>
      </c>
      <c r="AX99" s="100">
        <v>0.35328378569435515</v>
      </c>
      <c r="AY99" s="100">
        <v>1486.7594837161241</v>
      </c>
      <c r="AZ99" s="100">
        <v>6.2881286982248605</v>
      </c>
      <c r="BA99" s="100">
        <v>26462.960813609501</v>
      </c>
      <c r="BB99" s="100">
        <v>6.8001303588822033</v>
      </c>
      <c r="BC99" s="100">
        <v>28617.668602319864</v>
      </c>
      <c r="BD99" s="100">
        <v>10</v>
      </c>
      <c r="BE99" s="100">
        <v>42084</v>
      </c>
      <c r="BF99" s="100">
        <v>5</v>
      </c>
      <c r="BG99" s="100">
        <v>21042</v>
      </c>
      <c r="BH99" s="100">
        <v>6</v>
      </c>
      <c r="BI99" s="100">
        <v>25250.399999999998</v>
      </c>
      <c r="BJ99" s="100">
        <v>7</v>
      </c>
      <c r="BK99" s="100">
        <v>29458.799999999996</v>
      </c>
      <c r="BL99" s="100">
        <v>5</v>
      </c>
      <c r="BM99" s="100">
        <v>21042</v>
      </c>
      <c r="BN99" s="100">
        <v>8.2129574576623003</v>
      </c>
      <c r="BO99" s="100">
        <v>34563.410164826018</v>
      </c>
      <c r="BP99" s="100">
        <v>6.2002592390862459</v>
      </c>
      <c r="BQ99" s="100">
        <v>26093.170981770556</v>
      </c>
      <c r="BR99" s="100">
        <v>0.34040364767424841</v>
      </c>
      <c r="BS99" s="100">
        <v>1432.5547108723069</v>
      </c>
      <c r="BT99" s="100">
        <v>5</v>
      </c>
      <c r="BU99" s="100">
        <v>21042</v>
      </c>
      <c r="BV99" s="100">
        <v>8</v>
      </c>
      <c r="BW99" s="100">
        <v>33667.199999999997</v>
      </c>
      <c r="BX99" s="100">
        <v>7</v>
      </c>
      <c r="BY99" s="100">
        <v>29458.799999999996</v>
      </c>
      <c r="BZ99" s="100">
        <v>8</v>
      </c>
      <c r="CA99" s="100">
        <v>33667.199999999997</v>
      </c>
      <c r="CB99" s="100">
        <v>6</v>
      </c>
      <c r="CC99" s="100">
        <v>25250.399999999998</v>
      </c>
      <c r="CD99" s="100">
        <v>8</v>
      </c>
      <c r="CE99" s="100">
        <v>33667.199999999997</v>
      </c>
      <c r="CF99" s="100">
        <v>6</v>
      </c>
      <c r="CG99" s="100">
        <v>25250.399999999998</v>
      </c>
      <c r="CH99" s="100">
        <v>6.4163909992051418E-2</v>
      </c>
      <c r="CI99" s="100">
        <v>270.02739881054919</v>
      </c>
      <c r="CJ99" s="100">
        <v>4.5889466715804419</v>
      </c>
      <c r="CK99" s="100">
        <v>19312.12317267913</v>
      </c>
      <c r="CL99" s="100">
        <v>5.550740497506272</v>
      </c>
      <c r="CM99" s="100">
        <v>23359.736309705393</v>
      </c>
      <c r="CN99" s="100">
        <v>5.9586141614640491</v>
      </c>
      <c r="CO99" s="100">
        <v>25076.231837105301</v>
      </c>
      <c r="CP99" s="100">
        <v>0.35424119432767315</v>
      </c>
      <c r="CQ99" s="100">
        <v>1490.7886422085796</v>
      </c>
      <c r="CR99" s="100">
        <v>7</v>
      </c>
      <c r="CS99" s="100">
        <v>29458.799999999996</v>
      </c>
      <c r="CT99" s="100">
        <v>9</v>
      </c>
      <c r="CU99" s="100">
        <v>37875.599999999999</v>
      </c>
    </row>
    <row r="100" spans="2:99">
      <c r="C100" s="99" t="s">
        <v>266</v>
      </c>
      <c r="D100" s="100">
        <v>8</v>
      </c>
      <c r="E100" s="100">
        <v>2592</v>
      </c>
      <c r="F100" s="100">
        <v>5.5954842466061407</v>
      </c>
      <c r="G100" s="100">
        <v>1812.9368959003896</v>
      </c>
      <c r="H100" s="100">
        <v>5.4296391820580086</v>
      </c>
      <c r="I100" s="100">
        <v>1759.2030949867947</v>
      </c>
      <c r="J100" s="100">
        <v>8.3846713551045085</v>
      </c>
      <c r="K100" s="100">
        <v>2716.6335190538607</v>
      </c>
      <c r="L100" s="100">
        <v>3.2813635694299492</v>
      </c>
      <c r="M100" s="100">
        <v>1063.1617964953036</v>
      </c>
      <c r="N100" s="100">
        <v>8.600761720393912</v>
      </c>
      <c r="O100" s="100">
        <v>2786.6467974076277</v>
      </c>
      <c r="P100" s="100">
        <v>5.0358707166074099</v>
      </c>
      <c r="Q100" s="100">
        <v>1631.6221121808007</v>
      </c>
      <c r="R100" s="100">
        <v>8.2469986157209796</v>
      </c>
      <c r="S100" s="100">
        <v>2672.0275514935975</v>
      </c>
      <c r="T100" s="100">
        <v>4.9513930353369657</v>
      </c>
      <c r="U100" s="100">
        <v>1604.2513434491768</v>
      </c>
      <c r="V100" s="100">
        <v>5.4407281286591669</v>
      </c>
      <c r="W100" s="100">
        <v>1762.79591368557</v>
      </c>
      <c r="X100" s="100">
        <v>7.0709084844340762</v>
      </c>
      <c r="Y100" s="100">
        <v>2290.9743489566408</v>
      </c>
      <c r="Z100" s="100">
        <v>7</v>
      </c>
      <c r="AA100" s="100">
        <v>2268</v>
      </c>
      <c r="AB100" s="100">
        <v>7.8217781962534962</v>
      </c>
      <c r="AC100" s="100">
        <v>2534.2561355861326</v>
      </c>
      <c r="AD100" s="100">
        <v>5.7457815468907185</v>
      </c>
      <c r="AE100" s="100">
        <v>1861.6332211925928</v>
      </c>
      <c r="AF100" s="100">
        <v>7.1076554038438511</v>
      </c>
      <c r="AG100" s="100">
        <v>2302.880350845408</v>
      </c>
      <c r="AH100" s="100">
        <v>0.55639364701647298</v>
      </c>
      <c r="AI100" s="100">
        <v>180.27154163333725</v>
      </c>
      <c r="AJ100" s="100">
        <v>5.8536585365853337</v>
      </c>
      <c r="AK100" s="100">
        <v>1896.5853658536482</v>
      </c>
      <c r="AL100" s="100">
        <v>8</v>
      </c>
      <c r="AM100" s="100">
        <v>2592</v>
      </c>
      <c r="AN100" s="100">
        <v>7</v>
      </c>
      <c r="AO100" s="100">
        <v>2268</v>
      </c>
      <c r="AP100" s="100">
        <v>6.8779875113295104</v>
      </c>
      <c r="AQ100" s="100">
        <v>2228.4679536707613</v>
      </c>
      <c r="AR100" s="100">
        <v>7.9650029451215554</v>
      </c>
      <c r="AS100" s="100">
        <v>2580.6609542193842</v>
      </c>
      <c r="AT100" s="100">
        <v>8.2541828629372507</v>
      </c>
      <c r="AU100" s="100">
        <v>2674.355247591669</v>
      </c>
      <c r="AV100" s="100">
        <v>7.1654507143931614</v>
      </c>
      <c r="AW100" s="100">
        <v>2321.6060314633842</v>
      </c>
      <c r="AX100" s="100">
        <v>0.41216441664341436</v>
      </c>
      <c r="AY100" s="100">
        <v>133.54127099246625</v>
      </c>
      <c r="AZ100" s="100">
        <v>7</v>
      </c>
      <c r="BA100" s="100">
        <v>2268</v>
      </c>
      <c r="BB100" s="100">
        <v>8.500162948602755</v>
      </c>
      <c r="BC100" s="100">
        <v>2754.0527953472924</v>
      </c>
      <c r="BD100" s="100">
        <v>10</v>
      </c>
      <c r="BE100" s="100">
        <v>3240</v>
      </c>
      <c r="BF100" s="100">
        <v>7</v>
      </c>
      <c r="BG100" s="100">
        <v>2268</v>
      </c>
      <c r="BH100" s="100">
        <v>8</v>
      </c>
      <c r="BI100" s="100">
        <v>2592</v>
      </c>
      <c r="BJ100" s="100">
        <v>9</v>
      </c>
      <c r="BK100" s="100">
        <v>2916</v>
      </c>
      <c r="BL100" s="100">
        <v>6</v>
      </c>
      <c r="BM100" s="100">
        <v>1944</v>
      </c>
      <c r="BN100" s="100">
        <v>10.950609943549736</v>
      </c>
      <c r="BO100" s="100">
        <v>3547.9976217101143</v>
      </c>
      <c r="BP100" s="100">
        <v>8.226953769901904</v>
      </c>
      <c r="BQ100" s="100">
        <v>2665.5330214482169</v>
      </c>
      <c r="BR100" s="100">
        <v>0.40848437720909814</v>
      </c>
      <c r="BS100" s="100">
        <v>132.34893821574781</v>
      </c>
      <c r="BT100" s="100">
        <v>7</v>
      </c>
      <c r="BU100" s="100">
        <v>2268</v>
      </c>
      <c r="BV100" s="100">
        <v>11</v>
      </c>
      <c r="BW100" s="100">
        <v>3564</v>
      </c>
      <c r="BX100" s="100">
        <v>7</v>
      </c>
      <c r="BY100" s="100">
        <v>2268</v>
      </c>
      <c r="BZ100" s="100">
        <v>10</v>
      </c>
      <c r="CA100" s="100">
        <v>3240</v>
      </c>
      <c r="CB100" s="100">
        <v>6</v>
      </c>
      <c r="CC100" s="100">
        <v>1944</v>
      </c>
      <c r="CD100" s="100">
        <v>11</v>
      </c>
      <c r="CE100" s="100">
        <v>3564</v>
      </c>
      <c r="CF100" s="100">
        <v>8</v>
      </c>
      <c r="CG100" s="100">
        <v>2592</v>
      </c>
      <c r="CH100" s="100">
        <v>7.8422556656951734E-2</v>
      </c>
      <c r="CI100" s="100">
        <v>25.408908356852361</v>
      </c>
      <c r="CJ100" s="100">
        <v>5.5067360058965305</v>
      </c>
      <c r="CK100" s="100">
        <v>1784.1824659104759</v>
      </c>
      <c r="CL100" s="100">
        <v>6.3437034257214533</v>
      </c>
      <c r="CM100" s="100">
        <v>2055.3599099337507</v>
      </c>
      <c r="CN100" s="100">
        <v>7.2800012885851499</v>
      </c>
      <c r="CO100" s="100">
        <v>2358.7204175015886</v>
      </c>
      <c r="CP100" s="100">
        <v>0.4250894331932078</v>
      </c>
      <c r="CQ100" s="100">
        <v>137.72897635459933</v>
      </c>
      <c r="CR100" s="100">
        <v>9</v>
      </c>
      <c r="CS100" s="100">
        <v>2916</v>
      </c>
      <c r="CT100" s="100">
        <v>10</v>
      </c>
      <c r="CU100" s="100">
        <v>3240</v>
      </c>
    </row>
    <row r="101" spans="2:99">
      <c r="C101" s="99" t="s">
        <v>267</v>
      </c>
      <c r="D101" s="100">
        <v>8</v>
      </c>
      <c r="E101" s="100">
        <v>5788.8</v>
      </c>
      <c r="F101" s="100">
        <v>6.5458605593889629</v>
      </c>
      <c r="G101" s="100">
        <v>4736.5847007738539</v>
      </c>
      <c r="H101" s="100">
        <v>4.9771692502198412</v>
      </c>
      <c r="I101" s="100">
        <v>3601.4796694590773</v>
      </c>
      <c r="J101" s="100">
        <v>6.9134526344573555</v>
      </c>
      <c r="K101" s="100">
        <v>5002.5743262933429</v>
      </c>
      <c r="L101" s="100">
        <v>2.871193123251206</v>
      </c>
      <c r="M101" s="100">
        <v>2077.5953439845725</v>
      </c>
      <c r="N101" s="100">
        <v>8.5545492803636112</v>
      </c>
      <c r="O101" s="100">
        <v>6190.0718592711091</v>
      </c>
      <c r="P101" s="100">
        <v>5.0358707166074099</v>
      </c>
      <c r="Q101" s="100">
        <v>3643.9560505371219</v>
      </c>
      <c r="R101" s="100">
        <v>8.2161237887558567</v>
      </c>
      <c r="S101" s="100">
        <v>5945.187173543738</v>
      </c>
      <c r="T101" s="100">
        <v>4.3773246765652347</v>
      </c>
      <c r="U101" s="100">
        <v>3167.4321359626038</v>
      </c>
      <c r="V101" s="100">
        <v>5.4407281286591669</v>
      </c>
      <c r="W101" s="100">
        <v>3936.9108738977734</v>
      </c>
      <c r="X101" s="100">
        <v>7.0709084844340762</v>
      </c>
      <c r="Y101" s="100">
        <v>5116.5093793364977</v>
      </c>
      <c r="Z101" s="100">
        <v>6</v>
      </c>
      <c r="AA101" s="100">
        <v>4341.6000000000004</v>
      </c>
      <c r="AB101" s="100">
        <v>6.3816247060548505</v>
      </c>
      <c r="AC101" s="100">
        <v>4617.7436373012897</v>
      </c>
      <c r="AD101" s="100">
        <v>5.9669293757646749</v>
      </c>
      <c r="AE101" s="100">
        <v>4317.670096303319</v>
      </c>
      <c r="AF101" s="100">
        <v>7.1076554038438511</v>
      </c>
      <c r="AG101" s="100">
        <v>5143.0994502214107</v>
      </c>
      <c r="AH101" s="100">
        <v>0.48684444113941389</v>
      </c>
      <c r="AI101" s="100">
        <v>352.28063760847988</v>
      </c>
      <c r="AJ101" s="100">
        <v>6.8292682926828894</v>
      </c>
      <c r="AK101" s="100">
        <v>4941.6585365853389</v>
      </c>
      <c r="AL101" s="100">
        <v>7</v>
      </c>
      <c r="AM101" s="100">
        <v>5065.2</v>
      </c>
      <c r="AN101" s="100">
        <v>7</v>
      </c>
      <c r="AO101" s="100">
        <v>5065.2</v>
      </c>
      <c r="AP101" s="100">
        <v>6.3501117212350389</v>
      </c>
      <c r="AQ101" s="100">
        <v>4594.9408414856744</v>
      </c>
      <c r="AR101" s="100">
        <v>7.3012526996947589</v>
      </c>
      <c r="AS101" s="100">
        <v>5283.1864534991273</v>
      </c>
      <c r="AT101" s="100">
        <v>6.5708974142301431</v>
      </c>
      <c r="AU101" s="100">
        <v>4754.7013689369314</v>
      </c>
      <c r="AV101" s="100">
        <v>7.1654507143931614</v>
      </c>
      <c r="AW101" s="100">
        <v>5184.9201369348921</v>
      </c>
      <c r="AX101" s="100">
        <v>0.41216441664341436</v>
      </c>
      <c r="AY101" s="100">
        <v>298.24217188317465</v>
      </c>
      <c r="AZ101" s="100">
        <v>7</v>
      </c>
      <c r="BA101" s="100">
        <v>5065.2</v>
      </c>
      <c r="BB101" s="100">
        <v>8.500162948602755</v>
      </c>
      <c r="BC101" s="100">
        <v>6150.717909608954</v>
      </c>
      <c r="BD101" s="100">
        <v>12</v>
      </c>
      <c r="BE101" s="100">
        <v>8683.2000000000007</v>
      </c>
      <c r="BF101" s="100">
        <v>6</v>
      </c>
      <c r="BG101" s="100">
        <v>4341.6000000000004</v>
      </c>
      <c r="BH101" s="100">
        <v>7</v>
      </c>
      <c r="BI101" s="100">
        <v>5065.2</v>
      </c>
      <c r="BJ101" s="100">
        <v>8.1153764387519498</v>
      </c>
      <c r="BK101" s="100">
        <v>5872.286391080911</v>
      </c>
      <c r="BL101" s="100">
        <v>6</v>
      </c>
      <c r="BM101" s="100">
        <v>4341.6000000000004</v>
      </c>
      <c r="BN101" s="100">
        <v>10.038059114920589</v>
      </c>
      <c r="BO101" s="100">
        <v>7263.5395755565387</v>
      </c>
      <c r="BP101" s="100">
        <v>7.2336357789339525</v>
      </c>
      <c r="BQ101" s="100">
        <v>5234.2588496366079</v>
      </c>
      <c r="BR101" s="100">
        <v>0.40848437720909814</v>
      </c>
      <c r="BS101" s="100">
        <v>295.57929534850342</v>
      </c>
      <c r="BT101" s="100">
        <v>6</v>
      </c>
      <c r="BU101" s="100">
        <v>4341.6000000000004</v>
      </c>
      <c r="BV101" s="100">
        <v>11</v>
      </c>
      <c r="BW101" s="100">
        <v>7959.6</v>
      </c>
      <c r="BX101" s="100">
        <v>7</v>
      </c>
      <c r="BY101" s="100">
        <v>5065.2</v>
      </c>
      <c r="BZ101" s="100">
        <v>9</v>
      </c>
      <c r="CA101" s="100">
        <v>6512.4000000000005</v>
      </c>
      <c r="CB101" s="100">
        <v>7</v>
      </c>
      <c r="CC101" s="100">
        <v>5065.2</v>
      </c>
      <c r="CD101" s="100">
        <v>9</v>
      </c>
      <c r="CE101" s="100">
        <v>6512.4000000000005</v>
      </c>
      <c r="CF101" s="100">
        <v>8</v>
      </c>
      <c r="CG101" s="100">
        <v>5788.8</v>
      </c>
      <c r="CH101" s="100">
        <v>8.5551879989401891E-2</v>
      </c>
      <c r="CI101" s="100">
        <v>61.905340360331209</v>
      </c>
      <c r="CJ101" s="100">
        <v>5.5067360058965305</v>
      </c>
      <c r="CK101" s="100">
        <v>3984.6741738667297</v>
      </c>
      <c r="CL101" s="100">
        <v>6.3437034257214533</v>
      </c>
      <c r="CM101" s="100">
        <v>4590.3037988520437</v>
      </c>
      <c r="CN101" s="100">
        <v>7.2738152438756014</v>
      </c>
      <c r="CO101" s="100">
        <v>5263.3327104683849</v>
      </c>
      <c r="CP101" s="100">
        <v>0.4959376720587424</v>
      </c>
      <c r="CQ101" s="100">
        <v>358.86049950170599</v>
      </c>
      <c r="CR101" s="100">
        <v>8</v>
      </c>
      <c r="CS101" s="100">
        <v>5788.8</v>
      </c>
      <c r="CT101" s="100">
        <v>9</v>
      </c>
      <c r="CU101" s="100">
        <v>6512.4000000000005</v>
      </c>
    </row>
    <row r="102" spans="2:99">
      <c r="C102" s="99" t="s">
        <v>268</v>
      </c>
      <c r="D102" s="100">
        <v>8</v>
      </c>
      <c r="E102" s="100">
        <v>4252.8</v>
      </c>
      <c r="F102" s="100">
        <v>6.5954842466061407</v>
      </c>
      <c r="G102" s="100">
        <v>3506.1594254958245</v>
      </c>
      <c r="H102" s="100">
        <v>4.5246993183816731</v>
      </c>
      <c r="I102" s="100">
        <v>2405.3301576516974</v>
      </c>
      <c r="J102" s="100">
        <v>7.649061994780932</v>
      </c>
      <c r="K102" s="100">
        <v>4066.2413564255435</v>
      </c>
      <c r="L102" s="100">
        <v>3.6915340156086933</v>
      </c>
      <c r="M102" s="100">
        <v>1962.4194826975815</v>
      </c>
      <c r="N102" s="100">
        <v>8.5545492803636112</v>
      </c>
      <c r="O102" s="100">
        <v>4547.5983974412957</v>
      </c>
      <c r="P102" s="100">
        <v>5.7552808189798981</v>
      </c>
      <c r="Q102" s="100">
        <v>3059.5072833697141</v>
      </c>
      <c r="R102" s="100">
        <v>8</v>
      </c>
      <c r="S102" s="100">
        <v>4252.8</v>
      </c>
      <c r="T102" s="100">
        <v>4.9237894841705723</v>
      </c>
      <c r="U102" s="100">
        <v>2617.4864897850762</v>
      </c>
      <c r="V102" s="100">
        <v>5.4407281286591669</v>
      </c>
      <c r="W102" s="100">
        <v>2892.2910731952134</v>
      </c>
      <c r="X102" s="100">
        <v>7.7779993328774832</v>
      </c>
      <c r="Y102" s="100">
        <v>4134.7844453576699</v>
      </c>
      <c r="Z102" s="100">
        <v>6</v>
      </c>
      <c r="AA102" s="100">
        <v>3189.6000000000004</v>
      </c>
      <c r="AB102" s="100">
        <v>7.0396003766281465</v>
      </c>
      <c r="AC102" s="100">
        <v>3742.2515602155227</v>
      </c>
      <c r="AD102" s="100">
        <v>6.7034118047058389</v>
      </c>
      <c r="AE102" s="100">
        <v>3563.533715381624</v>
      </c>
      <c r="AF102" s="100">
        <v>6.1076554038438511</v>
      </c>
      <c r="AG102" s="100">
        <v>3246.8296126833916</v>
      </c>
      <c r="AH102" s="100">
        <v>0.55639364701647298</v>
      </c>
      <c r="AI102" s="100">
        <v>295.77886275395707</v>
      </c>
      <c r="AJ102" s="100">
        <v>5.8536585365853337</v>
      </c>
      <c r="AK102" s="100">
        <v>3111.8048780487634</v>
      </c>
      <c r="AL102" s="100">
        <v>7</v>
      </c>
      <c r="AM102" s="100">
        <v>3721.2000000000003</v>
      </c>
      <c r="AN102" s="100">
        <v>7</v>
      </c>
      <c r="AO102" s="100">
        <v>3721.2000000000003</v>
      </c>
      <c r="AP102" s="100">
        <v>6.3122205667032736</v>
      </c>
      <c r="AQ102" s="100">
        <v>3355.5764532594603</v>
      </c>
      <c r="AR102" s="100">
        <v>6.6375024542679624</v>
      </c>
      <c r="AS102" s="100">
        <v>3528.4963046888488</v>
      </c>
      <c r="AT102" s="100">
        <v>8.2541828629372507</v>
      </c>
      <c r="AU102" s="100">
        <v>4387.923609937443</v>
      </c>
      <c r="AV102" s="100">
        <v>7.8031567744847612</v>
      </c>
      <c r="AW102" s="100">
        <v>4148.1581413160993</v>
      </c>
      <c r="AX102" s="100">
        <v>0.41216441664341436</v>
      </c>
      <c r="AY102" s="100">
        <v>219.10660388763907</v>
      </c>
      <c r="AZ102" s="100">
        <v>7</v>
      </c>
      <c r="BA102" s="100">
        <v>3721.2000000000003</v>
      </c>
      <c r="BB102" s="100">
        <v>8.500162948602755</v>
      </c>
      <c r="BC102" s="100">
        <v>4518.6866234772251</v>
      </c>
      <c r="BD102" s="100">
        <v>12</v>
      </c>
      <c r="BE102" s="100">
        <v>6379.2000000000007</v>
      </c>
      <c r="BF102" s="100">
        <v>6</v>
      </c>
      <c r="BG102" s="100">
        <v>3189.6000000000004</v>
      </c>
      <c r="BH102" s="100">
        <v>7</v>
      </c>
      <c r="BI102" s="100">
        <v>3721.2000000000003</v>
      </c>
      <c r="BJ102" s="100">
        <v>8</v>
      </c>
      <c r="BK102" s="100">
        <v>4252.8</v>
      </c>
      <c r="BL102" s="100">
        <v>6</v>
      </c>
      <c r="BM102" s="100">
        <v>3189.6000000000004</v>
      </c>
      <c r="BN102" s="100">
        <v>10.038059114920589</v>
      </c>
      <c r="BO102" s="100">
        <v>5336.2322254917854</v>
      </c>
      <c r="BP102" s="100">
        <v>8.226953769901904</v>
      </c>
      <c r="BQ102" s="100">
        <v>4373.4486240798524</v>
      </c>
      <c r="BR102" s="100">
        <v>0.40848437720909814</v>
      </c>
      <c r="BS102" s="100">
        <v>217.15029492435659</v>
      </c>
      <c r="BT102" s="100">
        <v>7</v>
      </c>
      <c r="BU102" s="100">
        <v>3721.2000000000003</v>
      </c>
      <c r="BV102" s="100">
        <v>10</v>
      </c>
      <c r="BW102" s="100">
        <v>5316</v>
      </c>
      <c r="BX102" s="100">
        <v>8</v>
      </c>
      <c r="BY102" s="100">
        <v>4252.8</v>
      </c>
      <c r="BZ102" s="100">
        <v>9</v>
      </c>
      <c r="CA102" s="100">
        <v>4784.4000000000005</v>
      </c>
      <c r="CB102" s="100">
        <v>7</v>
      </c>
      <c r="CC102" s="100">
        <v>3721.2000000000003</v>
      </c>
      <c r="CD102" s="100">
        <v>9</v>
      </c>
      <c r="CE102" s="100">
        <v>4784.4000000000005</v>
      </c>
      <c r="CF102" s="100">
        <v>7</v>
      </c>
      <c r="CG102" s="100">
        <v>3721.2000000000003</v>
      </c>
      <c r="CH102" s="100">
        <v>8.5551879989401891E-2</v>
      </c>
      <c r="CI102" s="100">
        <v>45.47937940236605</v>
      </c>
      <c r="CJ102" s="100">
        <v>4.5889466715804419</v>
      </c>
      <c r="CK102" s="100">
        <v>2439.4840506121632</v>
      </c>
      <c r="CL102" s="100">
        <v>7.1366663539366346</v>
      </c>
      <c r="CM102" s="100">
        <v>3793.8518337527153</v>
      </c>
      <c r="CN102" s="100">
        <v>6.6254937697341489</v>
      </c>
      <c r="CO102" s="100">
        <v>3522.1124879906738</v>
      </c>
      <c r="CP102" s="100">
        <v>0.4250894331932078</v>
      </c>
      <c r="CQ102" s="100">
        <v>225.97754268550926</v>
      </c>
      <c r="CR102" s="100">
        <v>8</v>
      </c>
      <c r="CS102" s="100">
        <v>4252.8</v>
      </c>
      <c r="CT102" s="100">
        <v>10</v>
      </c>
      <c r="CU102" s="100">
        <v>5316</v>
      </c>
    </row>
    <row r="103" spans="2:99">
      <c r="C103" s="99" t="s">
        <v>269</v>
      </c>
      <c r="D103" s="100">
        <v>7</v>
      </c>
      <c r="E103" s="100">
        <v>4124.3999999999996</v>
      </c>
      <c r="F103" s="100">
        <v>5.5458605593889629</v>
      </c>
      <c r="G103" s="100">
        <v>3267.6210415919768</v>
      </c>
      <c r="H103" s="100">
        <v>5.4296391820580086</v>
      </c>
      <c r="I103" s="100">
        <v>3199.1434060685783</v>
      </c>
      <c r="J103" s="100">
        <v>6.9500736834005012</v>
      </c>
      <c r="K103" s="100">
        <v>4094.9834142595751</v>
      </c>
      <c r="L103" s="100">
        <v>3.6915340156086933</v>
      </c>
      <c r="M103" s="100">
        <v>2175.051841996642</v>
      </c>
      <c r="N103" s="100">
        <v>8.600761720393912</v>
      </c>
      <c r="O103" s="100">
        <v>5067.5688056560921</v>
      </c>
      <c r="P103" s="100">
        <v>5.7552808189798981</v>
      </c>
      <c r="Q103" s="100">
        <v>3391.0114585429556</v>
      </c>
      <c r="R103" s="100">
        <v>9.1852489617907338</v>
      </c>
      <c r="S103" s="100">
        <v>5411.9486882870997</v>
      </c>
      <c r="T103" s="100">
        <v>4.9237894841705723</v>
      </c>
      <c r="U103" s="100">
        <v>2901.0967640733011</v>
      </c>
      <c r="V103" s="100">
        <v>4.7154416416189946</v>
      </c>
      <c r="W103" s="100">
        <v>2778.3382152419113</v>
      </c>
      <c r="X103" s="100">
        <v>7.0709084844340762</v>
      </c>
      <c r="Y103" s="100">
        <v>4166.1792790285572</v>
      </c>
      <c r="Z103" s="100">
        <v>7</v>
      </c>
      <c r="AA103" s="100">
        <v>4124.3999999999996</v>
      </c>
      <c r="AB103" s="100">
        <v>7.9335601304003438</v>
      </c>
      <c r="AC103" s="100">
        <v>4674.4536288318823</v>
      </c>
      <c r="AD103" s="100">
        <v>6.9245596335797952</v>
      </c>
      <c r="AE103" s="100">
        <v>4079.9505361052147</v>
      </c>
      <c r="AF103" s="100">
        <v>7.1076554038438511</v>
      </c>
      <c r="AG103" s="100">
        <v>4187.8305639447963</v>
      </c>
      <c r="AH103" s="100">
        <v>0.55639364701647298</v>
      </c>
      <c r="AI103" s="100">
        <v>327.82713682210584</v>
      </c>
      <c r="AJ103" s="100">
        <v>5.8536585365853337</v>
      </c>
      <c r="AK103" s="100">
        <v>3448.975609756078</v>
      </c>
      <c r="AL103" s="100">
        <v>7</v>
      </c>
      <c r="AM103" s="100">
        <v>4124.3999999999996</v>
      </c>
      <c r="AN103" s="100">
        <v>7</v>
      </c>
      <c r="AO103" s="100">
        <v>4124.3999999999996</v>
      </c>
      <c r="AP103" s="100">
        <v>5.8954178668538662</v>
      </c>
      <c r="AQ103" s="100">
        <v>3473.5802071502976</v>
      </c>
      <c r="AR103" s="100">
        <v>6.6375024542679624</v>
      </c>
      <c r="AS103" s="100">
        <v>3910.8164460546832</v>
      </c>
      <c r="AT103" s="100">
        <v>7.3009971269223808</v>
      </c>
      <c r="AU103" s="100">
        <v>4301.7475071826666</v>
      </c>
      <c r="AV103" s="100">
        <v>7.1717292166175604</v>
      </c>
      <c r="AW103" s="100">
        <v>4225.5828544310662</v>
      </c>
      <c r="AX103" s="100">
        <v>0.41216441664341436</v>
      </c>
      <c r="AY103" s="100">
        <v>242.84727428629972</v>
      </c>
      <c r="AZ103" s="100">
        <v>7</v>
      </c>
      <c r="BA103" s="100">
        <v>4124.3999999999996</v>
      </c>
      <c r="BB103" s="100">
        <v>8.500162948602755</v>
      </c>
      <c r="BC103" s="100">
        <v>5008.296009316743</v>
      </c>
      <c r="BD103" s="100">
        <v>11</v>
      </c>
      <c r="BE103" s="100">
        <v>6481.1999999999989</v>
      </c>
      <c r="BF103" s="100">
        <v>6</v>
      </c>
      <c r="BG103" s="100">
        <v>3535.2</v>
      </c>
      <c r="BH103" s="100">
        <v>7</v>
      </c>
      <c r="BI103" s="100">
        <v>4124.3999999999996</v>
      </c>
      <c r="BJ103" s="100">
        <v>9</v>
      </c>
      <c r="BK103" s="100">
        <v>5302.7999999999993</v>
      </c>
      <c r="BL103" s="100">
        <v>5</v>
      </c>
      <c r="BM103" s="100">
        <v>2945.9999999999995</v>
      </c>
      <c r="BN103" s="100">
        <v>9.1255082862914456</v>
      </c>
      <c r="BO103" s="100">
        <v>5376.7494822829194</v>
      </c>
      <c r="BP103" s="100">
        <v>8.226953769901904</v>
      </c>
      <c r="BQ103" s="100">
        <v>4847.3211612262012</v>
      </c>
      <c r="BR103" s="100">
        <v>0.40848437720909814</v>
      </c>
      <c r="BS103" s="100">
        <v>240.67899505160059</v>
      </c>
      <c r="BT103" s="100">
        <v>7</v>
      </c>
      <c r="BU103" s="100">
        <v>4124.3999999999996</v>
      </c>
      <c r="BV103" s="100">
        <v>9</v>
      </c>
      <c r="BW103" s="100">
        <v>5302.7999999999993</v>
      </c>
      <c r="BX103" s="100">
        <v>7</v>
      </c>
      <c r="BY103" s="100">
        <v>4124.3999999999996</v>
      </c>
      <c r="BZ103" s="100">
        <v>10</v>
      </c>
      <c r="CA103" s="100">
        <v>5891.9999999999991</v>
      </c>
      <c r="CB103" s="100">
        <v>7</v>
      </c>
      <c r="CC103" s="100">
        <v>4124.3999999999996</v>
      </c>
      <c r="CD103" s="100">
        <v>10</v>
      </c>
      <c r="CE103" s="100">
        <v>5891.9999999999991</v>
      </c>
      <c r="CF103" s="100">
        <v>7</v>
      </c>
      <c r="CG103" s="100">
        <v>4124.3999999999996</v>
      </c>
      <c r="CH103" s="100">
        <v>8.5551879989401891E-2</v>
      </c>
      <c r="CI103" s="100">
        <v>50.407167689755589</v>
      </c>
      <c r="CJ103" s="100">
        <v>4.5889466715804419</v>
      </c>
      <c r="CK103" s="100">
        <v>2703.8073788951961</v>
      </c>
      <c r="CL103" s="100">
        <v>6.3437034257214533</v>
      </c>
      <c r="CM103" s="100">
        <v>3737.7100584350796</v>
      </c>
      <c r="CN103" s="100">
        <v>7.2676291991660529</v>
      </c>
      <c r="CO103" s="100">
        <v>4282.0871241486375</v>
      </c>
      <c r="CP103" s="100">
        <v>0.4250894331932078</v>
      </c>
      <c r="CQ103" s="100">
        <v>250.46269403743801</v>
      </c>
      <c r="CR103" s="100">
        <v>9</v>
      </c>
      <c r="CS103" s="100">
        <v>5302.7999999999993</v>
      </c>
      <c r="CT103" s="100">
        <v>10</v>
      </c>
      <c r="CU103" s="100">
        <v>5891.9999999999991</v>
      </c>
    </row>
    <row r="104" spans="2:99">
      <c r="C104" s="99" t="s">
        <v>270</v>
      </c>
      <c r="D104" s="100">
        <v>9</v>
      </c>
      <c r="E104" s="100">
        <v>5691.5999999999995</v>
      </c>
      <c r="F104" s="100">
        <v>5.4962368721717842</v>
      </c>
      <c r="G104" s="100">
        <v>3475.8201979614364</v>
      </c>
      <c r="H104" s="100">
        <v>4.9771692502198412</v>
      </c>
      <c r="I104" s="100">
        <v>3147.5618338390277</v>
      </c>
      <c r="J104" s="100">
        <v>7.6856830437240768</v>
      </c>
      <c r="K104" s="100">
        <v>4860.4259568511061</v>
      </c>
      <c r="L104" s="100">
        <v>2.871193123251206</v>
      </c>
      <c r="M104" s="100">
        <v>1815.7425311440627</v>
      </c>
      <c r="N104" s="100">
        <v>7</v>
      </c>
      <c r="O104" s="100">
        <v>4426.8</v>
      </c>
      <c r="P104" s="100">
        <v>5.0358707166074099</v>
      </c>
      <c r="Q104" s="100">
        <v>3184.6846411825259</v>
      </c>
      <c r="R104" s="100">
        <v>8.2161237887558567</v>
      </c>
      <c r="S104" s="100">
        <v>5195.8766840092039</v>
      </c>
      <c r="T104" s="100">
        <v>4.9513930353369657</v>
      </c>
      <c r="U104" s="100">
        <v>3131.2609555470972</v>
      </c>
      <c r="V104" s="100">
        <v>5.4926885171417323</v>
      </c>
      <c r="W104" s="100">
        <v>3473.5762182404314</v>
      </c>
      <c r="X104" s="100">
        <v>7.0709084844340762</v>
      </c>
      <c r="Y104" s="100">
        <v>4471.6425255561098</v>
      </c>
      <c r="Z104" s="100">
        <v>7</v>
      </c>
      <c r="AA104" s="100">
        <v>4426.8</v>
      </c>
      <c r="AB104" s="100">
        <v>7.0396003766281465</v>
      </c>
      <c r="AC104" s="100">
        <v>4451.84327817964</v>
      </c>
      <c r="AD104" s="100">
        <v>6.9446639816592448</v>
      </c>
      <c r="AE104" s="100">
        <v>4391.8055020013062</v>
      </c>
      <c r="AF104" s="100">
        <v>6.1076554038438511</v>
      </c>
      <c r="AG104" s="100">
        <v>3862.4812773908511</v>
      </c>
      <c r="AH104" s="100">
        <v>0.48684444113941389</v>
      </c>
      <c r="AI104" s="100">
        <v>307.8804245765653</v>
      </c>
      <c r="AJ104" s="100">
        <v>5.8536585365853337</v>
      </c>
      <c r="AK104" s="100">
        <v>3701.853658536565</v>
      </c>
      <c r="AL104" s="100">
        <v>7</v>
      </c>
      <c r="AM104" s="100">
        <v>4426.8</v>
      </c>
      <c r="AN104" s="100">
        <v>7</v>
      </c>
      <c r="AO104" s="100">
        <v>4426.8</v>
      </c>
      <c r="AP104" s="100">
        <v>7.3326813657106831</v>
      </c>
      <c r="AQ104" s="100">
        <v>4637.1876956754359</v>
      </c>
      <c r="AR104" s="100">
        <v>7.3012526996947589</v>
      </c>
      <c r="AS104" s="100">
        <v>4617.3122072869655</v>
      </c>
      <c r="AT104" s="100">
        <v>8.0310968396146194</v>
      </c>
      <c r="AU104" s="100">
        <v>5078.8656413722847</v>
      </c>
      <c r="AV104" s="100">
        <v>6.5151876498527654</v>
      </c>
      <c r="AW104" s="100">
        <v>4120.2046697668884</v>
      </c>
      <c r="AX104" s="100">
        <v>0.47104504759247351</v>
      </c>
      <c r="AY104" s="100">
        <v>297.88888809748022</v>
      </c>
      <c r="AZ104" s="100">
        <v>7</v>
      </c>
      <c r="BA104" s="100">
        <v>4426.8</v>
      </c>
      <c r="BB104" s="100">
        <v>8.500162948602755</v>
      </c>
      <c r="BC104" s="100">
        <v>5375.5030486963824</v>
      </c>
      <c r="BD104" s="100">
        <v>10</v>
      </c>
      <c r="BE104" s="100">
        <v>6324</v>
      </c>
      <c r="BF104" s="100">
        <v>5</v>
      </c>
      <c r="BG104" s="100">
        <v>3162</v>
      </c>
      <c r="BH104" s="100">
        <v>7</v>
      </c>
      <c r="BI104" s="100">
        <v>4426.8</v>
      </c>
      <c r="BJ104" s="100">
        <v>9</v>
      </c>
      <c r="BK104" s="100">
        <v>5691.5999999999995</v>
      </c>
      <c r="BL104" s="100">
        <v>5</v>
      </c>
      <c r="BM104" s="100">
        <v>3162</v>
      </c>
      <c r="BN104" s="100">
        <v>10.038059114920589</v>
      </c>
      <c r="BO104" s="100">
        <v>6348.0685842757803</v>
      </c>
      <c r="BP104" s="100">
        <v>7.2336357789339525</v>
      </c>
      <c r="BQ104" s="100">
        <v>4574.5512665978313</v>
      </c>
      <c r="BR104" s="100">
        <v>0.40848437720909814</v>
      </c>
      <c r="BS104" s="100">
        <v>258.32552014703367</v>
      </c>
      <c r="BT104" s="100">
        <v>7</v>
      </c>
      <c r="BU104" s="100">
        <v>4426.8</v>
      </c>
      <c r="BV104" s="100">
        <v>11</v>
      </c>
      <c r="BW104" s="100">
        <v>6956.4</v>
      </c>
      <c r="BX104" s="100">
        <v>7</v>
      </c>
      <c r="BY104" s="100">
        <v>4426.8</v>
      </c>
      <c r="BZ104" s="100">
        <v>10</v>
      </c>
      <c r="CA104" s="100">
        <v>6324</v>
      </c>
      <c r="CB104" s="100">
        <v>7</v>
      </c>
      <c r="CC104" s="100">
        <v>4426.8</v>
      </c>
      <c r="CD104" s="100">
        <v>11</v>
      </c>
      <c r="CE104" s="100">
        <v>6956.4</v>
      </c>
      <c r="CF104" s="100">
        <v>7</v>
      </c>
      <c r="CG104" s="100">
        <v>4426.8</v>
      </c>
      <c r="CH104" s="100">
        <v>7.1293233324501576E-2</v>
      </c>
      <c r="CI104" s="100">
        <v>45.085840754414797</v>
      </c>
      <c r="CJ104" s="100">
        <v>5.5067360058965305</v>
      </c>
      <c r="CK104" s="100">
        <v>3482.4598501289656</v>
      </c>
      <c r="CL104" s="100">
        <v>6.3437034257214533</v>
      </c>
      <c r="CM104" s="100">
        <v>4011.7580464262469</v>
      </c>
      <c r="CN104" s="100">
        <v>7.2800012885851499</v>
      </c>
      <c r="CO104" s="100">
        <v>4603.8728149012486</v>
      </c>
      <c r="CP104" s="100">
        <v>0.4250894331932078</v>
      </c>
      <c r="CQ104" s="100">
        <v>268.82655755138461</v>
      </c>
      <c r="CR104" s="100">
        <v>8</v>
      </c>
      <c r="CS104" s="100">
        <v>5059.2</v>
      </c>
      <c r="CT104" s="100">
        <v>9</v>
      </c>
      <c r="CU104" s="100">
        <v>5691.5999999999995</v>
      </c>
    </row>
    <row r="105" spans="2:99">
      <c r="C105" s="99" t="s">
        <v>271</v>
      </c>
      <c r="D105" s="100">
        <v>9</v>
      </c>
      <c r="E105" s="100">
        <v>5011.2</v>
      </c>
      <c r="F105" s="100">
        <v>6.5954842466061407</v>
      </c>
      <c r="G105" s="100">
        <v>3672.3656285102988</v>
      </c>
      <c r="H105" s="100">
        <v>4.9771692502198412</v>
      </c>
      <c r="I105" s="100">
        <v>2771.2878385224076</v>
      </c>
      <c r="J105" s="100">
        <v>8.4212924040476551</v>
      </c>
      <c r="K105" s="100">
        <v>4688.9756105737342</v>
      </c>
      <c r="L105" s="100">
        <v>2.871193123251206</v>
      </c>
      <c r="M105" s="100">
        <v>1598.6803310262715</v>
      </c>
      <c r="N105" s="100">
        <v>8</v>
      </c>
      <c r="O105" s="100">
        <v>4454.3999999999996</v>
      </c>
      <c r="P105" s="100">
        <v>5.0358707166074099</v>
      </c>
      <c r="Q105" s="100">
        <v>2803.9728150070055</v>
      </c>
      <c r="R105" s="100">
        <v>9.2469986157209796</v>
      </c>
      <c r="S105" s="100">
        <v>5148.7288292334406</v>
      </c>
      <c r="T105" s="100">
        <v>4.8961859330041797</v>
      </c>
      <c r="U105" s="100">
        <v>2726.196327496727</v>
      </c>
      <c r="V105" s="100">
        <v>4.6634812531364283</v>
      </c>
      <c r="W105" s="100">
        <v>2596.6263617463628</v>
      </c>
      <c r="X105" s="100">
        <v>7.0709084844340762</v>
      </c>
      <c r="Y105" s="100">
        <v>3937.0818441328934</v>
      </c>
      <c r="Z105" s="100">
        <v>7</v>
      </c>
      <c r="AA105" s="100">
        <v>3897.5999999999995</v>
      </c>
      <c r="AB105" s="100">
        <v>7.8217781962534962</v>
      </c>
      <c r="AC105" s="100">
        <v>4355.1660996739465</v>
      </c>
      <c r="AD105" s="100">
        <v>6.7034118047058389</v>
      </c>
      <c r="AE105" s="100">
        <v>3732.4596928602109</v>
      </c>
      <c r="AF105" s="100">
        <v>7.0941984783633698</v>
      </c>
      <c r="AG105" s="100">
        <v>3950.0497127527242</v>
      </c>
      <c r="AH105" s="100">
        <v>0.48684444113941389</v>
      </c>
      <c r="AI105" s="100">
        <v>271.07498482642563</v>
      </c>
      <c r="AJ105" s="100">
        <v>5.8536585365853337</v>
      </c>
      <c r="AK105" s="100">
        <v>3259.3170731707137</v>
      </c>
      <c r="AL105" s="100">
        <v>7</v>
      </c>
      <c r="AM105" s="100">
        <v>3897.5999999999995</v>
      </c>
      <c r="AN105" s="100">
        <v>7</v>
      </c>
      <c r="AO105" s="100">
        <v>3897.5999999999995</v>
      </c>
      <c r="AP105" s="100">
        <v>6.3501117212350389</v>
      </c>
      <c r="AQ105" s="100">
        <v>3535.7422063836693</v>
      </c>
      <c r="AR105" s="100">
        <v>7.9650029451215554</v>
      </c>
      <c r="AS105" s="100">
        <v>4434.9136398436813</v>
      </c>
      <c r="AT105" s="100">
        <v>7.544363697819799</v>
      </c>
      <c r="AU105" s="100">
        <v>4200.7017069460635</v>
      </c>
      <c r="AV105" s="100">
        <v>6.5277446543015625</v>
      </c>
      <c r="AW105" s="100">
        <v>3634.6482235151097</v>
      </c>
      <c r="AX105" s="100">
        <v>0.47104504759247351</v>
      </c>
      <c r="AY105" s="100">
        <v>262.27788249948924</v>
      </c>
      <c r="AZ105" s="100">
        <v>7</v>
      </c>
      <c r="BA105" s="100">
        <v>3897.5999999999995</v>
      </c>
      <c r="BB105" s="100">
        <v>7.6501466537424783</v>
      </c>
      <c r="BC105" s="100">
        <v>4259.6016568038112</v>
      </c>
      <c r="BD105" s="100">
        <v>12</v>
      </c>
      <c r="BE105" s="100">
        <v>6681.5999999999995</v>
      </c>
      <c r="BF105" s="100">
        <v>6</v>
      </c>
      <c r="BG105" s="100">
        <v>3340.7999999999997</v>
      </c>
      <c r="BH105" s="100">
        <v>7</v>
      </c>
      <c r="BI105" s="100">
        <v>3897.5999999999995</v>
      </c>
      <c r="BJ105" s="100">
        <v>9</v>
      </c>
      <c r="BK105" s="100">
        <v>5011.2</v>
      </c>
      <c r="BL105" s="100">
        <v>6</v>
      </c>
      <c r="BM105" s="100">
        <v>3340.7999999999997</v>
      </c>
      <c r="BN105" s="100">
        <v>10.038059114920589</v>
      </c>
      <c r="BO105" s="100">
        <v>5589.1913151877834</v>
      </c>
      <c r="BP105" s="100">
        <v>6.2403177879660037</v>
      </c>
      <c r="BQ105" s="100">
        <v>3474.6089443394708</v>
      </c>
      <c r="BR105" s="100">
        <v>0.40848437720909814</v>
      </c>
      <c r="BS105" s="100">
        <v>227.44410123002584</v>
      </c>
      <c r="BT105" s="100">
        <v>7</v>
      </c>
      <c r="BU105" s="100">
        <v>3897.5999999999995</v>
      </c>
      <c r="BV105" s="100">
        <v>9</v>
      </c>
      <c r="BW105" s="100">
        <v>5011.2</v>
      </c>
      <c r="BX105" s="100">
        <v>7</v>
      </c>
      <c r="BY105" s="100">
        <v>3897.5999999999995</v>
      </c>
      <c r="BZ105" s="100">
        <v>9</v>
      </c>
      <c r="CA105" s="100">
        <v>5011.2</v>
      </c>
      <c r="CB105" s="100">
        <v>7</v>
      </c>
      <c r="CC105" s="100">
        <v>3897.5999999999995</v>
      </c>
      <c r="CD105" s="100">
        <v>9</v>
      </c>
      <c r="CE105" s="100">
        <v>5011.2</v>
      </c>
      <c r="CF105" s="100">
        <v>8</v>
      </c>
      <c r="CG105" s="100">
        <v>4454.3999999999996</v>
      </c>
      <c r="CH105" s="100">
        <v>7.8422556656951734E-2</v>
      </c>
      <c r="CI105" s="100">
        <v>43.665679546590724</v>
      </c>
      <c r="CJ105" s="100">
        <v>5.5067360058965305</v>
      </c>
      <c r="CK105" s="100">
        <v>3066.1506080831878</v>
      </c>
      <c r="CL105" s="100">
        <v>7.1366663539366346</v>
      </c>
      <c r="CM105" s="100">
        <v>3973.6958258719178</v>
      </c>
      <c r="CN105" s="100">
        <v>6.6254937697341489</v>
      </c>
      <c r="CO105" s="100">
        <v>3689.0749309879739</v>
      </c>
      <c r="CP105" s="100">
        <v>0.4250894331932078</v>
      </c>
      <c r="CQ105" s="100">
        <v>236.68979640197807</v>
      </c>
      <c r="CR105" s="100">
        <v>9</v>
      </c>
      <c r="CS105" s="100">
        <v>5011.2</v>
      </c>
      <c r="CT105" s="100">
        <v>9</v>
      </c>
      <c r="CU105" s="100">
        <v>5011.2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265.42145974510413</v>
      </c>
      <c r="E109" s="100">
        <f>SUM(L$6:L$19)+SUM(N$6:N$19)+SUM(P$6:P$19)+SUM(R$6:R$19)</f>
        <v>392</v>
      </c>
      <c r="F109" s="100">
        <f>SUM(T$6:T$19)+SUM(V$6:V$19)+SUM(X$6:X$19)+SUM(Z$6:Z$19)</f>
        <v>377.15765601977284</v>
      </c>
      <c r="G109" s="100">
        <f>SUM(AB$6:AB$19)+SUM(AD$6:AD$19)+SUM(AF$6:AF$19)+SUM(AH$6:AH$19)</f>
        <v>363.80709795393943</v>
      </c>
      <c r="H109" s="100">
        <f>SUM(AJ$6:AJ$19)+SUM(AL$6:AL$19)+SUM(AN$6:AN$19)+SUM(AP$6:AP$19)</f>
        <v>274.17501740184997</v>
      </c>
      <c r="I109" s="100">
        <f>SUM(AR$6:AR$19)+SUM(AT$6:AT$19)+SUM(AV$6:AV$19)+SUM(AX$6:AX$19)</f>
        <v>209.37907801830485</v>
      </c>
      <c r="J109" s="100">
        <f>SUM(AZ$6:AZ$19)+SUM(BB$6:BB$19)+SUM(BD$6:BD$19)+SUM(BF$6:BF$19)</f>
        <v>483.58219301875556</v>
      </c>
      <c r="K109" s="100">
        <f>SUM(BH$6:BH$19)+SUM(BJ$6:BJ$19)+SUM(BL$6:BL$19)+SUM(BN$6:BN$19)</f>
        <v>471.25040310282554</v>
      </c>
      <c r="L109" s="100">
        <f>SUM(BP$6:BP$19)+SUM(BR$6:BR$19)+SUM(BT$6:BT$19)+SUM(BV$6:BV$19)</f>
        <v>384.21908368444394</v>
      </c>
      <c r="M109" s="100">
        <f>SUM(BX$6:BX$19)+SUM(BZ$6:BZ$19)+SUM(CB$6:CB$19)+SUM(CD$6:CD$19)</f>
        <v>206.1350650609522</v>
      </c>
      <c r="N109" s="100">
        <f>SUM(CF$6:CF$19)+SUM(CH$6:CH$19)+SUM(CJ$6:CJ$19)+SUM(CL$6:CL$19)</f>
        <v>542</v>
      </c>
      <c r="O109" s="100">
        <f>SUM(CN$6:CN$19)+SUM(CP$6:CP$19)+SUM(CR$6:CR$19)+SUM(CT$6:CT$19)</f>
        <v>319.5520434484626</v>
      </c>
    </row>
    <row r="110" spans="2:99">
      <c r="C110" s="99" t="s">
        <v>127</v>
      </c>
      <c r="D110" s="100">
        <f>SUM(D$20:D$36)+SUM(F$20:F$36)+SUM(H$20:H$36)+SUM(J$20:J$36)</f>
        <v>507.23319845284686</v>
      </c>
      <c r="E110" s="100">
        <f>SUM(L$20:L$36)+SUM(N$20:N$36)+SUM(P$20:P$36)+SUM(R$20:R$36)</f>
        <v>779</v>
      </c>
      <c r="F110" s="100">
        <f>SUM(T$20:T$36)+SUM(V$20:V$36)+SUM(X$20:X$36)+SUM(Z$20:Z$36)</f>
        <v>660.80309742986469</v>
      </c>
      <c r="G110" s="100">
        <f>SUM(AB$20:AB$36)+SUM(AD$20:AD$36)+SUM(AF$20:AF$36)+SUM(AH$20:AH$36)</f>
        <v>700.19091556271815</v>
      </c>
      <c r="H110" s="100">
        <f>SUM(AJ$20:AJ$36)+SUM(AL$20:AL$36)+SUM(AN$20:AN$36)+SUM(AP$20:AP$36)</f>
        <v>592.44211270815117</v>
      </c>
      <c r="I110" s="100">
        <f>SUM(AR$20:AR$36)+SUM(AT$20:AT$36)+SUM(AV$20:AV$36)+SUM(AX$20:AX$36)</f>
        <v>532.21628916203872</v>
      </c>
      <c r="J110" s="100">
        <f>SUM(AZ$20:AZ$36)+SUM(BB$20:BB$36)+SUM(BD$20:BD$36)+SUM(BF$20:BF$36)</f>
        <v>722.10516882002253</v>
      </c>
      <c r="K110" s="100">
        <f>SUM(BH$20:BH$36)+SUM(BJ$20:BJ$36)+SUM(BL$20:BL$36)+SUM(BN$20:BN$36)</f>
        <v>727.6119781783317</v>
      </c>
      <c r="L110" s="100">
        <f>SUM(BP$20:BP$36)+SUM(BR$20:BR$36)+SUM(BT$20:BT$36)+SUM(BV$20:BV$36)</f>
        <v>758.05027890653105</v>
      </c>
      <c r="M110" s="100">
        <f>SUM(BX$20:BX$36)+SUM(BZ$20:BZ$36)+SUM(CB$20:CB$36)+SUM(CD$20:CD$36)</f>
        <v>348.75208127087404</v>
      </c>
      <c r="N110" s="100">
        <f>SUM(CF$20:CF$36)+SUM(CH$20:CH$36)+SUM(CJ$20:CJ$36)+SUM(CL$20:CL$36)</f>
        <v>793</v>
      </c>
      <c r="O110" s="100">
        <f>SUM(CN$20:CN$36)+SUM(CP$20:CP$36)+SUM(CR$20:CR$36)+SUM(CT$20:CT$36)</f>
        <v>602.53665608754488</v>
      </c>
    </row>
    <row r="111" spans="2:99">
      <c r="C111" s="99" t="s">
        <v>128</v>
      </c>
      <c r="D111" s="100">
        <f>SUM(D$37:D$48)+SUM(F$37:F$48)+SUM(H$37:H$48)+SUM(J$37:J$48)</f>
        <v>217.37414944048345</v>
      </c>
      <c r="E111" s="100">
        <f>SUM(L$37:L$48)+SUM(N$37:N$48)+SUM(P$37:P$48)+SUM(R$37:R$48)</f>
        <v>327</v>
      </c>
      <c r="F111" s="100">
        <f>SUM(T$37:T$48)+SUM(V$37:V$48)+SUM(X$37:X$48)+SUM(Z$37:Z$48)</f>
        <v>304.10806317342883</v>
      </c>
      <c r="G111" s="100">
        <f>SUM(AB$37:AB$48)+SUM(AD$37:AD$48)+SUM(AF$37:AF$48)+SUM(AH$37:AH$48)</f>
        <v>276.80122390576713</v>
      </c>
      <c r="H111" s="100">
        <f>SUM(AJ$37:AJ$48)+SUM(AL$37:AL$48)+SUM(AN$37:AN$48)+SUM(AP$37:AP$48)</f>
        <v>262.05446482006562</v>
      </c>
      <c r="I111" s="100">
        <f>SUM(AR$37:AR$48)+SUM(AT$37:AT$48)+SUM(AV$37:AV$48)+SUM(AX$37:AX$48)</f>
        <v>229.82392275790161</v>
      </c>
      <c r="J111" s="100">
        <f>SUM(AZ$37:AZ$48)+SUM(BB$37:BB$48)+SUM(BD$37:BD$48)+SUM(BF$37:BF$48)</f>
        <v>366.25533314296371</v>
      </c>
      <c r="K111" s="100">
        <f>SUM(BH$37:BH$48)+SUM(BJ$37:BJ$48)+SUM(BL$37:BL$48)+SUM(BN$37:BN$48)</f>
        <v>302.3994536348788</v>
      </c>
      <c r="L111" s="100">
        <f>SUM(BP$37:BP$48)+SUM(BR$37:BR$48)+SUM(BT$37:BT$48)+SUM(BV$37:BV$48)</f>
        <v>346.80542983378734</v>
      </c>
      <c r="M111" s="100">
        <f>SUM(BX$37:BX$48)+SUM(BZ$37:BZ$48)+SUM(CB$37:CB$48)+SUM(CD$37:CD$48)</f>
        <v>143.55794570243907</v>
      </c>
      <c r="N111" s="100">
        <f>SUM(CF$37:CF$48)+SUM(CH$37:CH$48)+SUM(CJ$37:CJ$48)+SUM(CL$37:CL$48)</f>
        <v>371</v>
      </c>
      <c r="O111" s="100">
        <f>SUM(CN$37:CN$48)+SUM(CP$37:CP$48)+SUM(CR$37:CR$48)+SUM(CT$37:CT$48)</f>
        <v>253.14375293174282</v>
      </c>
    </row>
    <row r="112" spans="2:99">
      <c r="C112" s="99" t="s">
        <v>129</v>
      </c>
      <c r="D112" s="100">
        <f>SUM(D$49:D$70)+SUM(F$49:F$70)+SUM(H$49:H$70)+SUM(J$49:J$70)</f>
        <v>267.2403454500236</v>
      </c>
      <c r="E112" s="100">
        <f>SUM(L$49:L$70)+SUM(N$49:N$70)+SUM(P$49:P$70)+SUM(R$49:R$70)</f>
        <v>444.1781566951222</v>
      </c>
      <c r="F112" s="100">
        <f>SUM(T$49:T$70)+SUM(V$49:V$70)+SUM(X$49:X$70)+SUM(Z$49:Z$70)</f>
        <v>382.35900543667884</v>
      </c>
      <c r="G112" s="100">
        <f>SUM(AB$49:AB$70)+SUM(AD$49:AD$70)+SUM(AF$49:AF$70)+SUM(AH$49:AH$70)</f>
        <v>341.62464020880225</v>
      </c>
      <c r="H112" s="100">
        <f>SUM(AJ$49:AJ$70)+SUM(AL$49:AL$70)+SUM(AN$49:AN$70)+SUM(AP$49:AP$70)</f>
        <v>368.85252273995297</v>
      </c>
      <c r="I112" s="100">
        <f>SUM(AR$49:AR$70)+SUM(AT$49:AT$70)+SUM(AV$49:AV$70)+SUM(AX$49:AX$70)</f>
        <v>353.16732535793369</v>
      </c>
      <c r="J112" s="100">
        <f>SUM(AZ$49:AZ$70)+SUM(BB$49:BB$70)+SUM(BD$49:BD$70)+SUM(BF$49:BF$70)</f>
        <v>517.54938073942958</v>
      </c>
      <c r="K112" s="100">
        <f>SUM(BH$49:BH$70)+SUM(BJ$49:BJ$70)+SUM(BL$49:BL$70)+SUM(BN$49:BN$70)</f>
        <v>349.88834624504693</v>
      </c>
      <c r="L112" s="100">
        <f>SUM(BP$49:BP$70)+SUM(BR$49:BR$70)+SUM(BT$49:BT$70)+SUM(BV$49:BV$70)</f>
        <v>361.02744316635375</v>
      </c>
      <c r="M112" s="100">
        <f>SUM(BX$49:BX$70)+SUM(BZ$49:BZ$70)+SUM(CB$49:CB$70)+SUM(CD$49:CD$70)</f>
        <v>234.28684085470269</v>
      </c>
      <c r="N112" s="100">
        <f>SUM(CF$49:CF$70)+SUM(CH$49:CH$70)+SUM(CJ$49:CJ$70)+SUM(CL$49:CL$70)</f>
        <v>457.36049217357117</v>
      </c>
      <c r="O112" s="100">
        <f>SUM(CN$49:CN$70)+SUM(CP$49:CP$70)+SUM(CR$49:CR$70)+SUM(CT$49:CT$70)</f>
        <v>339.37878121112556</v>
      </c>
    </row>
    <row r="113" spans="2:15">
      <c r="C113" s="99" t="s">
        <v>130</v>
      </c>
      <c r="D113" s="100">
        <f>SUM(D$71:D$86)+SUM(F$71:F$86)+SUM(H$71:H$86)+SUM(J$71:J$86)</f>
        <v>165.92541030545198</v>
      </c>
      <c r="E113" s="100">
        <f>SUM(L$71:L$86)+SUM(N$71:N$86)+SUM(P$71:P$86)+SUM(R$71:R$86)</f>
        <v>308</v>
      </c>
      <c r="F113" s="100">
        <f>SUM(T$71:T$86)+SUM(V$71:V$86)+SUM(X$71:X$86)+SUM(Z$71:Z$86)</f>
        <v>301.52017897076854</v>
      </c>
      <c r="G113" s="100">
        <f>SUM(AB$71:AB$86)+SUM(AD$71:AD$86)+SUM(AF$71:AF$86)+SUM(AH$71:AH$86)</f>
        <v>332</v>
      </c>
      <c r="H113" s="100">
        <f>SUM(AJ$71:AJ$86)+SUM(AL$71:AL$86)+SUM(AN$71:AN$86)+SUM(AP$71:AP$86)</f>
        <v>217.81043412627398</v>
      </c>
      <c r="I113" s="100">
        <f>SUM(AR$71:AR$86)+SUM(AT$71:AT$86)+SUM(AV$71:AV$86)+SUM(AX$71:AX$86)</f>
        <v>256.12735398460165</v>
      </c>
      <c r="J113" s="100">
        <f>SUM(AZ$71:AZ$86)+SUM(BB$71:BB$86)+SUM(BD$71:BD$86)+SUM(BF$71:BF$86)</f>
        <v>315.9071799716466</v>
      </c>
      <c r="K113" s="100">
        <f>SUM(BH$71:BH$86)+SUM(BJ$71:BJ$86)+SUM(BL$71:BL$86)+SUM(BN$71:BN$86)</f>
        <v>253.17987154863127</v>
      </c>
      <c r="L113" s="100">
        <f>SUM(BP$71:BP$86)+SUM(BR$71:BR$86)+SUM(BT$71:BT$86)+SUM(BV$71:BV$86)</f>
        <v>324</v>
      </c>
      <c r="M113" s="100">
        <f>SUM(BX$71:BX$86)+SUM(BZ$71:BZ$86)+SUM(CB$71:CB$86)+SUM(CD$71:CD$86)</f>
        <v>289.36840271482953</v>
      </c>
      <c r="N113" s="100">
        <f>SUM(CF$71:CF$86)+SUM(CH$71:CH$86)+SUM(CJ$71:CJ$86)+SUM(CL$71:CL$86)</f>
        <v>334.0518460446217</v>
      </c>
      <c r="O113" s="100">
        <f>SUM(CN$71:CN$86)+SUM(CP$71:CP$86)+SUM(CR$71:CR$86)+SUM(CT$71:CT$86)</f>
        <v>306.60801925447186</v>
      </c>
    </row>
    <row r="114" spans="2:15">
      <c r="C114" s="99" t="s">
        <v>131</v>
      </c>
      <c r="D114" s="100">
        <f>SUM(D$87:D$94)+SUM(F$87:F$94)+SUM(H$87:H$94)+SUM(J$87:J$94)</f>
        <v>149.0244466035613</v>
      </c>
      <c r="E114" s="100">
        <f>SUM(L$87:L$94)+SUM(N$87:N$94)+SUM(P$87:P$94)+SUM(R$87:R$94)</f>
        <v>142.11924451525195</v>
      </c>
      <c r="F114" s="100">
        <f>SUM(T$87:T$94)+SUM(V$87:V$94)+SUM(X$87:X$94)+SUM(Z$87:Z$94)</f>
        <v>125.40050873353908</v>
      </c>
      <c r="G114" s="100">
        <f>SUM(AB$87:AB$94)+SUM(AD$87:AD$94)+SUM(AF$87:AF$94)+SUM(AH$87:AH$94)</f>
        <v>125.01937226869806</v>
      </c>
      <c r="H114" s="100">
        <f>SUM(AJ$87:AJ$94)+SUM(AL$87:AL$94)+SUM(AN$87:AN$94)+SUM(AP$87:AP$94)</f>
        <v>189.80882764355846</v>
      </c>
      <c r="I114" s="100">
        <f>SUM(AR$87:AR$94)+SUM(AT$87:AT$94)+SUM(AV$87:AV$94)+SUM(AX$87:AX$94)</f>
        <v>102.92553883779296</v>
      </c>
      <c r="J114" s="100">
        <f>SUM(AZ$87:AZ$94)+SUM(BB$87:BB$94)+SUM(BD$87:BD$94)+SUM(BF$87:BF$94)</f>
        <v>157.35200499401157</v>
      </c>
      <c r="K114" s="100">
        <f>SUM(BH$87:BH$94)+SUM(BJ$87:BJ$94)+SUM(BL$87:BL$94)+SUM(BN$87:BN$94)</f>
        <v>202.44714203487416</v>
      </c>
      <c r="L114" s="100">
        <f>SUM(BP$87:BP$94)+SUM(BR$87:BR$94)+SUM(BT$87:BT$94)+SUM(BV$87:BV$94)</f>
        <v>112.49754494516498</v>
      </c>
      <c r="M114" s="100">
        <f>SUM(BX$87:BX$94)+SUM(BZ$87:BZ$94)+SUM(CB$87:CB$94)+SUM(CD$87:CD$94)</f>
        <v>183.46361305966857</v>
      </c>
      <c r="N114" s="100">
        <f>SUM(CF$87:CF$94)+SUM(CH$87:CH$94)+SUM(CJ$87:CJ$94)+SUM(CL$87:CL$94)</f>
        <v>129.43768753205632</v>
      </c>
      <c r="O114" s="100">
        <f>SUM(CN$87:CN$94)+SUM(CP$87:CP$94)+SUM(CR$87:CR$94)+SUM(CT$87:CT$94)</f>
        <v>144.73320169303318</v>
      </c>
    </row>
    <row r="115" spans="2:15">
      <c r="C115" s="99" t="s">
        <v>132</v>
      </c>
      <c r="D115" s="100">
        <f>SUM(D$95:D$105)+SUM(F$95:F$105)+SUM(H$95:H$105)+SUM(J$95:J$105)</f>
        <v>289.17444479464302</v>
      </c>
      <c r="E115" s="100">
        <f>SUM(L$95:L$105)+SUM(N$95:N$105)+SUM(P$95:P$105)+SUM(R$95:R$105)</f>
        <v>273.18854085594756</v>
      </c>
      <c r="F115" s="100">
        <f>SUM(T$95:T$105)+SUM(V$95:V$105)+SUM(X$95:X$105)+SUM(Z$95:Z$105)</f>
        <v>259.06362893446521</v>
      </c>
      <c r="G115" s="100">
        <f>SUM(AB$95:AB$105)+SUM(AD$95:AD$105)+SUM(AF$95:AF$105)+SUM(AH$95:AH$105)</f>
        <v>227.04362011294864</v>
      </c>
      <c r="H115" s="100">
        <f>SUM(AJ$95:AJ$105)+SUM(AL$95:AL$105)+SUM(AN$95:AN$105)+SUM(AP$95:AP$105)</f>
        <v>287.77068890166936</v>
      </c>
      <c r="I115" s="100">
        <f>SUM(AR$95:AR$105)+SUM(AT$95:AT$105)+SUM(AV$95:AV$105)+SUM(AX$95:AX$105)</f>
        <v>242.50754895613602</v>
      </c>
      <c r="J115" s="100">
        <f>SUM(AZ$95:AZ$105)+SUM(BB$95:BB$105)+SUM(BD$95:BD$105)+SUM(BF$95:BF$105)</f>
        <v>356.75001682619512</v>
      </c>
      <c r="K115" s="100">
        <f>SUM(BH$95:BH$105)+SUM(BJ$95:BJ$105)+SUM(BL$95:BL$105)+SUM(BN$95:BN$105)</f>
        <v>339.92617271058691</v>
      </c>
      <c r="L115" s="100">
        <f>SUM(BP$95:BP$105)+SUM(BR$95:BR$105)+SUM(BT$95:BT$105)+SUM(BV$95:BV$105)</f>
        <v>266.98855897900665</v>
      </c>
      <c r="M115" s="100">
        <f>SUM(BX$95:BX$105)+SUM(BZ$95:BZ$105)+SUM(CB$95:CB$105)+SUM(CD$95:CD$105)</f>
        <v>366</v>
      </c>
      <c r="N115" s="100">
        <f>SUM(CF$95:CF$105)+SUM(CH$95:CH$105)+SUM(CJ$95:CJ$105)+SUM(CL$95:CL$105)</f>
        <v>210.850131976054</v>
      </c>
      <c r="O115" s="100">
        <f>SUM(CN$95:CN$105)+SUM(CP$95:CP$105)+SUM(CR$95:CR$105)+SUM(CT$95:CT$105)</f>
        <v>279.16551379005659</v>
      </c>
    </row>
    <row r="116" spans="2:15">
      <c r="C116" s="99" t="s">
        <v>278</v>
      </c>
      <c r="D116" s="100">
        <f t="shared" ref="D116:O116" si="0">SUM(D$109:D$115)</f>
        <v>1861.3934547921144</v>
      </c>
      <c r="E116" s="100">
        <f t="shared" si="0"/>
        <v>2665.4859420663215</v>
      </c>
      <c r="F116" s="100">
        <f t="shared" si="0"/>
        <v>2410.4121386985184</v>
      </c>
      <c r="G116" s="100">
        <f t="shared" si="0"/>
        <v>2366.4868700128736</v>
      </c>
      <c r="H116" s="100">
        <f t="shared" si="0"/>
        <v>2192.9140683415217</v>
      </c>
      <c r="I116" s="100">
        <f t="shared" si="0"/>
        <v>1926.1470570747097</v>
      </c>
      <c r="J116" s="100">
        <f t="shared" si="0"/>
        <v>2919.5012775130244</v>
      </c>
      <c r="K116" s="100">
        <f t="shared" si="0"/>
        <v>2646.7033674551753</v>
      </c>
      <c r="L116" s="100">
        <f t="shared" si="0"/>
        <v>2553.5883395152878</v>
      </c>
      <c r="M116" s="100">
        <f t="shared" si="0"/>
        <v>1771.5639486634661</v>
      </c>
      <c r="N116" s="100">
        <f t="shared" si="0"/>
        <v>2837.7001577263036</v>
      </c>
      <c r="O116" s="100">
        <f t="shared" si="0"/>
        <v>2245.1179684164372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2017203.0940627912</v>
      </c>
      <c r="E120" s="100">
        <f>E109*pricing!E24*2000</f>
        <v>2979200</v>
      </c>
      <c r="F120" s="100">
        <f>F109*pricing!F24*2000</f>
        <v>2866398.1857502735</v>
      </c>
      <c r="G120" s="100">
        <f>G109*pricing!G24*2000</f>
        <v>2764933.9444499398</v>
      </c>
      <c r="H120" s="100">
        <f>H109*pricing!H24*2000</f>
        <v>2083730.1322540597</v>
      </c>
      <c r="I120" s="100">
        <f>I109*pricing!I24*2000</f>
        <v>1591280.9929391169</v>
      </c>
      <c r="J120" s="100">
        <f>J109*pricing!J24*2000</f>
        <v>3675224.666942542</v>
      </c>
      <c r="K120" s="100">
        <f>K109*pricing!K24*2000</f>
        <v>3581503.0635814741</v>
      </c>
      <c r="L120" s="100">
        <f>L109*pricing!L24*2000</f>
        <v>2920065.036001774</v>
      </c>
      <c r="M120" s="100">
        <f>M109*pricing!M24*2000</f>
        <v>1566626.4944632368</v>
      </c>
      <c r="N120" s="100">
        <f>N109*pricing!N24*2000</f>
        <v>4119200</v>
      </c>
      <c r="O120" s="100">
        <f>O109*pricing!O24*2000</f>
        <v>2428595.5302083157</v>
      </c>
    </row>
    <row r="121" spans="2:15">
      <c r="C121" s="99" t="s">
        <v>127</v>
      </c>
      <c r="D121" s="100">
        <f>D110*pricing!D25*2000</f>
        <v>3854972.308241636</v>
      </c>
      <c r="E121" s="100">
        <f>E110*pricing!E25*2000</f>
        <v>5920400</v>
      </c>
      <c r="F121" s="100">
        <f>F110*pricing!F25*2000</f>
        <v>5022103.5404669708</v>
      </c>
      <c r="G121" s="100">
        <f>G110*pricing!G25*2000</f>
        <v>5321450.9582766574</v>
      </c>
      <c r="H121" s="100">
        <f>H110*pricing!H25*2000</f>
        <v>4502560.0565819489</v>
      </c>
      <c r="I121" s="100">
        <f>I110*pricing!I25*2000</f>
        <v>4044843.7976314938</v>
      </c>
      <c r="J121" s="100">
        <f>J110*pricing!J25*2000</f>
        <v>5487999.2830321705</v>
      </c>
      <c r="K121" s="100">
        <f>K110*pricing!K25*2000</f>
        <v>5529851.0341553213</v>
      </c>
      <c r="L121" s="100">
        <f>L110*pricing!L25*2000</f>
        <v>5761182.119689635</v>
      </c>
      <c r="M121" s="100">
        <f>M110*pricing!M25*2000</f>
        <v>2650515.8176586423</v>
      </c>
      <c r="N121" s="100">
        <f>N110*pricing!N25*2000</f>
        <v>6026799.9999999991</v>
      </c>
      <c r="O121" s="100">
        <f>O110*pricing!O25*2000</f>
        <v>4579278.5862653404</v>
      </c>
    </row>
    <row r="122" spans="2:15">
      <c r="C122" s="99" t="s">
        <v>128</v>
      </c>
      <c r="D122" s="100">
        <f>D111*pricing!D26*2000</f>
        <v>1652043.5357476743</v>
      </c>
      <c r="E122" s="100">
        <f>E111*pricing!E26*2000</f>
        <v>2485200</v>
      </c>
      <c r="F122" s="100">
        <f>F111*pricing!F26*2000</f>
        <v>2311221.2801180589</v>
      </c>
      <c r="G122" s="100">
        <f>G111*pricing!G26*2000</f>
        <v>2103689.3016838301</v>
      </c>
      <c r="H122" s="100">
        <f>H111*pricing!H26*2000</f>
        <v>1991613.9326324984</v>
      </c>
      <c r="I122" s="100">
        <f>I111*pricing!I26*2000</f>
        <v>1746661.8129600522</v>
      </c>
      <c r="J122" s="100">
        <f>J111*pricing!J26*2000</f>
        <v>2783540.5318865241</v>
      </c>
      <c r="K122" s="100">
        <f>K111*pricing!K26*2000</f>
        <v>2298235.8476250786</v>
      </c>
      <c r="L122" s="100">
        <f>L111*pricing!L26*2000</f>
        <v>2635721.2667367836</v>
      </c>
      <c r="M122" s="100">
        <f>M111*pricing!M26*2000</f>
        <v>1091040.3873385368</v>
      </c>
      <c r="N122" s="100">
        <f>N111*pricing!N26*2000</f>
        <v>2819600</v>
      </c>
      <c r="O122" s="100">
        <f>O111*pricing!O26*2000</f>
        <v>1923892.5222812453</v>
      </c>
    </row>
    <row r="123" spans="2:15">
      <c r="C123" s="99" t="s">
        <v>129</v>
      </c>
      <c r="D123" s="100">
        <f>D112*pricing!D27*2000</f>
        <v>2031026.6254201792</v>
      </c>
      <c r="E123" s="100">
        <f>E112*pricing!E27*2000</f>
        <v>3375753.9908829285</v>
      </c>
      <c r="F123" s="100">
        <f>F112*pricing!F27*2000</f>
        <v>2905928.4413187592</v>
      </c>
      <c r="G123" s="100">
        <f>G112*pricing!G27*2000</f>
        <v>2596347.2655868968</v>
      </c>
      <c r="H123" s="100">
        <f>H112*pricing!H27*2000</f>
        <v>2803279.1728236424</v>
      </c>
      <c r="I123" s="100">
        <f>I112*pricing!I27*2000</f>
        <v>2684071.6727202958</v>
      </c>
      <c r="J123" s="100">
        <f>J112*pricing!J27*2000</f>
        <v>3933375.2936196649</v>
      </c>
      <c r="K123" s="100">
        <f>K112*pricing!K27*2000</f>
        <v>2659151.4314623564</v>
      </c>
      <c r="L123" s="100">
        <f>L112*pricing!L27*2000</f>
        <v>2743808.5680642882</v>
      </c>
      <c r="M123" s="100">
        <f>M112*pricing!M27*2000</f>
        <v>1780579.9904957402</v>
      </c>
      <c r="N123" s="100">
        <f>N112*pricing!N27*2000</f>
        <v>3475939.7405191408</v>
      </c>
      <c r="O123" s="100">
        <f>O112*pricing!O27*2000</f>
        <v>2579278.737204554</v>
      </c>
    </row>
    <row r="124" spans="2:15">
      <c r="C124" s="99" t="s">
        <v>130</v>
      </c>
      <c r="D124" s="100">
        <f>D113*pricing!D28*2000</f>
        <v>1261033.1183214351</v>
      </c>
      <c r="E124" s="100">
        <f>E113*pricing!E28*2000</f>
        <v>2340799.9999999995</v>
      </c>
      <c r="F124" s="100">
        <f>F113*pricing!F28*2000</f>
        <v>2291553.3601778406</v>
      </c>
      <c r="G124" s="100">
        <f>G113*pricing!G28*2000</f>
        <v>2523200</v>
      </c>
      <c r="H124" s="100">
        <f>H113*pricing!H28*2000</f>
        <v>1655359.2993596822</v>
      </c>
      <c r="I124" s="100">
        <f>I113*pricing!I28*2000</f>
        <v>1946567.8902829725</v>
      </c>
      <c r="J124" s="100">
        <f>J113*pricing!J28*2000</f>
        <v>2400894.5677845138</v>
      </c>
      <c r="K124" s="100">
        <f>K113*pricing!K28*2000</f>
        <v>1924167.0237695975</v>
      </c>
      <c r="L124" s="100">
        <f>L113*pricing!L28*2000</f>
        <v>2462400</v>
      </c>
      <c r="M124" s="100">
        <f>M113*pricing!M28*2000</f>
        <v>2199199.8606327041</v>
      </c>
      <c r="N124" s="100">
        <f>N113*pricing!N28*2000</f>
        <v>2538794.0299391248</v>
      </c>
      <c r="O124" s="100">
        <f>O113*pricing!O28*2000</f>
        <v>2330220.9463339858</v>
      </c>
    </row>
    <row r="125" spans="2:15">
      <c r="C125" s="99" t="s">
        <v>131</v>
      </c>
      <c r="D125" s="100">
        <f>D114*pricing!D29*2000</f>
        <v>1132585.7941870659</v>
      </c>
      <c r="E125" s="100">
        <f>E114*pricing!E29*2000</f>
        <v>1080106.2583159148</v>
      </c>
      <c r="F125" s="100">
        <f>F114*pricing!F29*2000</f>
        <v>953043.86637489696</v>
      </c>
      <c r="G125" s="100">
        <f>G114*pricing!G29*2000</f>
        <v>950147.22924210527</v>
      </c>
      <c r="H125" s="100">
        <f>H114*pricing!H29*2000</f>
        <v>1442547.0900910443</v>
      </c>
      <c r="I125" s="100">
        <f>I114*pricing!I29*2000</f>
        <v>782234.09516722639</v>
      </c>
      <c r="J125" s="100">
        <f>J114*pricing!J29*2000</f>
        <v>1195875.2379544878</v>
      </c>
      <c r="K125" s="100">
        <f>K114*pricing!K29*2000</f>
        <v>1538598.2794650435</v>
      </c>
      <c r="L125" s="100">
        <f>L114*pricing!L29*2000</f>
        <v>854981.34158325382</v>
      </c>
      <c r="M125" s="100">
        <f>M114*pricing!M29*2000</f>
        <v>1394323.4592534811</v>
      </c>
      <c r="N125" s="100">
        <f>N114*pricing!N29*2000</f>
        <v>983726.42524362798</v>
      </c>
      <c r="O125" s="100">
        <f>O114*pricing!O29*2000</f>
        <v>1099972.3328670519</v>
      </c>
    </row>
    <row r="126" spans="2:15">
      <c r="C126" s="99" t="s">
        <v>132</v>
      </c>
      <c r="D126" s="100">
        <f>D115*pricing!D30*2000</f>
        <v>2197725.780439287</v>
      </c>
      <c r="E126" s="100">
        <f>E115*pricing!E30*2000</f>
        <v>2076232.9105052012</v>
      </c>
      <c r="F126" s="100">
        <f>F115*pricing!F30*2000</f>
        <v>1968883.5799019355</v>
      </c>
      <c r="G126" s="100">
        <f>G115*pricing!G30*2000</f>
        <v>1725531.5128584094</v>
      </c>
      <c r="H126" s="100">
        <f>H115*pricing!H30*2000</f>
        <v>2187057.235652687</v>
      </c>
      <c r="I126" s="100">
        <f>I115*pricing!I30*2000</f>
        <v>1843057.3720666338</v>
      </c>
      <c r="J126" s="100">
        <f>J115*pricing!J30*2000</f>
        <v>2711300.1278790832</v>
      </c>
      <c r="K126" s="100">
        <f>K115*pricing!K30*2000</f>
        <v>2583438.9126004605</v>
      </c>
      <c r="L126" s="100">
        <f>L115*pricing!L30*2000</f>
        <v>2029113.0482404504</v>
      </c>
      <c r="M126" s="100">
        <f>M115*pricing!M30*2000</f>
        <v>2781600</v>
      </c>
      <c r="N126" s="100">
        <f>N115*pricing!N30*2000</f>
        <v>1602461.0030180104</v>
      </c>
      <c r="O126" s="100">
        <f>O115*pricing!O30*2000</f>
        <v>2121657.90480443</v>
      </c>
    </row>
    <row r="127" spans="2:15">
      <c r="C127" s="99" t="s">
        <v>278</v>
      </c>
      <c r="D127" s="100">
        <f t="shared" ref="D127:O127" si="1">SUM(D$120:D$126)</f>
        <v>14146590.25642007</v>
      </c>
      <c r="E127" s="100">
        <f t="shared" si="1"/>
        <v>20257693.159704044</v>
      </c>
      <c r="F127" s="100">
        <f t="shared" si="1"/>
        <v>18319132.254108734</v>
      </c>
      <c r="G127" s="100">
        <f t="shared" si="1"/>
        <v>17985300.212097839</v>
      </c>
      <c r="H127" s="100">
        <f t="shared" si="1"/>
        <v>16666146.919395562</v>
      </c>
      <c r="I127" s="100">
        <f t="shared" si="1"/>
        <v>14638717.633767791</v>
      </c>
      <c r="J127" s="100">
        <f t="shared" si="1"/>
        <v>22188209.709098984</v>
      </c>
      <c r="K127" s="100">
        <f t="shared" si="1"/>
        <v>20114945.592659332</v>
      </c>
      <c r="L127" s="100">
        <f t="shared" si="1"/>
        <v>19407271.380316187</v>
      </c>
      <c r="M127" s="100">
        <f t="shared" si="1"/>
        <v>13463886.009842342</v>
      </c>
      <c r="N127" s="100">
        <f t="shared" si="1"/>
        <v>21566521.198719904</v>
      </c>
      <c r="O127" s="100">
        <f t="shared" si="1"/>
        <v>17062896.559964921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134081.42564342223</v>
      </c>
      <c r="E131" s="106">
        <f>SUM(M$6:M$19)+SUM(O$6:O$19)+SUM(Q$6:Q$19)+SUM(S$6:S$19)</f>
        <v>197906.40000000002</v>
      </c>
      <c r="F131" s="106">
        <f>SUM(U$6:U$19)+SUM(W$6:W$19)+SUM(Y$6:Y$19)+SUM(AA$6:AA$19)</f>
        <v>191269.54834173349</v>
      </c>
      <c r="G131" s="106">
        <f>SUM(AC$6:AC$19)+SUM(AE$6:AE$19)+SUM(AG$6:AG$19)+SUM(AI$6:AI$19)</f>
        <v>184020.36453591625</v>
      </c>
      <c r="H131" s="106">
        <f>SUM(AK$6:AK$19)+SUM(AM$6:AM$19)+SUM(AO$6:AO$19)+SUM(AQ$6:AQ$19)</f>
        <v>137926.48023337446</v>
      </c>
      <c r="I131" s="106">
        <f>SUM(AS$6:AS$19)+SUM(AU$6:AU$19)+SUM(AW$6:AW$19)+SUM(AY$6:AY$19)</f>
        <v>105668.99512194115</v>
      </c>
      <c r="J131" s="106">
        <f>SUM(BA$6:BA$19)+SUM(BC$6:BC$19)+SUM(BE$6:BE$19)+SUM(BG$6:BG$19)</f>
        <v>244607.80414010084</v>
      </c>
      <c r="K131" s="106">
        <f>SUM(BI$6:BI$19)+SUM(BK$6:BK$19)+SUM(BM$6:BM$19)+SUM(BO$6:BO$19)</f>
        <v>237904.35569258346</v>
      </c>
      <c r="L131" s="106">
        <f>SUM(BQ$6:BQ$19)+SUM(BS$6:BS$19)+SUM(BU$6:BU$19)+SUM(BW$6:BW$19)</f>
        <v>194731.58841063528</v>
      </c>
      <c r="M131" s="106">
        <f>SUM(BY$6:BY$19)+SUM(CA$6:CA$19)+SUM(CC$6:CC$19)+SUM(CE$6:CE$19)</f>
        <v>104436.55333962764</v>
      </c>
      <c r="N131" s="106">
        <f>SUM(CG$6:CG$19)+SUM(CI$6:CI$19)+SUM(CK$6:CK$19)+SUM(CM$6:CM$19)</f>
        <v>273885.59999999998</v>
      </c>
      <c r="O131" s="106">
        <f>SUM(CO$6:CO$19)+SUM(CQ$6:CQ$19)+SUM(CS$6:CS$19)+SUM(CU$6:CU$19)</f>
        <v>163035.0230061427</v>
      </c>
    </row>
    <row r="132" spans="2:15">
      <c r="C132" s="105" t="s">
        <v>127</v>
      </c>
      <c r="D132" s="106">
        <f>SUM(E$20:E$36)+SUM(G$20:G$36)+SUM(I$20:I$36)+SUM(K$20:K$36)</f>
        <v>217527.39289319422</v>
      </c>
      <c r="E132" s="106">
        <f>SUM(M$20:M$36)+SUM(O$20:O$36)+SUM(Q$20:Q$36)+SUM(S$20:S$36)</f>
        <v>332289.59999999998</v>
      </c>
      <c r="F132" s="106">
        <f>SUM(U$20:U$36)+SUM(W$20:W$36)+SUM(Y$20:Y$36)+SUM(AA$20:AA$36)</f>
        <v>281724.49876085896</v>
      </c>
      <c r="G132" s="106">
        <f>SUM(AC$20:AC$36)+SUM(AE$20:AE$36)+SUM(AG$20:AG$36)+SUM(AI$20:AI$36)</f>
        <v>301239.80311630783</v>
      </c>
      <c r="H132" s="106">
        <f>SUM(AK$20:AK$36)+SUM(AM$20:AM$36)+SUM(AO$20:AO$36)+SUM(AQ$20:AQ$36)</f>
        <v>254628.52168186763</v>
      </c>
      <c r="I132" s="106">
        <f>SUM(AS$20:AS$36)+SUM(AU$20:AU$36)+SUM(AW$20:AW$36)+SUM(AY$20:AY$36)</f>
        <v>229481.53882363482</v>
      </c>
      <c r="J132" s="106">
        <f>SUM(BA$20:BA$36)+SUM(BC$20:BC$36)+SUM(BE$20:BE$36)+SUM(BG$20:BG$36)</f>
        <v>308314.5237937232</v>
      </c>
      <c r="K132" s="106">
        <f>SUM(BI$20:BI$36)+SUM(BK$20:BK$36)+SUM(BM$20:BM$36)+SUM(BO$20:BO$36)</f>
        <v>311484.06943169591</v>
      </c>
      <c r="L132" s="106">
        <f>SUM(BQ$20:BQ$36)+SUM(BS$20:BS$36)+SUM(BU$20:BU$36)+SUM(BW$20:BW$36)</f>
        <v>324427.66725684464</v>
      </c>
      <c r="M132" s="106">
        <f>SUM(BY$20:BY$36)+SUM(CA$20:CA$36)+SUM(CC$20:CC$36)+SUM(CE$20:CE$36)</f>
        <v>150083.47051966091</v>
      </c>
      <c r="N132" s="106">
        <f>SUM(CG$20:CG$36)+SUM(CI$20:CI$36)+SUM(CK$20:CK$36)+SUM(CM$20:CM$36)</f>
        <v>339566.4</v>
      </c>
      <c r="O132" s="106">
        <f>SUM(CO$20:CO$36)+SUM(CQ$20:CQ$36)+SUM(CS$20:CS$36)+SUM(CU$20:CU$36)</f>
        <v>259750.38624818745</v>
      </c>
    </row>
    <row r="133" spans="2:15">
      <c r="C133" s="105" t="s">
        <v>128</v>
      </c>
      <c r="D133" s="106">
        <f>SUM(E$37:E$48)+SUM(G$37:G$48)+SUM(I$37:I$48)+SUM(K$37:K$48)</f>
        <v>227818.99609279854</v>
      </c>
      <c r="E133" s="106">
        <f>SUM(M$37:M$48)+SUM(O$37:O$48)+SUM(Q$37:Q$48)+SUM(S$37:S$48)</f>
        <v>343086</v>
      </c>
      <c r="F133" s="106">
        <f>SUM(U$37:U$48)+SUM(W$37:W$48)+SUM(Y$37:Y$48)+SUM(AA$37:AA$48)</f>
        <v>318867.00770197378</v>
      </c>
      <c r="G133" s="106">
        <f>SUM(AC$37:AC$48)+SUM(AE$37:AE$48)+SUM(AG$37:AG$48)+SUM(AI$37:AI$48)</f>
        <v>291012.78431579791</v>
      </c>
      <c r="H133" s="106">
        <f>SUM(AK$37:AK$48)+SUM(AM$37:AM$48)+SUM(AO$37:AO$48)+SUM(AQ$37:AQ$48)</f>
        <v>276163.31512429845</v>
      </c>
      <c r="I133" s="106">
        <f>SUM(AS$37:AS$48)+SUM(AU$37:AU$48)+SUM(AW$37:AW$48)+SUM(AY$37:AY$48)</f>
        <v>241723.91294719753</v>
      </c>
      <c r="J133" s="106">
        <f>SUM(BA$37:BA$48)+SUM(BC$37:BC$48)+SUM(BE$37:BE$48)+SUM(BG$37:BG$48)</f>
        <v>384465.50865590438</v>
      </c>
      <c r="K133" s="106">
        <f>SUM(BI$37:BI$48)+SUM(BK$37:BK$48)+SUM(BM$37:BM$48)+SUM(BO$37:BO$48)</f>
        <v>317070.05928707018</v>
      </c>
      <c r="L133" s="106">
        <f>SUM(BQ$37:BQ$48)+SUM(BS$37:BS$48)+SUM(BU$37:BU$48)+SUM(BW$37:BW$48)</f>
        <v>363394.9841815409</v>
      </c>
      <c r="M133" s="106">
        <f>SUM(BY$37:BY$48)+SUM(CA$37:CA$48)+SUM(CC$37:CC$48)+SUM(CE$37:CE$48)</f>
        <v>151186.01338152064</v>
      </c>
      <c r="N133" s="106">
        <f>SUM(CG$37:CG$48)+SUM(CI$37:CI$48)+SUM(CK$37:CK$48)+SUM(CM$37:CM$48)</f>
        <v>388242</v>
      </c>
      <c r="O133" s="106">
        <f>SUM(CO$37:CO$48)+SUM(CQ$37:CQ$48)+SUM(CS$37:CS$48)+SUM(CU$37:CU$48)</f>
        <v>267134.78406798316</v>
      </c>
    </row>
    <row r="134" spans="2:15">
      <c r="C134" s="105" t="s">
        <v>129</v>
      </c>
      <c r="D134" s="106">
        <f>SUM(E$49:E$70)+SUM(G$49:G$70)+SUM(I$49:I$70)+SUM(K$49:K$70)</f>
        <v>227733.33554675063</v>
      </c>
      <c r="E134" s="106">
        <f>SUM(M$49:M$70)+SUM(O$49:O$70)+SUM(Q$49:Q$70)+SUM(S$49:S$70)</f>
        <v>370926.11563056672</v>
      </c>
      <c r="F134" s="106">
        <f>SUM(U$49:U$70)+SUM(W$49:W$70)+SUM(Y$49:Y$70)+SUM(AA$49:AA$70)</f>
        <v>319038.70487531368</v>
      </c>
      <c r="G134" s="106">
        <f>SUM(AC$49:AC$70)+SUM(AE$49:AE$70)+SUM(AG$49:AG$70)+SUM(AI$49:AI$70)</f>
        <v>282561.01482377615</v>
      </c>
      <c r="H134" s="106">
        <f>SUM(AK$49:AK$70)+SUM(AM$49:AM$70)+SUM(AO$49:AO$70)+SUM(AQ$49:AQ$70)</f>
        <v>318471.41962587443</v>
      </c>
      <c r="I134" s="106">
        <f>SUM(AS$49:AS$70)+SUM(AU$49:AU$70)+SUM(AW$49:AW$70)+SUM(AY$49:AY$70)</f>
        <v>295591.67202309746</v>
      </c>
      <c r="J134" s="106">
        <f>SUM(BA$49:BA$70)+SUM(BC$49:BC$70)+SUM(BE$49:BE$70)+SUM(BG$49:BG$70)</f>
        <v>431878.72690170503</v>
      </c>
      <c r="K134" s="106">
        <f>SUM(BI$49:BI$70)+SUM(BK$49:BK$70)+SUM(BM$49:BM$70)+SUM(BO$49:BO$70)</f>
        <v>295745.36513731087</v>
      </c>
      <c r="L134" s="106">
        <f>SUM(BQ$49:BQ$70)+SUM(BS$49:BS$70)+SUM(BU$49:BU$70)+SUM(BW$49:BW$70)</f>
        <v>303370.01307947439</v>
      </c>
      <c r="M134" s="106">
        <f>SUM(BY$49:BY$70)+SUM(CA$49:CA$70)+SUM(CC$49:CC$70)+SUM(CE$49:CE$70)</f>
        <v>212643.94862154653</v>
      </c>
      <c r="N134" s="106">
        <f>SUM(CG$49:CG$70)+SUM(CI$49:CI$70)+SUM(CK$49:CK$70)+SUM(CM$49:CM$70)</f>
        <v>378932.72298541153</v>
      </c>
      <c r="O134" s="106">
        <f>SUM(CO$49:CO$70)+SUM(CQ$49:CQ$70)+SUM(CS$49:CS$70)+SUM(CU$49:CU$70)</f>
        <v>289040.96633052238</v>
      </c>
    </row>
    <row r="135" spans="2:15">
      <c r="C135" s="105" t="s">
        <v>130</v>
      </c>
      <c r="D135" s="106">
        <f>SUM(E$71:E$86)+SUM(G$71:G$86)+SUM(I$71:I$86)+SUM(K$71:K$86)</f>
        <v>93186.503478479965</v>
      </c>
      <c r="E135" s="106">
        <f>SUM(M$71:M$86)+SUM(O$71:O$86)+SUM(Q$71:Q$86)+SUM(S$71:S$86)</f>
        <v>174301.2</v>
      </c>
      <c r="F135" s="106">
        <f>SUM(U$71:U$86)+SUM(W$71:W$86)+SUM(Y$71:Y$86)+SUM(AA$71:AA$86)</f>
        <v>168226.04792463919</v>
      </c>
      <c r="G135" s="106">
        <f>SUM(AC$71:AC$86)+SUM(AE$71:AE$86)+SUM(AG$71:AG$86)+SUM(AI$71:AI$86)</f>
        <v>186813.6</v>
      </c>
      <c r="H135" s="106">
        <f>SUM(AK$71:AK$86)+SUM(AM$71:AM$86)+SUM(AO$71:AO$86)+SUM(AQ$71:AQ$86)</f>
        <v>121554.28460470626</v>
      </c>
      <c r="I135" s="106">
        <f>SUM(AS$71:AS$86)+SUM(AU$71:AU$86)+SUM(AW$71:AW$86)+SUM(AY$71:AY$86)</f>
        <v>142078.82755001308</v>
      </c>
      <c r="J135" s="106">
        <f>SUM(BA$71:BA$86)+SUM(BC$71:BC$86)+SUM(BE$71:BE$86)+SUM(BG$71:BG$86)</f>
        <v>176309.38445262142</v>
      </c>
      <c r="K135" s="106">
        <f>SUM(BI$71:BI$86)+SUM(BK$71:BK$86)+SUM(BM$71:BM$86)+SUM(BO$71:BO$86)</f>
        <v>143005.06650853009</v>
      </c>
      <c r="L135" s="106">
        <f>SUM(BQ$71:BQ$86)+SUM(BS$71:BS$86)+SUM(BU$71:BU$86)+SUM(BW$71:BW$86)</f>
        <v>180549.6</v>
      </c>
      <c r="M135" s="106">
        <f>SUM(BY$71:BY$86)+SUM(CA$71:CA$86)+SUM(CC$71:CC$86)+SUM(CE$71:CE$86)</f>
        <v>161604.0677493746</v>
      </c>
      <c r="N135" s="106">
        <f>SUM(CG$71:CG$86)+SUM(CI$71:CI$86)+SUM(CK$71:CK$86)+SUM(CM$71:CM$86)</f>
        <v>187446.74231208055</v>
      </c>
      <c r="O135" s="106">
        <f>SUM(CO$71:CO$86)+SUM(CQ$71:CQ$86)+SUM(CS$71:CS$86)+SUM(CU$71:CU$86)</f>
        <v>170370.07564219311</v>
      </c>
    </row>
    <row r="136" spans="2:15">
      <c r="C136" s="105" t="s">
        <v>131</v>
      </c>
      <c r="D136" s="106">
        <f>SUM(E$87:E$94)+SUM(G$87:G$94)+SUM(I$87:I$94)+SUM(K$87:K$94)</f>
        <v>150704.80020740911</v>
      </c>
      <c r="E136" s="106">
        <f>SUM(M$87:M$94)+SUM(O$87:O$94)+SUM(Q$87:Q$94)+SUM(S$87:S$94)</f>
        <v>142825.0965106705</v>
      </c>
      <c r="F136" s="106">
        <f>SUM(U$87:U$94)+SUM(W$87:W$94)+SUM(Y$87:Y$94)+SUM(AA$87:AA$94)</f>
        <v>125749.9753772929</v>
      </c>
      <c r="G136" s="106">
        <f>SUM(AC$87:AC$94)+SUM(AE$87:AE$94)+SUM(AG$87:AG$94)+SUM(AI$87:AI$94)</f>
        <v>125046.52659466675</v>
      </c>
      <c r="H136" s="106">
        <f>SUM(AK$87:AK$94)+SUM(AM$87:AM$94)+SUM(AO$87:AO$94)+SUM(AQ$87:AQ$94)</f>
        <v>190935.00967612499</v>
      </c>
      <c r="I136" s="106">
        <f>SUM(AS$87:AS$94)+SUM(AU$87:AU$94)+SUM(AW$87:AW$94)+SUM(AY$87:AY$94)</f>
        <v>103350.00610974117</v>
      </c>
      <c r="J136" s="106">
        <f>SUM(BA$87:BA$94)+SUM(BC$87:BC$94)+SUM(BE$87:BE$94)+SUM(BG$87:BG$94)</f>
        <v>158161.61519618827</v>
      </c>
      <c r="K136" s="106">
        <f>SUM(BI$87:BI$94)+SUM(BK$87:BK$94)+SUM(BM$87:BM$94)+SUM(BO$87:BO$94)</f>
        <v>203059.02394152177</v>
      </c>
      <c r="L136" s="106">
        <f>SUM(BQ$87:BQ$94)+SUM(BS$87:BS$94)+SUM(BU$87:BU$94)+SUM(BW$87:BW$94)</f>
        <v>112666.93144685081</v>
      </c>
      <c r="M136" s="106">
        <f>SUM(BY$87:BY$94)+SUM(CA$87:CA$94)+SUM(CC$87:CC$94)+SUM(CE$87:CE$94)</f>
        <v>184278.99435104217</v>
      </c>
      <c r="N136" s="106">
        <f>SUM(CG$87:CG$94)+SUM(CI$87:CI$94)+SUM(CK$87:CK$94)+SUM(CM$87:CM$94)</f>
        <v>130134.24428243849</v>
      </c>
      <c r="O136" s="106">
        <f>SUM(CO$87:CO$94)+SUM(CQ$87:CQ$94)+SUM(CS$87:CS$94)+SUM(CU$87:CU$94)</f>
        <v>145593.05587899042</v>
      </c>
    </row>
    <row r="137" spans="2:15">
      <c r="C137" s="105" t="s">
        <v>132</v>
      </c>
      <c r="D137" s="106">
        <f>SUM(E$95:E$105)+SUM(G$95:G$105)+SUM(I$95:I$105)+SUM(K$95:K$105)</f>
        <v>228859.97183233913</v>
      </c>
      <c r="E137" s="106">
        <f>SUM(M$95:M$105)+SUM(O$95:O$105)+SUM(Q$95:Q$105)+SUM(S$95:S$105)</f>
        <v>221018.25670460516</v>
      </c>
      <c r="F137" s="106">
        <f>SUM(U$95:U$105)+SUM(W$95:W$105)+SUM(Y$95:Y$105)+SUM(AA$95:AA$105)</f>
        <v>207429.8650735305</v>
      </c>
      <c r="G137" s="106">
        <f>SUM(AC$95:AC$105)+SUM(AE$95:AE$105)+SUM(AG$95:AG$105)+SUM(AI$95:AI$105)</f>
        <v>178327.06700651022</v>
      </c>
      <c r="H137" s="106">
        <f>SUM(AK$95:AK$105)+SUM(AM$95:AM$105)+SUM(AO$95:AO$105)+SUM(AQ$95:AQ$105)</f>
        <v>236929.27459982631</v>
      </c>
      <c r="I137" s="106">
        <f>SUM(AS$95:AS$105)+SUM(AU$95:AU$105)+SUM(AW$95:AW$105)+SUM(AY$95:AY$105)</f>
        <v>197202.2567729326</v>
      </c>
      <c r="J137" s="106">
        <f>SUM(BA$95:BA$105)+SUM(BC$95:BC$105)+SUM(BE$95:BE$105)+SUM(BG$95:BG$105)</f>
        <v>292074.39686669514</v>
      </c>
      <c r="K137" s="106">
        <f>SUM(BI$95:BI$105)+SUM(BK$95:BK$105)+SUM(BM$95:BM$105)+SUM(BO$95:BO$105)</f>
        <v>275766.76733768597</v>
      </c>
      <c r="L137" s="106">
        <f>SUM(BQ$95:BQ$105)+SUM(BS$95:BS$105)+SUM(BU$95:BU$105)+SUM(BW$95:BW$105)</f>
        <v>212998.48645092733</v>
      </c>
      <c r="M137" s="106">
        <f>SUM(BY$95:BY$105)+SUM(CA$95:CA$105)+SUM(CC$95:CC$105)+SUM(CE$95:CE$105)</f>
        <v>300112.8</v>
      </c>
      <c r="N137" s="106">
        <f>SUM(CG$95:CG$105)+SUM(CI$95:CI$105)+SUM(CK$95:CK$105)+SUM(CM$95:CM$105)</f>
        <v>170849.37833834114</v>
      </c>
      <c r="O137" s="106">
        <f>SUM(CO$95:CO$105)+SUM(CQ$95:CQ$105)+SUM(CS$95:CS$105)+SUM(CU$95:CU$105)</f>
        <v>229354.95648949943</v>
      </c>
    </row>
    <row r="138" spans="2:15">
      <c r="C138" s="105" t="s">
        <v>278</v>
      </c>
      <c r="D138" s="100">
        <f t="shared" ref="D138:O138" si="2">SUM(D$131:D$137)</f>
        <v>1279912.4256943939</v>
      </c>
      <c r="E138" s="100">
        <f t="shared" si="2"/>
        <v>1782352.6688458421</v>
      </c>
      <c r="F138" s="100">
        <f t="shared" si="2"/>
        <v>1612305.6480553425</v>
      </c>
      <c r="G138" s="100">
        <f t="shared" si="2"/>
        <v>1549021.1603929752</v>
      </c>
      <c r="H138" s="100">
        <f t="shared" si="2"/>
        <v>1536608.3055460723</v>
      </c>
      <c r="I138" s="100">
        <f t="shared" si="2"/>
        <v>1315097.209348558</v>
      </c>
      <c r="J138" s="100">
        <f t="shared" si="2"/>
        <v>1995811.9600069383</v>
      </c>
      <c r="K138" s="100">
        <f t="shared" si="2"/>
        <v>1784034.7073363983</v>
      </c>
      <c r="L138" s="100">
        <f t="shared" si="2"/>
        <v>1692139.2708262734</v>
      </c>
      <c r="M138" s="100">
        <f t="shared" si="2"/>
        <v>1264345.8479627725</v>
      </c>
      <c r="N138" s="100">
        <f t="shared" si="2"/>
        <v>1869057.0879182715</v>
      </c>
      <c r="O138" s="100">
        <f t="shared" si="2"/>
        <v>1524279.2476635186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3.958366979608591</v>
      </c>
      <c r="E6" s="100">
        <v>2289.5194610056087</v>
      </c>
      <c r="F6" s="100">
        <v>2.6936057157165747</v>
      </c>
      <c r="G6" s="100">
        <v>1557.9815459704666</v>
      </c>
      <c r="H6" s="100">
        <v>9.0898529214194888</v>
      </c>
      <c r="I6" s="100">
        <v>5257.5709297490321</v>
      </c>
      <c r="J6" s="100">
        <v>7</v>
      </c>
      <c r="K6" s="100">
        <v>4048.7999999999997</v>
      </c>
      <c r="L6" s="100">
        <v>8</v>
      </c>
      <c r="M6" s="100">
        <v>4627.2</v>
      </c>
      <c r="N6" s="100">
        <v>5</v>
      </c>
      <c r="O6" s="100">
        <v>2892</v>
      </c>
      <c r="P6" s="100">
        <v>5.550307258392051</v>
      </c>
      <c r="Q6" s="100">
        <v>3210.2977182539621</v>
      </c>
      <c r="R6" s="100">
        <v>2.552730993238153</v>
      </c>
      <c r="S6" s="100">
        <v>1476.4996064889476</v>
      </c>
      <c r="T6" s="100">
        <v>9</v>
      </c>
      <c r="U6" s="100">
        <v>5205.5999999999995</v>
      </c>
      <c r="V6" s="100">
        <v>5</v>
      </c>
      <c r="W6" s="100">
        <v>2892</v>
      </c>
      <c r="X6" s="100">
        <v>0.28338542435939018</v>
      </c>
      <c r="Y6" s="100">
        <v>163.91012944947127</v>
      </c>
      <c r="Z6" s="100">
        <v>7</v>
      </c>
      <c r="AA6" s="100">
        <v>4048.7999999999997</v>
      </c>
      <c r="AB6" s="100">
        <v>5</v>
      </c>
      <c r="AC6" s="100">
        <v>2892</v>
      </c>
      <c r="AD6" s="100">
        <v>3.0319770903304146</v>
      </c>
      <c r="AE6" s="100">
        <v>1753.6955490471119</v>
      </c>
      <c r="AF6" s="100">
        <v>3.4442918599665249</v>
      </c>
      <c r="AG6" s="100">
        <v>1992.178411804638</v>
      </c>
      <c r="AH6" s="100">
        <v>9.2501468627140042</v>
      </c>
      <c r="AI6" s="100">
        <v>5350.2849453937797</v>
      </c>
      <c r="AJ6" s="100">
        <v>0.94501532278615186</v>
      </c>
      <c r="AK6" s="100">
        <v>546.59686269951021</v>
      </c>
      <c r="AL6" s="100">
        <v>6.8323839204801837</v>
      </c>
      <c r="AM6" s="100">
        <v>3951.8508596057382</v>
      </c>
      <c r="AN6" s="100">
        <v>4.620689830787156</v>
      </c>
      <c r="AO6" s="100">
        <v>2672.6069981272908</v>
      </c>
      <c r="AP6" s="100">
        <v>3.9105729202534327</v>
      </c>
      <c r="AQ6" s="100">
        <v>2261.8753770745852</v>
      </c>
      <c r="AR6" s="100">
        <v>4.9610097136621042E-4</v>
      </c>
      <c r="AS6" s="100">
        <v>0.28694480183821608</v>
      </c>
      <c r="AT6" s="100">
        <v>8.0004035689385713</v>
      </c>
      <c r="AU6" s="100">
        <v>4627.4334242740697</v>
      </c>
      <c r="AV6" s="100">
        <v>5</v>
      </c>
      <c r="AW6" s="100">
        <v>2892</v>
      </c>
      <c r="AX6" s="100">
        <v>9</v>
      </c>
      <c r="AY6" s="100">
        <v>5205.5999999999995</v>
      </c>
      <c r="AZ6" s="100">
        <v>0.57459303240700188</v>
      </c>
      <c r="BA6" s="100">
        <v>332.34460994420988</v>
      </c>
      <c r="BB6" s="100">
        <v>8</v>
      </c>
      <c r="BC6" s="100">
        <v>4627.2</v>
      </c>
      <c r="BD6" s="100">
        <v>2.6801051716386639</v>
      </c>
      <c r="BE6" s="100">
        <v>1550.1728312758032</v>
      </c>
      <c r="BF6" s="100">
        <v>6</v>
      </c>
      <c r="BG6" s="100">
        <v>3470.3999999999996</v>
      </c>
      <c r="BH6" s="100">
        <v>1.8624201336453445</v>
      </c>
      <c r="BI6" s="100">
        <v>1077.2238053004673</v>
      </c>
      <c r="BJ6" s="100">
        <v>7.907999734661872</v>
      </c>
      <c r="BK6" s="100">
        <v>4573.9870465284266</v>
      </c>
      <c r="BL6" s="100">
        <v>5.4496608699693141</v>
      </c>
      <c r="BM6" s="100">
        <v>3152.0838471902512</v>
      </c>
      <c r="BN6" s="100">
        <v>4.7532156495337343</v>
      </c>
      <c r="BO6" s="100">
        <v>2749.259931690312</v>
      </c>
      <c r="BP6" s="100">
        <v>8.908541456240691</v>
      </c>
      <c r="BQ6" s="100">
        <v>5152.7003782896154</v>
      </c>
      <c r="BR6" s="100">
        <v>6.1217890612195038</v>
      </c>
      <c r="BS6" s="100">
        <v>3540.8427930093608</v>
      </c>
      <c r="BT6" s="100">
        <v>4.6056056510515084</v>
      </c>
      <c r="BU6" s="100">
        <v>2663.8823085681925</v>
      </c>
      <c r="BV6" s="100">
        <v>7.9678008477891078</v>
      </c>
      <c r="BW6" s="100">
        <v>4608.5760103612201</v>
      </c>
      <c r="BX6" s="100">
        <v>6.5495977972855699E-4</v>
      </c>
      <c r="BY6" s="100">
        <v>0.37882873659499733</v>
      </c>
      <c r="BZ6" s="100">
        <v>1.8404615356987843</v>
      </c>
      <c r="CA6" s="100">
        <v>1064.5229522481768</v>
      </c>
      <c r="CB6" s="100">
        <v>6.8613128170000337</v>
      </c>
      <c r="CC6" s="100">
        <v>3968.5833333528194</v>
      </c>
      <c r="CD6" s="100">
        <v>10.226606596909548</v>
      </c>
      <c r="CE6" s="100">
        <v>5915.0692556524818</v>
      </c>
      <c r="CF6" s="100">
        <v>5.3694613976952672</v>
      </c>
      <c r="CG6" s="100">
        <v>3105.6964724269424</v>
      </c>
      <c r="CH6" s="100">
        <v>9.3759387777012133</v>
      </c>
      <c r="CI6" s="100">
        <v>5423.0429890223813</v>
      </c>
      <c r="CJ6" s="100">
        <v>5</v>
      </c>
      <c r="CK6" s="100">
        <v>2892</v>
      </c>
      <c r="CL6" s="100">
        <v>2.5711151667662415</v>
      </c>
      <c r="CM6" s="100">
        <v>1487.1330124575941</v>
      </c>
      <c r="CN6" s="100">
        <v>5.5748195022358718E-4</v>
      </c>
      <c r="CO6" s="100">
        <v>0.32244756000932279</v>
      </c>
      <c r="CP6" s="100">
        <v>8.0003608323151276</v>
      </c>
      <c r="CQ6" s="100">
        <v>4627.4087054110696</v>
      </c>
      <c r="CR6" s="100">
        <v>8.8073913407288078</v>
      </c>
      <c r="CS6" s="100">
        <v>5094.1951514775419</v>
      </c>
      <c r="CT6" s="100">
        <v>4.0044476981477164</v>
      </c>
      <c r="CU6" s="100">
        <v>2316.1725486086389</v>
      </c>
    </row>
    <row r="7" spans="1:99">
      <c r="C7" s="99" t="s">
        <v>173</v>
      </c>
      <c r="D7" s="100">
        <v>3.8430946752353123</v>
      </c>
      <c r="E7" s="100">
        <v>3029.8958419555202</v>
      </c>
      <c r="F7" s="100">
        <v>2.7044335397104944</v>
      </c>
      <c r="G7" s="100">
        <v>2132.1754027077536</v>
      </c>
      <c r="H7" s="100">
        <v>7.968758152372879</v>
      </c>
      <c r="I7" s="100">
        <v>6282.568927330778</v>
      </c>
      <c r="J7" s="100">
        <v>6</v>
      </c>
      <c r="K7" s="100">
        <v>4730.3999999999996</v>
      </c>
      <c r="L7" s="100">
        <v>7</v>
      </c>
      <c r="M7" s="100">
        <v>5518.8</v>
      </c>
      <c r="N7" s="100">
        <v>6</v>
      </c>
      <c r="O7" s="100">
        <v>4730.3999999999996</v>
      </c>
      <c r="P7" s="100">
        <v>4.6252560486600425</v>
      </c>
      <c r="Q7" s="100">
        <v>3646.5518687635772</v>
      </c>
      <c r="R7" s="100">
        <v>2.2974578939143377</v>
      </c>
      <c r="S7" s="100">
        <v>1811.3158035620638</v>
      </c>
      <c r="T7" s="100">
        <v>9</v>
      </c>
      <c r="U7" s="100">
        <v>7095.5999999999995</v>
      </c>
      <c r="V7" s="100">
        <v>6</v>
      </c>
      <c r="W7" s="100">
        <v>4730.3999999999996</v>
      </c>
      <c r="X7" s="100">
        <v>0.24672746347332269</v>
      </c>
      <c r="Y7" s="100">
        <v>194.51993220236761</v>
      </c>
      <c r="Z7" s="100">
        <v>7</v>
      </c>
      <c r="AA7" s="100">
        <v>5518.8</v>
      </c>
      <c r="AB7" s="100">
        <v>5</v>
      </c>
      <c r="AC7" s="100">
        <v>3942</v>
      </c>
      <c r="AD7" s="100">
        <v>3.0319770903304146</v>
      </c>
      <c r="AE7" s="100">
        <v>2390.4107380164987</v>
      </c>
      <c r="AF7" s="100">
        <v>3.4216741063214924</v>
      </c>
      <c r="AG7" s="100">
        <v>2697.6478654238645</v>
      </c>
      <c r="AH7" s="100">
        <v>9.0938785048747537</v>
      </c>
      <c r="AI7" s="100">
        <v>7169.6138132432552</v>
      </c>
      <c r="AJ7" s="100">
        <v>0.84622957470312088</v>
      </c>
      <c r="AK7" s="100">
        <v>667.16739669594051</v>
      </c>
      <c r="AL7" s="100">
        <v>6.7083053267602155</v>
      </c>
      <c r="AM7" s="100">
        <v>5288.8279196177537</v>
      </c>
      <c r="AN7" s="100">
        <v>4.620689830787156</v>
      </c>
      <c r="AO7" s="100">
        <v>3642.9518625925939</v>
      </c>
      <c r="AP7" s="100">
        <v>4.3957167255150456</v>
      </c>
      <c r="AQ7" s="100">
        <v>3465.5830663960619</v>
      </c>
      <c r="AR7" s="100">
        <v>4.2522940402818044E-4</v>
      </c>
      <c r="AS7" s="100">
        <v>0.33525086213581745</v>
      </c>
      <c r="AT7" s="100">
        <v>8.0004035689385713</v>
      </c>
      <c r="AU7" s="100">
        <v>6307.5181737511693</v>
      </c>
      <c r="AV7" s="100">
        <v>6</v>
      </c>
      <c r="AW7" s="100">
        <v>4730.3999999999996</v>
      </c>
      <c r="AX7" s="100">
        <v>8</v>
      </c>
      <c r="AY7" s="100">
        <v>6307.2</v>
      </c>
      <c r="AZ7" s="100">
        <v>0.57459303240700188</v>
      </c>
      <c r="BA7" s="100">
        <v>453.00914674968027</v>
      </c>
      <c r="BB7" s="100">
        <v>8</v>
      </c>
      <c r="BC7" s="100">
        <v>6307.2</v>
      </c>
      <c r="BD7" s="100">
        <v>2.6212025140765411</v>
      </c>
      <c r="BE7" s="100">
        <v>2066.556062097945</v>
      </c>
      <c r="BF7" s="100">
        <v>5</v>
      </c>
      <c r="BG7" s="100">
        <v>3942</v>
      </c>
      <c r="BH7" s="100">
        <v>2.1292648739641238</v>
      </c>
      <c r="BI7" s="100">
        <v>1678.7124266333151</v>
      </c>
      <c r="BJ7" s="100">
        <v>7.7091151247103262</v>
      </c>
      <c r="BK7" s="100">
        <v>6077.8663643216214</v>
      </c>
      <c r="BL7" s="100">
        <v>5.4496608699693141</v>
      </c>
      <c r="BM7" s="100">
        <v>4296.5126298838068</v>
      </c>
      <c r="BN7" s="100">
        <v>4.7532156495337343</v>
      </c>
      <c r="BO7" s="100">
        <v>3747.4352180923961</v>
      </c>
      <c r="BP7" s="100">
        <v>10.059965032280806</v>
      </c>
      <c r="BQ7" s="100">
        <v>7931.2764314501874</v>
      </c>
      <c r="BR7" s="100">
        <v>6.1217890612195038</v>
      </c>
      <c r="BS7" s="100">
        <v>4826.4184958654569</v>
      </c>
      <c r="BT7" s="100">
        <v>4.6056056510515084</v>
      </c>
      <c r="BU7" s="100">
        <v>3631.0594952890092</v>
      </c>
      <c r="BV7" s="100">
        <v>7.8988961572907419</v>
      </c>
      <c r="BW7" s="100">
        <v>6227.4897304080205</v>
      </c>
      <c r="BX7" s="100">
        <v>8.0050639744601402E-4</v>
      </c>
      <c r="BY7" s="100">
        <v>0.63111924374643746</v>
      </c>
      <c r="BZ7" s="100">
        <v>1.5775499586734416</v>
      </c>
      <c r="CA7" s="100">
        <v>1243.7403874181414</v>
      </c>
      <c r="CB7" s="100">
        <v>5.5599937328112814</v>
      </c>
      <c r="CC7" s="100">
        <v>4383.4990589484141</v>
      </c>
      <c r="CD7" s="100">
        <v>9.3628962187883875</v>
      </c>
      <c r="CE7" s="100">
        <v>7381.7073788927646</v>
      </c>
      <c r="CF7" s="100">
        <v>4.8325152579257402</v>
      </c>
      <c r="CG7" s="100">
        <v>3809.9550293486536</v>
      </c>
      <c r="CH7" s="100">
        <v>9.3759387777012133</v>
      </c>
      <c r="CI7" s="100">
        <v>7391.9901323396361</v>
      </c>
      <c r="CJ7" s="100">
        <v>5</v>
      </c>
      <c r="CK7" s="100">
        <v>3942</v>
      </c>
      <c r="CL7" s="100">
        <v>2.5711151667662415</v>
      </c>
      <c r="CM7" s="100">
        <v>2027.0671974785048</v>
      </c>
      <c r="CN7" s="100">
        <v>4.8961054763171864E-4</v>
      </c>
      <c r="CO7" s="100">
        <v>0.38600895575284699</v>
      </c>
      <c r="CP7" s="100">
        <v>8.0003207398356686</v>
      </c>
      <c r="CQ7" s="100">
        <v>6307.4528712864412</v>
      </c>
      <c r="CR7" s="100">
        <v>8.0067194006625524</v>
      </c>
      <c r="CS7" s="100">
        <v>6312.4975754823563</v>
      </c>
      <c r="CT7" s="100">
        <v>4.9200318652748818</v>
      </c>
      <c r="CU7" s="100">
        <v>3878.9531225827168</v>
      </c>
    </row>
    <row r="8" spans="1:99">
      <c r="C8" s="99" t="s">
        <v>174</v>
      </c>
      <c r="D8" s="100">
        <v>4.6111247516264813</v>
      </c>
      <c r="E8" s="100">
        <v>1427.6042231035585</v>
      </c>
      <c r="F8" s="100">
        <v>2.6936057157165747</v>
      </c>
      <c r="G8" s="100">
        <v>833.94032958585149</v>
      </c>
      <c r="H8" s="100">
        <v>8.9687581523728781</v>
      </c>
      <c r="I8" s="100">
        <v>2776.7275239746427</v>
      </c>
      <c r="J8" s="100">
        <v>7</v>
      </c>
      <c r="K8" s="100">
        <v>2167.1999999999998</v>
      </c>
      <c r="L8" s="100">
        <v>9</v>
      </c>
      <c r="M8" s="100">
        <v>2786.3999999999996</v>
      </c>
      <c r="N8" s="100">
        <v>6</v>
      </c>
      <c r="O8" s="100">
        <v>1857.6</v>
      </c>
      <c r="P8" s="100">
        <v>5.550307258392051</v>
      </c>
      <c r="Q8" s="100">
        <v>1718.3751271981787</v>
      </c>
      <c r="R8" s="100">
        <v>2.552730993238153</v>
      </c>
      <c r="S8" s="100">
        <v>790.32551550653204</v>
      </c>
      <c r="T8" s="100">
        <v>9</v>
      </c>
      <c r="U8" s="100">
        <v>2786.3999999999996</v>
      </c>
      <c r="V8" s="100">
        <v>5</v>
      </c>
      <c r="W8" s="100">
        <v>1547.9999999999998</v>
      </c>
      <c r="X8" s="100">
        <v>0.28529825994202718</v>
      </c>
      <c r="Y8" s="100">
        <v>88.32834127805161</v>
      </c>
      <c r="Z8" s="100">
        <v>8</v>
      </c>
      <c r="AA8" s="100">
        <v>2476.7999999999997</v>
      </c>
      <c r="AB8" s="100">
        <v>5</v>
      </c>
      <c r="AC8" s="100">
        <v>1547.9999999999998</v>
      </c>
      <c r="AD8" s="100">
        <v>3.5373066053854836</v>
      </c>
      <c r="AE8" s="100">
        <v>1095.1501250273457</v>
      </c>
      <c r="AF8" s="100">
        <v>2.9079394727138252</v>
      </c>
      <c r="AG8" s="100">
        <v>900.29806075220017</v>
      </c>
      <c r="AH8" s="100">
        <v>9.4064152205532547</v>
      </c>
      <c r="AI8" s="100">
        <v>2912.2261522832873</v>
      </c>
      <c r="AJ8" s="100">
        <v>0.94501532278615186</v>
      </c>
      <c r="AK8" s="100">
        <v>292.57674393459257</v>
      </c>
      <c r="AL8" s="100">
        <v>7.5248305520459953</v>
      </c>
      <c r="AM8" s="100">
        <v>2329.6875389134398</v>
      </c>
      <c r="AN8" s="100">
        <v>4.620689830787156</v>
      </c>
      <c r="AO8" s="100">
        <v>1430.5655716117033</v>
      </c>
      <c r="AP8" s="100">
        <v>4.3988783332732098</v>
      </c>
      <c r="AQ8" s="100">
        <v>1361.8927319813856</v>
      </c>
      <c r="AR8" s="100">
        <v>4.9610097136621042E-4</v>
      </c>
      <c r="AS8" s="100">
        <v>0.15359286073497874</v>
      </c>
      <c r="AT8" s="100">
        <v>8.0004484099317459</v>
      </c>
      <c r="AU8" s="100">
        <v>2476.9388277148682</v>
      </c>
      <c r="AV8" s="100">
        <v>6</v>
      </c>
      <c r="AW8" s="100">
        <v>1857.6</v>
      </c>
      <c r="AX8" s="100">
        <v>10</v>
      </c>
      <c r="AY8" s="100">
        <v>3095.9999999999995</v>
      </c>
      <c r="AZ8" s="100">
        <v>0.67035853780816879</v>
      </c>
      <c r="BA8" s="100">
        <v>207.54300330540903</v>
      </c>
      <c r="BB8" s="100">
        <v>9</v>
      </c>
      <c r="BC8" s="100">
        <v>2786.3999999999996</v>
      </c>
      <c r="BD8" s="100">
        <v>3.0077554858982309</v>
      </c>
      <c r="BE8" s="100">
        <v>931.20109843409216</v>
      </c>
      <c r="BF8" s="100">
        <v>5</v>
      </c>
      <c r="BG8" s="100">
        <v>1547.9999999999998</v>
      </c>
      <c r="BH8" s="100">
        <v>2.1292648739641238</v>
      </c>
      <c r="BI8" s="100">
        <v>659.22040497929265</v>
      </c>
      <c r="BJ8" s="100">
        <v>8.7820051982472958</v>
      </c>
      <c r="BK8" s="100">
        <v>2718.9088093773626</v>
      </c>
      <c r="BL8" s="100">
        <v>5.4496608699693141</v>
      </c>
      <c r="BM8" s="100">
        <v>1687.2150053424994</v>
      </c>
      <c r="BN8" s="100">
        <v>3.961013041278111</v>
      </c>
      <c r="BO8" s="100">
        <v>1226.3296375797031</v>
      </c>
      <c r="BP8" s="100">
        <v>9.908541456240691</v>
      </c>
      <c r="BQ8" s="100">
        <v>3067.6844348521176</v>
      </c>
      <c r="BR8" s="100">
        <v>6.1217890612195038</v>
      </c>
      <c r="BS8" s="100">
        <v>1895.3058933535581</v>
      </c>
      <c r="BT8" s="100">
        <v>4.6056056510515084</v>
      </c>
      <c r="BU8" s="100">
        <v>1425.8955095655469</v>
      </c>
      <c r="BV8" s="100">
        <v>7.8988961572907419</v>
      </c>
      <c r="BW8" s="100">
        <v>2445.4982502972134</v>
      </c>
      <c r="BX8" s="100">
        <v>8.0050639744601402E-4</v>
      </c>
      <c r="BY8" s="100">
        <v>0.24783678064928591</v>
      </c>
      <c r="BZ8" s="100">
        <v>1.8404615356987843</v>
      </c>
      <c r="CA8" s="100">
        <v>569.80689145234362</v>
      </c>
      <c r="CB8" s="100">
        <v>6.1091996608174863</v>
      </c>
      <c r="CC8" s="100">
        <v>1891.4082149890935</v>
      </c>
      <c r="CD8" s="100">
        <v>10.362896218788388</v>
      </c>
      <c r="CE8" s="100">
        <v>3208.3526693368844</v>
      </c>
      <c r="CF8" s="100">
        <v>5.3694613976952672</v>
      </c>
      <c r="CG8" s="100">
        <v>1662.3852487264546</v>
      </c>
      <c r="CH8" s="100">
        <v>9.3759387777012133</v>
      </c>
      <c r="CI8" s="100">
        <v>2902.7906455762954</v>
      </c>
      <c r="CJ8" s="100">
        <v>5</v>
      </c>
      <c r="CK8" s="100">
        <v>1547.9999999999998</v>
      </c>
      <c r="CL8" s="100">
        <v>2.9996343612272818</v>
      </c>
      <c r="CM8" s="100">
        <v>928.68679823596631</v>
      </c>
      <c r="CN8" s="100">
        <v>4.8961054763171864E-4</v>
      </c>
      <c r="CO8" s="100">
        <v>0.15158342554678009</v>
      </c>
      <c r="CP8" s="100">
        <v>9.0003608323151276</v>
      </c>
      <c r="CQ8" s="100">
        <v>2786.511713684763</v>
      </c>
      <c r="CR8" s="100">
        <v>8.0067194006625524</v>
      </c>
      <c r="CS8" s="100">
        <v>2478.8803264451258</v>
      </c>
      <c r="CT8" s="100">
        <v>4.9104739796500798</v>
      </c>
      <c r="CU8" s="100">
        <v>1520.2827440996646</v>
      </c>
    </row>
    <row r="9" spans="1:99">
      <c r="C9" s="99" t="s">
        <v>175</v>
      </c>
      <c r="D9" s="100">
        <v>3.958366979608591</v>
      </c>
      <c r="E9" s="100">
        <v>2778.7736196852306</v>
      </c>
      <c r="F9" s="100">
        <v>2.3955192833029466</v>
      </c>
      <c r="G9" s="100">
        <v>1681.6545368786685</v>
      </c>
      <c r="H9" s="100">
        <v>7.8476633833262692</v>
      </c>
      <c r="I9" s="100">
        <v>5509.0596950950412</v>
      </c>
      <c r="J9" s="100">
        <v>6</v>
      </c>
      <c r="K9" s="100">
        <v>4212</v>
      </c>
      <c r="L9" s="100">
        <v>9</v>
      </c>
      <c r="M9" s="100">
        <v>6318</v>
      </c>
      <c r="N9" s="100">
        <v>6</v>
      </c>
      <c r="O9" s="100">
        <v>4212</v>
      </c>
      <c r="P9" s="100">
        <v>4.6252560486600425</v>
      </c>
      <c r="Q9" s="100">
        <v>3246.9297461593496</v>
      </c>
      <c r="R9" s="100">
        <v>2.2974578939143377</v>
      </c>
      <c r="S9" s="100">
        <v>1612.815441527865</v>
      </c>
      <c r="T9" s="100">
        <v>8</v>
      </c>
      <c r="U9" s="100">
        <v>5616</v>
      </c>
      <c r="V9" s="100">
        <v>6</v>
      </c>
      <c r="W9" s="100">
        <v>4212</v>
      </c>
      <c r="X9" s="100">
        <v>0.28338542435939018</v>
      </c>
      <c r="Y9" s="100">
        <v>198.93656790029192</v>
      </c>
      <c r="Z9" s="100">
        <v>7</v>
      </c>
      <c r="AA9" s="100">
        <v>4914</v>
      </c>
      <c r="AB9" s="100">
        <v>5</v>
      </c>
      <c r="AC9" s="100">
        <v>3510</v>
      </c>
      <c r="AD9" s="100">
        <v>3.0319770903304146</v>
      </c>
      <c r="AE9" s="100">
        <v>2128.447917411951</v>
      </c>
      <c r="AF9" s="100">
        <v>2.8853217190687928</v>
      </c>
      <c r="AG9" s="100">
        <v>2025.4958467862925</v>
      </c>
      <c r="AH9" s="100">
        <v>8.0938785048747537</v>
      </c>
      <c r="AI9" s="100">
        <v>5681.9027104220768</v>
      </c>
      <c r="AJ9" s="100">
        <v>0.84622957470312088</v>
      </c>
      <c r="AK9" s="100">
        <v>594.05316144159087</v>
      </c>
      <c r="AL9" s="100">
        <v>7.6489091457659644</v>
      </c>
      <c r="AM9" s="100">
        <v>5369.5342203277069</v>
      </c>
      <c r="AN9" s="100">
        <v>4.620689830787156</v>
      </c>
      <c r="AO9" s="100">
        <v>3243.7242612125833</v>
      </c>
      <c r="AP9" s="100">
        <v>4.3252367824424836</v>
      </c>
      <c r="AQ9" s="100">
        <v>3036.3162212746233</v>
      </c>
      <c r="AR9" s="100">
        <v>4.9610097136621042E-4</v>
      </c>
      <c r="AS9" s="100">
        <v>0.34826288189907972</v>
      </c>
      <c r="AT9" s="100">
        <v>8.0004035689385713</v>
      </c>
      <c r="AU9" s="100">
        <v>5616.2833053948771</v>
      </c>
      <c r="AV9" s="100">
        <v>5</v>
      </c>
      <c r="AW9" s="100">
        <v>3510</v>
      </c>
      <c r="AX9" s="100">
        <v>10</v>
      </c>
      <c r="AY9" s="100">
        <v>7020</v>
      </c>
      <c r="AZ9" s="100">
        <v>0.57459303240700188</v>
      </c>
      <c r="BA9" s="100">
        <v>403.36430874971529</v>
      </c>
      <c r="BB9" s="100">
        <v>8</v>
      </c>
      <c r="BC9" s="100">
        <v>5616</v>
      </c>
      <c r="BD9" s="100">
        <v>2.6212025140765411</v>
      </c>
      <c r="BE9" s="100">
        <v>1840.0841648817318</v>
      </c>
      <c r="BF9" s="100">
        <v>5</v>
      </c>
      <c r="BG9" s="100">
        <v>3510</v>
      </c>
      <c r="BH9" s="100">
        <v>2.1237718253780131</v>
      </c>
      <c r="BI9" s="100">
        <v>1490.8878214153651</v>
      </c>
      <c r="BJ9" s="100">
        <v>7.8085574296860996</v>
      </c>
      <c r="BK9" s="100">
        <v>5481.6073156396415</v>
      </c>
      <c r="BL9" s="100">
        <v>4.5413840583077612</v>
      </c>
      <c r="BM9" s="100">
        <v>3188.0516089320481</v>
      </c>
      <c r="BN9" s="100">
        <v>3.961013041278111</v>
      </c>
      <c r="BO9" s="100">
        <v>2780.631154977234</v>
      </c>
      <c r="BP9" s="100">
        <v>9.0599650322808056</v>
      </c>
      <c r="BQ9" s="100">
        <v>6360.0954526611258</v>
      </c>
      <c r="BR9" s="100">
        <v>6.8870126938719416</v>
      </c>
      <c r="BS9" s="100">
        <v>4834.6829110981034</v>
      </c>
      <c r="BT9" s="100">
        <v>3.8380047092095899</v>
      </c>
      <c r="BU9" s="100">
        <v>2694.2793058651323</v>
      </c>
      <c r="BV9" s="100">
        <v>7.967244423479876</v>
      </c>
      <c r="BW9" s="100">
        <v>5593.0055852828727</v>
      </c>
      <c r="BX9" s="100">
        <v>8.0050639744601402E-4</v>
      </c>
      <c r="BY9" s="100">
        <v>0.56195549100710185</v>
      </c>
      <c r="BZ9" s="100">
        <v>1.5775504014993471</v>
      </c>
      <c r="CA9" s="100">
        <v>1107.4403818525416</v>
      </c>
      <c r="CB9" s="100">
        <v>6.7245378149646813</v>
      </c>
      <c r="CC9" s="100">
        <v>4720.625546105206</v>
      </c>
      <c r="CD9" s="100">
        <v>9.2266065969095479</v>
      </c>
      <c r="CE9" s="100">
        <v>6477.0778310305022</v>
      </c>
      <c r="CF9" s="100">
        <v>4.2955691181562132</v>
      </c>
      <c r="CG9" s="100">
        <v>3015.4895209456618</v>
      </c>
      <c r="CH9" s="100">
        <v>8.4383448999310922</v>
      </c>
      <c r="CI9" s="100">
        <v>5923.7181197516265</v>
      </c>
      <c r="CJ9" s="100">
        <v>5</v>
      </c>
      <c r="CK9" s="100">
        <v>3510</v>
      </c>
      <c r="CL9" s="100">
        <v>2.5711151667662415</v>
      </c>
      <c r="CM9" s="100">
        <v>1804.9228470699015</v>
      </c>
      <c r="CN9" s="100">
        <v>4.2173914503985011E-4</v>
      </c>
      <c r="CO9" s="100">
        <v>0.2960608798179748</v>
      </c>
      <c r="CP9" s="100">
        <v>8.0003207398356686</v>
      </c>
      <c r="CQ9" s="100">
        <v>5616.2251593646397</v>
      </c>
      <c r="CR9" s="100">
        <v>8.0067194006625524</v>
      </c>
      <c r="CS9" s="100">
        <v>5620.717019265112</v>
      </c>
      <c r="CT9" s="100">
        <v>4.9104739796500798</v>
      </c>
      <c r="CU9" s="100">
        <v>3447.1527337143561</v>
      </c>
    </row>
    <row r="10" spans="1:99">
      <c r="C10" s="99" t="s">
        <v>176</v>
      </c>
      <c r="D10" s="100">
        <v>3.958366979608591</v>
      </c>
      <c r="E10" s="100">
        <v>2156.51833049076</v>
      </c>
      <c r="F10" s="100">
        <v>2.3955192833029466</v>
      </c>
      <c r="G10" s="100">
        <v>1305.0789055434452</v>
      </c>
      <c r="H10" s="100">
        <v>7.968758152372879</v>
      </c>
      <c r="I10" s="100">
        <v>4341.3794414127442</v>
      </c>
      <c r="J10" s="100">
        <v>7</v>
      </c>
      <c r="K10" s="100">
        <v>3813.5999999999995</v>
      </c>
      <c r="L10" s="100">
        <v>9</v>
      </c>
      <c r="M10" s="100">
        <v>4903.2</v>
      </c>
      <c r="N10" s="100">
        <v>6</v>
      </c>
      <c r="O10" s="100">
        <v>3268.7999999999997</v>
      </c>
      <c r="P10" s="100">
        <v>4.6252560486600425</v>
      </c>
      <c r="Q10" s="100">
        <v>2519.839495309991</v>
      </c>
      <c r="R10" s="100">
        <v>2.552730993238153</v>
      </c>
      <c r="S10" s="100">
        <v>1390.7278451161455</v>
      </c>
      <c r="T10" s="100">
        <v>9</v>
      </c>
      <c r="U10" s="100">
        <v>4903.2</v>
      </c>
      <c r="V10" s="100">
        <v>5</v>
      </c>
      <c r="W10" s="100">
        <v>2724</v>
      </c>
      <c r="X10" s="100">
        <v>0.24672746347332269</v>
      </c>
      <c r="Y10" s="100">
        <v>134.4171221002662</v>
      </c>
      <c r="Z10" s="100">
        <v>7</v>
      </c>
      <c r="AA10" s="100">
        <v>3813.5999999999995</v>
      </c>
      <c r="AB10" s="100">
        <v>4</v>
      </c>
      <c r="AC10" s="100">
        <v>2179.1999999999998</v>
      </c>
      <c r="AD10" s="100">
        <v>3.0319770903304146</v>
      </c>
      <c r="AE10" s="100">
        <v>1651.8211188120097</v>
      </c>
      <c r="AF10" s="100">
        <v>2.9079394727138252</v>
      </c>
      <c r="AG10" s="100">
        <v>1584.245424734492</v>
      </c>
      <c r="AH10" s="100">
        <v>9.2501468627140042</v>
      </c>
      <c r="AI10" s="100">
        <v>5039.4800108065892</v>
      </c>
      <c r="AJ10" s="100">
        <v>0.84622957470312088</v>
      </c>
      <c r="AK10" s="100">
        <v>461.0258722982602</v>
      </c>
      <c r="AL10" s="100">
        <v>7.6489091457659644</v>
      </c>
      <c r="AM10" s="100">
        <v>4167.1257026132971</v>
      </c>
      <c r="AN10" s="100">
        <v>5.4450947238583129</v>
      </c>
      <c r="AO10" s="100">
        <v>2966.4876055580085</v>
      </c>
      <c r="AP10" s="100">
        <v>3.9137345280115978</v>
      </c>
      <c r="AQ10" s="100">
        <v>2132.2025708607184</v>
      </c>
      <c r="AR10" s="100">
        <v>4.9610097136621042E-4</v>
      </c>
      <c r="AS10" s="100">
        <v>0.27027580920031141</v>
      </c>
      <c r="AT10" s="100">
        <v>8.0004035689385713</v>
      </c>
      <c r="AU10" s="100">
        <v>4358.6198643577336</v>
      </c>
      <c r="AV10" s="100">
        <v>5</v>
      </c>
      <c r="AW10" s="100">
        <v>2724</v>
      </c>
      <c r="AX10" s="100">
        <v>9</v>
      </c>
      <c r="AY10" s="100">
        <v>4903.2</v>
      </c>
      <c r="AZ10" s="100">
        <v>0.57459303240700188</v>
      </c>
      <c r="BA10" s="100">
        <v>313.0382840553346</v>
      </c>
      <c r="BB10" s="100">
        <v>9</v>
      </c>
      <c r="BC10" s="100">
        <v>4903.2</v>
      </c>
      <c r="BD10" s="100">
        <v>2.6212025140765411</v>
      </c>
      <c r="BE10" s="100">
        <v>1428.0311296688994</v>
      </c>
      <c r="BF10" s="100">
        <v>5</v>
      </c>
      <c r="BG10" s="100">
        <v>2724</v>
      </c>
      <c r="BH10" s="100">
        <v>2.1237718253780131</v>
      </c>
      <c r="BI10" s="100">
        <v>1157.0308904659414</v>
      </c>
      <c r="BJ10" s="100">
        <v>8.7820051982472958</v>
      </c>
      <c r="BK10" s="100">
        <v>4784.4364320051263</v>
      </c>
      <c r="BL10" s="100">
        <v>5.4496608699693141</v>
      </c>
      <c r="BM10" s="100">
        <v>2968.9752419592819</v>
      </c>
      <c r="BN10" s="100">
        <v>4.6853868794452813</v>
      </c>
      <c r="BO10" s="100">
        <v>2552.5987719217892</v>
      </c>
      <c r="BP10" s="100">
        <v>10.059965032280806</v>
      </c>
      <c r="BQ10" s="100">
        <v>5480.6689495865821</v>
      </c>
      <c r="BR10" s="100">
        <v>6.1217890612195038</v>
      </c>
      <c r="BS10" s="100">
        <v>3335.1506805523854</v>
      </c>
      <c r="BT10" s="100">
        <v>4.6056056510515084</v>
      </c>
      <c r="BU10" s="100">
        <v>2509.1339586928616</v>
      </c>
      <c r="BV10" s="100">
        <v>7.8983397329815102</v>
      </c>
      <c r="BW10" s="100">
        <v>4303.0154865283266</v>
      </c>
      <c r="BX10" s="100">
        <v>7.2773308858728545E-4</v>
      </c>
      <c r="BY10" s="100">
        <v>0.39646898666235308</v>
      </c>
      <c r="BZ10" s="100">
        <v>1.8404615356987843</v>
      </c>
      <c r="CA10" s="100">
        <v>1002.6834446486977</v>
      </c>
      <c r="CB10" s="100">
        <v>6.1753318869584763</v>
      </c>
      <c r="CC10" s="100">
        <v>3364.3208120149775</v>
      </c>
      <c r="CD10" s="100">
        <v>10.362896218788388</v>
      </c>
      <c r="CE10" s="100">
        <v>5645.7058599959128</v>
      </c>
      <c r="CF10" s="100">
        <v>5.3694613976952672</v>
      </c>
      <c r="CG10" s="100">
        <v>2925.2825694643811</v>
      </c>
      <c r="CH10" s="100">
        <v>8.4383448999310922</v>
      </c>
      <c r="CI10" s="100">
        <v>4597.2103014824588</v>
      </c>
      <c r="CJ10" s="100">
        <v>5</v>
      </c>
      <c r="CK10" s="100">
        <v>2724</v>
      </c>
      <c r="CL10" s="100">
        <v>2.5711151667662415</v>
      </c>
      <c r="CM10" s="100">
        <v>1400.7435428542483</v>
      </c>
      <c r="CN10" s="100">
        <v>4.8961054763171864E-4</v>
      </c>
      <c r="CO10" s="100">
        <v>0.26673982634976029</v>
      </c>
      <c r="CP10" s="100">
        <v>9.0003608323151276</v>
      </c>
      <c r="CQ10" s="100">
        <v>4903.3965814452813</v>
      </c>
      <c r="CR10" s="100">
        <v>8.0067194006625524</v>
      </c>
      <c r="CS10" s="100">
        <v>4362.0607294809579</v>
      </c>
      <c r="CT10" s="100">
        <v>4.0044476981477164</v>
      </c>
      <c r="CU10" s="100">
        <v>2181.6231059508759</v>
      </c>
    </row>
    <row r="11" spans="1:99">
      <c r="C11" s="99" t="s">
        <v>177</v>
      </c>
      <c r="D11" s="100">
        <v>3.8430946752353123</v>
      </c>
      <c r="E11" s="100">
        <v>2047.6008429653743</v>
      </c>
      <c r="F11" s="100">
        <v>2.7044335397104944</v>
      </c>
      <c r="G11" s="100">
        <v>1440.9221899577512</v>
      </c>
      <c r="H11" s="100">
        <v>8.0898529214194888</v>
      </c>
      <c r="I11" s="100">
        <v>4310.2736365323035</v>
      </c>
      <c r="J11" s="100">
        <v>7</v>
      </c>
      <c r="K11" s="100">
        <v>3729.5999999999995</v>
      </c>
      <c r="L11" s="100">
        <v>8</v>
      </c>
      <c r="M11" s="100">
        <v>4262.3999999999996</v>
      </c>
      <c r="N11" s="100">
        <v>6</v>
      </c>
      <c r="O11" s="100">
        <v>3196.7999999999997</v>
      </c>
      <c r="P11" s="100">
        <v>5.550307258392051</v>
      </c>
      <c r="Q11" s="100">
        <v>2957.2037072712847</v>
      </c>
      <c r="R11" s="100">
        <v>2.2974578939143377</v>
      </c>
      <c r="S11" s="100">
        <v>1224.085565877559</v>
      </c>
      <c r="T11" s="100">
        <v>10</v>
      </c>
      <c r="U11" s="100">
        <v>5328</v>
      </c>
      <c r="V11" s="100">
        <v>6</v>
      </c>
      <c r="W11" s="100">
        <v>3196.7999999999997</v>
      </c>
      <c r="X11" s="100">
        <v>0.28338542435939018</v>
      </c>
      <c r="Y11" s="100">
        <v>150.98775409868307</v>
      </c>
      <c r="Z11" s="100">
        <v>8</v>
      </c>
      <c r="AA11" s="100">
        <v>4262.3999999999996</v>
      </c>
      <c r="AB11" s="100">
        <v>5</v>
      </c>
      <c r="AC11" s="100">
        <v>2664</v>
      </c>
      <c r="AD11" s="100">
        <v>3.0319770903304146</v>
      </c>
      <c r="AE11" s="100">
        <v>1615.4373937280448</v>
      </c>
      <c r="AF11" s="100">
        <v>3.4442918599665249</v>
      </c>
      <c r="AG11" s="100">
        <v>1835.1187029901644</v>
      </c>
      <c r="AH11" s="100">
        <v>9.0938785048747537</v>
      </c>
      <c r="AI11" s="100">
        <v>4845.2184673972688</v>
      </c>
      <c r="AJ11" s="100">
        <v>0.94501532278615186</v>
      </c>
      <c r="AK11" s="100">
        <v>503.50416398046167</v>
      </c>
      <c r="AL11" s="100">
        <v>6.7083053267602155</v>
      </c>
      <c r="AM11" s="100">
        <v>3574.1850780978425</v>
      </c>
      <c r="AN11" s="100">
        <v>4.620689830787156</v>
      </c>
      <c r="AO11" s="100">
        <v>2461.9035418433964</v>
      </c>
      <c r="AP11" s="100">
        <v>3.8369313694227065</v>
      </c>
      <c r="AQ11" s="100">
        <v>2044.3170336284179</v>
      </c>
      <c r="AR11" s="100">
        <v>4.9610097136621042E-4</v>
      </c>
      <c r="AS11" s="100">
        <v>0.2643225975439169</v>
      </c>
      <c r="AT11" s="100">
        <v>8.0004932509249205</v>
      </c>
      <c r="AU11" s="100">
        <v>4262.6628040927972</v>
      </c>
      <c r="AV11" s="100">
        <v>5</v>
      </c>
      <c r="AW11" s="100">
        <v>2664</v>
      </c>
      <c r="AX11" s="100">
        <v>10</v>
      </c>
      <c r="AY11" s="100">
        <v>5328</v>
      </c>
      <c r="AZ11" s="100">
        <v>0.57459303240700188</v>
      </c>
      <c r="BA11" s="100">
        <v>306.14316766645055</v>
      </c>
      <c r="BB11" s="100">
        <v>8</v>
      </c>
      <c r="BC11" s="100">
        <v>4262.3999999999996</v>
      </c>
      <c r="BD11" s="100">
        <v>2.6212025140765411</v>
      </c>
      <c r="BE11" s="100">
        <v>1396.576699499981</v>
      </c>
      <c r="BF11" s="100">
        <v>5</v>
      </c>
      <c r="BG11" s="100">
        <v>2664</v>
      </c>
      <c r="BH11" s="100">
        <v>1.8624201336453445</v>
      </c>
      <c r="BI11" s="100">
        <v>992.29744720623944</v>
      </c>
      <c r="BJ11" s="100">
        <v>7.8085574296860996</v>
      </c>
      <c r="BK11" s="100">
        <v>4160.3993985367533</v>
      </c>
      <c r="BL11" s="100">
        <v>5.4496608699693141</v>
      </c>
      <c r="BM11" s="100">
        <v>2903.5793115196502</v>
      </c>
      <c r="BN11" s="100">
        <v>4.7532156495337343</v>
      </c>
      <c r="BO11" s="100">
        <v>2532.5132980715734</v>
      </c>
      <c r="BP11" s="100">
        <v>9.0599650322808056</v>
      </c>
      <c r="BQ11" s="100">
        <v>4827.1493691992127</v>
      </c>
      <c r="BR11" s="100">
        <v>6.8870126938719416</v>
      </c>
      <c r="BS11" s="100">
        <v>3669.4003632949702</v>
      </c>
      <c r="BT11" s="100">
        <v>3.8380047092095899</v>
      </c>
      <c r="BU11" s="100">
        <v>2044.8889090668692</v>
      </c>
      <c r="BV11" s="100">
        <v>7.8983397329815102</v>
      </c>
      <c r="BW11" s="100">
        <v>4208.2354097325479</v>
      </c>
      <c r="BX11" s="100">
        <v>8.0050639744601402E-4</v>
      </c>
      <c r="BY11" s="100">
        <v>0.42650980855923626</v>
      </c>
      <c r="BZ11" s="100">
        <v>1.5775499586734416</v>
      </c>
      <c r="CA11" s="100">
        <v>840.51861798120967</v>
      </c>
      <c r="CB11" s="100">
        <v>6.1753318869584763</v>
      </c>
      <c r="CC11" s="100">
        <v>3290.2168293714758</v>
      </c>
      <c r="CD11" s="100">
        <v>10.226606596909548</v>
      </c>
      <c r="CE11" s="100">
        <v>5448.7359948334069</v>
      </c>
      <c r="CF11" s="100">
        <v>4.8325152579257402</v>
      </c>
      <c r="CG11" s="100">
        <v>2574.7641294228342</v>
      </c>
      <c r="CH11" s="100">
        <v>9.3759387777012133</v>
      </c>
      <c r="CI11" s="100">
        <v>4995.5001807592062</v>
      </c>
      <c r="CJ11" s="100">
        <v>6</v>
      </c>
      <c r="CK11" s="100">
        <v>3196.7999999999997</v>
      </c>
      <c r="CL11" s="100">
        <v>2.9996343612272818</v>
      </c>
      <c r="CM11" s="100">
        <v>1598.2051876618957</v>
      </c>
      <c r="CN11" s="100">
        <v>4.9168350898723856E-4</v>
      </c>
      <c r="CO11" s="100">
        <v>0.26196897358840071</v>
      </c>
      <c r="CP11" s="100">
        <v>9.0003608323151276</v>
      </c>
      <c r="CQ11" s="100">
        <v>4795.3922514574997</v>
      </c>
      <c r="CR11" s="100">
        <v>8.0067194006625524</v>
      </c>
      <c r="CS11" s="100">
        <v>4265.9800966730072</v>
      </c>
      <c r="CT11" s="100">
        <v>4.805337237777259</v>
      </c>
      <c r="CU11" s="100">
        <v>2560.2836802877232</v>
      </c>
    </row>
    <row r="12" spans="1:99">
      <c r="C12" s="99" t="s">
        <v>178</v>
      </c>
      <c r="D12" s="100">
        <v>3.8430946752353123</v>
      </c>
      <c r="E12" s="100">
        <v>2162.8936832224335</v>
      </c>
      <c r="F12" s="100">
        <v>2.682777891722655</v>
      </c>
      <c r="G12" s="100">
        <v>1509.8673974615101</v>
      </c>
      <c r="H12" s="100">
        <v>9.0898529214194888</v>
      </c>
      <c r="I12" s="100">
        <v>5115.7692241748882</v>
      </c>
      <c r="J12" s="100">
        <v>6</v>
      </c>
      <c r="K12" s="100">
        <v>3376.7999999999997</v>
      </c>
      <c r="L12" s="100">
        <v>8</v>
      </c>
      <c r="M12" s="100">
        <v>4502.3999999999996</v>
      </c>
      <c r="N12" s="100">
        <v>6</v>
      </c>
      <c r="O12" s="100">
        <v>3376.7999999999997</v>
      </c>
      <c r="P12" s="100">
        <v>5.550307258392051</v>
      </c>
      <c r="Q12" s="100">
        <v>3123.712925023046</v>
      </c>
      <c r="R12" s="100">
        <v>2.2974578939143377</v>
      </c>
      <c r="S12" s="100">
        <v>1293.0093026949892</v>
      </c>
      <c r="T12" s="100">
        <v>10</v>
      </c>
      <c r="U12" s="100">
        <v>5628</v>
      </c>
      <c r="V12" s="100">
        <v>5</v>
      </c>
      <c r="W12" s="100">
        <v>2814</v>
      </c>
      <c r="X12" s="100">
        <v>0.28529825994202718</v>
      </c>
      <c r="Y12" s="100">
        <v>160.56586069537289</v>
      </c>
      <c r="Z12" s="100">
        <v>8</v>
      </c>
      <c r="AA12" s="100">
        <v>4502.3999999999996</v>
      </c>
      <c r="AB12" s="100">
        <v>5</v>
      </c>
      <c r="AC12" s="100">
        <v>2814</v>
      </c>
      <c r="AD12" s="100">
        <v>3.5373066053854836</v>
      </c>
      <c r="AE12" s="100">
        <v>1990.79615751095</v>
      </c>
      <c r="AF12" s="100">
        <v>3.4442918599665249</v>
      </c>
      <c r="AG12" s="100">
        <v>1938.44745878916</v>
      </c>
      <c r="AH12" s="100">
        <v>9.2501468627140042</v>
      </c>
      <c r="AI12" s="100">
        <v>5205.9826543354411</v>
      </c>
      <c r="AJ12" s="100">
        <v>0.84156760886654813</v>
      </c>
      <c r="AK12" s="100">
        <v>473.63425027009328</v>
      </c>
      <c r="AL12" s="100">
        <v>6.8323839204801837</v>
      </c>
      <c r="AM12" s="100">
        <v>3845.265670446247</v>
      </c>
      <c r="AN12" s="100">
        <v>4.620689830787156</v>
      </c>
      <c r="AO12" s="100">
        <v>2600.5242367670112</v>
      </c>
      <c r="AP12" s="100">
        <v>3.9105729202534327</v>
      </c>
      <c r="AQ12" s="100">
        <v>2200.8704395186319</v>
      </c>
      <c r="AR12" s="100">
        <v>4.9610097136621042E-4</v>
      </c>
      <c r="AS12" s="100">
        <v>0.27920562668490317</v>
      </c>
      <c r="AT12" s="100">
        <v>8.0004035689385713</v>
      </c>
      <c r="AU12" s="100">
        <v>4502.6271285986277</v>
      </c>
      <c r="AV12" s="100">
        <v>5</v>
      </c>
      <c r="AW12" s="100">
        <v>2814</v>
      </c>
      <c r="AX12" s="100">
        <v>10</v>
      </c>
      <c r="AY12" s="100">
        <v>5628</v>
      </c>
      <c r="AZ12" s="100">
        <v>0.57459303240700188</v>
      </c>
      <c r="BA12" s="100">
        <v>323.38095863866062</v>
      </c>
      <c r="BB12" s="100">
        <v>8</v>
      </c>
      <c r="BC12" s="100">
        <v>4502.3999999999996</v>
      </c>
      <c r="BD12" s="100">
        <v>2.6212025140765411</v>
      </c>
      <c r="BE12" s="100">
        <v>1475.2127749222773</v>
      </c>
      <c r="BF12" s="100">
        <v>5</v>
      </c>
      <c r="BG12" s="100">
        <v>2814</v>
      </c>
      <c r="BH12" s="100">
        <v>2.1237718253780131</v>
      </c>
      <c r="BI12" s="100">
        <v>1195.2587833227458</v>
      </c>
      <c r="BJ12" s="100">
        <v>8.7820051982472958</v>
      </c>
      <c r="BK12" s="100">
        <v>4942.5125255735775</v>
      </c>
      <c r="BL12" s="100">
        <v>5.4496608699693141</v>
      </c>
      <c r="BM12" s="100">
        <v>3067.0691376187297</v>
      </c>
      <c r="BN12" s="100">
        <v>3.961013041278111</v>
      </c>
      <c r="BO12" s="100">
        <v>2229.2581396313208</v>
      </c>
      <c r="BP12" s="100">
        <v>10.059965032280806</v>
      </c>
      <c r="BQ12" s="100">
        <v>5661.7483201676368</v>
      </c>
      <c r="BR12" s="100">
        <v>6.1217890612195038</v>
      </c>
      <c r="BS12" s="100">
        <v>3445.3428836543367</v>
      </c>
      <c r="BT12" s="100">
        <v>3.8380047092095899</v>
      </c>
      <c r="BU12" s="100">
        <v>2160.029050343157</v>
      </c>
      <c r="BV12" s="100">
        <v>7.2246125438260682</v>
      </c>
      <c r="BW12" s="100">
        <v>4066.0119396653108</v>
      </c>
      <c r="BX12" s="100">
        <v>7.2773308858728545E-4</v>
      </c>
      <c r="BY12" s="100">
        <v>0.40956818225692421</v>
      </c>
      <c r="BZ12" s="100">
        <v>1.5775504014993471</v>
      </c>
      <c r="CA12" s="100">
        <v>887.84536596383248</v>
      </c>
      <c r="CB12" s="100">
        <v>6.7921735576901296</v>
      </c>
      <c r="CC12" s="100">
        <v>3822.6352782680046</v>
      </c>
      <c r="CD12" s="100">
        <v>10.226606596909548</v>
      </c>
      <c r="CE12" s="100">
        <v>5755.5341927406935</v>
      </c>
      <c r="CF12" s="100">
        <v>4.2955691181562132</v>
      </c>
      <c r="CG12" s="100">
        <v>2417.5462996983165</v>
      </c>
      <c r="CH12" s="100">
        <v>10.313532655471333</v>
      </c>
      <c r="CI12" s="100">
        <v>5804.4561784992657</v>
      </c>
      <c r="CJ12" s="100">
        <v>5</v>
      </c>
      <c r="CK12" s="100">
        <v>2814</v>
      </c>
      <c r="CL12" s="100">
        <v>2.5711151667662415</v>
      </c>
      <c r="CM12" s="100">
        <v>1447.0236158560406</v>
      </c>
      <c r="CN12" s="100">
        <v>4.8961054763171864E-4</v>
      </c>
      <c r="CO12" s="100">
        <v>0.27555281620713123</v>
      </c>
      <c r="CP12" s="100">
        <v>8.0003608323151276</v>
      </c>
      <c r="CQ12" s="100">
        <v>4502.6030764269535</v>
      </c>
      <c r="CR12" s="100">
        <v>8.0067194006625524</v>
      </c>
      <c r="CS12" s="100">
        <v>4506.1816786928839</v>
      </c>
      <c r="CT12" s="100">
        <v>4.805337237777259</v>
      </c>
      <c r="CU12" s="100">
        <v>2704.4437974210409</v>
      </c>
    </row>
    <row r="13" spans="1:99">
      <c r="C13" s="99" t="s">
        <v>179</v>
      </c>
      <c r="D13" s="100">
        <v>4.6111247516264813</v>
      </c>
      <c r="E13" s="100">
        <v>392.8678288385762</v>
      </c>
      <c r="F13" s="100">
        <v>2.9808643241362831</v>
      </c>
      <c r="G13" s="100">
        <v>253.96964041641132</v>
      </c>
      <c r="H13" s="100">
        <v>9.0898529214194888</v>
      </c>
      <c r="I13" s="100">
        <v>774.45546890494052</v>
      </c>
      <c r="J13" s="100">
        <v>6</v>
      </c>
      <c r="K13" s="100">
        <v>511.20000000000005</v>
      </c>
      <c r="L13" s="100">
        <v>9</v>
      </c>
      <c r="M13" s="100">
        <v>766.80000000000007</v>
      </c>
      <c r="N13" s="100">
        <v>7</v>
      </c>
      <c r="O13" s="100">
        <v>596.4</v>
      </c>
      <c r="P13" s="100">
        <v>5.550307258392051</v>
      </c>
      <c r="Q13" s="100">
        <v>472.88617841500275</v>
      </c>
      <c r="R13" s="100">
        <v>2.2974578939143377</v>
      </c>
      <c r="S13" s="100">
        <v>195.74341256150157</v>
      </c>
      <c r="T13" s="100">
        <v>10</v>
      </c>
      <c r="U13" s="100">
        <v>852</v>
      </c>
      <c r="V13" s="100">
        <v>6</v>
      </c>
      <c r="W13" s="100">
        <v>511.20000000000005</v>
      </c>
      <c r="X13" s="100">
        <v>0.32386905641073171</v>
      </c>
      <c r="Y13" s="100">
        <v>27.593643606194345</v>
      </c>
      <c r="Z13" s="100">
        <v>8</v>
      </c>
      <c r="AA13" s="100">
        <v>681.6</v>
      </c>
      <c r="AB13" s="100">
        <v>5</v>
      </c>
      <c r="AC13" s="100">
        <v>426</v>
      </c>
      <c r="AD13" s="100">
        <v>3.0319770903304146</v>
      </c>
      <c r="AE13" s="100">
        <v>258.32444809615134</v>
      </c>
      <c r="AF13" s="100">
        <v>3.4216741063214924</v>
      </c>
      <c r="AG13" s="100">
        <v>291.52663385859114</v>
      </c>
      <c r="AH13" s="100">
        <v>9.4064152205532547</v>
      </c>
      <c r="AI13" s="100">
        <v>801.42657679113734</v>
      </c>
      <c r="AJ13" s="100">
        <v>0.85089154053969351</v>
      </c>
      <c r="AK13" s="100">
        <v>72.495959253981894</v>
      </c>
      <c r="AL13" s="100">
        <v>6.8323839204801837</v>
      </c>
      <c r="AM13" s="100">
        <v>582.11911002491172</v>
      </c>
      <c r="AN13" s="100">
        <v>4.7038007250257188</v>
      </c>
      <c r="AO13" s="100">
        <v>400.76382177219125</v>
      </c>
      <c r="AP13" s="100">
        <v>4.3988783332732098</v>
      </c>
      <c r="AQ13" s="100">
        <v>374.78443399487747</v>
      </c>
      <c r="AR13" s="100">
        <v>4.9610097136621042E-4</v>
      </c>
      <c r="AS13" s="100">
        <v>4.2267802760401131E-2</v>
      </c>
      <c r="AT13" s="100">
        <v>9.0004484099317459</v>
      </c>
      <c r="AU13" s="100">
        <v>766.83820452618477</v>
      </c>
      <c r="AV13" s="100">
        <v>6</v>
      </c>
      <c r="AW13" s="100">
        <v>511.20000000000005</v>
      </c>
      <c r="AX13" s="100">
        <v>9</v>
      </c>
      <c r="AY13" s="100">
        <v>766.80000000000007</v>
      </c>
      <c r="AZ13" s="100">
        <v>0.57459303240700188</v>
      </c>
      <c r="BA13" s="100">
        <v>48.955326361076558</v>
      </c>
      <c r="BB13" s="100">
        <v>9</v>
      </c>
      <c r="BC13" s="100">
        <v>766.80000000000007</v>
      </c>
      <c r="BD13" s="100">
        <v>2.9488528283361091</v>
      </c>
      <c r="BE13" s="100">
        <v>251.2422609742365</v>
      </c>
      <c r="BF13" s="100">
        <v>5</v>
      </c>
      <c r="BG13" s="100">
        <v>426</v>
      </c>
      <c r="BH13" s="100">
        <v>2.1237718253780131</v>
      </c>
      <c r="BI13" s="100">
        <v>180.94535952220673</v>
      </c>
      <c r="BJ13" s="100">
        <v>7.8085574296860996</v>
      </c>
      <c r="BK13" s="100">
        <v>665.28909300925568</v>
      </c>
      <c r="BL13" s="100">
        <v>5.4496608699693141</v>
      </c>
      <c r="BM13" s="100">
        <v>464.31110612138559</v>
      </c>
      <c r="BN13" s="100">
        <v>3.961013041278111</v>
      </c>
      <c r="BO13" s="100">
        <v>337.4783111168951</v>
      </c>
      <c r="BP13" s="100">
        <v>10.059965032280806</v>
      </c>
      <c r="BQ13" s="100">
        <v>857.1090207503247</v>
      </c>
      <c r="BR13" s="100">
        <v>6.1217890612195038</v>
      </c>
      <c r="BS13" s="100">
        <v>521.5764280159018</v>
      </c>
      <c r="BT13" s="100">
        <v>4.6056056510515084</v>
      </c>
      <c r="BU13" s="100">
        <v>392.39760146958855</v>
      </c>
      <c r="BV13" s="100">
        <v>7.9678008477891078</v>
      </c>
      <c r="BW13" s="100">
        <v>678.85663223163203</v>
      </c>
      <c r="BX13" s="100">
        <v>8.0050639744601402E-4</v>
      </c>
      <c r="BY13" s="100">
        <v>6.8203145062400397E-2</v>
      </c>
      <c r="BZ13" s="100">
        <v>1.5775499586734416</v>
      </c>
      <c r="CA13" s="100">
        <v>134.40725647897722</v>
      </c>
      <c r="CB13" s="100">
        <v>6.1783389201273913</v>
      </c>
      <c r="CC13" s="100">
        <v>526.39447599485379</v>
      </c>
      <c r="CD13" s="100">
        <v>10.226606596909548</v>
      </c>
      <c r="CE13" s="100">
        <v>871.30688205669355</v>
      </c>
      <c r="CF13" s="100">
        <v>5.3694613976952672</v>
      </c>
      <c r="CG13" s="100">
        <v>457.4781110836368</v>
      </c>
      <c r="CH13" s="100">
        <v>10.313532655471333</v>
      </c>
      <c r="CI13" s="100">
        <v>878.71298224615759</v>
      </c>
      <c r="CJ13" s="100">
        <v>6</v>
      </c>
      <c r="CK13" s="100">
        <v>511.20000000000005</v>
      </c>
      <c r="CL13" s="100">
        <v>2.9996343612272818</v>
      </c>
      <c r="CM13" s="100">
        <v>255.56884757656442</v>
      </c>
      <c r="CN13" s="100">
        <v>5.5748195022358718E-4</v>
      </c>
      <c r="CO13" s="100">
        <v>4.7497462159049632E-2</v>
      </c>
      <c r="CP13" s="100">
        <v>8.0003207398356686</v>
      </c>
      <c r="CQ13" s="100">
        <v>681.62732703399899</v>
      </c>
      <c r="CR13" s="100">
        <v>8.8073913407288078</v>
      </c>
      <c r="CS13" s="100">
        <v>750.3897422300945</v>
      </c>
      <c r="CT13" s="100">
        <v>4.805337237777259</v>
      </c>
      <c r="CU13" s="100">
        <v>409.41473265862248</v>
      </c>
    </row>
    <row r="14" spans="1:99">
      <c r="C14" s="99" t="s">
        <v>180</v>
      </c>
      <c r="D14" s="100">
        <v>3.958366979608591</v>
      </c>
      <c r="E14" s="100">
        <v>1933.2664328408357</v>
      </c>
      <c r="F14" s="100">
        <v>2.7044335397104944</v>
      </c>
      <c r="G14" s="100">
        <v>1320.8453407946054</v>
      </c>
      <c r="H14" s="100">
        <v>7.8476633833262692</v>
      </c>
      <c r="I14" s="100">
        <v>3832.7987964165495</v>
      </c>
      <c r="J14" s="100">
        <v>7</v>
      </c>
      <c r="K14" s="100">
        <v>3418.7999999999997</v>
      </c>
      <c r="L14" s="100">
        <v>9</v>
      </c>
      <c r="M14" s="100">
        <v>4395.5999999999995</v>
      </c>
      <c r="N14" s="100">
        <v>7</v>
      </c>
      <c r="O14" s="100">
        <v>3418.7999999999997</v>
      </c>
      <c r="P14" s="100">
        <v>5.550307258392051</v>
      </c>
      <c r="Q14" s="100">
        <v>2710.7700649986778</v>
      </c>
      <c r="R14" s="100">
        <v>2.552730993238153</v>
      </c>
      <c r="S14" s="100">
        <v>1246.7538170975138</v>
      </c>
      <c r="T14" s="100">
        <v>9</v>
      </c>
      <c r="U14" s="100">
        <v>4395.5999999999995</v>
      </c>
      <c r="V14" s="100">
        <v>5</v>
      </c>
      <c r="W14" s="100">
        <v>2442</v>
      </c>
      <c r="X14" s="100">
        <v>0.24672746347332269</v>
      </c>
      <c r="Y14" s="100">
        <v>120.50169316037079</v>
      </c>
      <c r="Z14" s="100">
        <v>7</v>
      </c>
      <c r="AA14" s="100">
        <v>3418.7999999999997</v>
      </c>
      <c r="AB14" s="100">
        <v>4</v>
      </c>
      <c r="AC14" s="100">
        <v>1953.6</v>
      </c>
      <c r="AD14" s="100">
        <v>3.0319770903304146</v>
      </c>
      <c r="AE14" s="100">
        <v>1480.8176109173744</v>
      </c>
      <c r="AF14" s="100">
        <v>3.4442918599665249</v>
      </c>
      <c r="AG14" s="100">
        <v>1682.1921444076506</v>
      </c>
      <c r="AH14" s="100">
        <v>9.0938785048747537</v>
      </c>
      <c r="AI14" s="100">
        <v>4441.4502617808294</v>
      </c>
      <c r="AJ14" s="100">
        <v>0.84622957470312088</v>
      </c>
      <c r="AK14" s="100">
        <v>413.29852428500419</v>
      </c>
      <c r="AL14" s="100">
        <v>7.6489091457659644</v>
      </c>
      <c r="AM14" s="100">
        <v>3735.7272267920966</v>
      </c>
      <c r="AN14" s="100">
        <v>4.620689830787156</v>
      </c>
      <c r="AO14" s="100">
        <v>2256.7449133564469</v>
      </c>
      <c r="AP14" s="100">
        <v>3.9137345280115978</v>
      </c>
      <c r="AQ14" s="100">
        <v>1911.4679434808643</v>
      </c>
      <c r="AR14" s="100">
        <v>4.2522940402818044E-4</v>
      </c>
      <c r="AS14" s="100">
        <v>0.20768204092736331</v>
      </c>
      <c r="AT14" s="100">
        <v>7.0004035689385713</v>
      </c>
      <c r="AU14" s="100">
        <v>3418.9971030695979</v>
      </c>
      <c r="AV14" s="100">
        <v>5</v>
      </c>
      <c r="AW14" s="100">
        <v>2442</v>
      </c>
      <c r="AX14" s="100">
        <v>9</v>
      </c>
      <c r="AY14" s="100">
        <v>4395.5999999999995</v>
      </c>
      <c r="AZ14" s="100">
        <v>0.57459303240700188</v>
      </c>
      <c r="BA14" s="100">
        <v>280.63123702757969</v>
      </c>
      <c r="BB14" s="100">
        <v>9</v>
      </c>
      <c r="BC14" s="100">
        <v>4395.5999999999995</v>
      </c>
      <c r="BD14" s="100">
        <v>2.6801051716386639</v>
      </c>
      <c r="BE14" s="100">
        <v>1308.9633658283235</v>
      </c>
      <c r="BF14" s="100">
        <v>6</v>
      </c>
      <c r="BG14" s="100">
        <v>2930.3999999999996</v>
      </c>
      <c r="BH14" s="100">
        <v>2.1237718253780131</v>
      </c>
      <c r="BI14" s="100">
        <v>1037.2501595146216</v>
      </c>
      <c r="BJ14" s="100">
        <v>7.907999734661872</v>
      </c>
      <c r="BK14" s="100">
        <v>3862.2670704088582</v>
      </c>
      <c r="BL14" s="100">
        <v>6.3579376816308661</v>
      </c>
      <c r="BM14" s="100">
        <v>3105.2167637085149</v>
      </c>
      <c r="BN14" s="100">
        <v>5.4775894877009046</v>
      </c>
      <c r="BO14" s="100">
        <v>2675.2547057931215</v>
      </c>
      <c r="BP14" s="100">
        <v>10.059965032280806</v>
      </c>
      <c r="BQ14" s="100">
        <v>4913.2869217659454</v>
      </c>
      <c r="BR14" s="100">
        <v>5.3565654285670661</v>
      </c>
      <c r="BS14" s="100">
        <v>2616.1465553121548</v>
      </c>
      <c r="BT14" s="100">
        <v>3.8380047092095899</v>
      </c>
      <c r="BU14" s="100">
        <v>1874.4814999779637</v>
      </c>
      <c r="BV14" s="100">
        <v>7.2251689681353</v>
      </c>
      <c r="BW14" s="100">
        <v>3528.7725240372802</v>
      </c>
      <c r="BX14" s="100">
        <v>8.0050639744601402E-4</v>
      </c>
      <c r="BY14" s="100">
        <v>0.39096732451263322</v>
      </c>
      <c r="BZ14" s="100">
        <v>1.5775504014993471</v>
      </c>
      <c r="CA14" s="100">
        <v>770.47561609228114</v>
      </c>
      <c r="CB14" s="100">
        <v>6.8598093004155771</v>
      </c>
      <c r="CC14" s="100">
        <v>3350.3308623229677</v>
      </c>
      <c r="CD14" s="100">
        <v>10.362896218788388</v>
      </c>
      <c r="CE14" s="100">
        <v>5061.2385132562486</v>
      </c>
      <c r="CF14" s="100">
        <v>4.2955691181562132</v>
      </c>
      <c r="CG14" s="100">
        <v>2097.9559573074944</v>
      </c>
      <c r="CH14" s="100">
        <v>8.4383448999310922</v>
      </c>
      <c r="CI14" s="100">
        <v>4121.2876491263451</v>
      </c>
      <c r="CJ14" s="100">
        <v>6</v>
      </c>
      <c r="CK14" s="100">
        <v>2930.3999999999996</v>
      </c>
      <c r="CL14" s="100">
        <v>2.5711151667662415</v>
      </c>
      <c r="CM14" s="100">
        <v>1255.7326474486324</v>
      </c>
      <c r="CN14" s="100">
        <v>5.5748195022358718E-4</v>
      </c>
      <c r="CO14" s="100">
        <v>0.27227418448919999</v>
      </c>
      <c r="CP14" s="100">
        <v>9.0003608323151276</v>
      </c>
      <c r="CQ14" s="100">
        <v>4395.7762305027081</v>
      </c>
      <c r="CR14" s="100">
        <v>8.0067194006625524</v>
      </c>
      <c r="CS14" s="100">
        <v>3910.4817552835902</v>
      </c>
      <c r="CT14" s="100">
        <v>4.805337237777259</v>
      </c>
      <c r="CU14" s="100">
        <v>2346.9267069304133</v>
      </c>
    </row>
    <row r="15" spans="1:99">
      <c r="C15" s="99" t="s">
        <v>181</v>
      </c>
      <c r="D15" s="100">
        <v>3.9598391262483248</v>
      </c>
      <c r="E15" s="100">
        <v>3022.1492211527211</v>
      </c>
      <c r="F15" s="100">
        <v>2.3955192833029466</v>
      </c>
      <c r="G15" s="100">
        <v>1828.2603170168086</v>
      </c>
      <c r="H15" s="100">
        <v>8.9687581523728781</v>
      </c>
      <c r="I15" s="100">
        <v>6844.9562218909796</v>
      </c>
      <c r="J15" s="100">
        <v>6</v>
      </c>
      <c r="K15" s="100">
        <v>4579.2</v>
      </c>
      <c r="L15" s="100">
        <v>8</v>
      </c>
      <c r="M15" s="100">
        <v>6105.5999999999995</v>
      </c>
      <c r="N15" s="100">
        <v>6</v>
      </c>
      <c r="O15" s="100">
        <v>4579.2</v>
      </c>
      <c r="P15" s="100">
        <v>5.550307258392051</v>
      </c>
      <c r="Q15" s="100">
        <v>4235.9944996048125</v>
      </c>
      <c r="R15" s="100">
        <v>2.042184794590522</v>
      </c>
      <c r="S15" s="100">
        <v>1558.5954352314864</v>
      </c>
      <c r="T15" s="100">
        <v>9</v>
      </c>
      <c r="U15" s="100">
        <v>6868.7999999999993</v>
      </c>
      <c r="V15" s="100">
        <v>6</v>
      </c>
      <c r="W15" s="100">
        <v>4579.2</v>
      </c>
      <c r="X15" s="100">
        <v>0.28338542435939018</v>
      </c>
      <c r="Y15" s="100">
        <v>216.27975587108656</v>
      </c>
      <c r="Z15" s="100">
        <v>7</v>
      </c>
      <c r="AA15" s="100">
        <v>5342.4</v>
      </c>
      <c r="AB15" s="100">
        <v>5</v>
      </c>
      <c r="AC15" s="100">
        <v>3815.9999999999995</v>
      </c>
      <c r="AD15" s="100">
        <v>3.0319770903304146</v>
      </c>
      <c r="AE15" s="100">
        <v>2314.0049153401724</v>
      </c>
      <c r="AF15" s="100">
        <v>2.9079394727138252</v>
      </c>
      <c r="AG15" s="100">
        <v>2219.3394055751914</v>
      </c>
      <c r="AH15" s="100">
        <v>8.2501468627140042</v>
      </c>
      <c r="AI15" s="100">
        <v>6296.512085623327</v>
      </c>
      <c r="AJ15" s="100">
        <v>0.84622957470312088</v>
      </c>
      <c r="AK15" s="100">
        <v>645.84241141342181</v>
      </c>
      <c r="AL15" s="100">
        <v>5.8917801014744349</v>
      </c>
      <c r="AM15" s="100">
        <v>4496.6065734452886</v>
      </c>
      <c r="AN15" s="100">
        <v>4.620689830787156</v>
      </c>
      <c r="AO15" s="100">
        <v>3526.5104788567573</v>
      </c>
      <c r="AP15" s="100">
        <v>3.8337697616645423</v>
      </c>
      <c r="AQ15" s="100">
        <v>2925.9330821023786</v>
      </c>
      <c r="AR15" s="100">
        <v>4.9610097136621042E-4</v>
      </c>
      <c r="AS15" s="100">
        <v>0.37862426134669175</v>
      </c>
      <c r="AT15" s="100">
        <v>8.0004035689385713</v>
      </c>
      <c r="AU15" s="100">
        <v>6105.9080038139173</v>
      </c>
      <c r="AV15" s="100">
        <v>5</v>
      </c>
      <c r="AW15" s="100">
        <v>3815.9999999999995</v>
      </c>
      <c r="AX15" s="100">
        <v>9</v>
      </c>
      <c r="AY15" s="100">
        <v>6868.7999999999993</v>
      </c>
      <c r="AZ15" s="100">
        <v>0.57459303240700188</v>
      </c>
      <c r="BA15" s="100">
        <v>438.52940233302377</v>
      </c>
      <c r="BB15" s="100">
        <v>8</v>
      </c>
      <c r="BC15" s="100">
        <v>6105.5999999999995</v>
      </c>
      <c r="BD15" s="100">
        <v>2.6212025140765411</v>
      </c>
      <c r="BE15" s="100">
        <v>2000.501758743216</v>
      </c>
      <c r="BF15" s="100">
        <v>5</v>
      </c>
      <c r="BG15" s="100">
        <v>3815.9999999999995</v>
      </c>
      <c r="BH15" s="100">
        <v>2.1292648739641238</v>
      </c>
      <c r="BI15" s="100">
        <v>1625.0549518094192</v>
      </c>
      <c r="BJ15" s="100">
        <v>7.7091151247103262</v>
      </c>
      <c r="BK15" s="100">
        <v>5883.5966631789206</v>
      </c>
      <c r="BL15" s="100">
        <v>4.5413840583077612</v>
      </c>
      <c r="BM15" s="100">
        <v>3465.9843133004829</v>
      </c>
      <c r="BN15" s="100">
        <v>3.961013041278111</v>
      </c>
      <c r="BO15" s="100">
        <v>3023.0451531034541</v>
      </c>
      <c r="BP15" s="100">
        <v>9.0599650322808056</v>
      </c>
      <c r="BQ15" s="100">
        <v>6914.5653126367106</v>
      </c>
      <c r="BR15" s="100">
        <v>6.1217890612195038</v>
      </c>
      <c r="BS15" s="100">
        <v>4672.1494115227251</v>
      </c>
      <c r="BT15" s="100">
        <v>3.8380047092095899</v>
      </c>
      <c r="BU15" s="100">
        <v>2929.1651940687589</v>
      </c>
      <c r="BV15" s="100">
        <v>7.2251689681353</v>
      </c>
      <c r="BW15" s="100">
        <v>5514.2489564808602</v>
      </c>
      <c r="BX15" s="100">
        <v>7.2773308858728545E-4</v>
      </c>
      <c r="BY15" s="100">
        <v>0.55540589320981626</v>
      </c>
      <c r="BZ15" s="100">
        <v>1.5775499586734416</v>
      </c>
      <c r="CA15" s="100">
        <v>1203.9861284595706</v>
      </c>
      <c r="CB15" s="100">
        <v>6.1768354035429338</v>
      </c>
      <c r="CC15" s="100">
        <v>4714.1607799839667</v>
      </c>
      <c r="CD15" s="100">
        <v>10.226606596909548</v>
      </c>
      <c r="CE15" s="100">
        <v>7804.9461547613664</v>
      </c>
      <c r="CF15" s="100">
        <v>4.8325152579257402</v>
      </c>
      <c r="CG15" s="100">
        <v>3688.1756448489245</v>
      </c>
      <c r="CH15" s="100">
        <v>9.3759387777012133</v>
      </c>
      <c r="CI15" s="100">
        <v>7155.7164751415658</v>
      </c>
      <c r="CJ15" s="100">
        <v>5</v>
      </c>
      <c r="CK15" s="100">
        <v>3815.9999999999995</v>
      </c>
      <c r="CL15" s="100">
        <v>2.5711151667662415</v>
      </c>
      <c r="CM15" s="100">
        <v>1962.2750952759955</v>
      </c>
      <c r="CN15" s="100">
        <v>4.8961054763171864E-4</v>
      </c>
      <c r="CO15" s="100">
        <v>0.37367076995252763</v>
      </c>
      <c r="CP15" s="100">
        <v>8.0003207398356686</v>
      </c>
      <c r="CQ15" s="100">
        <v>6105.844788642582</v>
      </c>
      <c r="CR15" s="100">
        <v>8.0067194006625524</v>
      </c>
      <c r="CS15" s="100">
        <v>6110.7282465856597</v>
      </c>
      <c r="CT15" s="100">
        <v>4.805337237777259</v>
      </c>
      <c r="CU15" s="100">
        <v>3667.4333798716038</v>
      </c>
    </row>
    <row r="16" spans="1:99">
      <c r="C16" s="99" t="s">
        <v>182</v>
      </c>
      <c r="D16" s="100">
        <v>4.6111247516264813</v>
      </c>
      <c r="E16" s="100">
        <v>1571.4713153543048</v>
      </c>
      <c r="F16" s="100">
        <v>2.3955192833029466</v>
      </c>
      <c r="G16" s="100">
        <v>816.39297174964429</v>
      </c>
      <c r="H16" s="100">
        <v>8.9687581523728781</v>
      </c>
      <c r="I16" s="100">
        <v>3056.5527783286771</v>
      </c>
      <c r="J16" s="100">
        <v>6</v>
      </c>
      <c r="K16" s="100">
        <v>2044.8000000000002</v>
      </c>
      <c r="L16" s="100">
        <v>8</v>
      </c>
      <c r="M16" s="100">
        <v>2726.4</v>
      </c>
      <c r="N16" s="100">
        <v>6</v>
      </c>
      <c r="O16" s="100">
        <v>2044.8000000000002</v>
      </c>
      <c r="P16" s="100">
        <v>5.550307258392051</v>
      </c>
      <c r="Q16" s="100">
        <v>1891.544713660011</v>
      </c>
      <c r="R16" s="100">
        <v>2.552730993238153</v>
      </c>
      <c r="S16" s="100">
        <v>869.97072249556254</v>
      </c>
      <c r="T16" s="100">
        <v>10</v>
      </c>
      <c r="U16" s="100">
        <v>3408</v>
      </c>
      <c r="V16" s="100">
        <v>5</v>
      </c>
      <c r="W16" s="100">
        <v>1704</v>
      </c>
      <c r="X16" s="100">
        <v>0.28338542435939018</v>
      </c>
      <c r="Y16" s="100">
        <v>96.577752621680176</v>
      </c>
      <c r="Z16" s="100">
        <v>8</v>
      </c>
      <c r="AA16" s="100">
        <v>2726.4</v>
      </c>
      <c r="AB16" s="100">
        <v>5</v>
      </c>
      <c r="AC16" s="100">
        <v>1704</v>
      </c>
      <c r="AD16" s="100">
        <v>3.5373066053854836</v>
      </c>
      <c r="AE16" s="100">
        <v>1205.5140911153728</v>
      </c>
      <c r="AF16" s="100">
        <v>3.4216741063214924</v>
      </c>
      <c r="AG16" s="100">
        <v>1166.1065354343646</v>
      </c>
      <c r="AH16" s="100">
        <v>8.0938785048747537</v>
      </c>
      <c r="AI16" s="100">
        <v>2758.3937944613162</v>
      </c>
      <c r="AJ16" s="100">
        <v>0.94035335694957922</v>
      </c>
      <c r="AK16" s="100">
        <v>320.4724240484166</v>
      </c>
      <c r="AL16" s="100">
        <v>6.0158586951944031</v>
      </c>
      <c r="AM16" s="100">
        <v>2050.2046433222527</v>
      </c>
      <c r="AN16" s="100">
        <v>4.620689830787156</v>
      </c>
      <c r="AO16" s="100">
        <v>1574.7310943322627</v>
      </c>
      <c r="AP16" s="100">
        <v>4.3988783332732098</v>
      </c>
      <c r="AQ16" s="100">
        <v>1499.1377359795099</v>
      </c>
      <c r="AR16" s="100">
        <v>5.6697253870424051E-4</v>
      </c>
      <c r="AS16" s="100">
        <v>0.19322424119040518</v>
      </c>
      <c r="AT16" s="100">
        <v>8.0004484099317459</v>
      </c>
      <c r="AU16" s="100">
        <v>2726.5528181047389</v>
      </c>
      <c r="AV16" s="100">
        <v>5</v>
      </c>
      <c r="AW16" s="100">
        <v>1704</v>
      </c>
      <c r="AX16" s="100">
        <v>9</v>
      </c>
      <c r="AY16" s="100">
        <v>3067.2000000000003</v>
      </c>
      <c r="AZ16" s="100">
        <v>0.57459303240700188</v>
      </c>
      <c r="BA16" s="100">
        <v>195.82130544430623</v>
      </c>
      <c r="BB16" s="100">
        <v>9</v>
      </c>
      <c r="BC16" s="100">
        <v>3067.2000000000003</v>
      </c>
      <c r="BD16" s="100">
        <v>2.9488528283361091</v>
      </c>
      <c r="BE16" s="100">
        <v>1004.969043896946</v>
      </c>
      <c r="BF16" s="100">
        <v>5</v>
      </c>
      <c r="BG16" s="100">
        <v>1704</v>
      </c>
      <c r="BH16" s="100">
        <v>2.1292648739641238</v>
      </c>
      <c r="BI16" s="100">
        <v>725.65346904697344</v>
      </c>
      <c r="BJ16" s="100">
        <v>7.7091151247103262</v>
      </c>
      <c r="BK16" s="100">
        <v>2627.2664345012795</v>
      </c>
      <c r="BL16" s="100">
        <v>5.4496608699693141</v>
      </c>
      <c r="BM16" s="100">
        <v>1857.2444244855424</v>
      </c>
      <c r="BN16" s="100">
        <v>5.4775894877009046</v>
      </c>
      <c r="BO16" s="100">
        <v>1866.7624974084683</v>
      </c>
      <c r="BP16" s="100">
        <v>9.908541456240691</v>
      </c>
      <c r="BQ16" s="100">
        <v>3376.8309282868277</v>
      </c>
      <c r="BR16" s="100">
        <v>5.3565654285670661</v>
      </c>
      <c r="BS16" s="100">
        <v>1825.5174980556562</v>
      </c>
      <c r="BT16" s="100">
        <v>3.8380047092095899</v>
      </c>
      <c r="BU16" s="100">
        <v>1307.9920048986282</v>
      </c>
      <c r="BV16" s="100">
        <v>7.2251689681353</v>
      </c>
      <c r="BW16" s="100">
        <v>2462.3375843405101</v>
      </c>
      <c r="BX16" s="100">
        <v>7.2773308858728545E-4</v>
      </c>
      <c r="BY16" s="100">
        <v>0.24801143659054689</v>
      </c>
      <c r="BZ16" s="100">
        <v>1.5775499586734416</v>
      </c>
      <c r="CA16" s="100">
        <v>537.62902591590887</v>
      </c>
      <c r="CB16" s="100">
        <v>6.7936770742745862</v>
      </c>
      <c r="CC16" s="100">
        <v>2315.2851469127791</v>
      </c>
      <c r="CD16" s="100">
        <v>10.226606596909548</v>
      </c>
      <c r="CE16" s="100">
        <v>3485.2275282267742</v>
      </c>
      <c r="CF16" s="100">
        <v>4.2955691181562132</v>
      </c>
      <c r="CG16" s="100">
        <v>1463.9299554676375</v>
      </c>
      <c r="CH16" s="100">
        <v>9.3759387777012133</v>
      </c>
      <c r="CI16" s="100">
        <v>3195.3199354405738</v>
      </c>
      <c r="CJ16" s="100">
        <v>6</v>
      </c>
      <c r="CK16" s="100">
        <v>2044.8000000000002</v>
      </c>
      <c r="CL16" s="100">
        <v>2.5711151667662415</v>
      </c>
      <c r="CM16" s="100">
        <v>876.23604883393511</v>
      </c>
      <c r="CN16" s="100">
        <v>5.5955491157910699E-4</v>
      </c>
      <c r="CO16" s="100">
        <v>0.19069631386615968</v>
      </c>
      <c r="CP16" s="100">
        <v>9.0003608323151276</v>
      </c>
      <c r="CQ16" s="100">
        <v>3067.3229716529954</v>
      </c>
      <c r="CR16" s="100">
        <v>8.0067194006625524</v>
      </c>
      <c r="CS16" s="100">
        <v>2728.6899717457977</v>
      </c>
      <c r="CT16" s="100">
        <v>4.9200318652748818</v>
      </c>
      <c r="CU16" s="100">
        <v>1676.7468596856797</v>
      </c>
    </row>
    <row r="17" spans="2:99">
      <c r="C17" s="99" t="s">
        <v>183</v>
      </c>
      <c r="D17" s="100">
        <v>3.9598391262483248</v>
      </c>
      <c r="E17" s="100">
        <v>1672.6360469272922</v>
      </c>
      <c r="F17" s="100">
        <v>2.4063471072968667</v>
      </c>
      <c r="G17" s="100">
        <v>1016.4410181221965</v>
      </c>
      <c r="H17" s="100">
        <v>8.9687581523728781</v>
      </c>
      <c r="I17" s="100">
        <v>3788.4034435623034</v>
      </c>
      <c r="J17" s="100">
        <v>7</v>
      </c>
      <c r="K17" s="100">
        <v>2956.7999999999997</v>
      </c>
      <c r="L17" s="100">
        <v>9</v>
      </c>
      <c r="M17" s="100">
        <v>3801.6</v>
      </c>
      <c r="N17" s="100">
        <v>6</v>
      </c>
      <c r="O17" s="100">
        <v>2534.3999999999996</v>
      </c>
      <c r="P17" s="100">
        <v>5.550307258392051</v>
      </c>
      <c r="Q17" s="100">
        <v>2344.449785944802</v>
      </c>
      <c r="R17" s="100">
        <v>2.552730993238153</v>
      </c>
      <c r="S17" s="100">
        <v>1078.2735715437957</v>
      </c>
      <c r="T17" s="100">
        <v>10</v>
      </c>
      <c r="U17" s="100">
        <v>4224</v>
      </c>
      <c r="V17" s="100">
        <v>5</v>
      </c>
      <c r="W17" s="100">
        <v>2112</v>
      </c>
      <c r="X17" s="100">
        <v>0.28338542435939018</v>
      </c>
      <c r="Y17" s="100">
        <v>119.7020032494064</v>
      </c>
      <c r="Z17" s="100">
        <v>8</v>
      </c>
      <c r="AA17" s="100">
        <v>3379.2</v>
      </c>
      <c r="AB17" s="100">
        <v>5</v>
      </c>
      <c r="AC17" s="100">
        <v>2112</v>
      </c>
      <c r="AD17" s="100">
        <v>3.0319770903304146</v>
      </c>
      <c r="AE17" s="100">
        <v>1280.707122955567</v>
      </c>
      <c r="AF17" s="100">
        <v>3.4216741063214924</v>
      </c>
      <c r="AG17" s="100">
        <v>1445.3151425101983</v>
      </c>
      <c r="AH17" s="100">
        <v>9.2501468627140042</v>
      </c>
      <c r="AI17" s="100">
        <v>3907.2620348103951</v>
      </c>
      <c r="AJ17" s="100">
        <v>0.74278186078351716</v>
      </c>
      <c r="AK17" s="100">
        <v>313.75105799495765</v>
      </c>
      <c r="AL17" s="100">
        <v>6.7083053267602155</v>
      </c>
      <c r="AM17" s="100">
        <v>2833.588170023515</v>
      </c>
      <c r="AN17" s="100">
        <v>4.620689830787156</v>
      </c>
      <c r="AO17" s="100">
        <v>1951.7793845244946</v>
      </c>
      <c r="AP17" s="100">
        <v>3.9105729202534327</v>
      </c>
      <c r="AQ17" s="100">
        <v>1651.8260015150499</v>
      </c>
      <c r="AR17" s="100">
        <v>4.9610097136621042E-4</v>
      </c>
      <c r="AS17" s="100">
        <v>0.20955305030508728</v>
      </c>
      <c r="AT17" s="100">
        <v>8.0004035689385713</v>
      </c>
      <c r="AU17" s="100">
        <v>3379.3704675196523</v>
      </c>
      <c r="AV17" s="100">
        <v>6</v>
      </c>
      <c r="AW17" s="100">
        <v>2534.3999999999996</v>
      </c>
      <c r="AX17" s="100">
        <v>10</v>
      </c>
      <c r="AY17" s="100">
        <v>4224</v>
      </c>
      <c r="AZ17" s="100">
        <v>0.57459303240700188</v>
      </c>
      <c r="BA17" s="100">
        <v>242.70809688871759</v>
      </c>
      <c r="BB17" s="100">
        <v>9</v>
      </c>
      <c r="BC17" s="100">
        <v>3801.6</v>
      </c>
      <c r="BD17" s="100">
        <v>2.9488528283361091</v>
      </c>
      <c r="BE17" s="100">
        <v>1245.5954346891724</v>
      </c>
      <c r="BF17" s="100">
        <v>5</v>
      </c>
      <c r="BG17" s="100">
        <v>2112</v>
      </c>
      <c r="BH17" s="100">
        <v>2.3906165656967922</v>
      </c>
      <c r="BI17" s="100">
        <v>1009.7964373503249</v>
      </c>
      <c r="BJ17" s="100">
        <v>8.7820051982472958</v>
      </c>
      <c r="BK17" s="100">
        <v>3709.5189957396574</v>
      </c>
      <c r="BL17" s="100">
        <v>6.3579376816308661</v>
      </c>
      <c r="BM17" s="100">
        <v>2685.5928767208779</v>
      </c>
      <c r="BN17" s="100">
        <v>3.961013041278111</v>
      </c>
      <c r="BO17" s="100">
        <v>1673.131908635874</v>
      </c>
      <c r="BP17" s="100">
        <v>9.0599650322808056</v>
      </c>
      <c r="BQ17" s="100">
        <v>3826.929229635412</v>
      </c>
      <c r="BR17" s="100">
        <v>6.1217890612195038</v>
      </c>
      <c r="BS17" s="100">
        <v>2585.8436994591184</v>
      </c>
      <c r="BT17" s="100">
        <v>3.8380047092095899</v>
      </c>
      <c r="BU17" s="100">
        <v>1621.1731891701306</v>
      </c>
      <c r="BV17" s="100">
        <v>7.8988961572907419</v>
      </c>
      <c r="BW17" s="100">
        <v>3336.493736839609</v>
      </c>
      <c r="BX17" s="100">
        <v>7.2773308858728545E-4</v>
      </c>
      <c r="BY17" s="100">
        <v>0.30739445661926934</v>
      </c>
      <c r="BZ17" s="100">
        <v>1.8404615356987843</v>
      </c>
      <c r="CA17" s="100">
        <v>777.41095267916648</v>
      </c>
      <c r="CB17" s="100">
        <v>6.2444711462683813</v>
      </c>
      <c r="CC17" s="100">
        <v>2637.6646121837639</v>
      </c>
      <c r="CD17" s="100">
        <v>11.362896218788388</v>
      </c>
      <c r="CE17" s="100">
        <v>4799.6873628162148</v>
      </c>
      <c r="CF17" s="100">
        <v>4.8325152579257402</v>
      </c>
      <c r="CG17" s="100">
        <v>2041.2544449478326</v>
      </c>
      <c r="CH17" s="100">
        <v>9.3759387777012133</v>
      </c>
      <c r="CI17" s="100">
        <v>3960.3965397009924</v>
      </c>
      <c r="CJ17" s="100">
        <v>5</v>
      </c>
      <c r="CK17" s="100">
        <v>2112</v>
      </c>
      <c r="CL17" s="100">
        <v>2.5711151667662415</v>
      </c>
      <c r="CM17" s="100">
        <v>1086.0390464420605</v>
      </c>
      <c r="CN17" s="100">
        <v>4.2173914503985011E-4</v>
      </c>
      <c r="CO17" s="100">
        <v>0.17814261486483268</v>
      </c>
      <c r="CP17" s="100">
        <v>8.0003608323151276</v>
      </c>
      <c r="CQ17" s="100">
        <v>3379.3524155699097</v>
      </c>
      <c r="CR17" s="100">
        <v>8.0067194006625524</v>
      </c>
      <c r="CS17" s="100">
        <v>3382.038274839862</v>
      </c>
      <c r="CT17" s="100">
        <v>4.9104739796500798</v>
      </c>
      <c r="CU17" s="100">
        <v>2074.1842090041937</v>
      </c>
    </row>
    <row r="18" spans="2:99">
      <c r="C18" s="99" t="s">
        <v>184</v>
      </c>
      <c r="D18" s="100">
        <v>3.9598391262483248</v>
      </c>
      <c r="E18" s="100">
        <v>2584.9829816149063</v>
      </c>
      <c r="F18" s="100">
        <v>2.6936057157165747</v>
      </c>
      <c r="G18" s="100">
        <v>1758.38581121978</v>
      </c>
      <c r="H18" s="100">
        <v>8.8476633833262692</v>
      </c>
      <c r="I18" s="100">
        <v>5775.7546566353885</v>
      </c>
      <c r="J18" s="100">
        <v>7</v>
      </c>
      <c r="K18" s="100">
        <v>4569.5999999999995</v>
      </c>
      <c r="L18" s="100">
        <v>8</v>
      </c>
      <c r="M18" s="100">
        <v>5222.3999999999996</v>
      </c>
      <c r="N18" s="100">
        <v>6</v>
      </c>
      <c r="O18" s="100">
        <v>3916.7999999999997</v>
      </c>
      <c r="P18" s="100">
        <v>4.6252560486600425</v>
      </c>
      <c r="Q18" s="100">
        <v>3019.3671485652753</v>
      </c>
      <c r="R18" s="100">
        <v>2.2974578939143377</v>
      </c>
      <c r="S18" s="100">
        <v>1499.7805131472796</v>
      </c>
      <c r="T18" s="100">
        <v>9</v>
      </c>
      <c r="U18" s="100">
        <v>5875.2</v>
      </c>
      <c r="V18" s="100">
        <v>6</v>
      </c>
      <c r="W18" s="100">
        <v>3916.7999999999997</v>
      </c>
      <c r="X18" s="100">
        <v>0.24481462789068575</v>
      </c>
      <c r="Y18" s="100">
        <v>159.81498908703966</v>
      </c>
      <c r="Z18" s="100">
        <v>8</v>
      </c>
      <c r="AA18" s="100">
        <v>5222.3999999999996</v>
      </c>
      <c r="AB18" s="100">
        <v>5</v>
      </c>
      <c r="AC18" s="100">
        <v>3264</v>
      </c>
      <c r="AD18" s="100">
        <v>3.0319770903304146</v>
      </c>
      <c r="AE18" s="100">
        <v>1979.2746445676946</v>
      </c>
      <c r="AF18" s="100">
        <v>3.4216741063214924</v>
      </c>
      <c r="AG18" s="100">
        <v>2233.66885660667</v>
      </c>
      <c r="AH18" s="100">
        <v>9.0938785048747537</v>
      </c>
      <c r="AI18" s="100">
        <v>5936.4838879822391</v>
      </c>
      <c r="AJ18" s="100">
        <v>0.84156760886654813</v>
      </c>
      <c r="AK18" s="100">
        <v>549.37533506808256</v>
      </c>
      <c r="AL18" s="100">
        <v>6.8323839204801837</v>
      </c>
      <c r="AM18" s="100">
        <v>4460.1802232894634</v>
      </c>
      <c r="AN18" s="100">
        <v>4.620689830787156</v>
      </c>
      <c r="AO18" s="100">
        <v>3016.3863215378551</v>
      </c>
      <c r="AP18" s="100">
        <v>3.9105729202534327</v>
      </c>
      <c r="AQ18" s="100">
        <v>2552.8220023414406</v>
      </c>
      <c r="AR18" s="100">
        <v>5.6697253870424051E-4</v>
      </c>
      <c r="AS18" s="100">
        <v>0.37011967326612816</v>
      </c>
      <c r="AT18" s="100">
        <v>8.0004484099317459</v>
      </c>
      <c r="AU18" s="100">
        <v>5222.6927220034431</v>
      </c>
      <c r="AV18" s="100">
        <v>5</v>
      </c>
      <c r="AW18" s="100">
        <v>3264</v>
      </c>
      <c r="AX18" s="100">
        <v>10</v>
      </c>
      <c r="AY18" s="100">
        <v>6528</v>
      </c>
      <c r="AZ18" s="100">
        <v>0.57459303240700188</v>
      </c>
      <c r="BA18" s="100">
        <v>375.09433155529081</v>
      </c>
      <c r="BB18" s="100">
        <v>9</v>
      </c>
      <c r="BC18" s="100">
        <v>5875.2</v>
      </c>
      <c r="BD18" s="100">
        <v>2.9488528283361091</v>
      </c>
      <c r="BE18" s="100">
        <v>1925.0111263378119</v>
      </c>
      <c r="BF18" s="100">
        <v>5</v>
      </c>
      <c r="BG18" s="100">
        <v>3264</v>
      </c>
      <c r="BH18" s="100">
        <v>2.1237718253780131</v>
      </c>
      <c r="BI18" s="100">
        <v>1386.398247606767</v>
      </c>
      <c r="BJ18" s="100">
        <v>6.8351096611249016</v>
      </c>
      <c r="BK18" s="100">
        <v>4461.9595867823355</v>
      </c>
      <c r="BL18" s="100">
        <v>5.4496608699693141</v>
      </c>
      <c r="BM18" s="100">
        <v>3557.538615915968</v>
      </c>
      <c r="BN18" s="100">
        <v>4.7532156495337343</v>
      </c>
      <c r="BO18" s="100">
        <v>3102.8991760156214</v>
      </c>
      <c r="BP18" s="100">
        <v>9.0599650322808056</v>
      </c>
      <c r="BQ18" s="100">
        <v>5914.3451730729093</v>
      </c>
      <c r="BR18" s="100">
        <v>6.1217890612195038</v>
      </c>
      <c r="BS18" s="100">
        <v>3996.3038991640919</v>
      </c>
      <c r="BT18" s="100">
        <v>3.8380047092095899</v>
      </c>
      <c r="BU18" s="100">
        <v>2505.44947417202</v>
      </c>
      <c r="BV18" s="100">
        <v>7.8983397329815102</v>
      </c>
      <c r="BW18" s="100">
        <v>5156.0361776903292</v>
      </c>
      <c r="BX18" s="100">
        <v>7.2773308858728545E-4</v>
      </c>
      <c r="BY18" s="100">
        <v>0.47506416022977993</v>
      </c>
      <c r="BZ18" s="100">
        <v>1.577539281561354</v>
      </c>
      <c r="CA18" s="100">
        <v>1029.8176430032518</v>
      </c>
      <c r="CB18" s="100">
        <v>6.7921735576901296</v>
      </c>
      <c r="CC18" s="100">
        <v>4433.9308984601166</v>
      </c>
      <c r="CD18" s="100">
        <v>10.226606596909548</v>
      </c>
      <c r="CE18" s="100">
        <v>6675.9287864625521</v>
      </c>
      <c r="CF18" s="100">
        <v>4.8325152579257402</v>
      </c>
      <c r="CG18" s="100">
        <v>3154.6659603739231</v>
      </c>
      <c r="CH18" s="100">
        <v>9.3759387777012133</v>
      </c>
      <c r="CI18" s="100">
        <v>6120.612834083352</v>
      </c>
      <c r="CJ18" s="100">
        <v>6</v>
      </c>
      <c r="CK18" s="100">
        <v>3916.7999999999997</v>
      </c>
      <c r="CL18" s="100">
        <v>2.5711151667662415</v>
      </c>
      <c r="CM18" s="100">
        <v>1678.4239808650022</v>
      </c>
      <c r="CN18" s="100">
        <v>4.2173914503985011E-4</v>
      </c>
      <c r="CO18" s="100">
        <v>0.27531131388201413</v>
      </c>
      <c r="CP18" s="100">
        <v>9.0003608323151276</v>
      </c>
      <c r="CQ18" s="100">
        <v>5875.4355513353148</v>
      </c>
      <c r="CR18" s="100">
        <v>8.8073913407288078</v>
      </c>
      <c r="CS18" s="100">
        <v>5749.4650672277658</v>
      </c>
      <c r="CT18" s="100">
        <v>4.9200318652748818</v>
      </c>
      <c r="CU18" s="100">
        <v>3211.7968016514428</v>
      </c>
    </row>
    <row r="19" spans="2:99">
      <c r="C19" s="99" t="s">
        <v>185</v>
      </c>
      <c r="D19" s="100">
        <v>4.6096526049867466</v>
      </c>
      <c r="E19" s="100">
        <v>1521.1853596456265</v>
      </c>
      <c r="F19" s="100">
        <v>2.7044335397104944</v>
      </c>
      <c r="G19" s="100">
        <v>892.4630681044631</v>
      </c>
      <c r="H19" s="100">
        <v>7.968758152372879</v>
      </c>
      <c r="I19" s="100">
        <v>2629.69019028305</v>
      </c>
      <c r="J19" s="100">
        <v>6</v>
      </c>
      <c r="K19" s="100">
        <v>1980</v>
      </c>
      <c r="L19" s="100">
        <v>8</v>
      </c>
      <c r="M19" s="100">
        <v>2640</v>
      </c>
      <c r="N19" s="100">
        <v>6</v>
      </c>
      <c r="O19" s="100">
        <v>1980</v>
      </c>
      <c r="P19" s="100">
        <v>5.550307258392051</v>
      </c>
      <c r="Q19" s="100">
        <v>1831.6013952693768</v>
      </c>
      <c r="R19" s="100">
        <v>2.552730993238153</v>
      </c>
      <c r="S19" s="100">
        <v>842.4012277685905</v>
      </c>
      <c r="T19" s="100">
        <v>10</v>
      </c>
      <c r="U19" s="100">
        <v>3300</v>
      </c>
      <c r="V19" s="100">
        <v>6</v>
      </c>
      <c r="W19" s="100">
        <v>1980</v>
      </c>
      <c r="X19" s="100">
        <v>0.28338542435939018</v>
      </c>
      <c r="Y19" s="100">
        <v>93.517190038598756</v>
      </c>
      <c r="Z19" s="100">
        <v>8</v>
      </c>
      <c r="AA19" s="100">
        <v>2640</v>
      </c>
      <c r="AB19" s="100">
        <v>5</v>
      </c>
      <c r="AC19" s="100">
        <v>1650</v>
      </c>
      <c r="AD19" s="100">
        <v>3.5373066053854836</v>
      </c>
      <c r="AE19" s="100">
        <v>1167.3111797772096</v>
      </c>
      <c r="AF19" s="100">
        <v>3.4216741063214924</v>
      </c>
      <c r="AG19" s="100">
        <v>1129.1524550860925</v>
      </c>
      <c r="AH19" s="100">
        <v>8.2501468627140042</v>
      </c>
      <c r="AI19" s="100">
        <v>2722.5484646956215</v>
      </c>
      <c r="AJ19" s="100">
        <v>0.84156760886654813</v>
      </c>
      <c r="AK19" s="100">
        <v>277.71731092596087</v>
      </c>
      <c r="AL19" s="100">
        <v>6.8323839204801837</v>
      </c>
      <c r="AM19" s="100">
        <v>2254.6866937584605</v>
      </c>
      <c r="AN19" s="100">
        <v>4.5375789365485941</v>
      </c>
      <c r="AO19" s="100">
        <v>1497.401049061036</v>
      </c>
      <c r="AP19" s="100">
        <v>4.3988783332732098</v>
      </c>
      <c r="AQ19" s="100">
        <v>1451.6298499801592</v>
      </c>
      <c r="AR19" s="100">
        <v>4.9610097136621042E-4</v>
      </c>
      <c r="AS19" s="100">
        <v>0.16371332055084944</v>
      </c>
      <c r="AT19" s="100">
        <v>9.0004035689385713</v>
      </c>
      <c r="AU19" s="100">
        <v>2970.1331777497285</v>
      </c>
      <c r="AV19" s="100">
        <v>6</v>
      </c>
      <c r="AW19" s="100">
        <v>1980</v>
      </c>
      <c r="AX19" s="100">
        <v>10</v>
      </c>
      <c r="AY19" s="100">
        <v>3300</v>
      </c>
      <c r="AZ19" s="100">
        <v>0.57459303240700188</v>
      </c>
      <c r="BA19" s="100">
        <v>189.61570069431062</v>
      </c>
      <c r="BB19" s="100">
        <v>8</v>
      </c>
      <c r="BC19" s="100">
        <v>2640</v>
      </c>
      <c r="BD19" s="100">
        <v>2.6801051716386639</v>
      </c>
      <c r="BE19" s="100">
        <v>884.43470664075915</v>
      </c>
      <c r="BF19" s="100">
        <v>6</v>
      </c>
      <c r="BG19" s="100">
        <v>1980</v>
      </c>
      <c r="BH19" s="100">
        <v>2.1237718253780131</v>
      </c>
      <c r="BI19" s="100">
        <v>700.84470237474432</v>
      </c>
      <c r="BJ19" s="100">
        <v>8.7820051982472958</v>
      </c>
      <c r="BK19" s="100">
        <v>2898.0617154216075</v>
      </c>
      <c r="BL19" s="100">
        <v>5.4496608699693141</v>
      </c>
      <c r="BM19" s="100">
        <v>1798.3880870898736</v>
      </c>
      <c r="BN19" s="100">
        <v>3.961013041278111</v>
      </c>
      <c r="BO19" s="100">
        <v>1307.1343036217766</v>
      </c>
      <c r="BP19" s="100">
        <v>8.908541456240691</v>
      </c>
      <c r="BQ19" s="100">
        <v>2939.8186805594282</v>
      </c>
      <c r="BR19" s="100">
        <v>6.1217890612195038</v>
      </c>
      <c r="BS19" s="100">
        <v>2020.1903902024362</v>
      </c>
      <c r="BT19" s="100">
        <v>4.6056056510515084</v>
      </c>
      <c r="BU19" s="100">
        <v>1519.8498648469979</v>
      </c>
      <c r="BV19" s="100">
        <v>7.9678008477891078</v>
      </c>
      <c r="BW19" s="100">
        <v>2629.3742797704058</v>
      </c>
      <c r="BX19" s="100">
        <v>8.0050639744601402E-4</v>
      </c>
      <c r="BY19" s="100">
        <v>0.26416711115718461</v>
      </c>
      <c r="BZ19" s="100">
        <v>1.8404615356987843</v>
      </c>
      <c r="CA19" s="100">
        <v>607.35230678059884</v>
      </c>
      <c r="CB19" s="100">
        <v>6.2444711462683813</v>
      </c>
      <c r="CC19" s="100">
        <v>2060.6754782685657</v>
      </c>
      <c r="CD19" s="100">
        <v>11.226606596909548</v>
      </c>
      <c r="CE19" s="100">
        <v>3704.7801769801508</v>
      </c>
      <c r="CF19" s="100">
        <v>5.3694613976952672</v>
      </c>
      <c r="CG19" s="100">
        <v>1771.9222612394383</v>
      </c>
      <c r="CH19" s="100">
        <v>8.4383448999310922</v>
      </c>
      <c r="CI19" s="100">
        <v>2784.6538169772602</v>
      </c>
      <c r="CJ19" s="100">
        <v>6</v>
      </c>
      <c r="CK19" s="100">
        <v>1980</v>
      </c>
      <c r="CL19" s="100">
        <v>2.9996343612272818</v>
      </c>
      <c r="CM19" s="100">
        <v>989.87933920500302</v>
      </c>
      <c r="CN19" s="100">
        <v>4.8961054763171864E-4</v>
      </c>
      <c r="CO19" s="100">
        <v>0.16157148071846716</v>
      </c>
      <c r="CP19" s="100">
        <v>8.0004009247945866</v>
      </c>
      <c r="CQ19" s="100">
        <v>2640.1323051822137</v>
      </c>
      <c r="CR19" s="100">
        <v>8.8073913407288078</v>
      </c>
      <c r="CS19" s="100">
        <v>2906.4391424405067</v>
      </c>
      <c r="CT19" s="100">
        <v>4.805337237777259</v>
      </c>
      <c r="CU19" s="100">
        <v>1585.7612884664954</v>
      </c>
    </row>
    <row r="20" spans="2:99">
      <c r="B20" s="99" t="s">
        <v>127</v>
      </c>
      <c r="C20" s="99" t="s">
        <v>186</v>
      </c>
      <c r="D20" s="100">
        <v>7.3866092247712407</v>
      </c>
      <c r="E20" s="100">
        <v>2118.479525664392</v>
      </c>
      <c r="F20" s="100">
        <v>1.9076246584148893</v>
      </c>
      <c r="G20" s="100">
        <v>547.10675203339031</v>
      </c>
      <c r="H20" s="100">
        <v>8.5742319976059278</v>
      </c>
      <c r="I20" s="100">
        <v>2459.08973691338</v>
      </c>
      <c r="J20" s="100">
        <v>6</v>
      </c>
      <c r="K20" s="100">
        <v>1720.8000000000002</v>
      </c>
      <c r="L20" s="100">
        <v>8</v>
      </c>
      <c r="M20" s="100">
        <v>2294.4</v>
      </c>
      <c r="N20" s="100">
        <v>6</v>
      </c>
      <c r="O20" s="100">
        <v>1720.8000000000002</v>
      </c>
      <c r="P20" s="100">
        <v>9.2505120973200849</v>
      </c>
      <c r="Q20" s="100">
        <v>2653.0468695114005</v>
      </c>
      <c r="R20" s="100">
        <v>1.5316385959428915</v>
      </c>
      <c r="S20" s="100">
        <v>439.27394931642129</v>
      </c>
      <c r="T20" s="100">
        <v>6</v>
      </c>
      <c r="U20" s="100">
        <v>1720.8000000000002</v>
      </c>
      <c r="V20" s="100">
        <v>9</v>
      </c>
      <c r="W20" s="100">
        <v>2581.2000000000003</v>
      </c>
      <c r="X20" s="100">
        <v>0.41248766284396249</v>
      </c>
      <c r="Y20" s="100">
        <v>118.30146170364844</v>
      </c>
      <c r="Z20" s="100">
        <v>7</v>
      </c>
      <c r="AA20" s="100">
        <v>2007.6000000000001</v>
      </c>
      <c r="AB20" s="100">
        <v>7</v>
      </c>
      <c r="AC20" s="100">
        <v>2007.6000000000001</v>
      </c>
      <c r="AD20" s="100">
        <v>3.6703503725481594</v>
      </c>
      <c r="AE20" s="100">
        <v>1052.6564868468122</v>
      </c>
      <c r="AF20" s="100">
        <v>4.0258797545092895</v>
      </c>
      <c r="AG20" s="100">
        <v>1154.6223135932644</v>
      </c>
      <c r="AH20" s="100">
        <v>13.031488651910255</v>
      </c>
      <c r="AI20" s="100">
        <v>3737.4309453678611</v>
      </c>
      <c r="AJ20" s="100">
        <v>0.74278186078351716</v>
      </c>
      <c r="AK20" s="100">
        <v>213.02983767271272</v>
      </c>
      <c r="AL20" s="100">
        <v>10.098484821623307</v>
      </c>
      <c r="AM20" s="100">
        <v>2896.2454468415644</v>
      </c>
      <c r="AN20" s="100">
        <v>5.9437600892896878</v>
      </c>
      <c r="AO20" s="100">
        <v>1704.6703936082824</v>
      </c>
      <c r="AP20" s="100">
        <v>5.7942826375970302</v>
      </c>
      <c r="AQ20" s="100">
        <v>1661.8002604628284</v>
      </c>
      <c r="AR20" s="100">
        <v>4.2522940402818044E-4</v>
      </c>
      <c r="AS20" s="100">
        <v>0.12195579307528215</v>
      </c>
      <c r="AT20" s="100">
        <v>11.000538091918095</v>
      </c>
      <c r="AU20" s="100">
        <v>3154.95432476211</v>
      </c>
      <c r="AV20" s="100">
        <v>11</v>
      </c>
      <c r="AW20" s="100">
        <v>3154.8</v>
      </c>
      <c r="AX20" s="100">
        <v>6</v>
      </c>
      <c r="AY20" s="100">
        <v>1720.8000000000002</v>
      </c>
      <c r="AZ20" s="100">
        <v>0.47882752700583492</v>
      </c>
      <c r="BA20" s="100">
        <v>137.32773474527346</v>
      </c>
      <c r="BB20" s="100">
        <v>10</v>
      </c>
      <c r="BC20" s="100">
        <v>2868</v>
      </c>
      <c r="BD20" s="100">
        <v>2.0248045431195285</v>
      </c>
      <c r="BE20" s="100">
        <v>580.71394296668075</v>
      </c>
      <c r="BF20" s="100">
        <v>10</v>
      </c>
      <c r="BG20" s="100">
        <v>2868</v>
      </c>
      <c r="BH20" s="100">
        <v>2.7014056947044587</v>
      </c>
      <c r="BI20" s="100">
        <v>774.7631532412388</v>
      </c>
      <c r="BJ20" s="100">
        <v>10.728900735369688</v>
      </c>
      <c r="BK20" s="100">
        <v>3077.0487309040268</v>
      </c>
      <c r="BL20" s="100">
        <v>7.2662144932924182</v>
      </c>
      <c r="BM20" s="100">
        <v>2083.9503166762656</v>
      </c>
      <c r="BN20" s="100">
        <v>6.6722220060493997</v>
      </c>
      <c r="BO20" s="100">
        <v>1913.593271334968</v>
      </c>
      <c r="BP20" s="100">
        <v>8.2713536406017276</v>
      </c>
      <c r="BQ20" s="100">
        <v>2372.2242241245754</v>
      </c>
      <c r="BR20" s="100">
        <v>8.4174599591768171</v>
      </c>
      <c r="BS20" s="100">
        <v>2414.1275162919114</v>
      </c>
      <c r="BT20" s="100">
        <v>6.9084084765772626</v>
      </c>
      <c r="BU20" s="100">
        <v>1981.3315510823591</v>
      </c>
      <c r="BV20" s="100">
        <v>7.7708422490299061</v>
      </c>
      <c r="BW20" s="100">
        <v>2228.6775570217769</v>
      </c>
      <c r="BX20" s="100">
        <v>5.0941316201109986E-4</v>
      </c>
      <c r="BY20" s="100">
        <v>0.14609969486478344</v>
      </c>
      <c r="BZ20" s="100">
        <v>2.62929098301553</v>
      </c>
      <c r="CA20" s="100">
        <v>754.08065392885408</v>
      </c>
      <c r="CB20" s="100">
        <v>6.6638172518811833</v>
      </c>
      <c r="CC20" s="100">
        <v>1911.1827878395234</v>
      </c>
      <c r="CD20" s="100">
        <v>12.771765084424903</v>
      </c>
      <c r="CE20" s="100">
        <v>3662.9422262130624</v>
      </c>
      <c r="CF20" s="100">
        <v>5.3694613976952672</v>
      </c>
      <c r="CG20" s="100">
        <v>1539.9615288590028</v>
      </c>
      <c r="CH20" s="100">
        <v>10.313532655471333</v>
      </c>
      <c r="CI20" s="100">
        <v>2957.9211655891781</v>
      </c>
      <c r="CJ20" s="100">
        <v>11</v>
      </c>
      <c r="CK20" s="100">
        <v>3154.8</v>
      </c>
      <c r="CL20" s="100">
        <v>3.8566727501493623</v>
      </c>
      <c r="CM20" s="100">
        <v>1106.0937447428371</v>
      </c>
      <c r="CN20" s="100">
        <v>7.3053805980668237E-4</v>
      </c>
      <c r="CO20" s="100">
        <v>0.20951831555255651</v>
      </c>
      <c r="CP20" s="100">
        <v>9.0005612947124209</v>
      </c>
      <c r="CQ20" s="100">
        <v>2581.3609793235223</v>
      </c>
      <c r="CR20" s="100">
        <v>7.2060474605962979</v>
      </c>
      <c r="CS20" s="100">
        <v>2066.6944116990185</v>
      </c>
      <c r="CT20" s="100">
        <v>9.6106744755545179</v>
      </c>
      <c r="CU20" s="100">
        <v>2756.3414395890359</v>
      </c>
    </row>
    <row r="21" spans="2:99">
      <c r="C21" s="99" t="s">
        <v>187</v>
      </c>
      <c r="D21" s="100">
        <v>8.9226693775535786</v>
      </c>
      <c r="E21" s="100">
        <v>556.77456915934329</v>
      </c>
      <c r="F21" s="100">
        <v>1.9292803064027289</v>
      </c>
      <c r="G21" s="100">
        <v>120.38709111953028</v>
      </c>
      <c r="H21" s="100">
        <v>9.4531372285593189</v>
      </c>
      <c r="I21" s="100">
        <v>589.87576306210144</v>
      </c>
      <c r="J21" s="100">
        <v>6</v>
      </c>
      <c r="K21" s="100">
        <v>374.4</v>
      </c>
      <c r="L21" s="100">
        <v>10</v>
      </c>
      <c r="M21" s="100">
        <v>624</v>
      </c>
      <c r="N21" s="100">
        <v>7</v>
      </c>
      <c r="O21" s="100">
        <v>436.8</v>
      </c>
      <c r="P21" s="100">
        <v>8.3254608875880756</v>
      </c>
      <c r="Q21" s="100">
        <v>519.50875938549586</v>
      </c>
      <c r="R21" s="100">
        <v>1.5316385959428915</v>
      </c>
      <c r="S21" s="100">
        <v>95.57424838683643</v>
      </c>
      <c r="T21" s="100">
        <v>7</v>
      </c>
      <c r="U21" s="100">
        <v>436.8</v>
      </c>
      <c r="V21" s="100">
        <v>9</v>
      </c>
      <c r="W21" s="100">
        <v>561.6</v>
      </c>
      <c r="X21" s="100">
        <v>0.37200403079262107</v>
      </c>
      <c r="Y21" s="100">
        <v>23.213051521459555</v>
      </c>
      <c r="Z21" s="100">
        <v>8</v>
      </c>
      <c r="AA21" s="100">
        <v>499.2</v>
      </c>
      <c r="AB21" s="100">
        <v>8</v>
      </c>
      <c r="AC21" s="100">
        <v>499.2</v>
      </c>
      <c r="AD21" s="100">
        <v>3.6805845084837499</v>
      </c>
      <c r="AE21" s="100">
        <v>229.66847332938599</v>
      </c>
      <c r="AF21" s="100">
        <v>4.0711152617993553</v>
      </c>
      <c r="AG21" s="100">
        <v>254.03759233627977</v>
      </c>
      <c r="AH21" s="100">
        <v>12.187757009749507</v>
      </c>
      <c r="AI21" s="100">
        <v>760.51603740836924</v>
      </c>
      <c r="AJ21" s="100">
        <v>0.74744382662008979</v>
      </c>
      <c r="AK21" s="100">
        <v>46.640494781093601</v>
      </c>
      <c r="AL21" s="100">
        <v>10.222563415343275</v>
      </c>
      <c r="AM21" s="100">
        <v>637.88795711742034</v>
      </c>
      <c r="AN21" s="100">
        <v>6.8512758765994057</v>
      </c>
      <c r="AO21" s="100">
        <v>427.5196146998029</v>
      </c>
      <c r="AP21" s="100">
        <v>5.8742474039440875</v>
      </c>
      <c r="AQ21" s="100">
        <v>366.55303800611108</v>
      </c>
      <c r="AR21" s="100">
        <v>4.9610097136621042E-4</v>
      </c>
      <c r="AS21" s="100">
        <v>3.095670061325153E-2</v>
      </c>
      <c r="AT21" s="100">
        <v>12.000538091918095</v>
      </c>
      <c r="AU21" s="100">
        <v>748.83357693568917</v>
      </c>
      <c r="AV21" s="100">
        <v>11</v>
      </c>
      <c r="AW21" s="100">
        <v>686.4</v>
      </c>
      <c r="AX21" s="100">
        <v>7</v>
      </c>
      <c r="AY21" s="100">
        <v>436.8</v>
      </c>
      <c r="AZ21" s="100">
        <v>0.57459303240700188</v>
      </c>
      <c r="BA21" s="100">
        <v>35.854605222196916</v>
      </c>
      <c r="BB21" s="100">
        <v>9</v>
      </c>
      <c r="BC21" s="100">
        <v>561.6</v>
      </c>
      <c r="BD21" s="100">
        <v>2.352454857379096</v>
      </c>
      <c r="BE21" s="100">
        <v>146.79318310045559</v>
      </c>
      <c r="BF21" s="100">
        <v>9</v>
      </c>
      <c r="BG21" s="100">
        <v>561.6</v>
      </c>
      <c r="BH21" s="100">
        <v>2.695912646118348</v>
      </c>
      <c r="BI21" s="100">
        <v>168.22494911778492</v>
      </c>
      <c r="BJ21" s="100">
        <v>9.8548952717842653</v>
      </c>
      <c r="BK21" s="100">
        <v>614.9454649593381</v>
      </c>
      <c r="BL21" s="100">
        <v>7.2662144932924182</v>
      </c>
      <c r="BM21" s="100">
        <v>453.41178438144686</v>
      </c>
      <c r="BN21" s="100">
        <v>6.6722220060493997</v>
      </c>
      <c r="BO21" s="100">
        <v>416.34665317748255</v>
      </c>
      <c r="BP21" s="100">
        <v>9.2713536406017276</v>
      </c>
      <c r="BQ21" s="100">
        <v>578.53246717354784</v>
      </c>
      <c r="BR21" s="100">
        <v>9.1826835918292549</v>
      </c>
      <c r="BS21" s="100">
        <v>572.99945613014552</v>
      </c>
      <c r="BT21" s="100">
        <v>6.9084084765772626</v>
      </c>
      <c r="BU21" s="100">
        <v>431.08468893842115</v>
      </c>
      <c r="BV21" s="100">
        <v>7.7825271595237773</v>
      </c>
      <c r="BW21" s="100">
        <v>485.62969475428372</v>
      </c>
      <c r="BX21" s="100">
        <v>4.3663985315237124E-4</v>
      </c>
      <c r="BY21" s="100">
        <v>2.7246326836707965E-2</v>
      </c>
      <c r="BZ21" s="100">
        <v>2.8922038885185892</v>
      </c>
      <c r="CA21" s="100">
        <v>180.47352264355996</v>
      </c>
      <c r="CB21" s="100">
        <v>6.8005922539165358</v>
      </c>
      <c r="CC21" s="100">
        <v>424.3569566443918</v>
      </c>
      <c r="CD21" s="100">
        <v>12.771765084424903</v>
      </c>
      <c r="CE21" s="100">
        <v>796.95814126811388</v>
      </c>
      <c r="CF21" s="100">
        <v>6.4433536772343203</v>
      </c>
      <c r="CG21" s="100">
        <v>402.06526945942159</v>
      </c>
      <c r="CH21" s="100">
        <v>10.313532655471333</v>
      </c>
      <c r="CI21" s="100">
        <v>643.56443770141118</v>
      </c>
      <c r="CJ21" s="100">
        <v>10</v>
      </c>
      <c r="CK21" s="100">
        <v>624</v>
      </c>
      <c r="CL21" s="100">
        <v>4.2851919446104025</v>
      </c>
      <c r="CM21" s="100">
        <v>267.39597734368914</v>
      </c>
      <c r="CN21" s="100">
        <v>7.2639213709564264E-4</v>
      </c>
      <c r="CO21" s="100">
        <v>4.5326869354768103E-2</v>
      </c>
      <c r="CP21" s="100">
        <v>9.00060138719188</v>
      </c>
      <c r="CQ21" s="100">
        <v>561.63752656077327</v>
      </c>
      <c r="CR21" s="100">
        <v>8.8073913407288078</v>
      </c>
      <c r="CS21" s="100">
        <v>549.58121966147758</v>
      </c>
      <c r="CT21" s="100">
        <v>9.6106744755545179</v>
      </c>
      <c r="CU21" s="100">
        <v>599.70608727460194</v>
      </c>
    </row>
    <row r="22" spans="2:99">
      <c r="C22" s="99" t="s">
        <v>188</v>
      </c>
      <c r="D22" s="100">
        <v>8.156111447802143</v>
      </c>
      <c r="E22" s="100">
        <v>1526.8240630285611</v>
      </c>
      <c r="F22" s="100">
        <v>1.9076246584148893</v>
      </c>
      <c r="G22" s="100">
        <v>357.10733605526724</v>
      </c>
      <c r="H22" s="100">
        <v>8.6953267666525385</v>
      </c>
      <c r="I22" s="100">
        <v>1627.7651707173552</v>
      </c>
      <c r="J22" s="100">
        <v>6</v>
      </c>
      <c r="K22" s="100">
        <v>1123.1999999999998</v>
      </c>
      <c r="L22" s="100">
        <v>9</v>
      </c>
      <c r="M22" s="100">
        <v>1684.8</v>
      </c>
      <c r="N22" s="100">
        <v>7</v>
      </c>
      <c r="O22" s="100">
        <v>1310.3999999999999</v>
      </c>
      <c r="P22" s="100">
        <v>10.175563307052093</v>
      </c>
      <c r="Q22" s="100">
        <v>1904.8654510801516</v>
      </c>
      <c r="R22" s="100">
        <v>1.5316385959428915</v>
      </c>
      <c r="S22" s="100">
        <v>286.72274516050931</v>
      </c>
      <c r="T22" s="100">
        <v>6</v>
      </c>
      <c r="U22" s="100">
        <v>1123.1999999999998</v>
      </c>
      <c r="V22" s="100">
        <v>9</v>
      </c>
      <c r="W22" s="100">
        <v>1684.8</v>
      </c>
      <c r="X22" s="100">
        <v>0.37582970195789506</v>
      </c>
      <c r="Y22" s="100">
        <v>70.355320206517945</v>
      </c>
      <c r="Z22" s="100">
        <v>8</v>
      </c>
      <c r="AA22" s="100">
        <v>1497.6</v>
      </c>
      <c r="AB22" s="100">
        <v>7</v>
      </c>
      <c r="AC22" s="100">
        <v>1310.3999999999999</v>
      </c>
      <c r="AD22" s="100">
        <v>4.1654457516676375</v>
      </c>
      <c r="AE22" s="100">
        <v>779.77144471218173</v>
      </c>
      <c r="AF22" s="100">
        <v>3.5121451209016232</v>
      </c>
      <c r="AG22" s="100">
        <v>657.47356663278379</v>
      </c>
      <c r="AH22" s="100">
        <v>14.344025367588756</v>
      </c>
      <c r="AI22" s="100">
        <v>2685.2015488126149</v>
      </c>
      <c r="AJ22" s="100">
        <v>0.74278186078351716</v>
      </c>
      <c r="AK22" s="100">
        <v>139.0487643386744</v>
      </c>
      <c r="AL22" s="100">
        <v>9.1578810026175574</v>
      </c>
      <c r="AM22" s="100">
        <v>1714.3553236900066</v>
      </c>
      <c r="AN22" s="100">
        <v>6.9343867708379685</v>
      </c>
      <c r="AO22" s="100">
        <v>1298.1172035008676</v>
      </c>
      <c r="AP22" s="100">
        <v>6.4330327600364248</v>
      </c>
      <c r="AQ22" s="100">
        <v>1204.2637326788185</v>
      </c>
      <c r="AR22" s="100">
        <v>4.9610097136621042E-4</v>
      </c>
      <c r="AS22" s="100">
        <v>9.2870101839754582E-2</v>
      </c>
      <c r="AT22" s="100">
        <v>11.00049325092492</v>
      </c>
      <c r="AU22" s="100">
        <v>2059.2923365731449</v>
      </c>
      <c r="AV22" s="100">
        <v>10</v>
      </c>
      <c r="AW22" s="100">
        <v>1872</v>
      </c>
      <c r="AX22" s="100">
        <v>7</v>
      </c>
      <c r="AY22" s="100">
        <v>1310.3999999999999</v>
      </c>
      <c r="AZ22" s="100">
        <v>0.57459303240700188</v>
      </c>
      <c r="BA22" s="100">
        <v>107.56381566659074</v>
      </c>
      <c r="BB22" s="100">
        <v>11</v>
      </c>
      <c r="BC22" s="100">
        <v>2059.1999999999998</v>
      </c>
      <c r="BD22" s="100">
        <v>2.0248045431195285</v>
      </c>
      <c r="BE22" s="100">
        <v>379.04341047197573</v>
      </c>
      <c r="BF22" s="100">
        <v>10</v>
      </c>
      <c r="BG22" s="100">
        <v>1872</v>
      </c>
      <c r="BH22" s="100">
        <v>2.7014056947044587</v>
      </c>
      <c r="BI22" s="100">
        <v>505.70314604867463</v>
      </c>
      <c r="BJ22" s="100">
        <v>9.7554529668084911</v>
      </c>
      <c r="BK22" s="100">
        <v>1826.2207953865495</v>
      </c>
      <c r="BL22" s="100">
        <v>7.2662144932924182</v>
      </c>
      <c r="BM22" s="100">
        <v>1360.2353531443407</v>
      </c>
      <c r="BN22" s="100">
        <v>6.5112500420122501</v>
      </c>
      <c r="BO22" s="100">
        <v>1218.906007864693</v>
      </c>
      <c r="BP22" s="100">
        <v>9.2713536406017276</v>
      </c>
      <c r="BQ22" s="100">
        <v>1735.5974015206434</v>
      </c>
      <c r="BR22" s="100">
        <v>8.4174599591768171</v>
      </c>
      <c r="BS22" s="100">
        <v>1575.7485043579002</v>
      </c>
      <c r="BT22" s="100">
        <v>6.1408075347353437</v>
      </c>
      <c r="BU22" s="100">
        <v>1149.5591705024563</v>
      </c>
      <c r="BV22" s="100">
        <v>7.7841964324514725</v>
      </c>
      <c r="BW22" s="100">
        <v>1457.2015721549155</v>
      </c>
      <c r="BX22" s="100">
        <v>4.3663985315237124E-4</v>
      </c>
      <c r="BY22" s="100">
        <v>8.173898051012389E-2</v>
      </c>
      <c r="BZ22" s="100">
        <v>2.8922247999168595</v>
      </c>
      <c r="CA22" s="100">
        <v>541.42448254443605</v>
      </c>
      <c r="CB22" s="100">
        <v>7.2145266964718449</v>
      </c>
      <c r="CC22" s="100">
        <v>1350.5593975795293</v>
      </c>
      <c r="CD22" s="100">
        <v>11</v>
      </c>
      <c r="CE22" s="100">
        <v>2059.1999999999998</v>
      </c>
      <c r="CF22" s="100">
        <v>5.9064075374647933</v>
      </c>
      <c r="CG22" s="100">
        <v>1105.6794910134092</v>
      </c>
      <c r="CH22" s="100">
        <v>9.3759387777012133</v>
      </c>
      <c r="CI22" s="100">
        <v>1755.175739185667</v>
      </c>
      <c r="CJ22" s="100">
        <v>9</v>
      </c>
      <c r="CK22" s="100">
        <v>1684.8</v>
      </c>
      <c r="CL22" s="100">
        <v>4.2851919446104025</v>
      </c>
      <c r="CM22" s="100">
        <v>802.18793203106736</v>
      </c>
      <c r="CN22" s="100">
        <v>7.9633650104303088E-4</v>
      </c>
      <c r="CO22" s="100">
        <v>0.14907419299525537</v>
      </c>
      <c r="CP22" s="100">
        <v>10.000641479671339</v>
      </c>
      <c r="CQ22" s="100">
        <v>1872.1200849944746</v>
      </c>
      <c r="CR22" s="100">
        <v>8.8073913407288078</v>
      </c>
      <c r="CS22" s="100">
        <v>1648.7436589844326</v>
      </c>
      <c r="CT22" s="100">
        <v>10.41156401518406</v>
      </c>
      <c r="CU22" s="100">
        <v>1949.044783642456</v>
      </c>
    </row>
    <row r="23" spans="2:99">
      <c r="C23" s="99" t="s">
        <v>189</v>
      </c>
      <c r="D23" s="100">
        <v>7.5033536757842523</v>
      </c>
      <c r="E23" s="100">
        <v>2205.9859806805703</v>
      </c>
      <c r="F23" s="100">
        <v>1.9076246584148893</v>
      </c>
      <c r="G23" s="100">
        <v>560.84164957397741</v>
      </c>
      <c r="H23" s="100">
        <v>8.5742319976059278</v>
      </c>
      <c r="I23" s="100">
        <v>2520.824207296143</v>
      </c>
      <c r="J23" s="100">
        <v>6</v>
      </c>
      <c r="K23" s="100">
        <v>1764</v>
      </c>
      <c r="L23" s="100">
        <v>9</v>
      </c>
      <c r="M23" s="100">
        <v>2646</v>
      </c>
      <c r="N23" s="100">
        <v>7</v>
      </c>
      <c r="O23" s="100">
        <v>2058</v>
      </c>
      <c r="P23" s="100">
        <v>8.3254608875880756</v>
      </c>
      <c r="Q23" s="100">
        <v>2447.685500950894</v>
      </c>
      <c r="R23" s="100">
        <v>1.5316385959428915</v>
      </c>
      <c r="S23" s="100">
        <v>450.3017472072101</v>
      </c>
      <c r="T23" s="100">
        <v>7</v>
      </c>
      <c r="U23" s="100">
        <v>2058</v>
      </c>
      <c r="V23" s="100">
        <v>9</v>
      </c>
      <c r="W23" s="100">
        <v>2646</v>
      </c>
      <c r="X23" s="100">
        <v>0.37391686637525806</v>
      </c>
      <c r="Y23" s="100">
        <v>109.93155871432587</v>
      </c>
      <c r="Z23" s="100">
        <v>8</v>
      </c>
      <c r="AA23" s="100">
        <v>2352</v>
      </c>
      <c r="AB23" s="100">
        <v>7</v>
      </c>
      <c r="AC23" s="100">
        <v>2058</v>
      </c>
      <c r="AD23" s="100">
        <v>4.1654457516676375</v>
      </c>
      <c r="AE23" s="100">
        <v>1224.6410509902855</v>
      </c>
      <c r="AF23" s="100">
        <v>4.0258797545092895</v>
      </c>
      <c r="AG23" s="100">
        <v>1183.6086478257312</v>
      </c>
      <c r="AH23" s="100">
        <v>13.031488651910255</v>
      </c>
      <c r="AI23" s="100">
        <v>3831.257663661615</v>
      </c>
      <c r="AJ23" s="100">
        <v>0.74278186078351716</v>
      </c>
      <c r="AK23" s="100">
        <v>218.37786707035406</v>
      </c>
      <c r="AL23" s="100">
        <v>9.4060381900574956</v>
      </c>
      <c r="AM23" s="100">
        <v>2765.3752278769039</v>
      </c>
      <c r="AN23" s="100">
        <v>6.8512758765994057</v>
      </c>
      <c r="AO23" s="100">
        <v>2014.2751077202254</v>
      </c>
      <c r="AP23" s="100">
        <v>6.8445350144673114</v>
      </c>
      <c r="AQ23" s="100">
        <v>2012.2932942533896</v>
      </c>
      <c r="AR23" s="100">
        <v>4.9610097136621042E-4</v>
      </c>
      <c r="AS23" s="100">
        <v>0.14585368558166587</v>
      </c>
      <c r="AT23" s="100">
        <v>10.000448409931746</v>
      </c>
      <c r="AU23" s="100">
        <v>2940.1318325199331</v>
      </c>
      <c r="AV23" s="100">
        <v>10</v>
      </c>
      <c r="AW23" s="100">
        <v>2940</v>
      </c>
      <c r="AX23" s="100">
        <v>6</v>
      </c>
      <c r="AY23" s="100">
        <v>1764</v>
      </c>
      <c r="AZ23" s="100">
        <v>0.57459303240700188</v>
      </c>
      <c r="BA23" s="100">
        <v>168.93035152765856</v>
      </c>
      <c r="BB23" s="100">
        <v>9</v>
      </c>
      <c r="BC23" s="100">
        <v>2646</v>
      </c>
      <c r="BD23" s="100">
        <v>2.0248045431195285</v>
      </c>
      <c r="BE23" s="100">
        <v>595.29253567714136</v>
      </c>
      <c r="BF23" s="100">
        <v>10</v>
      </c>
      <c r="BG23" s="100">
        <v>2940</v>
      </c>
      <c r="BH23" s="100">
        <v>2.695912646118348</v>
      </c>
      <c r="BI23" s="100">
        <v>792.59831795879427</v>
      </c>
      <c r="BJ23" s="100">
        <v>10.828343040345461</v>
      </c>
      <c r="BK23" s="100">
        <v>3183.5328538615654</v>
      </c>
      <c r="BL23" s="100">
        <v>8.1744913049539711</v>
      </c>
      <c r="BM23" s="100">
        <v>2403.3004436564675</v>
      </c>
      <c r="BN23" s="100">
        <v>5.8800193977937774</v>
      </c>
      <c r="BO23" s="100">
        <v>1728.7257029513705</v>
      </c>
      <c r="BP23" s="100">
        <v>8.2713536406017276</v>
      </c>
      <c r="BQ23" s="100">
        <v>2431.7779703369079</v>
      </c>
      <c r="BR23" s="100">
        <v>8.4174599591768171</v>
      </c>
      <c r="BS23" s="100">
        <v>2474.7332279979842</v>
      </c>
      <c r="BT23" s="100">
        <v>6.9084084765772626</v>
      </c>
      <c r="BU23" s="100">
        <v>2031.0720921137151</v>
      </c>
      <c r="BV23" s="100">
        <v>8.3867932338716216</v>
      </c>
      <c r="BW23" s="100">
        <v>2465.7172107582569</v>
      </c>
      <c r="BX23" s="100">
        <v>4.3663985315237124E-4</v>
      </c>
      <c r="BY23" s="100">
        <v>0.12837211682679714</v>
      </c>
      <c r="BZ23" s="100">
        <v>2.6292918686673414</v>
      </c>
      <c r="CA23" s="100">
        <v>773.01180938819834</v>
      </c>
      <c r="CB23" s="100">
        <v>7.2791554060283792</v>
      </c>
      <c r="CC23" s="100">
        <v>2140.0716893723434</v>
      </c>
      <c r="CD23" s="100">
        <v>12.908054706303743</v>
      </c>
      <c r="CE23" s="100">
        <v>3794.9680836533003</v>
      </c>
      <c r="CF23" s="100">
        <v>5.9064075374647933</v>
      </c>
      <c r="CG23" s="100">
        <v>1736.4838160146492</v>
      </c>
      <c r="CH23" s="100">
        <v>10.313532655471333</v>
      </c>
      <c r="CI23" s="100">
        <v>3032.1786007085716</v>
      </c>
      <c r="CJ23" s="100">
        <v>11</v>
      </c>
      <c r="CK23" s="100">
        <v>3234</v>
      </c>
      <c r="CL23" s="100">
        <v>4.2851919446104025</v>
      </c>
      <c r="CM23" s="100">
        <v>1259.8464317154583</v>
      </c>
      <c r="CN23" s="100">
        <v>6.5437481179273426E-4</v>
      </c>
      <c r="CO23" s="100">
        <v>0.19238619466706389</v>
      </c>
      <c r="CP23" s="100">
        <v>10.00060138719188</v>
      </c>
      <c r="CQ23" s="100">
        <v>2940.1768078344126</v>
      </c>
      <c r="CR23" s="100">
        <v>8.0067194006625524</v>
      </c>
      <c r="CS23" s="100">
        <v>2353.9755037947903</v>
      </c>
      <c r="CT23" s="100">
        <v>10.41156401518406</v>
      </c>
      <c r="CU23" s="100">
        <v>3060.9998204641138</v>
      </c>
    </row>
    <row r="24" spans="2:99">
      <c r="C24" s="99" t="s">
        <v>190</v>
      </c>
      <c r="D24" s="100">
        <v>7.3601105852560229</v>
      </c>
      <c r="E24" s="100">
        <v>2702.6326069060115</v>
      </c>
      <c r="F24" s="100">
        <v>1.8967968344209694</v>
      </c>
      <c r="G24" s="100">
        <v>696.50379759937994</v>
      </c>
      <c r="H24" s="100">
        <v>8.5742319976059278</v>
      </c>
      <c r="I24" s="100">
        <v>3148.4579895208967</v>
      </c>
      <c r="J24" s="100">
        <v>6</v>
      </c>
      <c r="K24" s="100">
        <v>2203.1999999999998</v>
      </c>
      <c r="L24" s="100">
        <v>9</v>
      </c>
      <c r="M24" s="100">
        <v>3304.7999999999997</v>
      </c>
      <c r="N24" s="100">
        <v>7</v>
      </c>
      <c r="O24" s="100">
        <v>2570.4</v>
      </c>
      <c r="P24" s="100">
        <v>9.2505120973200849</v>
      </c>
      <c r="Q24" s="100">
        <v>3396.788042135935</v>
      </c>
      <c r="R24" s="100">
        <v>1.5316385959428915</v>
      </c>
      <c r="S24" s="100">
        <v>562.41769243022975</v>
      </c>
      <c r="T24" s="100">
        <v>6</v>
      </c>
      <c r="U24" s="100">
        <v>2203.1999999999998</v>
      </c>
      <c r="V24" s="100">
        <v>8</v>
      </c>
      <c r="W24" s="100">
        <v>2937.6</v>
      </c>
      <c r="X24" s="100">
        <v>0.37391686637525806</v>
      </c>
      <c r="Y24" s="100">
        <v>137.30227333299476</v>
      </c>
      <c r="Z24" s="100">
        <v>8</v>
      </c>
      <c r="AA24" s="100">
        <v>2937.6</v>
      </c>
      <c r="AB24" s="100">
        <v>7</v>
      </c>
      <c r="AC24" s="100">
        <v>2570.4</v>
      </c>
      <c r="AD24" s="100">
        <v>4.1859140235388193</v>
      </c>
      <c r="AE24" s="100">
        <v>1537.0676294434543</v>
      </c>
      <c r="AF24" s="100">
        <v>3.4895273672565903</v>
      </c>
      <c r="AG24" s="100">
        <v>1281.35444925662</v>
      </c>
      <c r="AH24" s="100">
        <v>13.187757009749507</v>
      </c>
      <c r="AI24" s="100">
        <v>4842.5443739800194</v>
      </c>
      <c r="AJ24" s="100">
        <v>0.75210579245666265</v>
      </c>
      <c r="AK24" s="100">
        <v>276.17324699008651</v>
      </c>
      <c r="AL24" s="100">
        <v>10.098484821623307</v>
      </c>
      <c r="AM24" s="100">
        <v>3708.1636265000784</v>
      </c>
      <c r="AN24" s="100">
        <v>6.0268709835282497</v>
      </c>
      <c r="AO24" s="100">
        <v>2213.067025151573</v>
      </c>
      <c r="AP24" s="100">
        <v>6.9181765652980367</v>
      </c>
      <c r="AQ24" s="100">
        <v>2540.3544347774391</v>
      </c>
      <c r="AR24" s="100">
        <v>4.2522940402818044E-4</v>
      </c>
      <c r="AS24" s="100">
        <v>0.15614423715914785</v>
      </c>
      <c r="AT24" s="100">
        <v>11.000448409931746</v>
      </c>
      <c r="AU24" s="100">
        <v>4039.364656126937</v>
      </c>
      <c r="AV24" s="100">
        <v>11</v>
      </c>
      <c r="AW24" s="100">
        <v>4039.2</v>
      </c>
      <c r="AX24" s="100">
        <v>7</v>
      </c>
      <c r="AY24" s="100">
        <v>2570.4</v>
      </c>
      <c r="AZ24" s="100">
        <v>0.57459303240700188</v>
      </c>
      <c r="BA24" s="100">
        <v>210.99056149985108</v>
      </c>
      <c r="BB24" s="100">
        <v>10</v>
      </c>
      <c r="BC24" s="100">
        <v>3672</v>
      </c>
      <c r="BD24" s="100">
        <v>2.352454857379096</v>
      </c>
      <c r="BE24" s="100">
        <v>863.82142362960406</v>
      </c>
      <c r="BF24" s="100">
        <v>10</v>
      </c>
      <c r="BG24" s="100">
        <v>3672</v>
      </c>
      <c r="BH24" s="100">
        <v>2.1787023112391215</v>
      </c>
      <c r="BI24" s="100">
        <v>800.01948868700538</v>
      </c>
      <c r="BJ24" s="100">
        <v>10.728900735369688</v>
      </c>
      <c r="BK24" s="100">
        <v>3939.6523500277494</v>
      </c>
      <c r="BL24" s="100">
        <v>8.1744913049539711</v>
      </c>
      <c r="BM24" s="100">
        <v>3001.673207179098</v>
      </c>
      <c r="BN24" s="100">
        <v>5.8800193977937774</v>
      </c>
      <c r="BO24" s="100">
        <v>2159.1431228698748</v>
      </c>
      <c r="BP24" s="100">
        <v>8.2713536406017276</v>
      </c>
      <c r="BQ24" s="100">
        <v>3037.2410568289542</v>
      </c>
      <c r="BR24" s="100">
        <v>7.6522363265243794</v>
      </c>
      <c r="BS24" s="100">
        <v>2809.901179099752</v>
      </c>
      <c r="BT24" s="100">
        <v>6.1408075347353437</v>
      </c>
      <c r="BU24" s="100">
        <v>2254.9045267548181</v>
      </c>
      <c r="BV24" s="100">
        <v>8.3879060824900868</v>
      </c>
      <c r="BW24" s="100">
        <v>3080.0391134903598</v>
      </c>
      <c r="BX24" s="100">
        <v>4.3663985315237124E-4</v>
      </c>
      <c r="BY24" s="100">
        <v>0.16033415407755072</v>
      </c>
      <c r="BZ24" s="100">
        <v>3.1551025743023167</v>
      </c>
      <c r="CA24" s="100">
        <v>1158.5536652838107</v>
      </c>
      <c r="CB24" s="100">
        <v>6.6668242850500974</v>
      </c>
      <c r="CC24" s="100">
        <v>2448.0578774703959</v>
      </c>
      <c r="CD24" s="100">
        <v>13.771765084424903</v>
      </c>
      <c r="CE24" s="100">
        <v>5056.992139000824</v>
      </c>
      <c r="CF24" s="100">
        <v>5.3694613976952672</v>
      </c>
      <c r="CG24" s="100">
        <v>1971.6662252337021</v>
      </c>
      <c r="CH24" s="100">
        <v>9.3759387777012133</v>
      </c>
      <c r="CI24" s="100">
        <v>3442.8447191718856</v>
      </c>
      <c r="CJ24" s="100">
        <v>10</v>
      </c>
      <c r="CK24" s="100">
        <v>3672</v>
      </c>
      <c r="CL24" s="100">
        <v>3.8566727501493623</v>
      </c>
      <c r="CM24" s="100">
        <v>1416.1702338548457</v>
      </c>
      <c r="CN24" s="100">
        <v>6.6059369585929392E-4</v>
      </c>
      <c r="CO24" s="100">
        <v>0.24257000511953272</v>
      </c>
      <c r="CP24" s="100">
        <v>10.000561294712421</v>
      </c>
      <c r="CQ24" s="100">
        <v>3672.2061074184007</v>
      </c>
      <c r="CR24" s="100">
        <v>8.0067194006625524</v>
      </c>
      <c r="CS24" s="100">
        <v>2940.0673639232891</v>
      </c>
      <c r="CT24" s="100">
        <v>9.6106744755545179</v>
      </c>
      <c r="CU24" s="100">
        <v>3529.039667423619</v>
      </c>
    </row>
    <row r="25" spans="2:99">
      <c r="C25" s="99" t="s">
        <v>191</v>
      </c>
      <c r="D25" s="100">
        <v>8.2669673122562202</v>
      </c>
      <c r="E25" s="100">
        <v>4384.7994624206985</v>
      </c>
      <c r="F25" s="100">
        <v>1.9184524824088092</v>
      </c>
      <c r="G25" s="100">
        <v>1017.5471966696323</v>
      </c>
      <c r="H25" s="100">
        <v>8.5742319976059278</v>
      </c>
      <c r="I25" s="100">
        <v>4547.7726515301838</v>
      </c>
      <c r="J25" s="100">
        <v>5</v>
      </c>
      <c r="K25" s="100">
        <v>2652</v>
      </c>
      <c r="L25" s="100">
        <v>9</v>
      </c>
      <c r="M25" s="100">
        <v>4773.5999999999995</v>
      </c>
      <c r="N25" s="100">
        <v>6</v>
      </c>
      <c r="O25" s="100">
        <v>3182.3999999999996</v>
      </c>
      <c r="P25" s="100">
        <v>8.3254608875880756</v>
      </c>
      <c r="Q25" s="100">
        <v>4415.8244547767154</v>
      </c>
      <c r="R25" s="100">
        <v>1.2763654966190765</v>
      </c>
      <c r="S25" s="100">
        <v>676.98425940675816</v>
      </c>
      <c r="T25" s="100">
        <v>6</v>
      </c>
      <c r="U25" s="100">
        <v>3182.3999999999996</v>
      </c>
      <c r="V25" s="100">
        <v>7</v>
      </c>
      <c r="W25" s="100">
        <v>3712.7999999999997</v>
      </c>
      <c r="X25" s="100">
        <v>0.377742537540532</v>
      </c>
      <c r="Y25" s="100">
        <v>200.35464191149816</v>
      </c>
      <c r="Z25" s="100">
        <v>8</v>
      </c>
      <c r="AA25" s="100">
        <v>4243.2</v>
      </c>
      <c r="AB25" s="100">
        <v>6</v>
      </c>
      <c r="AC25" s="100">
        <v>3182.3999999999996</v>
      </c>
      <c r="AD25" s="100">
        <v>4.1756798876032279</v>
      </c>
      <c r="AE25" s="100">
        <v>2214.7806123847522</v>
      </c>
      <c r="AF25" s="100">
        <v>3.5121451209016232</v>
      </c>
      <c r="AG25" s="100">
        <v>1862.8417721262208</v>
      </c>
      <c r="AH25" s="100">
        <v>11.875220294071006</v>
      </c>
      <c r="AI25" s="100">
        <v>6298.6168439752619</v>
      </c>
      <c r="AJ25" s="100">
        <v>0.74278186078351716</v>
      </c>
      <c r="AK25" s="100">
        <v>393.9714989595775</v>
      </c>
      <c r="AL25" s="100">
        <v>9.2819595963375257</v>
      </c>
      <c r="AM25" s="100">
        <v>4923.1513698974231</v>
      </c>
      <c r="AN25" s="100">
        <v>6.1099818777668116</v>
      </c>
      <c r="AO25" s="100">
        <v>3240.7343879675168</v>
      </c>
      <c r="AP25" s="100">
        <v>5.8710857961859224</v>
      </c>
      <c r="AQ25" s="100">
        <v>3114.0239062970131</v>
      </c>
      <c r="AR25" s="100">
        <v>4.9610097136621042E-4</v>
      </c>
      <c r="AS25" s="100">
        <v>0.26313195521263799</v>
      </c>
      <c r="AT25" s="100">
        <v>11.00049325092492</v>
      </c>
      <c r="AU25" s="100">
        <v>5834.661620290578</v>
      </c>
      <c r="AV25" s="100">
        <v>10</v>
      </c>
      <c r="AW25" s="100">
        <v>5304</v>
      </c>
      <c r="AX25" s="100">
        <v>7</v>
      </c>
      <c r="AY25" s="100">
        <v>3712.7999999999997</v>
      </c>
      <c r="AZ25" s="100">
        <v>0.47882752700583492</v>
      </c>
      <c r="BA25" s="100">
        <v>253.97012032389483</v>
      </c>
      <c r="BB25" s="100">
        <v>10</v>
      </c>
      <c r="BC25" s="100">
        <v>5304</v>
      </c>
      <c r="BD25" s="100">
        <v>2.3578096444301981</v>
      </c>
      <c r="BE25" s="100">
        <v>1250.5822354057771</v>
      </c>
      <c r="BF25" s="100">
        <v>9</v>
      </c>
      <c r="BG25" s="100">
        <v>4773.5999999999995</v>
      </c>
      <c r="BH25" s="100">
        <v>2.429067905799569</v>
      </c>
      <c r="BI25" s="100">
        <v>1288.3776172360913</v>
      </c>
      <c r="BJ25" s="100">
        <v>10.828343040345461</v>
      </c>
      <c r="BK25" s="100">
        <v>5743.3531485992316</v>
      </c>
      <c r="BL25" s="100">
        <v>7.2662144932924182</v>
      </c>
      <c r="BM25" s="100">
        <v>3854.0001672422986</v>
      </c>
      <c r="BN25" s="100">
        <v>5.8800193977937774</v>
      </c>
      <c r="BO25" s="100">
        <v>3118.7622885898195</v>
      </c>
      <c r="BP25" s="100">
        <v>9.5742007926819586</v>
      </c>
      <c r="BQ25" s="100">
        <v>5078.1561004385103</v>
      </c>
      <c r="BR25" s="100">
        <v>7.6522363265243794</v>
      </c>
      <c r="BS25" s="100">
        <v>4058.7461475885307</v>
      </c>
      <c r="BT25" s="100">
        <v>6.1408075347353437</v>
      </c>
      <c r="BU25" s="100">
        <v>3257.0843164236262</v>
      </c>
      <c r="BV25" s="100">
        <v>7.7136224690254123</v>
      </c>
      <c r="BW25" s="100">
        <v>4091.3053575710783</v>
      </c>
      <c r="BX25" s="100">
        <v>4.3663985315237124E-4</v>
      </c>
      <c r="BY25" s="100">
        <v>0.2315937781120177</v>
      </c>
      <c r="BZ25" s="100">
        <v>2.8922025600408729</v>
      </c>
      <c r="CA25" s="100">
        <v>1534.024237845679</v>
      </c>
      <c r="CB25" s="100">
        <v>6.5931744759868209</v>
      </c>
      <c r="CC25" s="100">
        <v>3497.0197420634095</v>
      </c>
      <c r="CD25" s="100">
        <v>11.771765084424903</v>
      </c>
      <c r="CE25" s="100">
        <v>6243.7442007789687</v>
      </c>
      <c r="CF25" s="100">
        <v>5.9064075374647933</v>
      </c>
      <c r="CG25" s="100">
        <v>3132.758557871326</v>
      </c>
      <c r="CH25" s="100">
        <v>10.313532655471333</v>
      </c>
      <c r="CI25" s="100">
        <v>5470.2977204619947</v>
      </c>
      <c r="CJ25" s="100">
        <v>9</v>
      </c>
      <c r="CK25" s="100">
        <v>4773.5999999999995</v>
      </c>
      <c r="CL25" s="100">
        <v>3.8566727501493623</v>
      </c>
      <c r="CM25" s="100">
        <v>2045.5792266792216</v>
      </c>
      <c r="CN25" s="100">
        <v>7.9633650104303088E-4</v>
      </c>
      <c r="CO25" s="100">
        <v>0.42237688015322356</v>
      </c>
      <c r="CP25" s="100">
        <v>10.00060138719188</v>
      </c>
      <c r="CQ25" s="100">
        <v>5304.3189757665732</v>
      </c>
      <c r="CR25" s="100">
        <v>8.0067194006625524</v>
      </c>
      <c r="CS25" s="100">
        <v>4246.7639701114176</v>
      </c>
      <c r="CT25" s="100">
        <v>9.6106744755545179</v>
      </c>
      <c r="CU25" s="100">
        <v>5097.5017418341158</v>
      </c>
    </row>
    <row r="26" spans="2:99">
      <c r="C26" s="99" t="s">
        <v>192</v>
      </c>
      <c r="D26" s="100">
        <v>7.3601105852560229</v>
      </c>
      <c r="E26" s="100">
        <v>3577.0137444344273</v>
      </c>
      <c r="F26" s="100">
        <v>1.8967968344209694</v>
      </c>
      <c r="G26" s="100">
        <v>921.84326152859114</v>
      </c>
      <c r="H26" s="100">
        <v>8.4531372285593189</v>
      </c>
      <c r="I26" s="100">
        <v>4108.2246930798292</v>
      </c>
      <c r="J26" s="100">
        <v>5</v>
      </c>
      <c r="K26" s="100">
        <v>2430</v>
      </c>
      <c r="L26" s="100">
        <v>8</v>
      </c>
      <c r="M26" s="100">
        <v>3888</v>
      </c>
      <c r="N26" s="100">
        <v>7</v>
      </c>
      <c r="O26" s="100">
        <v>3402</v>
      </c>
      <c r="P26" s="100">
        <v>8.3254608875880756</v>
      </c>
      <c r="Q26" s="100">
        <v>4046.1739913678048</v>
      </c>
      <c r="R26" s="100">
        <v>1.2763654966190765</v>
      </c>
      <c r="S26" s="100">
        <v>620.31363135687116</v>
      </c>
      <c r="T26" s="100">
        <v>6</v>
      </c>
      <c r="U26" s="100">
        <v>2916</v>
      </c>
      <c r="V26" s="100">
        <v>9</v>
      </c>
      <c r="W26" s="100">
        <v>4374</v>
      </c>
      <c r="X26" s="100">
        <v>0.37200403079262107</v>
      </c>
      <c r="Y26" s="100">
        <v>180.79395896521385</v>
      </c>
      <c r="Z26" s="100">
        <v>8</v>
      </c>
      <c r="AA26" s="100">
        <v>3888</v>
      </c>
      <c r="AB26" s="100">
        <v>7</v>
      </c>
      <c r="AC26" s="100">
        <v>3402</v>
      </c>
      <c r="AD26" s="100">
        <v>3.6601162366125686</v>
      </c>
      <c r="AE26" s="100">
        <v>1778.8164909937084</v>
      </c>
      <c r="AF26" s="100">
        <v>3.7544667107688965</v>
      </c>
      <c r="AG26" s="100">
        <v>1824.6708214336836</v>
      </c>
      <c r="AH26" s="100">
        <v>12.187757009749507</v>
      </c>
      <c r="AI26" s="100">
        <v>5923.2499067382605</v>
      </c>
      <c r="AJ26" s="100">
        <v>0.74278186078351716</v>
      </c>
      <c r="AK26" s="100">
        <v>360.99198434078932</v>
      </c>
      <c r="AL26" s="100">
        <v>10.098484821623307</v>
      </c>
      <c r="AM26" s="100">
        <v>4907.8636233089273</v>
      </c>
      <c r="AN26" s="100">
        <v>6.768164982360843</v>
      </c>
      <c r="AO26" s="100">
        <v>3289.3281814273696</v>
      </c>
      <c r="AP26" s="100">
        <v>6.5129975263834803</v>
      </c>
      <c r="AQ26" s="100">
        <v>3165.3167978223714</v>
      </c>
      <c r="AR26" s="100">
        <v>4.9610097136621042E-4</v>
      </c>
      <c r="AS26" s="100">
        <v>0.24110507208397827</v>
      </c>
      <c r="AT26" s="100">
        <v>11.00049325092492</v>
      </c>
      <c r="AU26" s="100">
        <v>5346.2397199495117</v>
      </c>
      <c r="AV26" s="100">
        <v>11</v>
      </c>
      <c r="AW26" s="100">
        <v>5346</v>
      </c>
      <c r="AX26" s="100">
        <v>7</v>
      </c>
      <c r="AY26" s="100">
        <v>3402</v>
      </c>
      <c r="AZ26" s="100">
        <v>0.57459303240700188</v>
      </c>
      <c r="BA26" s="100">
        <v>279.25221374980293</v>
      </c>
      <c r="BB26" s="100">
        <v>9</v>
      </c>
      <c r="BC26" s="100">
        <v>4374</v>
      </c>
      <c r="BD26" s="100">
        <v>2.3578096444301981</v>
      </c>
      <c r="BE26" s="100">
        <v>1145.8954871930764</v>
      </c>
      <c r="BF26" s="100">
        <v>10</v>
      </c>
      <c r="BG26" s="100">
        <v>4860</v>
      </c>
      <c r="BH26" s="100">
        <v>2.1732092626530113</v>
      </c>
      <c r="BI26" s="100">
        <v>1056.1797016493636</v>
      </c>
      <c r="BJ26" s="100">
        <v>10.629458430393916</v>
      </c>
      <c r="BK26" s="100">
        <v>5165.9167971714432</v>
      </c>
      <c r="BL26" s="100">
        <v>6.3579376816308661</v>
      </c>
      <c r="BM26" s="100">
        <v>3089.9577132726008</v>
      </c>
      <c r="BN26" s="100">
        <v>5.8800193977937774</v>
      </c>
      <c r="BO26" s="100">
        <v>2857.6894273277758</v>
      </c>
      <c r="BP26" s="100">
        <v>9.5742007926819586</v>
      </c>
      <c r="BQ26" s="100">
        <v>4653.0615852434321</v>
      </c>
      <c r="BR26" s="100">
        <v>7.6522363265243794</v>
      </c>
      <c r="BS26" s="100">
        <v>3718.9868546908483</v>
      </c>
      <c r="BT26" s="100">
        <v>6.9084084765772626</v>
      </c>
      <c r="BU26" s="100">
        <v>3357.4865196165497</v>
      </c>
      <c r="BV26" s="100">
        <v>9.1310943864531264</v>
      </c>
      <c r="BW26" s="100">
        <v>4437.7118718162192</v>
      </c>
      <c r="BX26" s="100">
        <v>4.3663985315237124E-4</v>
      </c>
      <c r="BY26" s="100">
        <v>0.21220696863205243</v>
      </c>
      <c r="BZ26" s="100">
        <v>2.6293016601276182</v>
      </c>
      <c r="CA26" s="100">
        <v>1277.8406068220224</v>
      </c>
      <c r="CB26" s="100">
        <v>6.7314529946066308</v>
      </c>
      <c r="CC26" s="100">
        <v>3271.4861553788228</v>
      </c>
      <c r="CD26" s="100">
        <v>12.908054706303743</v>
      </c>
      <c r="CE26" s="100">
        <v>6273.3145872636187</v>
      </c>
      <c r="CF26" s="100">
        <v>5.3694613976952672</v>
      </c>
      <c r="CG26" s="100">
        <v>2609.5582392798997</v>
      </c>
      <c r="CH26" s="100">
        <v>8.4383448999310922</v>
      </c>
      <c r="CI26" s="100">
        <v>4101.0356213665109</v>
      </c>
      <c r="CJ26" s="100">
        <v>11</v>
      </c>
      <c r="CK26" s="100">
        <v>5346</v>
      </c>
      <c r="CL26" s="100">
        <v>4.2851919446104025</v>
      </c>
      <c r="CM26" s="100">
        <v>2082.6032850806555</v>
      </c>
      <c r="CN26" s="100">
        <v>7.2224621438460269E-4</v>
      </c>
      <c r="CO26" s="100">
        <v>0.3510116601909169</v>
      </c>
      <c r="CP26" s="100">
        <v>10.000561294712421</v>
      </c>
      <c r="CQ26" s="100">
        <v>4860.2727892302364</v>
      </c>
      <c r="CR26" s="100">
        <v>7.2060474605962979</v>
      </c>
      <c r="CS26" s="100">
        <v>3502.1390658498008</v>
      </c>
      <c r="CT26" s="100">
        <v>8.8097849359249754</v>
      </c>
      <c r="CU26" s="100">
        <v>4281.5554788595382</v>
      </c>
    </row>
    <row r="27" spans="2:99">
      <c r="C27" s="99" t="s">
        <v>193</v>
      </c>
      <c r="D27" s="100">
        <v>7.6200981267972665</v>
      </c>
      <c r="E27" s="100">
        <v>3255.3059197677921</v>
      </c>
      <c r="F27" s="100">
        <v>1.8967968344209694</v>
      </c>
      <c r="G27" s="100">
        <v>810.31160766463813</v>
      </c>
      <c r="H27" s="100">
        <v>8.5742319976059278</v>
      </c>
      <c r="I27" s="100">
        <v>3662.9119093772524</v>
      </c>
      <c r="J27" s="100">
        <v>5</v>
      </c>
      <c r="K27" s="100">
        <v>2136</v>
      </c>
      <c r="L27" s="100">
        <v>9</v>
      </c>
      <c r="M27" s="100">
        <v>3844.7999999999997</v>
      </c>
      <c r="N27" s="100">
        <v>6</v>
      </c>
      <c r="O27" s="100">
        <v>2563.1999999999998</v>
      </c>
      <c r="P27" s="100">
        <v>9.2505120973200849</v>
      </c>
      <c r="Q27" s="100">
        <v>3951.81876797514</v>
      </c>
      <c r="R27" s="100">
        <v>1.5316385959428915</v>
      </c>
      <c r="S27" s="100">
        <v>654.31600818680329</v>
      </c>
      <c r="T27" s="100">
        <v>6</v>
      </c>
      <c r="U27" s="100">
        <v>2563.1999999999998</v>
      </c>
      <c r="V27" s="100">
        <v>9</v>
      </c>
      <c r="W27" s="100">
        <v>3844.7999999999997</v>
      </c>
      <c r="X27" s="100">
        <v>0.41248766284396249</v>
      </c>
      <c r="Y27" s="100">
        <v>176.21472956694078</v>
      </c>
      <c r="Z27" s="100">
        <v>7</v>
      </c>
      <c r="AA27" s="100">
        <v>2990.4</v>
      </c>
      <c r="AB27" s="100">
        <v>7</v>
      </c>
      <c r="AC27" s="100">
        <v>2990.4</v>
      </c>
      <c r="AD27" s="100">
        <v>3.6805845084837499</v>
      </c>
      <c r="AE27" s="100">
        <v>1572.3457020242579</v>
      </c>
      <c r="AF27" s="100">
        <v>3.7544667107688965</v>
      </c>
      <c r="AG27" s="100">
        <v>1603.9081788404726</v>
      </c>
      <c r="AH27" s="100">
        <v>12.344025367588756</v>
      </c>
      <c r="AI27" s="100">
        <v>5273.3676370339163</v>
      </c>
      <c r="AJ27" s="100">
        <v>0.65332004437363156</v>
      </c>
      <c r="AK27" s="100">
        <v>279.09832295641542</v>
      </c>
      <c r="AL27" s="100">
        <v>10.098484821623307</v>
      </c>
      <c r="AM27" s="100">
        <v>4314.072715797477</v>
      </c>
      <c r="AN27" s="100">
        <v>6.768164982360843</v>
      </c>
      <c r="AO27" s="100">
        <v>2891.3600804645521</v>
      </c>
      <c r="AP27" s="100">
        <v>5.9415657392584826</v>
      </c>
      <c r="AQ27" s="100">
        <v>2538.2368838112238</v>
      </c>
      <c r="AR27" s="100">
        <v>4.9610097136621042E-4</v>
      </c>
      <c r="AS27" s="100">
        <v>0.21193433496764508</v>
      </c>
      <c r="AT27" s="100">
        <v>10.000538091918095</v>
      </c>
      <c r="AU27" s="100">
        <v>4272.2298728674104</v>
      </c>
      <c r="AV27" s="100">
        <v>11</v>
      </c>
      <c r="AW27" s="100">
        <v>4699.2</v>
      </c>
      <c r="AX27" s="100">
        <v>7</v>
      </c>
      <c r="AY27" s="100">
        <v>2990.4</v>
      </c>
      <c r="AZ27" s="100">
        <v>0.57459303240700188</v>
      </c>
      <c r="BA27" s="100">
        <v>245.46614344427121</v>
      </c>
      <c r="BB27" s="100">
        <v>9</v>
      </c>
      <c r="BC27" s="100">
        <v>3844.7999999999997</v>
      </c>
      <c r="BD27" s="100">
        <v>2.352454857379096</v>
      </c>
      <c r="BE27" s="100">
        <v>1004.9687150723498</v>
      </c>
      <c r="BF27" s="100">
        <v>9</v>
      </c>
      <c r="BG27" s="100">
        <v>3844.7999999999997</v>
      </c>
      <c r="BH27" s="100">
        <v>2.4345609543856797</v>
      </c>
      <c r="BI27" s="100">
        <v>1040.0444397135623</v>
      </c>
      <c r="BJ27" s="100">
        <v>9.8548952717842653</v>
      </c>
      <c r="BK27" s="100">
        <v>4210.0112601062383</v>
      </c>
      <c r="BL27" s="100">
        <v>7.2662144932924182</v>
      </c>
      <c r="BM27" s="100">
        <v>3104.126831534521</v>
      </c>
      <c r="BN27" s="100">
        <v>5.7995334157752021</v>
      </c>
      <c r="BO27" s="100">
        <v>2477.5606752191661</v>
      </c>
      <c r="BP27" s="100">
        <v>8.4227772166418422</v>
      </c>
      <c r="BQ27" s="100">
        <v>3598.2104269493948</v>
      </c>
      <c r="BR27" s="100">
        <v>8.4174599591768171</v>
      </c>
      <c r="BS27" s="100">
        <v>3595.9388945603364</v>
      </c>
      <c r="BT27" s="100">
        <v>6.1408075347353437</v>
      </c>
      <c r="BU27" s="100">
        <v>2623.3529788389387</v>
      </c>
      <c r="BV27" s="100">
        <v>8.3190013919917192</v>
      </c>
      <c r="BW27" s="100">
        <v>3553.8773946588622</v>
      </c>
      <c r="BX27" s="100">
        <v>4.3663985315237124E-4</v>
      </c>
      <c r="BY27" s="100">
        <v>0.186532545266693</v>
      </c>
      <c r="BZ27" s="100">
        <v>2.8922141228047713</v>
      </c>
      <c r="CA27" s="100">
        <v>1235.5538732621983</v>
      </c>
      <c r="CB27" s="100">
        <v>6.7299494780221734</v>
      </c>
      <c r="CC27" s="100">
        <v>2875.0344170110725</v>
      </c>
      <c r="CD27" s="100">
        <v>12.635475462546065</v>
      </c>
      <c r="CE27" s="100">
        <v>5397.8751175996786</v>
      </c>
      <c r="CF27" s="100">
        <v>5.3694613976952672</v>
      </c>
      <c r="CG27" s="100">
        <v>2293.8339090954182</v>
      </c>
      <c r="CH27" s="100">
        <v>9.3759387777012133</v>
      </c>
      <c r="CI27" s="100">
        <v>4005.4010458339581</v>
      </c>
      <c r="CJ27" s="100">
        <v>10</v>
      </c>
      <c r="CK27" s="100">
        <v>4272</v>
      </c>
      <c r="CL27" s="100">
        <v>3.8566727501493623</v>
      </c>
      <c r="CM27" s="100">
        <v>1647.5705988638076</v>
      </c>
      <c r="CN27" s="100">
        <v>6.5644777314825408E-4</v>
      </c>
      <c r="CO27" s="100">
        <v>0.28043448868893411</v>
      </c>
      <c r="CP27" s="100">
        <v>10.00060138719188</v>
      </c>
      <c r="CQ27" s="100">
        <v>4272.2569126083708</v>
      </c>
      <c r="CR27" s="100">
        <v>7.2060474605962979</v>
      </c>
      <c r="CS27" s="100">
        <v>3078.4234751667382</v>
      </c>
      <c r="CT27" s="100">
        <v>8.8097849359249754</v>
      </c>
      <c r="CU27" s="100">
        <v>3763.5401246271495</v>
      </c>
    </row>
    <row r="28" spans="2:99">
      <c r="C28" s="99" t="s">
        <v>194</v>
      </c>
      <c r="D28" s="100">
        <v>8.0378948501493976</v>
      </c>
      <c r="E28" s="100">
        <v>5931.9663994102557</v>
      </c>
      <c r="F28" s="100">
        <v>1.8967968344209694</v>
      </c>
      <c r="G28" s="100">
        <v>1399.8360638026754</v>
      </c>
      <c r="H28" s="100">
        <v>8.6953267666525385</v>
      </c>
      <c r="I28" s="100">
        <v>6417.1511537895731</v>
      </c>
      <c r="J28" s="100">
        <v>6</v>
      </c>
      <c r="K28" s="100">
        <v>4428</v>
      </c>
      <c r="L28" s="100">
        <v>8</v>
      </c>
      <c r="M28" s="100">
        <v>5904</v>
      </c>
      <c r="N28" s="100">
        <v>6</v>
      </c>
      <c r="O28" s="100">
        <v>4428</v>
      </c>
      <c r="P28" s="100">
        <v>9.2505120973200849</v>
      </c>
      <c r="Q28" s="100">
        <v>6826.8779278222228</v>
      </c>
      <c r="R28" s="100">
        <v>1.2763654966190765</v>
      </c>
      <c r="S28" s="100">
        <v>941.95773650487843</v>
      </c>
      <c r="T28" s="100">
        <v>6</v>
      </c>
      <c r="U28" s="100">
        <v>4428</v>
      </c>
      <c r="V28" s="100">
        <v>9</v>
      </c>
      <c r="W28" s="100">
        <v>6642</v>
      </c>
      <c r="X28" s="100">
        <v>0.33343323432391653</v>
      </c>
      <c r="Y28" s="100">
        <v>246.0737269310504</v>
      </c>
      <c r="Z28" s="100">
        <v>7</v>
      </c>
      <c r="AA28" s="100">
        <v>5166</v>
      </c>
      <c r="AB28" s="100">
        <v>7</v>
      </c>
      <c r="AC28" s="100">
        <v>5166</v>
      </c>
      <c r="AD28" s="100">
        <v>4.1654457516676375</v>
      </c>
      <c r="AE28" s="100">
        <v>3074.0989647307165</v>
      </c>
      <c r="AF28" s="100">
        <v>3.2181143235161969</v>
      </c>
      <c r="AG28" s="100">
        <v>2374.9683707549534</v>
      </c>
      <c r="AH28" s="100">
        <v>13.031488651910255</v>
      </c>
      <c r="AI28" s="100">
        <v>9617.2386251097687</v>
      </c>
      <c r="AJ28" s="100">
        <v>0.64399611270048607</v>
      </c>
      <c r="AK28" s="100">
        <v>475.26913117295874</v>
      </c>
      <c r="AL28" s="100">
        <v>10.915010046909087</v>
      </c>
      <c r="AM28" s="100">
        <v>8055.2774146189058</v>
      </c>
      <c r="AN28" s="100">
        <v>5.8606491950511259</v>
      </c>
      <c r="AO28" s="100">
        <v>4325.1591059477305</v>
      </c>
      <c r="AP28" s="100">
        <v>5.9384041315003184</v>
      </c>
      <c r="AQ28" s="100">
        <v>4382.5422490472347</v>
      </c>
      <c r="AR28" s="100">
        <v>4.9610097136621042E-4</v>
      </c>
      <c r="AS28" s="100">
        <v>0.3661225168682633</v>
      </c>
      <c r="AT28" s="100">
        <v>11.000448409931746</v>
      </c>
      <c r="AU28" s="100">
        <v>8118.3309265296284</v>
      </c>
      <c r="AV28" s="100">
        <v>11</v>
      </c>
      <c r="AW28" s="100">
        <v>8118</v>
      </c>
      <c r="AX28" s="100">
        <v>6</v>
      </c>
      <c r="AY28" s="100">
        <v>4428</v>
      </c>
      <c r="AZ28" s="100">
        <v>0.47882752700583492</v>
      </c>
      <c r="BA28" s="100">
        <v>353.3747149303062</v>
      </c>
      <c r="BB28" s="100">
        <v>9</v>
      </c>
      <c r="BC28" s="100">
        <v>6642</v>
      </c>
      <c r="BD28" s="100">
        <v>1.6971542288599606</v>
      </c>
      <c r="BE28" s="100">
        <v>1252.499820898651</v>
      </c>
      <c r="BF28" s="100">
        <v>8</v>
      </c>
      <c r="BG28" s="100">
        <v>5904</v>
      </c>
      <c r="BH28" s="100">
        <v>2.4345609543856797</v>
      </c>
      <c r="BI28" s="100">
        <v>1796.7059843366317</v>
      </c>
      <c r="BJ28" s="100">
        <v>8.7820051982472958</v>
      </c>
      <c r="BK28" s="100">
        <v>6481.1198363065041</v>
      </c>
      <c r="BL28" s="100">
        <v>6.3579376816308661</v>
      </c>
      <c r="BM28" s="100">
        <v>4692.1580090435791</v>
      </c>
      <c r="BN28" s="100">
        <v>5.7995334157752021</v>
      </c>
      <c r="BO28" s="100">
        <v>4280.0556608420993</v>
      </c>
      <c r="BP28" s="100">
        <v>9.2713536406017276</v>
      </c>
      <c r="BQ28" s="100">
        <v>6842.2589867640754</v>
      </c>
      <c r="BR28" s="100">
        <v>8.4174599591768171</v>
      </c>
      <c r="BS28" s="100">
        <v>6212.0854498724912</v>
      </c>
      <c r="BT28" s="100">
        <v>6.1408075347353437</v>
      </c>
      <c r="BU28" s="100">
        <v>4531.9159606346839</v>
      </c>
      <c r="BV28" s="100">
        <v>8.456810772988451</v>
      </c>
      <c r="BW28" s="100">
        <v>6241.1263504654771</v>
      </c>
      <c r="BX28" s="100">
        <v>4.3663985315237124E-4</v>
      </c>
      <c r="BY28" s="100">
        <v>0.32224021162644995</v>
      </c>
      <c r="BZ28" s="100">
        <v>2.6292905401896247</v>
      </c>
      <c r="CA28" s="100">
        <v>1940.416418659943</v>
      </c>
      <c r="CB28" s="100">
        <v>6.6653207684656408</v>
      </c>
      <c r="CC28" s="100">
        <v>4919.006727127643</v>
      </c>
      <c r="CD28" s="100">
        <v>11</v>
      </c>
      <c r="CE28" s="100">
        <v>8118</v>
      </c>
      <c r="CF28" s="100">
        <v>5.3694613976952672</v>
      </c>
      <c r="CG28" s="100">
        <v>3962.662511499107</v>
      </c>
      <c r="CH28" s="100">
        <v>9.3759387777012133</v>
      </c>
      <c r="CI28" s="100">
        <v>6919.4428179434954</v>
      </c>
      <c r="CJ28" s="100">
        <v>11</v>
      </c>
      <c r="CK28" s="100">
        <v>8118</v>
      </c>
      <c r="CL28" s="100">
        <v>3.8566727501493623</v>
      </c>
      <c r="CM28" s="100">
        <v>2846.2244896102293</v>
      </c>
      <c r="CN28" s="100">
        <v>6.6059369585929392E-4</v>
      </c>
      <c r="CO28" s="100">
        <v>0.4875181475441589</v>
      </c>
      <c r="CP28" s="100">
        <v>9.00060138719188</v>
      </c>
      <c r="CQ28" s="100">
        <v>6642.443823747607</v>
      </c>
      <c r="CR28" s="100">
        <v>7.2060474605962979</v>
      </c>
      <c r="CS28" s="100">
        <v>5318.063025920068</v>
      </c>
      <c r="CT28" s="100">
        <v>8.8097849359249754</v>
      </c>
      <c r="CU28" s="100">
        <v>6501.6212827126319</v>
      </c>
    </row>
    <row r="29" spans="2:99">
      <c r="C29" s="99" t="s">
        <v>195</v>
      </c>
      <c r="D29" s="100">
        <v>8.6891804755275537</v>
      </c>
      <c r="E29" s="100">
        <v>2940.418672918524</v>
      </c>
      <c r="F29" s="100">
        <v>1.9184524824088092</v>
      </c>
      <c r="G29" s="100">
        <v>649.20432004714098</v>
      </c>
      <c r="H29" s="100">
        <v>8.4531372285593189</v>
      </c>
      <c r="I29" s="100">
        <v>2860.5416381444734</v>
      </c>
      <c r="J29" s="100">
        <v>6</v>
      </c>
      <c r="K29" s="100">
        <v>2030.3999999999999</v>
      </c>
      <c r="L29" s="100">
        <v>9</v>
      </c>
      <c r="M29" s="100">
        <v>3045.6</v>
      </c>
      <c r="N29" s="100">
        <v>6</v>
      </c>
      <c r="O29" s="100">
        <v>2030.3999999999999</v>
      </c>
      <c r="P29" s="100">
        <v>8.3254608875880756</v>
      </c>
      <c r="Q29" s="100">
        <v>2817.3359643598046</v>
      </c>
      <c r="R29" s="100">
        <v>1.2763654966190765</v>
      </c>
      <c r="S29" s="100">
        <v>431.92208405589548</v>
      </c>
      <c r="T29" s="100">
        <v>6</v>
      </c>
      <c r="U29" s="100">
        <v>2030.3999999999999</v>
      </c>
      <c r="V29" s="100">
        <v>9</v>
      </c>
      <c r="W29" s="100">
        <v>3045.6</v>
      </c>
      <c r="X29" s="100">
        <v>0.41631333400923648</v>
      </c>
      <c r="Y29" s="100">
        <v>140.88043222872562</v>
      </c>
      <c r="Z29" s="100">
        <v>8</v>
      </c>
      <c r="AA29" s="100">
        <v>2707.2</v>
      </c>
      <c r="AB29" s="100">
        <v>6</v>
      </c>
      <c r="AC29" s="100">
        <v>2030.3999999999999</v>
      </c>
      <c r="AD29" s="100">
        <v>3.6703503725481594</v>
      </c>
      <c r="AE29" s="100">
        <v>1242.0465660702971</v>
      </c>
      <c r="AF29" s="100">
        <v>3.5347628745466562</v>
      </c>
      <c r="AG29" s="100">
        <v>1196.1637567465884</v>
      </c>
      <c r="AH29" s="100">
        <v>12.187757009749507</v>
      </c>
      <c r="AI29" s="100">
        <v>4124.3369720992332</v>
      </c>
      <c r="AJ29" s="100">
        <v>0.75210579245666265</v>
      </c>
      <c r="AK29" s="100">
        <v>254.51260016733463</v>
      </c>
      <c r="AL29" s="100">
        <v>9.9744062279033372</v>
      </c>
      <c r="AM29" s="100">
        <v>3375.3390675224891</v>
      </c>
      <c r="AN29" s="100">
        <v>6.768164982360843</v>
      </c>
      <c r="AO29" s="100">
        <v>2290.3470300309091</v>
      </c>
      <c r="AP29" s="100">
        <v>6.3625528169638645</v>
      </c>
      <c r="AQ29" s="100">
        <v>2153.0878732605715</v>
      </c>
      <c r="AR29" s="100">
        <v>4.9610097136621042E-4</v>
      </c>
      <c r="AS29" s="100">
        <v>0.16788056871032558</v>
      </c>
      <c r="AT29" s="100">
        <v>11.000538091918095</v>
      </c>
      <c r="AU29" s="100">
        <v>3722.5820903050831</v>
      </c>
      <c r="AV29" s="100">
        <v>12</v>
      </c>
      <c r="AW29" s="100">
        <v>4060.7999999999997</v>
      </c>
      <c r="AX29" s="100">
        <v>6</v>
      </c>
      <c r="AY29" s="100">
        <v>2030.3999999999999</v>
      </c>
      <c r="AZ29" s="100">
        <v>0.47882752700583492</v>
      </c>
      <c r="BA29" s="100">
        <v>162.03523513877454</v>
      </c>
      <c r="BB29" s="100">
        <v>9</v>
      </c>
      <c r="BC29" s="100">
        <v>3045.6</v>
      </c>
      <c r="BD29" s="100">
        <v>2.0194497560684264</v>
      </c>
      <c r="BE29" s="100">
        <v>683.38179745355546</v>
      </c>
      <c r="BF29" s="100">
        <v>10</v>
      </c>
      <c r="BG29" s="100">
        <v>3384</v>
      </c>
      <c r="BH29" s="100">
        <v>2.4345609543856797</v>
      </c>
      <c r="BI29" s="100">
        <v>823.85542696411392</v>
      </c>
      <c r="BJ29" s="100">
        <v>10.828343040345461</v>
      </c>
      <c r="BK29" s="100">
        <v>3664.3112848529036</v>
      </c>
      <c r="BL29" s="100">
        <v>7.2662144932924182</v>
      </c>
      <c r="BM29" s="100">
        <v>2458.8869845301542</v>
      </c>
      <c r="BN29" s="100">
        <v>5.7995334157752021</v>
      </c>
      <c r="BO29" s="100">
        <v>1962.5621078983283</v>
      </c>
      <c r="BP29" s="100">
        <v>8.5742007926819586</v>
      </c>
      <c r="BQ29" s="100">
        <v>2901.5095482435745</v>
      </c>
      <c r="BR29" s="100">
        <v>7.6522363265243794</v>
      </c>
      <c r="BS29" s="100">
        <v>2589.51677289585</v>
      </c>
      <c r="BT29" s="100">
        <v>6.1408075347353437</v>
      </c>
      <c r="BU29" s="100">
        <v>2078.04926975444</v>
      </c>
      <c r="BV29" s="100">
        <v>8.5246026148683534</v>
      </c>
      <c r="BW29" s="100">
        <v>2884.7255248714505</v>
      </c>
      <c r="BX29" s="100">
        <v>4.3663985315237124E-4</v>
      </c>
      <c r="BY29" s="100">
        <v>0.14775892630676241</v>
      </c>
      <c r="BZ29" s="100">
        <v>2.6293029886053341</v>
      </c>
      <c r="CA29" s="100">
        <v>889.756131344045</v>
      </c>
      <c r="CB29" s="100">
        <v>6.7344600277755458</v>
      </c>
      <c r="CC29" s="100">
        <v>2278.9412733992444</v>
      </c>
      <c r="CD29" s="100">
        <v>11</v>
      </c>
      <c r="CE29" s="100">
        <v>3722.3999999999996</v>
      </c>
      <c r="CF29" s="100">
        <v>5.3694613976952672</v>
      </c>
      <c r="CG29" s="100">
        <v>1817.0257369800784</v>
      </c>
      <c r="CH29" s="100">
        <v>9.3759387777012133</v>
      </c>
      <c r="CI29" s="100">
        <v>3172.8176823740905</v>
      </c>
      <c r="CJ29" s="100">
        <v>9</v>
      </c>
      <c r="CK29" s="100">
        <v>3045.6</v>
      </c>
      <c r="CL29" s="100">
        <v>4.2851919446104025</v>
      </c>
      <c r="CM29" s="100">
        <v>1450.1089540561602</v>
      </c>
      <c r="CN29" s="100">
        <v>7.2639213709564264E-4</v>
      </c>
      <c r="CO29" s="100">
        <v>0.24581109919316546</v>
      </c>
      <c r="CP29" s="100">
        <v>9.00060138719188</v>
      </c>
      <c r="CQ29" s="100">
        <v>3045.803509425732</v>
      </c>
      <c r="CR29" s="100">
        <v>8.0067194006625524</v>
      </c>
      <c r="CS29" s="100">
        <v>2709.4738451842077</v>
      </c>
      <c r="CT29" s="100">
        <v>9.6106744755545179</v>
      </c>
      <c r="CU29" s="100">
        <v>3252.2522425276488</v>
      </c>
    </row>
    <row r="30" spans="2:99">
      <c r="C30" s="99" t="s">
        <v>196</v>
      </c>
      <c r="D30" s="100">
        <v>7.3866092247712407</v>
      </c>
      <c r="E30" s="100">
        <v>1028.2160040881565</v>
      </c>
      <c r="F30" s="100">
        <v>1.9076246584148893</v>
      </c>
      <c r="G30" s="100">
        <v>265.54135245135257</v>
      </c>
      <c r="H30" s="100">
        <v>8.6953267666525385</v>
      </c>
      <c r="I30" s="100">
        <v>1210.3894859180332</v>
      </c>
      <c r="J30" s="100">
        <v>6</v>
      </c>
      <c r="K30" s="100">
        <v>835.19999999999993</v>
      </c>
      <c r="L30" s="100">
        <v>10</v>
      </c>
      <c r="M30" s="100">
        <v>1392</v>
      </c>
      <c r="N30" s="100">
        <v>7</v>
      </c>
      <c r="O30" s="100">
        <v>974.39999999999986</v>
      </c>
      <c r="P30" s="100">
        <v>8.3254608875880756</v>
      </c>
      <c r="Q30" s="100">
        <v>1158.9041555522601</v>
      </c>
      <c r="R30" s="100">
        <v>1.5316385959428915</v>
      </c>
      <c r="S30" s="100">
        <v>213.2040925552505</v>
      </c>
      <c r="T30" s="100">
        <v>7</v>
      </c>
      <c r="U30" s="100">
        <v>974.39999999999986</v>
      </c>
      <c r="V30" s="100">
        <v>9</v>
      </c>
      <c r="W30" s="100">
        <v>1252.8</v>
      </c>
      <c r="X30" s="100">
        <v>0.37582970195789506</v>
      </c>
      <c r="Y30" s="100">
        <v>52.31549451253899</v>
      </c>
      <c r="Z30" s="100">
        <v>8</v>
      </c>
      <c r="AA30" s="100">
        <v>1113.5999999999999</v>
      </c>
      <c r="AB30" s="100">
        <v>7</v>
      </c>
      <c r="AC30" s="100">
        <v>974.39999999999986</v>
      </c>
      <c r="AD30" s="100">
        <v>3.6703503725481594</v>
      </c>
      <c r="AE30" s="100">
        <v>510.91277185870376</v>
      </c>
      <c r="AF30" s="100">
        <v>4.0258797545092895</v>
      </c>
      <c r="AG30" s="100">
        <v>560.40246182769306</v>
      </c>
      <c r="AH30" s="100">
        <v>13.031488651910255</v>
      </c>
      <c r="AI30" s="100">
        <v>1813.9832203459073</v>
      </c>
      <c r="AJ30" s="100">
        <v>0.84622957470312088</v>
      </c>
      <c r="AK30" s="100">
        <v>117.79515679867441</v>
      </c>
      <c r="AL30" s="100">
        <v>9.2819595963375257</v>
      </c>
      <c r="AM30" s="100">
        <v>1292.0487758101835</v>
      </c>
      <c r="AN30" s="100">
        <v>6.8512758765994057</v>
      </c>
      <c r="AO30" s="100">
        <v>953.69760202263717</v>
      </c>
      <c r="AP30" s="100">
        <v>5.8742474039440875</v>
      </c>
      <c r="AQ30" s="100">
        <v>817.6952386290169</v>
      </c>
      <c r="AR30" s="100">
        <v>4.9610097136621042E-4</v>
      </c>
      <c r="AS30" s="100">
        <v>6.905725521417648E-2</v>
      </c>
      <c r="AT30" s="100">
        <v>11.00049325092492</v>
      </c>
      <c r="AU30" s="100">
        <v>1531.2686605287488</v>
      </c>
      <c r="AV30" s="100">
        <v>11</v>
      </c>
      <c r="AW30" s="100">
        <v>1531.1999999999998</v>
      </c>
      <c r="AX30" s="100">
        <v>7</v>
      </c>
      <c r="AY30" s="100">
        <v>974.39999999999986</v>
      </c>
      <c r="AZ30" s="100">
        <v>0.57459303240700188</v>
      </c>
      <c r="BA30" s="100">
        <v>79.983350111054662</v>
      </c>
      <c r="BB30" s="100">
        <v>11</v>
      </c>
      <c r="BC30" s="100">
        <v>1531.1999999999998</v>
      </c>
      <c r="BD30" s="100">
        <v>2.0248045431195285</v>
      </c>
      <c r="BE30" s="100">
        <v>281.85279240223832</v>
      </c>
      <c r="BF30" s="100">
        <v>10</v>
      </c>
      <c r="BG30" s="100">
        <v>1392</v>
      </c>
      <c r="BH30" s="100">
        <v>2.7014056947044587</v>
      </c>
      <c r="BI30" s="100">
        <v>376.03567270286061</v>
      </c>
      <c r="BJ30" s="100">
        <v>9.7554529668084911</v>
      </c>
      <c r="BK30" s="100">
        <v>1357.959052979742</v>
      </c>
      <c r="BL30" s="100">
        <v>7.2662144932924182</v>
      </c>
      <c r="BM30" s="100">
        <v>1011.4570574663045</v>
      </c>
      <c r="BN30" s="100">
        <v>6.5917360240308245</v>
      </c>
      <c r="BO30" s="100">
        <v>917.56965454509066</v>
      </c>
      <c r="BP30" s="100">
        <v>8.2713536406017276</v>
      </c>
      <c r="BQ30" s="100">
        <v>1151.3724267717605</v>
      </c>
      <c r="BR30" s="100">
        <v>8.4174599591768171</v>
      </c>
      <c r="BS30" s="100">
        <v>1171.7104263174128</v>
      </c>
      <c r="BT30" s="100">
        <v>6.9084084765772626</v>
      </c>
      <c r="BU30" s="100">
        <v>961.65045993955493</v>
      </c>
      <c r="BV30" s="100">
        <v>8.375664747686983</v>
      </c>
      <c r="BW30" s="100">
        <v>1165.8925328780279</v>
      </c>
      <c r="BX30" s="100">
        <v>5.0941316201109986E-4</v>
      </c>
      <c r="BY30" s="100">
        <v>7.0910312151945099E-2</v>
      </c>
      <c r="BZ30" s="100">
        <v>2.6293029886053341</v>
      </c>
      <c r="CA30" s="100">
        <v>365.99897601386249</v>
      </c>
      <c r="CB30" s="100">
        <v>6.5961815091557359</v>
      </c>
      <c r="CC30" s="100">
        <v>918.18846607447836</v>
      </c>
      <c r="CD30" s="100">
        <v>13.771765084424903</v>
      </c>
      <c r="CE30" s="100">
        <v>1917.0296997519463</v>
      </c>
      <c r="CF30" s="100">
        <v>5.9064075374647933</v>
      </c>
      <c r="CG30" s="100">
        <v>822.17192921509911</v>
      </c>
      <c r="CH30" s="100">
        <v>9.3759387777012133</v>
      </c>
      <c r="CI30" s="100">
        <v>1305.1306778560088</v>
      </c>
      <c r="CJ30" s="100">
        <v>10</v>
      </c>
      <c r="CK30" s="100">
        <v>1392</v>
      </c>
      <c r="CL30" s="100">
        <v>4.2851919446104025</v>
      </c>
      <c r="CM30" s="100">
        <v>596.498718689768</v>
      </c>
      <c r="CN30" s="100">
        <v>7.3053805980668237E-4</v>
      </c>
      <c r="CO30" s="100">
        <v>0.10169089792509017</v>
      </c>
      <c r="CP30" s="100">
        <v>9.000641479671339</v>
      </c>
      <c r="CQ30" s="100">
        <v>1252.8892939702503</v>
      </c>
      <c r="CR30" s="100">
        <v>7.2060474605962979</v>
      </c>
      <c r="CS30" s="100">
        <v>1003.0818065150046</v>
      </c>
      <c r="CT30" s="100">
        <v>9.6106744755545179</v>
      </c>
      <c r="CU30" s="100">
        <v>1337.8058869971887</v>
      </c>
    </row>
    <row r="31" spans="2:99">
      <c r="C31" s="99" t="s">
        <v>197</v>
      </c>
      <c r="D31" s="100">
        <v>8.2699116055356878</v>
      </c>
      <c r="E31" s="100">
        <v>2818.3858751665625</v>
      </c>
      <c r="F31" s="100">
        <v>1.8967968344209694</v>
      </c>
      <c r="G31" s="100">
        <v>646.42836117066634</v>
      </c>
      <c r="H31" s="100">
        <v>8.4531372285593189</v>
      </c>
      <c r="I31" s="100">
        <v>2880.829167493016</v>
      </c>
      <c r="J31" s="100">
        <v>6</v>
      </c>
      <c r="K31" s="100">
        <v>2044.8000000000002</v>
      </c>
      <c r="L31" s="100">
        <v>8</v>
      </c>
      <c r="M31" s="100">
        <v>2726.4</v>
      </c>
      <c r="N31" s="100">
        <v>6</v>
      </c>
      <c r="O31" s="100">
        <v>2044.8000000000002</v>
      </c>
      <c r="P31" s="100">
        <v>9.2505120973200849</v>
      </c>
      <c r="Q31" s="100">
        <v>3152.5745227666853</v>
      </c>
      <c r="R31" s="100">
        <v>1.5316385959428915</v>
      </c>
      <c r="S31" s="100">
        <v>521.98243349733741</v>
      </c>
      <c r="T31" s="100">
        <v>7</v>
      </c>
      <c r="U31" s="100">
        <v>2385.6</v>
      </c>
      <c r="V31" s="100">
        <v>8</v>
      </c>
      <c r="W31" s="100">
        <v>2726.4</v>
      </c>
      <c r="X31" s="100">
        <v>0.33534606990655358</v>
      </c>
      <c r="Y31" s="100">
        <v>114.28594062415347</v>
      </c>
      <c r="Z31" s="100">
        <v>7</v>
      </c>
      <c r="AA31" s="100">
        <v>2385.6</v>
      </c>
      <c r="AB31" s="100">
        <v>7</v>
      </c>
      <c r="AC31" s="100">
        <v>2385.6</v>
      </c>
      <c r="AD31" s="100">
        <v>3.6703503725481594</v>
      </c>
      <c r="AE31" s="100">
        <v>1250.8554069644129</v>
      </c>
      <c r="AF31" s="100">
        <v>3.5121451209016232</v>
      </c>
      <c r="AG31" s="100">
        <v>1196.9390572032733</v>
      </c>
      <c r="AH31" s="100">
        <v>12.031488651910255</v>
      </c>
      <c r="AI31" s="100">
        <v>4100.3313325710151</v>
      </c>
      <c r="AJ31" s="100">
        <v>0.85089154053969351</v>
      </c>
      <c r="AK31" s="100">
        <v>289.98383701592758</v>
      </c>
      <c r="AL31" s="100">
        <v>10.098484821623307</v>
      </c>
      <c r="AM31" s="100">
        <v>3441.5636272092233</v>
      </c>
      <c r="AN31" s="100">
        <v>6.768164982360843</v>
      </c>
      <c r="AO31" s="100">
        <v>2306.5906259885755</v>
      </c>
      <c r="AP31" s="100">
        <v>6.4361943677945899</v>
      </c>
      <c r="AQ31" s="100">
        <v>2193.4550405443965</v>
      </c>
      <c r="AR31" s="100">
        <v>4.2522940402818044E-4</v>
      </c>
      <c r="AS31" s="100">
        <v>0.14491818089280389</v>
      </c>
      <c r="AT31" s="100">
        <v>12.00049325092492</v>
      </c>
      <c r="AU31" s="100">
        <v>4089.768099915213</v>
      </c>
      <c r="AV31" s="100">
        <v>11</v>
      </c>
      <c r="AW31" s="100">
        <v>3748.8</v>
      </c>
      <c r="AX31" s="100">
        <v>6</v>
      </c>
      <c r="AY31" s="100">
        <v>2044.8000000000002</v>
      </c>
      <c r="AZ31" s="100">
        <v>0.47882752700583492</v>
      </c>
      <c r="BA31" s="100">
        <v>163.18442120358856</v>
      </c>
      <c r="BB31" s="100">
        <v>9</v>
      </c>
      <c r="BC31" s="100">
        <v>3067.2000000000003</v>
      </c>
      <c r="BD31" s="100">
        <v>2.0301593301706302</v>
      </c>
      <c r="BE31" s="100">
        <v>691.87829972215081</v>
      </c>
      <c r="BF31" s="100">
        <v>10</v>
      </c>
      <c r="BG31" s="100">
        <v>3408</v>
      </c>
      <c r="BH31" s="100">
        <v>2.429067905799569</v>
      </c>
      <c r="BI31" s="100">
        <v>827.82634229649318</v>
      </c>
      <c r="BJ31" s="100">
        <v>10.828343040345461</v>
      </c>
      <c r="BK31" s="100">
        <v>3690.299308149733</v>
      </c>
      <c r="BL31" s="100">
        <v>7.2662144932924182</v>
      </c>
      <c r="BM31" s="100">
        <v>2476.3258993140562</v>
      </c>
      <c r="BN31" s="100">
        <v>5.8800193977937774</v>
      </c>
      <c r="BO31" s="100">
        <v>2003.9106107681193</v>
      </c>
      <c r="BP31" s="100">
        <v>9.5742007926819586</v>
      </c>
      <c r="BQ31" s="100">
        <v>3262.8876301460114</v>
      </c>
      <c r="BR31" s="100">
        <v>7.6522363265243794</v>
      </c>
      <c r="BS31" s="100">
        <v>2607.8821400795086</v>
      </c>
      <c r="BT31" s="100">
        <v>6.9084084765772626</v>
      </c>
      <c r="BU31" s="100">
        <v>2354.3856088175312</v>
      </c>
      <c r="BV31" s="100">
        <v>7.783083583833009</v>
      </c>
      <c r="BW31" s="100">
        <v>2652.4748853702895</v>
      </c>
      <c r="BX31" s="100">
        <v>4.3663985315237124E-4</v>
      </c>
      <c r="BY31" s="100">
        <v>0.14880686195432813</v>
      </c>
      <c r="BZ31" s="100">
        <v>2.8922034456926839</v>
      </c>
      <c r="CA31" s="100">
        <v>985.66293429206678</v>
      </c>
      <c r="CB31" s="100">
        <v>6.6653207684656408</v>
      </c>
      <c r="CC31" s="100">
        <v>2271.5413178930903</v>
      </c>
      <c r="CD31" s="100">
        <v>12.908054706303743</v>
      </c>
      <c r="CE31" s="100">
        <v>4399.0650439083156</v>
      </c>
      <c r="CF31" s="100">
        <v>5.9064075374647933</v>
      </c>
      <c r="CG31" s="100">
        <v>2012.9036887680015</v>
      </c>
      <c r="CH31" s="100">
        <v>8.4383448999310922</v>
      </c>
      <c r="CI31" s="100">
        <v>2875.7879418965163</v>
      </c>
      <c r="CJ31" s="100">
        <v>10</v>
      </c>
      <c r="CK31" s="100">
        <v>3408</v>
      </c>
      <c r="CL31" s="100">
        <v>3.8566727501493623</v>
      </c>
      <c r="CM31" s="100">
        <v>1314.3540732509027</v>
      </c>
      <c r="CN31" s="100">
        <v>7.2846509845116234E-4</v>
      </c>
      <c r="CO31" s="100">
        <v>0.24826090555215613</v>
      </c>
      <c r="CP31" s="100">
        <v>9.00060138719188</v>
      </c>
      <c r="CQ31" s="100">
        <v>3067.4049527549928</v>
      </c>
      <c r="CR31" s="100">
        <v>7.2060474605962979</v>
      </c>
      <c r="CS31" s="100">
        <v>2455.8209745712184</v>
      </c>
      <c r="CT31" s="100">
        <v>9.6106744755545179</v>
      </c>
      <c r="CU31" s="100">
        <v>3275.3178612689799</v>
      </c>
    </row>
    <row r="32" spans="2:99">
      <c r="C32" s="99" t="s">
        <v>198</v>
      </c>
      <c r="D32" s="100">
        <v>7.5018815291445193</v>
      </c>
      <c r="E32" s="100">
        <v>6301.5804844813965</v>
      </c>
      <c r="F32" s="100">
        <v>1.6203660499951809</v>
      </c>
      <c r="G32" s="100">
        <v>1361.107481995952</v>
      </c>
      <c r="H32" s="100">
        <v>8.4531372285593189</v>
      </c>
      <c r="I32" s="100">
        <v>7100.6352719898277</v>
      </c>
      <c r="J32" s="100">
        <v>5</v>
      </c>
      <c r="K32" s="100">
        <v>4200</v>
      </c>
      <c r="L32" s="100">
        <v>8</v>
      </c>
      <c r="M32" s="100">
        <v>6720</v>
      </c>
      <c r="N32" s="100">
        <v>7</v>
      </c>
      <c r="O32" s="100">
        <v>5880</v>
      </c>
      <c r="P32" s="100">
        <v>9.2505120973200849</v>
      </c>
      <c r="Q32" s="100">
        <v>7770.4301617488718</v>
      </c>
      <c r="R32" s="100">
        <v>1.5316385959428915</v>
      </c>
      <c r="S32" s="100">
        <v>1286.5764205920289</v>
      </c>
      <c r="T32" s="100">
        <v>6</v>
      </c>
      <c r="U32" s="100">
        <v>5040</v>
      </c>
      <c r="V32" s="100">
        <v>8</v>
      </c>
      <c r="W32" s="100">
        <v>6720</v>
      </c>
      <c r="X32" s="100">
        <v>0.37391686637525806</v>
      </c>
      <c r="Y32" s="100">
        <v>314.09016775521678</v>
      </c>
      <c r="Z32" s="100">
        <v>8</v>
      </c>
      <c r="AA32" s="100">
        <v>6720</v>
      </c>
      <c r="AB32" s="100">
        <v>6</v>
      </c>
      <c r="AC32" s="100">
        <v>5040</v>
      </c>
      <c r="AD32" s="100">
        <v>3.6498821006769786</v>
      </c>
      <c r="AE32" s="100">
        <v>3065.9009645686619</v>
      </c>
      <c r="AF32" s="100">
        <v>3.7544667107688965</v>
      </c>
      <c r="AG32" s="100">
        <v>3153.7520370458728</v>
      </c>
      <c r="AH32" s="100">
        <v>12.187757009749507</v>
      </c>
      <c r="AI32" s="100">
        <v>10237.715888189587</v>
      </c>
      <c r="AJ32" s="100">
        <v>0.74278186078351716</v>
      </c>
      <c r="AK32" s="100">
        <v>623.93676305815438</v>
      </c>
      <c r="AL32" s="100">
        <v>10.790931453189119</v>
      </c>
      <c r="AM32" s="100">
        <v>9064.3824206788595</v>
      </c>
      <c r="AN32" s="100">
        <v>5.8606491950511259</v>
      </c>
      <c r="AO32" s="100">
        <v>4922.945323842946</v>
      </c>
      <c r="AP32" s="100">
        <v>5.9384041315003184</v>
      </c>
      <c r="AQ32" s="100">
        <v>4988.259470460267</v>
      </c>
      <c r="AR32" s="100">
        <v>4.9610097136621042E-4</v>
      </c>
      <c r="AS32" s="100">
        <v>0.41672481594761673</v>
      </c>
      <c r="AT32" s="100">
        <v>11.000538091918095</v>
      </c>
      <c r="AU32" s="100">
        <v>9240.4519972111993</v>
      </c>
      <c r="AV32" s="100">
        <v>11</v>
      </c>
      <c r="AW32" s="100">
        <v>9240</v>
      </c>
      <c r="AX32" s="100">
        <v>7</v>
      </c>
      <c r="AY32" s="100">
        <v>5880</v>
      </c>
      <c r="AZ32" s="100">
        <v>0.47882752700583492</v>
      </c>
      <c r="BA32" s="100">
        <v>402.21512268490136</v>
      </c>
      <c r="BB32" s="100">
        <v>10</v>
      </c>
      <c r="BC32" s="100">
        <v>8400</v>
      </c>
      <c r="BD32" s="100">
        <v>2.0248045431195285</v>
      </c>
      <c r="BE32" s="100">
        <v>1700.835816220404</v>
      </c>
      <c r="BF32" s="100">
        <v>8</v>
      </c>
      <c r="BG32" s="100">
        <v>6720</v>
      </c>
      <c r="BH32" s="100">
        <v>2.1677162140669002</v>
      </c>
      <c r="BI32" s="100">
        <v>1820.8816198161962</v>
      </c>
      <c r="BJ32" s="100">
        <v>8.7820051982472958</v>
      </c>
      <c r="BK32" s="100">
        <v>7376.8843665277282</v>
      </c>
      <c r="BL32" s="100">
        <v>7.2662144932924182</v>
      </c>
      <c r="BM32" s="100">
        <v>6103.6201743656311</v>
      </c>
      <c r="BN32" s="100">
        <v>5.8800193977937774</v>
      </c>
      <c r="BO32" s="100">
        <v>4939.2162941467732</v>
      </c>
      <c r="BP32" s="100">
        <v>8.4227772166418422</v>
      </c>
      <c r="BQ32" s="100">
        <v>7075.1328619791475</v>
      </c>
      <c r="BR32" s="100">
        <v>7.6522363265243794</v>
      </c>
      <c r="BS32" s="100">
        <v>6427.8785142804791</v>
      </c>
      <c r="BT32" s="100">
        <v>6.9084084765772626</v>
      </c>
      <c r="BU32" s="100">
        <v>5803.0631203249004</v>
      </c>
      <c r="BV32" s="100">
        <v>7.6330328680331752</v>
      </c>
      <c r="BW32" s="100">
        <v>6411.7476091478675</v>
      </c>
      <c r="BX32" s="100">
        <v>4.3663985315237124E-4</v>
      </c>
      <c r="BY32" s="100">
        <v>0.36677747664799182</v>
      </c>
      <c r="BZ32" s="100">
        <v>2.3663789631642822</v>
      </c>
      <c r="CA32" s="100">
        <v>1987.7583290579971</v>
      </c>
      <c r="CB32" s="100">
        <v>6.6638172518811833</v>
      </c>
      <c r="CC32" s="100">
        <v>5597.6064915801944</v>
      </c>
      <c r="CD32" s="100">
        <v>11.908054706303743</v>
      </c>
      <c r="CE32" s="100">
        <v>10002.765953295144</v>
      </c>
      <c r="CF32" s="100">
        <v>5.9064075374647933</v>
      </c>
      <c r="CG32" s="100">
        <v>4961.3823314704259</v>
      </c>
      <c r="CH32" s="100">
        <v>8.4383448999310922</v>
      </c>
      <c r="CI32" s="100">
        <v>7088.2097159421173</v>
      </c>
      <c r="CJ32" s="100">
        <v>10</v>
      </c>
      <c r="CK32" s="100">
        <v>8400</v>
      </c>
      <c r="CL32" s="100">
        <v>3.428153555688322</v>
      </c>
      <c r="CM32" s="100">
        <v>2879.6489867781906</v>
      </c>
      <c r="CN32" s="100">
        <v>7.2224621438460269E-4</v>
      </c>
      <c r="CO32" s="100">
        <v>0.60668682008306629</v>
      </c>
      <c r="CP32" s="100">
        <v>9.0005612947124209</v>
      </c>
      <c r="CQ32" s="100">
        <v>7560.4714875584332</v>
      </c>
      <c r="CR32" s="100">
        <v>8.0067194006625524</v>
      </c>
      <c r="CS32" s="100">
        <v>6725.6442965565438</v>
      </c>
      <c r="CT32" s="100">
        <v>8.8097849359249754</v>
      </c>
      <c r="CU32" s="100">
        <v>7400.2193461769793</v>
      </c>
    </row>
    <row r="33" spans="2:99">
      <c r="C33" s="99" t="s">
        <v>199</v>
      </c>
      <c r="D33" s="100">
        <v>8.9182529376343762</v>
      </c>
      <c r="E33" s="100">
        <v>4227.2518924386941</v>
      </c>
      <c r="F33" s="100">
        <v>1.8967968344209694</v>
      </c>
      <c r="G33" s="100">
        <v>899.08169951553953</v>
      </c>
      <c r="H33" s="100">
        <v>9.4531372285593189</v>
      </c>
      <c r="I33" s="100">
        <v>4480.7870463371173</v>
      </c>
      <c r="J33" s="100">
        <v>6</v>
      </c>
      <c r="K33" s="100">
        <v>2844</v>
      </c>
      <c r="L33" s="100">
        <v>8</v>
      </c>
      <c r="M33" s="100">
        <v>3792</v>
      </c>
      <c r="N33" s="100">
        <v>6</v>
      </c>
      <c r="O33" s="100">
        <v>2844</v>
      </c>
      <c r="P33" s="100">
        <v>9.2505120973200849</v>
      </c>
      <c r="Q33" s="100">
        <v>4384.7427341297207</v>
      </c>
      <c r="R33" s="100">
        <v>1.5316385959428915</v>
      </c>
      <c r="S33" s="100">
        <v>725.99669447693054</v>
      </c>
      <c r="T33" s="100">
        <v>6</v>
      </c>
      <c r="U33" s="100">
        <v>2844</v>
      </c>
      <c r="V33" s="100">
        <v>9</v>
      </c>
      <c r="W33" s="100">
        <v>4266</v>
      </c>
      <c r="X33" s="100">
        <v>0.37200403079262107</v>
      </c>
      <c r="Y33" s="100">
        <v>176.32991059570239</v>
      </c>
      <c r="Z33" s="100">
        <v>7</v>
      </c>
      <c r="AA33" s="100">
        <v>3318</v>
      </c>
      <c r="AB33" s="100">
        <v>6</v>
      </c>
      <c r="AC33" s="100">
        <v>2844</v>
      </c>
      <c r="AD33" s="100">
        <v>4.1654457516676375</v>
      </c>
      <c r="AE33" s="100">
        <v>1974.4212862904601</v>
      </c>
      <c r="AF33" s="100">
        <v>3.2181143235161969</v>
      </c>
      <c r="AG33" s="100">
        <v>1525.3861893466774</v>
      </c>
      <c r="AH33" s="100">
        <v>11.187757009749507</v>
      </c>
      <c r="AI33" s="100">
        <v>5302.9968226212668</v>
      </c>
      <c r="AJ33" s="100">
        <v>0.74278186078351716</v>
      </c>
      <c r="AK33" s="100">
        <v>352.07860201138715</v>
      </c>
      <c r="AL33" s="100">
        <v>10.098484821623307</v>
      </c>
      <c r="AM33" s="100">
        <v>4786.6818054494479</v>
      </c>
      <c r="AN33" s="100">
        <v>6.768164982360843</v>
      </c>
      <c r="AO33" s="100">
        <v>3208.1102016390396</v>
      </c>
      <c r="AP33" s="100">
        <v>5.9478889547748128</v>
      </c>
      <c r="AQ33" s="100">
        <v>2819.2993645632614</v>
      </c>
      <c r="AR33" s="100">
        <v>4.2522940402818044E-4</v>
      </c>
      <c r="AS33" s="100">
        <v>0.20155873750935752</v>
      </c>
      <c r="AT33" s="100">
        <v>10.00049325092492</v>
      </c>
      <c r="AU33" s="100">
        <v>4740.2338009384121</v>
      </c>
      <c r="AV33" s="100">
        <v>10</v>
      </c>
      <c r="AW33" s="100">
        <v>4740</v>
      </c>
      <c r="AX33" s="100">
        <v>7</v>
      </c>
      <c r="AY33" s="100">
        <v>3318</v>
      </c>
      <c r="AZ33" s="100">
        <v>0.57459303240700188</v>
      </c>
      <c r="BA33" s="100">
        <v>272.35709736091889</v>
      </c>
      <c r="BB33" s="100">
        <v>10</v>
      </c>
      <c r="BC33" s="100">
        <v>4740</v>
      </c>
      <c r="BD33" s="100">
        <v>2.0248045431195285</v>
      </c>
      <c r="BE33" s="100">
        <v>959.75735343865654</v>
      </c>
      <c r="BF33" s="100">
        <v>9</v>
      </c>
      <c r="BG33" s="100">
        <v>4266</v>
      </c>
      <c r="BH33" s="100">
        <v>2.1677162140669002</v>
      </c>
      <c r="BI33" s="100">
        <v>1027.4974854677107</v>
      </c>
      <c r="BJ33" s="100">
        <v>9.8548952717842653</v>
      </c>
      <c r="BK33" s="100">
        <v>4671.2203588257416</v>
      </c>
      <c r="BL33" s="100">
        <v>7.2662144932924182</v>
      </c>
      <c r="BM33" s="100">
        <v>3444.1856698206061</v>
      </c>
      <c r="BN33" s="100">
        <v>5.7995334157752021</v>
      </c>
      <c r="BO33" s="100">
        <v>2748.9788390774456</v>
      </c>
      <c r="BP33" s="100">
        <v>8.4227772166418422</v>
      </c>
      <c r="BQ33" s="100">
        <v>3992.3964006882334</v>
      </c>
      <c r="BR33" s="100">
        <v>8.4174599591768171</v>
      </c>
      <c r="BS33" s="100">
        <v>3989.8760206498114</v>
      </c>
      <c r="BT33" s="100">
        <v>6.9084084765772626</v>
      </c>
      <c r="BU33" s="100">
        <v>3274.5856178976223</v>
      </c>
      <c r="BV33" s="100">
        <v>8.3873496581808542</v>
      </c>
      <c r="BW33" s="100">
        <v>3975.6037379777249</v>
      </c>
      <c r="BX33" s="100">
        <v>5.0941316201109986E-4</v>
      </c>
      <c r="BY33" s="100">
        <v>0.24146183879326133</v>
      </c>
      <c r="BZ33" s="100">
        <v>2.6292798630775374</v>
      </c>
      <c r="CA33" s="100">
        <v>1246.2786550987528</v>
      </c>
      <c r="CB33" s="100">
        <v>6.6623137352967259</v>
      </c>
      <c r="CC33" s="100">
        <v>3157.9367105306483</v>
      </c>
      <c r="CD33" s="100">
        <v>12.771765084424903</v>
      </c>
      <c r="CE33" s="100">
        <v>6053.8166500174038</v>
      </c>
      <c r="CF33" s="100">
        <v>5.9064075374647933</v>
      </c>
      <c r="CG33" s="100">
        <v>2799.6371727583119</v>
      </c>
      <c r="CH33" s="100">
        <v>10.313532655471333</v>
      </c>
      <c r="CI33" s="100">
        <v>4888.6144786934119</v>
      </c>
      <c r="CJ33" s="100">
        <v>10</v>
      </c>
      <c r="CK33" s="100">
        <v>4740</v>
      </c>
      <c r="CL33" s="100">
        <v>3.8566727501493623</v>
      </c>
      <c r="CM33" s="100">
        <v>1828.0628835707978</v>
      </c>
      <c r="CN33" s="100">
        <v>7.2639213709564264E-4</v>
      </c>
      <c r="CO33" s="100">
        <v>0.3443098729833346</v>
      </c>
      <c r="CP33" s="100">
        <v>10.000561294712421</v>
      </c>
      <c r="CQ33" s="100">
        <v>4740.2660536936874</v>
      </c>
      <c r="CR33" s="100">
        <v>8.0067194006625524</v>
      </c>
      <c r="CS33" s="100">
        <v>3795.18499591405</v>
      </c>
      <c r="CT33" s="100">
        <v>9.6106744755545179</v>
      </c>
      <c r="CU33" s="100">
        <v>4555.4597014128412</v>
      </c>
    </row>
    <row r="34" spans="2:99">
      <c r="C34" s="99" t="s">
        <v>200</v>
      </c>
      <c r="D34" s="100">
        <v>7.3880813714109754</v>
      </c>
      <c r="E34" s="100">
        <v>4051.6238240817788</v>
      </c>
      <c r="F34" s="100">
        <v>1.8967968344209694</v>
      </c>
      <c r="G34" s="100">
        <v>1040.2033839964595</v>
      </c>
      <c r="H34" s="100">
        <v>8.3320424595127083</v>
      </c>
      <c r="I34" s="100">
        <v>4569.2920847967689</v>
      </c>
      <c r="J34" s="100">
        <v>6</v>
      </c>
      <c r="K34" s="100">
        <v>3290.3999999999996</v>
      </c>
      <c r="L34" s="100">
        <v>9</v>
      </c>
      <c r="M34" s="100">
        <v>4935.5999999999995</v>
      </c>
      <c r="N34" s="100">
        <v>6</v>
      </c>
      <c r="O34" s="100">
        <v>3290.3999999999996</v>
      </c>
      <c r="P34" s="100">
        <v>8.3254608875880756</v>
      </c>
      <c r="Q34" s="100">
        <v>4565.6827507533008</v>
      </c>
      <c r="R34" s="100">
        <v>1.2763654966190765</v>
      </c>
      <c r="S34" s="100">
        <v>699.95883834590154</v>
      </c>
      <c r="T34" s="100">
        <v>6</v>
      </c>
      <c r="U34" s="100">
        <v>3290.3999999999996</v>
      </c>
      <c r="V34" s="100">
        <v>9</v>
      </c>
      <c r="W34" s="100">
        <v>4935.5999999999995</v>
      </c>
      <c r="X34" s="100">
        <v>0.37200403079262107</v>
      </c>
      <c r="Y34" s="100">
        <v>204.00701048667338</v>
      </c>
      <c r="Z34" s="100">
        <v>8</v>
      </c>
      <c r="AA34" s="100">
        <v>4387.2</v>
      </c>
      <c r="AB34" s="100">
        <v>7</v>
      </c>
      <c r="AC34" s="100">
        <v>3838.7999999999997</v>
      </c>
      <c r="AD34" s="100">
        <v>3.6805845084837499</v>
      </c>
      <c r="AE34" s="100">
        <v>2018.4325444524884</v>
      </c>
      <c r="AF34" s="100">
        <v>3.7544667107688965</v>
      </c>
      <c r="AG34" s="100">
        <v>2058.9495441856629</v>
      </c>
      <c r="AH34" s="100">
        <v>11.875220294071006</v>
      </c>
      <c r="AI34" s="100">
        <v>6512.3708092685392</v>
      </c>
      <c r="AJ34" s="100">
        <v>0.75210579245666265</v>
      </c>
      <c r="AK34" s="100">
        <v>412.45481658323376</v>
      </c>
      <c r="AL34" s="100">
        <v>10.790931453189119</v>
      </c>
      <c r="AM34" s="100">
        <v>5917.7468089289123</v>
      </c>
      <c r="AN34" s="100">
        <v>6.1099818777668116</v>
      </c>
      <c r="AO34" s="100">
        <v>3350.7140617673194</v>
      </c>
      <c r="AP34" s="100">
        <v>6.5066743108671519</v>
      </c>
      <c r="AQ34" s="100">
        <v>3568.260192079546</v>
      </c>
      <c r="AR34" s="100">
        <v>4.9610097136621042E-4</v>
      </c>
      <c r="AS34" s="100">
        <v>0.27206177269722981</v>
      </c>
      <c r="AT34" s="100">
        <v>11.00049325092492</v>
      </c>
      <c r="AU34" s="100">
        <v>6032.6704988072261</v>
      </c>
      <c r="AV34" s="100">
        <v>11</v>
      </c>
      <c r="AW34" s="100">
        <v>6032.4</v>
      </c>
      <c r="AX34" s="100">
        <v>6</v>
      </c>
      <c r="AY34" s="100">
        <v>3290.3999999999996</v>
      </c>
      <c r="AZ34" s="100">
        <v>0.57459303240700188</v>
      </c>
      <c r="BA34" s="100">
        <v>315.10681897199981</v>
      </c>
      <c r="BB34" s="100">
        <v>9</v>
      </c>
      <c r="BC34" s="100">
        <v>4935.5999999999995</v>
      </c>
      <c r="BD34" s="100">
        <v>2.3471000703279943</v>
      </c>
      <c r="BE34" s="100">
        <v>1287.1496785678721</v>
      </c>
      <c r="BF34" s="100">
        <v>10</v>
      </c>
      <c r="BG34" s="100">
        <v>5484</v>
      </c>
      <c r="BH34" s="100">
        <v>2.4345609543856797</v>
      </c>
      <c r="BI34" s="100">
        <v>1335.1132273851067</v>
      </c>
      <c r="BJ34" s="100">
        <v>9.7554529668084911</v>
      </c>
      <c r="BK34" s="100">
        <v>5349.8904069977762</v>
      </c>
      <c r="BL34" s="100">
        <v>7.2662144932924182</v>
      </c>
      <c r="BM34" s="100">
        <v>3984.792028121562</v>
      </c>
      <c r="BN34" s="100">
        <v>5.7995334157752021</v>
      </c>
      <c r="BO34" s="100">
        <v>3180.4641252111205</v>
      </c>
      <c r="BP34" s="100">
        <v>8.4227772166418422</v>
      </c>
      <c r="BQ34" s="100">
        <v>4619.0510256063862</v>
      </c>
      <c r="BR34" s="100">
        <v>8.4174599591768171</v>
      </c>
      <c r="BS34" s="100">
        <v>4616.1350416125661</v>
      </c>
      <c r="BT34" s="100">
        <v>6.1408075347353437</v>
      </c>
      <c r="BU34" s="100">
        <v>3367.6188520488622</v>
      </c>
      <c r="BV34" s="100">
        <v>9.061076847336297</v>
      </c>
      <c r="BW34" s="100">
        <v>4969.0945430792253</v>
      </c>
      <c r="BX34" s="100">
        <v>4.3663985315237124E-4</v>
      </c>
      <c r="BY34" s="100">
        <v>0.23945329546876037</v>
      </c>
      <c r="BZ34" s="100">
        <v>2.892213679978866</v>
      </c>
      <c r="CA34" s="100">
        <v>1586.08998210041</v>
      </c>
      <c r="CB34" s="100">
        <v>6.7299494780221734</v>
      </c>
      <c r="CC34" s="100">
        <v>3690.7042937473598</v>
      </c>
      <c r="CD34" s="100">
        <v>12.771765084424903</v>
      </c>
      <c r="CE34" s="100">
        <v>7004.0359722986168</v>
      </c>
      <c r="CF34" s="100">
        <v>4.8325152579257402</v>
      </c>
      <c r="CG34" s="100">
        <v>2650.1513674464759</v>
      </c>
      <c r="CH34" s="100">
        <v>9.3759387777012133</v>
      </c>
      <c r="CI34" s="100">
        <v>5141.7648256913453</v>
      </c>
      <c r="CJ34" s="100">
        <v>10</v>
      </c>
      <c r="CK34" s="100">
        <v>5484</v>
      </c>
      <c r="CL34" s="100">
        <v>4.2851919446104025</v>
      </c>
      <c r="CM34" s="100">
        <v>2349.9992624243446</v>
      </c>
      <c r="CN34" s="100">
        <v>6.6059369585929392E-4</v>
      </c>
      <c r="CO34" s="100">
        <v>0.36226958280923677</v>
      </c>
      <c r="CP34" s="100">
        <v>9.0005612947124209</v>
      </c>
      <c r="CQ34" s="100">
        <v>4935.9078140202919</v>
      </c>
      <c r="CR34" s="100">
        <v>7.2060474605962979</v>
      </c>
      <c r="CS34" s="100">
        <v>3951.7964273910097</v>
      </c>
      <c r="CT34" s="100">
        <v>10.41156401518406</v>
      </c>
      <c r="CU34" s="100">
        <v>5709.7017059269383</v>
      </c>
    </row>
    <row r="35" spans="2:99">
      <c r="C35" s="99" t="s">
        <v>201</v>
      </c>
      <c r="D35" s="100">
        <v>8.0113962106341798</v>
      </c>
      <c r="E35" s="100">
        <v>4028.1300147068646</v>
      </c>
      <c r="F35" s="100">
        <v>1.8967968344209694</v>
      </c>
      <c r="G35" s="100">
        <v>953.70944834686316</v>
      </c>
      <c r="H35" s="100">
        <v>7.5742319976059278</v>
      </c>
      <c r="I35" s="100">
        <v>3808.3238483962596</v>
      </c>
      <c r="J35" s="100">
        <v>6</v>
      </c>
      <c r="K35" s="100">
        <v>3016.7999999999993</v>
      </c>
      <c r="L35" s="100">
        <v>8</v>
      </c>
      <c r="M35" s="100">
        <v>4022.3999999999992</v>
      </c>
      <c r="N35" s="100">
        <v>6</v>
      </c>
      <c r="O35" s="100">
        <v>3016.7999999999993</v>
      </c>
      <c r="P35" s="100">
        <v>9.2505120973200849</v>
      </c>
      <c r="Q35" s="100">
        <v>4651.1574825325379</v>
      </c>
      <c r="R35" s="100">
        <v>1.5316385959428915</v>
      </c>
      <c r="S35" s="100">
        <v>770.10788604008576</v>
      </c>
      <c r="T35" s="100">
        <v>7</v>
      </c>
      <c r="U35" s="100">
        <v>3519.5999999999995</v>
      </c>
      <c r="V35" s="100">
        <v>8</v>
      </c>
      <c r="W35" s="100">
        <v>4022.3999999999992</v>
      </c>
      <c r="X35" s="100">
        <v>0.41057482726132549</v>
      </c>
      <c r="Y35" s="100">
        <v>206.43702314699442</v>
      </c>
      <c r="Z35" s="100">
        <v>7</v>
      </c>
      <c r="AA35" s="100">
        <v>3519.5999999999995</v>
      </c>
      <c r="AB35" s="100">
        <v>7</v>
      </c>
      <c r="AC35" s="100">
        <v>3519.5999999999995</v>
      </c>
      <c r="AD35" s="100">
        <v>3.6703503725481594</v>
      </c>
      <c r="AE35" s="100">
        <v>1845.4521673172142</v>
      </c>
      <c r="AF35" s="100">
        <v>3.5347628745466562</v>
      </c>
      <c r="AG35" s="100">
        <v>1777.2787733220584</v>
      </c>
      <c r="AH35" s="100">
        <v>12.187757009749507</v>
      </c>
      <c r="AI35" s="100">
        <v>6128.0042245020513</v>
      </c>
      <c r="AJ35" s="100">
        <v>0.74744382662008979</v>
      </c>
      <c r="AK35" s="100">
        <v>375.81475602458107</v>
      </c>
      <c r="AL35" s="100">
        <v>9.9744062279033372</v>
      </c>
      <c r="AM35" s="100">
        <v>5015.1314513897969</v>
      </c>
      <c r="AN35" s="100">
        <v>6.1099818777668116</v>
      </c>
      <c r="AO35" s="100">
        <v>3072.0988881411522</v>
      </c>
      <c r="AP35" s="100">
        <v>5.8647625806695931</v>
      </c>
      <c r="AQ35" s="100">
        <v>2948.802625560671</v>
      </c>
      <c r="AR35" s="100">
        <v>4.2522940402818044E-4</v>
      </c>
      <c r="AS35" s="100">
        <v>0.21380534434536907</v>
      </c>
      <c r="AT35" s="100">
        <v>10.00049325092492</v>
      </c>
      <c r="AU35" s="100">
        <v>5028.2480065650489</v>
      </c>
      <c r="AV35" s="100">
        <v>11</v>
      </c>
      <c r="AW35" s="100">
        <v>5530.7999999999993</v>
      </c>
      <c r="AX35" s="100">
        <v>7</v>
      </c>
      <c r="AY35" s="100">
        <v>3519.5999999999995</v>
      </c>
      <c r="AZ35" s="100">
        <v>0.57459303240700188</v>
      </c>
      <c r="BA35" s="100">
        <v>288.90537669424049</v>
      </c>
      <c r="BB35" s="100">
        <v>10</v>
      </c>
      <c r="BC35" s="100">
        <v>5027.9999999999991</v>
      </c>
      <c r="BD35" s="100">
        <v>2.0301593301706302</v>
      </c>
      <c r="BE35" s="100">
        <v>1020.7641112097926</v>
      </c>
      <c r="BF35" s="100">
        <v>8</v>
      </c>
      <c r="BG35" s="100">
        <v>4022.3999999999992</v>
      </c>
      <c r="BH35" s="100">
        <v>2.1787023112391215</v>
      </c>
      <c r="BI35" s="100">
        <v>1095.45152209103</v>
      </c>
      <c r="BJ35" s="100">
        <v>9.8548952717842653</v>
      </c>
      <c r="BK35" s="100">
        <v>4955.0413426531277</v>
      </c>
      <c r="BL35" s="100">
        <v>7.2662144932924182</v>
      </c>
      <c r="BM35" s="100">
        <v>3653.452647227427</v>
      </c>
      <c r="BN35" s="100">
        <v>6.6722220060493997</v>
      </c>
      <c r="BO35" s="100">
        <v>3354.7932246416376</v>
      </c>
      <c r="BP35" s="100">
        <v>8.5742007926819586</v>
      </c>
      <c r="BQ35" s="100">
        <v>4311.1081585604879</v>
      </c>
      <c r="BR35" s="100">
        <v>8.4174599591768171</v>
      </c>
      <c r="BS35" s="100">
        <v>4232.2988674741027</v>
      </c>
      <c r="BT35" s="100">
        <v>6.9084084765772626</v>
      </c>
      <c r="BU35" s="100">
        <v>3473.5477820230471</v>
      </c>
      <c r="BV35" s="100">
        <v>8.3067600571886171</v>
      </c>
      <c r="BW35" s="100">
        <v>4176.6389567544356</v>
      </c>
      <c r="BX35" s="100">
        <v>4.3663985315237124E-4</v>
      </c>
      <c r="BY35" s="100">
        <v>0.21954251816501222</v>
      </c>
      <c r="BZ35" s="100">
        <v>2.3663678432262891</v>
      </c>
      <c r="CA35" s="100">
        <v>1189.8097515741779</v>
      </c>
      <c r="CB35" s="100">
        <v>7.2836659557817498</v>
      </c>
      <c r="CC35" s="100">
        <v>3662.2272425670631</v>
      </c>
      <c r="CD35" s="100">
        <v>11.771765084424903</v>
      </c>
      <c r="CE35" s="100">
        <v>5918.8434844488402</v>
      </c>
      <c r="CF35" s="100">
        <v>5.3694613976952672</v>
      </c>
      <c r="CG35" s="100">
        <v>2699.7651907611798</v>
      </c>
      <c r="CH35" s="100">
        <v>8.4383448999310922</v>
      </c>
      <c r="CI35" s="100">
        <v>4242.7998156853519</v>
      </c>
      <c r="CJ35" s="100">
        <v>11</v>
      </c>
      <c r="CK35" s="100">
        <v>5530.7999999999993</v>
      </c>
      <c r="CL35" s="100">
        <v>4.2851919446104025</v>
      </c>
      <c r="CM35" s="100">
        <v>2154.5945097501099</v>
      </c>
      <c r="CN35" s="100">
        <v>7.2639213709564264E-4</v>
      </c>
      <c r="CO35" s="100">
        <v>0.36522996653168904</v>
      </c>
      <c r="CP35" s="100">
        <v>9.00060138719188</v>
      </c>
      <c r="CQ35" s="100">
        <v>4525.5023774800766</v>
      </c>
      <c r="CR35" s="100">
        <v>8.0067194006625524</v>
      </c>
      <c r="CS35" s="100">
        <v>4025.7785146531305</v>
      </c>
      <c r="CT35" s="100">
        <v>10.41156401518406</v>
      </c>
      <c r="CU35" s="100">
        <v>5234.934386834545</v>
      </c>
    </row>
    <row r="36" spans="2:99">
      <c r="C36" s="99" t="s">
        <v>202</v>
      </c>
      <c r="D36" s="100">
        <v>8.0393669967891306</v>
      </c>
      <c r="E36" s="100">
        <v>6116.3504111571701</v>
      </c>
      <c r="F36" s="100">
        <v>1.8967968344209694</v>
      </c>
      <c r="G36" s="100">
        <v>1443.0830316274735</v>
      </c>
      <c r="H36" s="100">
        <v>8.4531372285593189</v>
      </c>
      <c r="I36" s="100">
        <v>6431.1468034879299</v>
      </c>
      <c r="J36" s="100">
        <v>6</v>
      </c>
      <c r="K36" s="100">
        <v>4564.7999999999993</v>
      </c>
      <c r="L36" s="100">
        <v>9</v>
      </c>
      <c r="M36" s="100">
        <v>6847.2</v>
      </c>
      <c r="N36" s="100">
        <v>7</v>
      </c>
      <c r="O36" s="100">
        <v>5325.5999999999995</v>
      </c>
      <c r="P36" s="100">
        <v>9.2505120973200849</v>
      </c>
      <c r="Q36" s="100">
        <v>7037.7896036411203</v>
      </c>
      <c r="R36" s="100">
        <v>1.2763654966190765</v>
      </c>
      <c r="S36" s="100">
        <v>971.05886982779339</v>
      </c>
      <c r="T36" s="100">
        <v>6</v>
      </c>
      <c r="U36" s="100">
        <v>4564.7999999999993</v>
      </c>
      <c r="V36" s="100">
        <v>7</v>
      </c>
      <c r="W36" s="100">
        <v>5325.5999999999995</v>
      </c>
      <c r="X36" s="100">
        <v>0.37391686637525806</v>
      </c>
      <c r="Y36" s="100">
        <v>284.4759519382963</v>
      </c>
      <c r="Z36" s="100">
        <v>7</v>
      </c>
      <c r="AA36" s="100">
        <v>5325.5999999999995</v>
      </c>
      <c r="AB36" s="100">
        <v>6</v>
      </c>
      <c r="AC36" s="100">
        <v>4564.7999999999993</v>
      </c>
      <c r="AD36" s="100">
        <v>4.1756798876032279</v>
      </c>
      <c r="AE36" s="100">
        <v>3176.8572584885355</v>
      </c>
      <c r="AF36" s="100">
        <v>4.0258797545092895</v>
      </c>
      <c r="AG36" s="100">
        <v>3062.8893172306671</v>
      </c>
      <c r="AH36" s="100">
        <v>13.187757009749507</v>
      </c>
      <c r="AI36" s="100">
        <v>10033.245533017425</v>
      </c>
      <c r="AJ36" s="100">
        <v>0.74744382662008979</v>
      </c>
      <c r="AK36" s="100">
        <v>568.65526329256431</v>
      </c>
      <c r="AL36" s="100">
        <v>10.098484821623307</v>
      </c>
      <c r="AM36" s="100">
        <v>7682.9272522910114</v>
      </c>
      <c r="AN36" s="100">
        <v>6.0268709835282497</v>
      </c>
      <c r="AO36" s="100">
        <v>4585.2434442682925</v>
      </c>
      <c r="AP36" s="100">
        <v>6.4361943677945899</v>
      </c>
      <c r="AQ36" s="100">
        <v>4896.6566750181237</v>
      </c>
      <c r="AR36" s="100">
        <v>4.2522940402818044E-4</v>
      </c>
      <c r="AS36" s="100">
        <v>0.32351453058463964</v>
      </c>
      <c r="AT36" s="100">
        <v>11.00049325092492</v>
      </c>
      <c r="AU36" s="100">
        <v>8369.1752653036783</v>
      </c>
      <c r="AV36" s="100">
        <v>11</v>
      </c>
      <c r="AW36" s="100">
        <v>8368.7999999999993</v>
      </c>
      <c r="AX36" s="100">
        <v>6</v>
      </c>
      <c r="AY36" s="100">
        <v>4564.7999999999993</v>
      </c>
      <c r="AZ36" s="100">
        <v>0.47882752700583492</v>
      </c>
      <c r="BA36" s="100">
        <v>364.29198254603921</v>
      </c>
      <c r="BB36" s="100">
        <v>11</v>
      </c>
      <c r="BC36" s="100">
        <v>8368.7999999999993</v>
      </c>
      <c r="BD36" s="100">
        <v>2.0301593301706302</v>
      </c>
      <c r="BE36" s="100">
        <v>1544.5452183938153</v>
      </c>
      <c r="BF36" s="100">
        <v>10</v>
      </c>
      <c r="BG36" s="100">
        <v>7608</v>
      </c>
      <c r="BH36" s="100">
        <v>2.429067905799569</v>
      </c>
      <c r="BI36" s="100">
        <v>1848.0348627323119</v>
      </c>
      <c r="BJ36" s="100">
        <v>9.8548952717842653</v>
      </c>
      <c r="BK36" s="100">
        <v>7497.604322773469</v>
      </c>
      <c r="BL36" s="100">
        <v>7.2662144932924182</v>
      </c>
      <c r="BM36" s="100">
        <v>5528.1359864968717</v>
      </c>
      <c r="BN36" s="100">
        <v>5.7190474337566277</v>
      </c>
      <c r="BO36" s="100">
        <v>4351.0512876020421</v>
      </c>
      <c r="BP36" s="100">
        <v>8.2713536406017276</v>
      </c>
      <c r="BQ36" s="100">
        <v>6292.8458497697939</v>
      </c>
      <c r="BR36" s="100">
        <v>8.4174599591768171</v>
      </c>
      <c r="BS36" s="100">
        <v>6404.0035369417219</v>
      </c>
      <c r="BT36" s="100">
        <v>6.9084084765772626</v>
      </c>
      <c r="BU36" s="100">
        <v>5255.9171689799814</v>
      </c>
      <c r="BV36" s="100">
        <v>6.9593056788777341</v>
      </c>
      <c r="BW36" s="100">
        <v>5294.6397604901795</v>
      </c>
      <c r="BX36" s="100">
        <v>4.3663985315237124E-4</v>
      </c>
      <c r="BY36" s="100">
        <v>0.33219560027832401</v>
      </c>
      <c r="BZ36" s="100">
        <v>2.8922030028667787</v>
      </c>
      <c r="CA36" s="100">
        <v>2200.3880445810451</v>
      </c>
      <c r="CB36" s="100">
        <v>7.2776518894439208</v>
      </c>
      <c r="CC36" s="100">
        <v>5536.8375574889351</v>
      </c>
      <c r="CD36" s="100">
        <v>12.771765084424903</v>
      </c>
      <c r="CE36" s="100">
        <v>9716.7588762304658</v>
      </c>
      <c r="CF36" s="100">
        <v>4.8325152579257402</v>
      </c>
      <c r="CG36" s="100">
        <v>3676.577608229903</v>
      </c>
      <c r="CH36" s="100">
        <v>8.4383448999310922</v>
      </c>
      <c r="CI36" s="100">
        <v>6419.8927998675745</v>
      </c>
      <c r="CJ36" s="100">
        <v>10</v>
      </c>
      <c r="CK36" s="100">
        <v>7608</v>
      </c>
      <c r="CL36" s="100">
        <v>3.8566727501493623</v>
      </c>
      <c r="CM36" s="100">
        <v>2934.1566283136344</v>
      </c>
      <c r="CN36" s="100">
        <v>7.2017325302908288E-4</v>
      </c>
      <c r="CO36" s="100">
        <v>0.54790781090452623</v>
      </c>
      <c r="CP36" s="100">
        <v>8.0005212022329637</v>
      </c>
      <c r="CQ36" s="100">
        <v>6086.7965306588385</v>
      </c>
      <c r="CR36" s="100">
        <v>7.2060474605962979</v>
      </c>
      <c r="CS36" s="100">
        <v>5482.3609080216629</v>
      </c>
      <c r="CT36" s="100">
        <v>9.6106744755545179</v>
      </c>
      <c r="CU36" s="100">
        <v>7311.8011410018771</v>
      </c>
    </row>
    <row r="37" spans="2:99">
      <c r="B37" s="99" t="s">
        <v>128</v>
      </c>
      <c r="C37" s="99" t="s">
        <v>203</v>
      </c>
      <c r="D37" s="100">
        <v>15.149911355329728</v>
      </c>
      <c r="E37" s="100">
        <v>13034.983730125698</v>
      </c>
      <c r="F37" s="100">
        <v>3.59869283695138</v>
      </c>
      <c r="G37" s="100">
        <v>3096.3153169129673</v>
      </c>
      <c r="H37" s="100">
        <v>11.089852921419489</v>
      </c>
      <c r="I37" s="100">
        <v>9541.7094535893284</v>
      </c>
      <c r="J37" s="100">
        <v>12</v>
      </c>
      <c r="K37" s="100">
        <v>10324.799999999999</v>
      </c>
      <c r="L37" s="100">
        <v>13</v>
      </c>
      <c r="M37" s="100">
        <v>11185.199999999999</v>
      </c>
      <c r="N37" s="100">
        <v>14</v>
      </c>
      <c r="O37" s="100">
        <v>12045.6</v>
      </c>
      <c r="P37" s="100">
        <v>15.725870565444144</v>
      </c>
      <c r="Q37" s="100">
        <v>13530.539034508141</v>
      </c>
      <c r="R37" s="100">
        <v>3.0632771918857831</v>
      </c>
      <c r="S37" s="100">
        <v>2635.6436958985278</v>
      </c>
      <c r="T37" s="100">
        <v>14</v>
      </c>
      <c r="U37" s="100">
        <v>12045.6</v>
      </c>
      <c r="V37" s="100">
        <v>17</v>
      </c>
      <c r="W37" s="100">
        <v>14626.8</v>
      </c>
      <c r="X37" s="100">
        <v>0.59577746727430003</v>
      </c>
      <c r="Y37" s="100">
        <v>512.60693284280774</v>
      </c>
      <c r="Z37" s="100">
        <v>12</v>
      </c>
      <c r="AA37" s="100">
        <v>10324.799999999999</v>
      </c>
      <c r="AB37" s="100">
        <v>17</v>
      </c>
      <c r="AC37" s="100">
        <v>14626.8</v>
      </c>
      <c r="AD37" s="100">
        <v>6.5692836957158978</v>
      </c>
      <c r="AE37" s="100">
        <v>5652.2116917939584</v>
      </c>
      <c r="AF37" s="100">
        <v>8.7851979788484869</v>
      </c>
      <c r="AG37" s="100">
        <v>7558.7843410012383</v>
      </c>
      <c r="AH37" s="100">
        <v>16.250146862714004</v>
      </c>
      <c r="AI37" s="100">
        <v>13981.626360679129</v>
      </c>
      <c r="AJ37" s="100">
        <v>1.3308343834451304</v>
      </c>
      <c r="AK37" s="100">
        <v>1145.0499035161902</v>
      </c>
      <c r="AL37" s="100">
        <v>11.6074566784749</v>
      </c>
      <c r="AM37" s="100">
        <v>9987.0557261598042</v>
      </c>
      <c r="AN37" s="100">
        <v>15.587286123427878</v>
      </c>
      <c r="AO37" s="100">
        <v>13411.300980597347</v>
      </c>
      <c r="AP37" s="100">
        <v>8.4684127778837048</v>
      </c>
      <c r="AQ37" s="100">
        <v>7286.2223540911391</v>
      </c>
      <c r="AR37" s="100">
        <v>1.2756882120845412E-3</v>
      </c>
      <c r="AS37" s="100">
        <v>1.0976021376775391</v>
      </c>
      <c r="AT37" s="100">
        <v>16.000358727945397</v>
      </c>
      <c r="AU37" s="100">
        <v>13766.708649524218</v>
      </c>
      <c r="AV37" s="100">
        <v>11</v>
      </c>
      <c r="AW37" s="100">
        <v>9464.4</v>
      </c>
      <c r="AX37" s="100">
        <v>12</v>
      </c>
      <c r="AY37" s="100">
        <v>10324.799999999999</v>
      </c>
      <c r="AZ37" s="100">
        <v>0.95765505401166984</v>
      </c>
      <c r="BA37" s="100">
        <v>823.96640847164076</v>
      </c>
      <c r="BB37" s="100">
        <v>17</v>
      </c>
      <c r="BC37" s="100">
        <v>14626.8</v>
      </c>
      <c r="BD37" s="100">
        <v>4.2594540853743794</v>
      </c>
      <c r="BE37" s="100">
        <v>3664.8342950561159</v>
      </c>
      <c r="BF37" s="100">
        <v>16</v>
      </c>
      <c r="BG37" s="100">
        <v>13766.4</v>
      </c>
      <c r="BH37" s="100">
        <v>4.4429787594553636</v>
      </c>
      <c r="BI37" s="100">
        <v>3822.7389246353946</v>
      </c>
      <c r="BJ37" s="100">
        <v>13.549801736077505</v>
      </c>
      <c r="BK37" s="100">
        <v>11658.249413721085</v>
      </c>
      <c r="BL37" s="100">
        <v>12.715875363261732</v>
      </c>
      <c r="BM37" s="100">
        <v>10940.739162550393</v>
      </c>
      <c r="BN37" s="100">
        <v>15.454279466949696</v>
      </c>
      <c r="BO37" s="100">
        <v>13296.862053363518</v>
      </c>
      <c r="BP37" s="100">
        <v>15.211388608320922</v>
      </c>
      <c r="BQ37" s="100">
        <v>13087.878758599321</v>
      </c>
      <c r="BR37" s="100">
        <v>15.304472653048759</v>
      </c>
      <c r="BS37" s="100">
        <v>13167.968270683152</v>
      </c>
      <c r="BT37" s="100">
        <v>11.514014127628771</v>
      </c>
      <c r="BU37" s="100">
        <v>9906.6577554117939</v>
      </c>
      <c r="BV37" s="100">
        <v>9.1718816020109397</v>
      </c>
      <c r="BW37" s="100">
        <v>7891.4869303702126</v>
      </c>
      <c r="BX37" s="100">
        <v>1.2371462505983853E-3</v>
      </c>
      <c r="BY37" s="100">
        <v>1.0644406340148507</v>
      </c>
      <c r="BZ37" s="100">
        <v>2.8920984951657833</v>
      </c>
      <c r="CA37" s="100">
        <v>2488.3615452406398</v>
      </c>
      <c r="CB37" s="100">
        <v>12.891451005696752</v>
      </c>
      <c r="CC37" s="100">
        <v>11091.804445301485</v>
      </c>
      <c r="CD37" s="100">
        <v>15.817737731273033</v>
      </c>
      <c r="CE37" s="100">
        <v>13609.581543987317</v>
      </c>
      <c r="CF37" s="100">
        <v>5.3694613976952672</v>
      </c>
      <c r="CG37" s="100">
        <v>4619.8845865770081</v>
      </c>
      <c r="CH37" s="100">
        <v>17.814283677632304</v>
      </c>
      <c r="CI37" s="100">
        <v>15327.409676234834</v>
      </c>
      <c r="CJ37" s="100">
        <v>21</v>
      </c>
      <c r="CK37" s="100">
        <v>18068.399999999998</v>
      </c>
      <c r="CL37" s="100">
        <v>5.142230333532483</v>
      </c>
      <c r="CM37" s="100">
        <v>4424.3749789713484</v>
      </c>
      <c r="CN37" s="100">
        <v>8.3725940601314067E-4</v>
      </c>
      <c r="CO37" s="100">
        <v>0.72037799293370619</v>
      </c>
      <c r="CP37" s="100">
        <v>15.000280647356211</v>
      </c>
      <c r="CQ37" s="100">
        <v>12906.241468985283</v>
      </c>
      <c r="CR37" s="100">
        <v>14.412094921192596</v>
      </c>
      <c r="CS37" s="100">
        <v>12400.16647019411</v>
      </c>
      <c r="CT37" s="100">
        <v>12.013343094443147</v>
      </c>
      <c r="CU37" s="100">
        <v>10336.280398458885</v>
      </c>
    </row>
    <row r="38" spans="2:99">
      <c r="C38" s="99" t="s">
        <v>204</v>
      </c>
      <c r="D38" s="100">
        <v>13.844395811293946</v>
      </c>
      <c r="E38" s="100">
        <v>17194.739597627082</v>
      </c>
      <c r="F38" s="100">
        <v>3.3114342285316711</v>
      </c>
      <c r="G38" s="100">
        <v>4112.8013118363351</v>
      </c>
      <c r="H38" s="100">
        <v>11.089852921419489</v>
      </c>
      <c r="I38" s="100">
        <v>13773.597328403004</v>
      </c>
      <c r="J38" s="100">
        <v>11</v>
      </c>
      <c r="K38" s="100">
        <v>13662</v>
      </c>
      <c r="L38" s="100">
        <v>13</v>
      </c>
      <c r="M38" s="100">
        <v>16146</v>
      </c>
      <c r="N38" s="100">
        <v>15</v>
      </c>
      <c r="O38" s="100">
        <v>18630</v>
      </c>
      <c r="P38" s="100">
        <v>13.875768145980127</v>
      </c>
      <c r="Q38" s="100">
        <v>17233.704037307318</v>
      </c>
      <c r="R38" s="100">
        <v>2.8080040925619678</v>
      </c>
      <c r="S38" s="100">
        <v>3487.5410829619641</v>
      </c>
      <c r="T38" s="100">
        <v>13</v>
      </c>
      <c r="U38" s="100">
        <v>16146</v>
      </c>
      <c r="V38" s="100">
        <v>16</v>
      </c>
      <c r="W38" s="100">
        <v>19872</v>
      </c>
      <c r="X38" s="100">
        <v>0.5552938352229585</v>
      </c>
      <c r="Y38" s="100">
        <v>689.67494334691446</v>
      </c>
      <c r="Z38" s="100">
        <v>12</v>
      </c>
      <c r="AA38" s="100">
        <v>14904</v>
      </c>
      <c r="AB38" s="100">
        <v>14</v>
      </c>
      <c r="AC38" s="100">
        <v>17388</v>
      </c>
      <c r="AD38" s="100">
        <v>6.0639541806608293</v>
      </c>
      <c r="AE38" s="100">
        <v>7531.4310923807498</v>
      </c>
      <c r="AF38" s="100">
        <v>7.7351109579881214</v>
      </c>
      <c r="AG38" s="100">
        <v>9607.0078098212471</v>
      </c>
      <c r="AH38" s="100">
        <v>14.093878504874754</v>
      </c>
      <c r="AI38" s="100">
        <v>17504.597103054442</v>
      </c>
      <c r="AJ38" s="100">
        <v>1.1379248531156412</v>
      </c>
      <c r="AK38" s="100">
        <v>1413.3026675696262</v>
      </c>
      <c r="AL38" s="100">
        <v>10.666852859469149</v>
      </c>
      <c r="AM38" s="100">
        <v>13248.231251460682</v>
      </c>
      <c r="AN38" s="100">
        <v>16.328580122260469</v>
      </c>
      <c r="AO38" s="100">
        <v>20280.096511847503</v>
      </c>
      <c r="AP38" s="100">
        <v>8.8767534245564264</v>
      </c>
      <c r="AQ38" s="100">
        <v>11024.927753299082</v>
      </c>
      <c r="AR38" s="100">
        <v>1.2756882120845412E-3</v>
      </c>
      <c r="AS38" s="100">
        <v>1.5844047594090003</v>
      </c>
      <c r="AT38" s="100">
        <v>16.000358727945397</v>
      </c>
      <c r="AU38" s="100">
        <v>19872.445540108183</v>
      </c>
      <c r="AV38" s="100">
        <v>11</v>
      </c>
      <c r="AW38" s="100">
        <v>13662</v>
      </c>
      <c r="AX38" s="100">
        <v>12</v>
      </c>
      <c r="AY38" s="100">
        <v>14904</v>
      </c>
      <c r="AZ38" s="100">
        <v>1.0534205594128367</v>
      </c>
      <c r="BA38" s="100">
        <v>1308.3483347907431</v>
      </c>
      <c r="BB38" s="100">
        <v>17</v>
      </c>
      <c r="BC38" s="100">
        <v>21114</v>
      </c>
      <c r="BD38" s="100">
        <v>3.6041534568552445</v>
      </c>
      <c r="BE38" s="100">
        <v>4476.3585934142138</v>
      </c>
      <c r="BF38" s="100">
        <v>18</v>
      </c>
      <c r="BG38" s="100">
        <v>22356</v>
      </c>
      <c r="BH38" s="100">
        <v>4.4429787594553636</v>
      </c>
      <c r="BI38" s="100">
        <v>5518.1796192435613</v>
      </c>
      <c r="BJ38" s="100">
        <v>13.450359431101733</v>
      </c>
      <c r="BK38" s="100">
        <v>16705.346413428353</v>
      </c>
      <c r="BL38" s="100">
        <v>10.899321739938628</v>
      </c>
      <c r="BM38" s="100">
        <v>13536.957601003776</v>
      </c>
      <c r="BN38" s="100">
        <v>14.662076858694075</v>
      </c>
      <c r="BO38" s="100">
        <v>18210.299458498041</v>
      </c>
      <c r="BP38" s="100">
        <v>14.059965032280806</v>
      </c>
      <c r="BQ38" s="100">
        <v>17462.47657009276</v>
      </c>
      <c r="BR38" s="100">
        <v>14.539249020396321</v>
      </c>
      <c r="BS38" s="100">
        <v>18057.747283332232</v>
      </c>
      <c r="BT38" s="100">
        <v>9.9788122439449349</v>
      </c>
      <c r="BU38" s="100">
        <v>12393.684806979609</v>
      </c>
      <c r="BV38" s="100">
        <v>7.8244272237000558</v>
      </c>
      <c r="BW38" s="100">
        <v>9717.9386118354687</v>
      </c>
      <c r="BX38" s="100">
        <v>1.0915996328809282E-3</v>
      </c>
      <c r="BY38" s="100">
        <v>1.3557667440381127</v>
      </c>
      <c r="BZ38" s="100">
        <v>2.8920984951657833</v>
      </c>
      <c r="CA38" s="100">
        <v>3591.9863309959028</v>
      </c>
      <c r="CB38" s="100">
        <v>12.205470075655192</v>
      </c>
      <c r="CC38" s="100">
        <v>15159.193833963749</v>
      </c>
      <c r="CD38" s="100">
        <v>15.817737731273033</v>
      </c>
      <c r="CE38" s="100">
        <v>19645.630262241106</v>
      </c>
      <c r="CF38" s="100">
        <v>5.9064075374647933</v>
      </c>
      <c r="CG38" s="100">
        <v>7335.7581615312729</v>
      </c>
      <c r="CH38" s="100">
        <v>15.00150204432194</v>
      </c>
      <c r="CI38" s="100">
        <v>18631.865539047849</v>
      </c>
      <c r="CJ38" s="100">
        <v>19</v>
      </c>
      <c r="CK38" s="100">
        <v>23598</v>
      </c>
      <c r="CL38" s="100">
        <v>5.5707495279935229</v>
      </c>
      <c r="CM38" s="100">
        <v>6918.8709137679552</v>
      </c>
      <c r="CN38" s="100">
        <v>8.3933236736866059E-4</v>
      </c>
      <c r="CO38" s="100">
        <v>1.0424508002718764</v>
      </c>
      <c r="CP38" s="100">
        <v>15.000280647356211</v>
      </c>
      <c r="CQ38" s="100">
        <v>18630.348564016414</v>
      </c>
      <c r="CR38" s="100">
        <v>12.010079100993829</v>
      </c>
      <c r="CS38" s="100">
        <v>14916.518243434337</v>
      </c>
      <c r="CT38" s="100">
        <v>9.6106744755545179</v>
      </c>
      <c r="CU38" s="100">
        <v>11936.457698638711</v>
      </c>
    </row>
    <row r="39" spans="2:99">
      <c r="C39" s="99" t="s">
        <v>205</v>
      </c>
      <c r="D39" s="100">
        <v>13.194582332555523</v>
      </c>
      <c r="E39" s="100">
        <v>18778.529575693021</v>
      </c>
      <c r="F39" s="100">
        <v>3.3006064045377514</v>
      </c>
      <c r="G39" s="100">
        <v>4697.4230349381278</v>
      </c>
      <c r="H39" s="100">
        <v>12.089852921419489</v>
      </c>
      <c r="I39" s="100">
        <v>17206.278677764218</v>
      </c>
      <c r="J39" s="100">
        <v>10</v>
      </c>
      <c r="K39" s="100">
        <v>14232</v>
      </c>
      <c r="L39" s="100">
        <v>13</v>
      </c>
      <c r="M39" s="100">
        <v>18501.600000000002</v>
      </c>
      <c r="N39" s="100">
        <v>15</v>
      </c>
      <c r="O39" s="100">
        <v>21348</v>
      </c>
      <c r="P39" s="100">
        <v>12.950716936248119</v>
      </c>
      <c r="Q39" s="100">
        <v>18431.460343668325</v>
      </c>
      <c r="R39" s="100">
        <v>2.8080040925619678</v>
      </c>
      <c r="S39" s="100">
        <v>3996.3514245341926</v>
      </c>
      <c r="T39" s="100">
        <v>12</v>
      </c>
      <c r="U39" s="100">
        <v>17078.400000000001</v>
      </c>
      <c r="V39" s="100">
        <v>15</v>
      </c>
      <c r="W39" s="100">
        <v>21348</v>
      </c>
      <c r="X39" s="100">
        <v>0.59386463169166304</v>
      </c>
      <c r="Y39" s="100">
        <v>845.18814382357482</v>
      </c>
      <c r="Z39" s="100">
        <v>12</v>
      </c>
      <c r="AA39" s="100">
        <v>17078.400000000001</v>
      </c>
      <c r="AB39" s="100">
        <v>14</v>
      </c>
      <c r="AC39" s="100">
        <v>19924.8</v>
      </c>
      <c r="AD39" s="100">
        <v>6.0639541806608293</v>
      </c>
      <c r="AE39" s="100">
        <v>8630.2195899164926</v>
      </c>
      <c r="AF39" s="100">
        <v>7.7124932043430876</v>
      </c>
      <c r="AG39" s="100">
        <v>10976.420328421083</v>
      </c>
      <c r="AH39" s="100">
        <v>13.250146862714004</v>
      </c>
      <c r="AI39" s="100">
        <v>18857.609015014572</v>
      </c>
      <c r="AJ39" s="100">
        <v>1.3354963492817031</v>
      </c>
      <c r="AK39" s="100">
        <v>1900.6784042977199</v>
      </c>
      <c r="AL39" s="100">
        <v>11.483378084754932</v>
      </c>
      <c r="AM39" s="100">
        <v>16343.14369022322</v>
      </c>
      <c r="AN39" s="100">
        <v>13.938476337285564</v>
      </c>
      <c r="AO39" s="100">
        <v>19837.239523224816</v>
      </c>
      <c r="AP39" s="100">
        <v>8.9535565831453177</v>
      </c>
      <c r="AQ39" s="100">
        <v>12742.701729132417</v>
      </c>
      <c r="AR39" s="100">
        <v>1.2756882120845412E-3</v>
      </c>
      <c r="AS39" s="100">
        <v>1.8155594634387191</v>
      </c>
      <c r="AT39" s="100">
        <v>16.000358727945397</v>
      </c>
      <c r="AU39" s="100">
        <v>22771.71054161189</v>
      </c>
      <c r="AV39" s="100">
        <v>12</v>
      </c>
      <c r="AW39" s="100">
        <v>17078.400000000001</v>
      </c>
      <c r="AX39" s="100">
        <v>13</v>
      </c>
      <c r="AY39" s="100">
        <v>18501.600000000002</v>
      </c>
      <c r="AZ39" s="100">
        <v>1.0534205594128367</v>
      </c>
      <c r="BA39" s="100">
        <v>1499.2281401563494</v>
      </c>
      <c r="BB39" s="100">
        <v>16</v>
      </c>
      <c r="BC39" s="100">
        <v>22771.200000000001</v>
      </c>
      <c r="BD39" s="100">
        <v>3.6041534568552445</v>
      </c>
      <c r="BE39" s="100">
        <v>5129.4311997963841</v>
      </c>
      <c r="BF39" s="100">
        <v>17</v>
      </c>
      <c r="BG39" s="100">
        <v>24194.400000000001</v>
      </c>
      <c r="BH39" s="100">
        <v>4.7043304511880324</v>
      </c>
      <c r="BI39" s="100">
        <v>6695.203098130808</v>
      </c>
      <c r="BJ39" s="100">
        <v>13.450359431101733</v>
      </c>
      <c r="BK39" s="100">
        <v>19142.551542343987</v>
      </c>
      <c r="BL39" s="100">
        <v>11.807598551600181</v>
      </c>
      <c r="BM39" s="100">
        <v>16804.574258637378</v>
      </c>
      <c r="BN39" s="100">
        <v>15.454279466949696</v>
      </c>
      <c r="BO39" s="100">
        <v>21994.530537362807</v>
      </c>
      <c r="BP39" s="100">
        <v>14.059965032280806</v>
      </c>
      <c r="BQ39" s="100">
        <v>20010.142233942042</v>
      </c>
      <c r="BR39" s="100">
        <v>14.539249020396321</v>
      </c>
      <c r="BS39" s="100">
        <v>20692.259205828046</v>
      </c>
      <c r="BT39" s="100">
        <v>10.746413185786853</v>
      </c>
      <c r="BU39" s="100">
        <v>15294.29524601185</v>
      </c>
      <c r="BV39" s="100">
        <v>7.1507000345446148</v>
      </c>
      <c r="BW39" s="100">
        <v>10176.876289163896</v>
      </c>
      <c r="BX39" s="100">
        <v>1.1643729417396566E-3</v>
      </c>
      <c r="BY39" s="100">
        <v>1.6571355706838793</v>
      </c>
      <c r="BZ39" s="100">
        <v>2.3662748982891926</v>
      </c>
      <c r="CA39" s="100">
        <v>3367.682435245179</v>
      </c>
      <c r="CB39" s="100">
        <v>13.508292676428404</v>
      </c>
      <c r="CC39" s="100">
        <v>19225.002137092906</v>
      </c>
      <c r="CD39" s="100">
        <v>14.817737731273033</v>
      </c>
      <c r="CE39" s="100">
        <v>21088.60433914778</v>
      </c>
      <c r="CF39" s="100">
        <v>4.8325152579257402</v>
      </c>
      <c r="CG39" s="100">
        <v>6877.635715079914</v>
      </c>
      <c r="CH39" s="100">
        <v>15.939095922092061</v>
      </c>
      <c r="CI39" s="100">
        <v>22684.521316321421</v>
      </c>
      <c r="CJ39" s="100">
        <v>19</v>
      </c>
      <c r="CK39" s="100">
        <v>27040.799999999999</v>
      </c>
      <c r="CL39" s="100">
        <v>5.5707495279935229</v>
      </c>
      <c r="CM39" s="100">
        <v>7928.2907282403821</v>
      </c>
      <c r="CN39" s="100">
        <v>7.7146096477679206E-4</v>
      </c>
      <c r="CO39" s="100">
        <v>1.0979432450703306</v>
      </c>
      <c r="CP39" s="100">
        <v>13.000320739835669</v>
      </c>
      <c r="CQ39" s="100">
        <v>18502.056476934125</v>
      </c>
      <c r="CR39" s="100">
        <v>14.412094921192596</v>
      </c>
      <c r="CS39" s="100">
        <v>20511.293491841301</v>
      </c>
      <c r="CT39" s="100">
        <v>11.212453554813605</v>
      </c>
      <c r="CU39" s="100">
        <v>15957.563899210723</v>
      </c>
    </row>
    <row r="40" spans="2:99">
      <c r="C40" s="99" t="s">
        <v>206</v>
      </c>
      <c r="D40" s="100">
        <v>14.497153583311837</v>
      </c>
      <c r="E40" s="100">
        <v>10507.53691718442</v>
      </c>
      <c r="F40" s="100">
        <v>3.59869283695138</v>
      </c>
      <c r="G40" s="100">
        <v>2608.3325682223599</v>
      </c>
      <c r="H40" s="100">
        <v>12.089852921419489</v>
      </c>
      <c r="I40" s="100">
        <v>8762.7253974448449</v>
      </c>
      <c r="J40" s="100">
        <v>11</v>
      </c>
      <c r="K40" s="100">
        <v>7972.7999999999993</v>
      </c>
      <c r="L40" s="100">
        <v>13</v>
      </c>
      <c r="M40" s="100">
        <v>9422.4</v>
      </c>
      <c r="N40" s="100">
        <v>16</v>
      </c>
      <c r="O40" s="100">
        <v>11596.8</v>
      </c>
      <c r="P40" s="100">
        <v>13.875768145980127</v>
      </c>
      <c r="Q40" s="100">
        <v>10057.156752206394</v>
      </c>
      <c r="R40" s="100">
        <v>3.0632771918857831</v>
      </c>
      <c r="S40" s="100">
        <v>2220.2633086788155</v>
      </c>
      <c r="T40" s="100">
        <v>13</v>
      </c>
      <c r="U40" s="100">
        <v>9422.4</v>
      </c>
      <c r="V40" s="100">
        <v>17</v>
      </c>
      <c r="W40" s="100">
        <v>12321.599999999999</v>
      </c>
      <c r="X40" s="100">
        <v>0.5552938352229585</v>
      </c>
      <c r="Y40" s="100">
        <v>402.47697176960031</v>
      </c>
      <c r="Z40" s="100">
        <v>13</v>
      </c>
      <c r="AA40" s="100">
        <v>9422.4</v>
      </c>
      <c r="AB40" s="100">
        <v>17</v>
      </c>
      <c r="AC40" s="100">
        <v>12321.599999999999</v>
      </c>
      <c r="AD40" s="100">
        <v>7.0746132107709672</v>
      </c>
      <c r="AE40" s="100">
        <v>5127.6796551667967</v>
      </c>
      <c r="AF40" s="100">
        <v>8.7851979788484869</v>
      </c>
      <c r="AG40" s="100">
        <v>6367.5114950693833</v>
      </c>
      <c r="AH40" s="100">
        <v>14.250146862714004</v>
      </c>
      <c r="AI40" s="100">
        <v>10328.506446095109</v>
      </c>
      <c r="AJ40" s="100">
        <v>1.1332628872790684</v>
      </c>
      <c r="AK40" s="100">
        <v>821.38894069986873</v>
      </c>
      <c r="AL40" s="100">
        <v>11.6074566784749</v>
      </c>
      <c r="AM40" s="100">
        <v>8413.0846005586063</v>
      </c>
      <c r="AN40" s="100">
        <v>15.504175229189315</v>
      </c>
      <c r="AO40" s="100">
        <v>11237.426206116415</v>
      </c>
      <c r="AP40" s="100">
        <v>9.3650588375762034</v>
      </c>
      <c r="AQ40" s="100">
        <v>6787.7946454752318</v>
      </c>
      <c r="AR40" s="100">
        <v>1.4174313467606012E-3</v>
      </c>
      <c r="AS40" s="100">
        <v>1.0273542401320837</v>
      </c>
      <c r="AT40" s="100">
        <v>17.000358727945397</v>
      </c>
      <c r="AU40" s="100">
        <v>12321.860006014822</v>
      </c>
      <c r="AV40" s="100">
        <v>11</v>
      </c>
      <c r="AW40" s="100">
        <v>7972.7999999999993</v>
      </c>
      <c r="AX40" s="100">
        <v>13</v>
      </c>
      <c r="AY40" s="100">
        <v>9422.4</v>
      </c>
      <c r="AZ40" s="100">
        <v>1.0534205594128367</v>
      </c>
      <c r="BA40" s="100">
        <v>763.51922146242407</v>
      </c>
      <c r="BB40" s="100">
        <v>17</v>
      </c>
      <c r="BC40" s="100">
        <v>12321.599999999999</v>
      </c>
      <c r="BD40" s="100">
        <v>4.2594540853743794</v>
      </c>
      <c r="BE40" s="100">
        <v>3087.2523210793502</v>
      </c>
      <c r="BF40" s="100">
        <v>18</v>
      </c>
      <c r="BG40" s="100">
        <v>13046.4</v>
      </c>
      <c r="BH40" s="100">
        <v>4.7043304511880324</v>
      </c>
      <c r="BI40" s="100">
        <v>3409.6987110210857</v>
      </c>
      <c r="BJ40" s="100">
        <v>14.523249504638702</v>
      </c>
      <c r="BK40" s="100">
        <v>10526.451240962131</v>
      </c>
      <c r="BL40" s="100">
        <v>11.807598551600181</v>
      </c>
      <c r="BM40" s="100">
        <v>8558.1474301998114</v>
      </c>
      <c r="BN40" s="100">
        <v>16.246482075205318</v>
      </c>
      <c r="BO40" s="100">
        <v>11775.450208108814</v>
      </c>
      <c r="BP40" s="100">
        <v>14.211388608320922</v>
      </c>
      <c r="BQ40" s="100">
        <v>10300.414463311005</v>
      </c>
      <c r="BR40" s="100">
        <v>15.304472653048759</v>
      </c>
      <c r="BS40" s="100">
        <v>11092.68177892974</v>
      </c>
      <c r="BT40" s="100">
        <v>11.514014127628771</v>
      </c>
      <c r="BU40" s="100">
        <v>8345.3574397053326</v>
      </c>
      <c r="BV40" s="100">
        <v>8.5670591033538646</v>
      </c>
      <c r="BW40" s="100">
        <v>6209.4044381108806</v>
      </c>
      <c r="BX40" s="100">
        <v>1.1643729417396566E-3</v>
      </c>
      <c r="BY40" s="100">
        <v>0.84393750817290303</v>
      </c>
      <c r="BZ40" s="100">
        <v>3.1550096293652206</v>
      </c>
      <c r="CA40" s="100">
        <v>2286.7509793639119</v>
      </c>
      <c r="CB40" s="100">
        <v>13.508292676428404</v>
      </c>
      <c r="CC40" s="100">
        <v>9790.810531875306</v>
      </c>
      <c r="CD40" s="100">
        <v>14.95402735315187</v>
      </c>
      <c r="CE40" s="100">
        <v>10838.679025564476</v>
      </c>
      <c r="CF40" s="100">
        <v>5.9064075374647933</v>
      </c>
      <c r="CG40" s="100">
        <v>4280.9641831544823</v>
      </c>
      <c r="CH40" s="100">
        <v>16.876689799862184</v>
      </c>
      <c r="CI40" s="100">
        <v>12232.224766940111</v>
      </c>
      <c r="CJ40" s="100">
        <v>20</v>
      </c>
      <c r="CK40" s="100">
        <v>14496</v>
      </c>
      <c r="CL40" s="100">
        <v>5.142230333532483</v>
      </c>
      <c r="CM40" s="100">
        <v>3727.0885457443433</v>
      </c>
      <c r="CN40" s="100">
        <v>9.0720376996052902E-4</v>
      </c>
      <c r="CO40" s="100">
        <v>0.65754129246739135</v>
      </c>
      <c r="CP40" s="100">
        <v>13.000320739835669</v>
      </c>
      <c r="CQ40" s="100">
        <v>9422.6324722328918</v>
      </c>
      <c r="CR40" s="100">
        <v>15.212766861258851</v>
      </c>
      <c r="CS40" s="100">
        <v>11026.213421040415</v>
      </c>
      <c r="CT40" s="100">
        <v>12.013343094443147</v>
      </c>
      <c r="CU40" s="100">
        <v>8707.2710748523932</v>
      </c>
    </row>
    <row r="41" spans="2:99">
      <c r="C41" s="99" t="s">
        <v>207</v>
      </c>
      <c r="D41" s="100">
        <v>14.613898034324848</v>
      </c>
      <c r="E41" s="100">
        <v>9645.1727026543995</v>
      </c>
      <c r="F41" s="100">
        <v>3.5878650129574599</v>
      </c>
      <c r="G41" s="100">
        <v>2367.9909085519234</v>
      </c>
      <c r="H41" s="100">
        <v>13.089852921419489</v>
      </c>
      <c r="I41" s="100">
        <v>8639.3029281368617</v>
      </c>
      <c r="J41" s="100">
        <v>13</v>
      </c>
      <c r="K41" s="100">
        <v>8580</v>
      </c>
      <c r="L41" s="100">
        <v>13</v>
      </c>
      <c r="M41" s="100">
        <v>8580</v>
      </c>
      <c r="N41" s="100">
        <v>14</v>
      </c>
      <c r="O41" s="100">
        <v>9240</v>
      </c>
      <c r="P41" s="100">
        <v>14.800819355712136</v>
      </c>
      <c r="Q41" s="100">
        <v>9768.5407747700101</v>
      </c>
      <c r="R41" s="100">
        <v>3.0632771918857831</v>
      </c>
      <c r="S41" s="100">
        <v>2021.7629466446169</v>
      </c>
      <c r="T41" s="100">
        <v>14</v>
      </c>
      <c r="U41" s="100">
        <v>9240</v>
      </c>
      <c r="V41" s="100">
        <v>18</v>
      </c>
      <c r="W41" s="100">
        <v>11880</v>
      </c>
      <c r="X41" s="100">
        <v>0.63434826374300446</v>
      </c>
      <c r="Y41" s="100">
        <v>418.66985407038294</v>
      </c>
      <c r="Z41" s="100">
        <v>13</v>
      </c>
      <c r="AA41" s="100">
        <v>8580</v>
      </c>
      <c r="AB41" s="100">
        <v>16</v>
      </c>
      <c r="AC41" s="100">
        <v>10560</v>
      </c>
      <c r="AD41" s="100">
        <v>6.5692836957158978</v>
      </c>
      <c r="AE41" s="100">
        <v>4335.7272391724928</v>
      </c>
      <c r="AF41" s="100">
        <v>8.2714633452408215</v>
      </c>
      <c r="AG41" s="100">
        <v>5459.1658078589426</v>
      </c>
      <c r="AH41" s="100">
        <v>16.250146862714004</v>
      </c>
      <c r="AI41" s="100">
        <v>10725.096929391242</v>
      </c>
      <c r="AJ41" s="100">
        <v>1.3354963492817031</v>
      </c>
      <c r="AK41" s="100">
        <v>881.42759052592407</v>
      </c>
      <c r="AL41" s="100">
        <v>13.116428535326492</v>
      </c>
      <c r="AM41" s="100">
        <v>8656.8428333154843</v>
      </c>
      <c r="AN41" s="100">
        <v>16.411691016499034</v>
      </c>
      <c r="AO41" s="100">
        <v>10831.716070889363</v>
      </c>
      <c r="AP41" s="100">
        <v>9.51550354699582</v>
      </c>
      <c r="AQ41" s="100">
        <v>6280.2323410172412</v>
      </c>
      <c r="AR41" s="100">
        <v>1.204816644746511E-3</v>
      </c>
      <c r="AS41" s="100">
        <v>0.79517898553269728</v>
      </c>
      <c r="AT41" s="100">
        <v>16.000358727945397</v>
      </c>
      <c r="AU41" s="100">
        <v>10560.236760443962</v>
      </c>
      <c r="AV41" s="100">
        <v>12</v>
      </c>
      <c r="AW41" s="100">
        <v>7920</v>
      </c>
      <c r="AX41" s="100">
        <v>14</v>
      </c>
      <c r="AY41" s="100">
        <v>9240</v>
      </c>
      <c r="AZ41" s="100">
        <v>0.95765505401166984</v>
      </c>
      <c r="BA41" s="100">
        <v>632.05233564770208</v>
      </c>
      <c r="BB41" s="100">
        <v>19</v>
      </c>
      <c r="BC41" s="100">
        <v>12540</v>
      </c>
      <c r="BD41" s="100">
        <v>3.9318037711148124</v>
      </c>
      <c r="BE41" s="100">
        <v>2594.9904889357763</v>
      </c>
      <c r="BF41" s="100">
        <v>19</v>
      </c>
      <c r="BG41" s="100">
        <v>12540</v>
      </c>
      <c r="BH41" s="100">
        <v>4.7043304511880324</v>
      </c>
      <c r="BI41" s="100">
        <v>3104.8580977841016</v>
      </c>
      <c r="BJ41" s="100">
        <v>14.42380719966293</v>
      </c>
      <c r="BK41" s="100">
        <v>9519.7127517775334</v>
      </c>
      <c r="BL41" s="100">
        <v>11.807598551600181</v>
      </c>
      <c r="BM41" s="100">
        <v>7793.0150440561192</v>
      </c>
      <c r="BN41" s="100">
        <v>17.911373273735137</v>
      </c>
      <c r="BO41" s="100">
        <v>11821.506360665191</v>
      </c>
      <c r="BP41" s="100">
        <v>15.059965032280806</v>
      </c>
      <c r="BQ41" s="100">
        <v>9939.5769213053318</v>
      </c>
      <c r="BR41" s="100">
        <v>15.304472653048759</v>
      </c>
      <c r="BS41" s="100">
        <v>10100.951951012181</v>
      </c>
      <c r="BT41" s="100">
        <v>10.746413185786853</v>
      </c>
      <c r="BU41" s="100">
        <v>7092.632702619323</v>
      </c>
      <c r="BV41" s="100">
        <v>9.2407862925093074</v>
      </c>
      <c r="BW41" s="100">
        <v>6098.9189530561425</v>
      </c>
      <c r="BX41" s="100">
        <v>1.309919559457114E-3</v>
      </c>
      <c r="BY41" s="100">
        <v>0.86454690924169519</v>
      </c>
      <c r="BZ41" s="100">
        <v>2.8920984951657833</v>
      </c>
      <c r="CA41" s="100">
        <v>1908.7850068094169</v>
      </c>
      <c r="CB41" s="100">
        <v>12.891451005696752</v>
      </c>
      <c r="CC41" s="100">
        <v>8508.3576637598562</v>
      </c>
      <c r="CD41" s="100">
        <v>14.817737731273033</v>
      </c>
      <c r="CE41" s="100">
        <v>9779.7069026402023</v>
      </c>
      <c r="CF41" s="100">
        <v>5.9064075374647933</v>
      </c>
      <c r="CG41" s="100">
        <v>3898.2289747267637</v>
      </c>
      <c r="CH41" s="100">
        <v>15.939095922092061</v>
      </c>
      <c r="CI41" s="100">
        <v>10519.80330858076</v>
      </c>
      <c r="CJ41" s="100">
        <v>22</v>
      </c>
      <c r="CK41" s="100">
        <v>14520</v>
      </c>
      <c r="CL41" s="100">
        <v>5.5707495279935229</v>
      </c>
      <c r="CM41" s="100">
        <v>3676.6946884757249</v>
      </c>
      <c r="CN41" s="100">
        <v>9.7507517255239744E-4</v>
      </c>
      <c r="CO41" s="100">
        <v>0.64354961388458232</v>
      </c>
      <c r="CP41" s="100">
        <v>15.000280647356211</v>
      </c>
      <c r="CQ41" s="100">
        <v>9900.1852272550987</v>
      </c>
      <c r="CR41" s="100">
        <v>14.412094921192596</v>
      </c>
      <c r="CS41" s="100">
        <v>9511.9826479871135</v>
      </c>
      <c r="CT41" s="100">
        <v>12.013343094443147</v>
      </c>
      <c r="CU41" s="100">
        <v>7928.8064423324777</v>
      </c>
    </row>
    <row r="42" spans="2:99">
      <c r="C42" s="99" t="s">
        <v>208</v>
      </c>
      <c r="D42" s="100">
        <v>12.66004115819038</v>
      </c>
      <c r="E42" s="100">
        <v>10710.394819829062</v>
      </c>
      <c r="F42" s="100">
        <v>3.5878650129574599</v>
      </c>
      <c r="G42" s="100">
        <v>3035.3338009620111</v>
      </c>
      <c r="H42" s="100">
        <v>11.968758152372878</v>
      </c>
      <c r="I42" s="100">
        <v>10125.569396907455</v>
      </c>
      <c r="J42" s="100">
        <v>12</v>
      </c>
      <c r="K42" s="100">
        <v>10152</v>
      </c>
      <c r="L42" s="100">
        <v>14</v>
      </c>
      <c r="M42" s="100">
        <v>11844</v>
      </c>
      <c r="N42" s="100">
        <v>15</v>
      </c>
      <c r="O42" s="100">
        <v>12690</v>
      </c>
      <c r="P42" s="100">
        <v>16.650921775176151</v>
      </c>
      <c r="Q42" s="100">
        <v>14086.679821799024</v>
      </c>
      <c r="R42" s="100">
        <v>2.8080040925619678</v>
      </c>
      <c r="S42" s="100">
        <v>2375.5714623074246</v>
      </c>
      <c r="T42" s="100">
        <v>14</v>
      </c>
      <c r="U42" s="100">
        <v>11844</v>
      </c>
      <c r="V42" s="100">
        <v>15</v>
      </c>
      <c r="W42" s="100">
        <v>12690</v>
      </c>
      <c r="X42" s="100">
        <v>0.55720667080559549</v>
      </c>
      <c r="Y42" s="100">
        <v>471.39684350153379</v>
      </c>
      <c r="Z42" s="100">
        <v>13</v>
      </c>
      <c r="AA42" s="100">
        <v>10998</v>
      </c>
      <c r="AB42" s="100">
        <v>15</v>
      </c>
      <c r="AC42" s="100">
        <v>12690</v>
      </c>
      <c r="AD42" s="100">
        <v>6.5692836957158978</v>
      </c>
      <c r="AE42" s="100">
        <v>5557.6140065756499</v>
      </c>
      <c r="AF42" s="100">
        <v>7.7351109579881214</v>
      </c>
      <c r="AG42" s="100">
        <v>6543.9038704579507</v>
      </c>
      <c r="AH42" s="100">
        <v>15.250146862714004</v>
      </c>
      <c r="AI42" s="100">
        <v>12901.624245856048</v>
      </c>
      <c r="AJ42" s="100">
        <v>1.2367106011986722</v>
      </c>
      <c r="AK42" s="100">
        <v>1046.2571686140766</v>
      </c>
      <c r="AL42" s="100">
        <v>12.42398190376068</v>
      </c>
      <c r="AM42" s="100">
        <v>10510.688690581535</v>
      </c>
      <c r="AN42" s="100">
        <v>14.67977033611816</v>
      </c>
      <c r="AO42" s="100">
        <v>12419.085704355964</v>
      </c>
      <c r="AP42" s="100">
        <v>8.9535565831453177</v>
      </c>
      <c r="AQ42" s="100">
        <v>7574.7088693409387</v>
      </c>
      <c r="AR42" s="100">
        <v>1.3465597794225712E-3</v>
      </c>
      <c r="AS42" s="100">
        <v>1.1391895733914952</v>
      </c>
      <c r="AT42" s="100">
        <v>15.000358727945397</v>
      </c>
      <c r="AU42" s="100">
        <v>12690.303483841806</v>
      </c>
      <c r="AV42" s="100">
        <v>11</v>
      </c>
      <c r="AW42" s="100">
        <v>9306</v>
      </c>
      <c r="AX42" s="100">
        <v>12</v>
      </c>
      <c r="AY42" s="100">
        <v>10152</v>
      </c>
      <c r="AZ42" s="100">
        <v>0.95765505401166984</v>
      </c>
      <c r="BA42" s="100">
        <v>810.17617569387266</v>
      </c>
      <c r="BB42" s="100">
        <v>17</v>
      </c>
      <c r="BC42" s="100">
        <v>14382</v>
      </c>
      <c r="BD42" s="100">
        <v>3.9318037711148124</v>
      </c>
      <c r="BE42" s="100">
        <v>3326.3059903631311</v>
      </c>
      <c r="BF42" s="100">
        <v>19</v>
      </c>
      <c r="BG42" s="100">
        <v>16074</v>
      </c>
      <c r="BH42" s="100">
        <v>4.1816270677226957</v>
      </c>
      <c r="BI42" s="100">
        <v>3537.6564992934004</v>
      </c>
      <c r="BJ42" s="100">
        <v>13.450359431101733</v>
      </c>
      <c r="BK42" s="100">
        <v>11379.004078712065</v>
      </c>
      <c r="BL42" s="100">
        <v>11.807598551600181</v>
      </c>
      <c r="BM42" s="100">
        <v>9989.2283746537523</v>
      </c>
      <c r="BN42" s="100">
        <v>17.911373273735137</v>
      </c>
      <c r="BO42" s="100">
        <v>15153.021789579925</v>
      </c>
      <c r="BP42" s="100">
        <v>15.211388608320922</v>
      </c>
      <c r="BQ42" s="100">
        <v>12868.834762639501</v>
      </c>
      <c r="BR42" s="100">
        <v>16.069696285701198</v>
      </c>
      <c r="BS42" s="100">
        <v>13594.963057703213</v>
      </c>
      <c r="BT42" s="100">
        <v>11.514014127628771</v>
      </c>
      <c r="BU42" s="100">
        <v>9740.855951973941</v>
      </c>
      <c r="BV42" s="100">
        <v>8.5670591033538646</v>
      </c>
      <c r="BW42" s="100">
        <v>7247.732001437369</v>
      </c>
      <c r="BX42" s="100">
        <v>1.1643729417396566E-3</v>
      </c>
      <c r="BY42" s="100">
        <v>0.98505950871174952</v>
      </c>
      <c r="BZ42" s="100">
        <v>3.1550096293652206</v>
      </c>
      <c r="CA42" s="100">
        <v>2669.1381464429764</v>
      </c>
      <c r="CB42" s="100">
        <v>14.125134347160056</v>
      </c>
      <c r="CC42" s="100">
        <v>11949.863657697408</v>
      </c>
      <c r="CD42" s="100">
        <v>16.817737731273031</v>
      </c>
      <c r="CE42" s="100">
        <v>14227.806120656984</v>
      </c>
      <c r="CF42" s="100">
        <v>5.3694613976952672</v>
      </c>
      <c r="CG42" s="100">
        <v>4542.5643424501959</v>
      </c>
      <c r="CH42" s="100">
        <v>18.751877555402427</v>
      </c>
      <c r="CI42" s="100">
        <v>15864.088411870453</v>
      </c>
      <c r="CJ42" s="100">
        <v>18</v>
      </c>
      <c r="CK42" s="100">
        <v>15228</v>
      </c>
      <c r="CL42" s="100">
        <v>5.142230333532483</v>
      </c>
      <c r="CM42" s="100">
        <v>4350.3268621684811</v>
      </c>
      <c r="CN42" s="100">
        <v>8.3933236736866059E-4</v>
      </c>
      <c r="CO42" s="100">
        <v>0.71007518279388682</v>
      </c>
      <c r="CP42" s="100">
        <v>14.000320739835669</v>
      </c>
      <c r="CQ42" s="100">
        <v>11844.271345900976</v>
      </c>
      <c r="CR42" s="100">
        <v>12.810751041060085</v>
      </c>
      <c r="CS42" s="100">
        <v>10837.895380736833</v>
      </c>
      <c r="CT42" s="100">
        <v>11.212453554813605</v>
      </c>
      <c r="CU42" s="100">
        <v>9485.7357073723106</v>
      </c>
    </row>
    <row r="43" spans="2:99">
      <c r="C43" s="99" t="s">
        <v>209</v>
      </c>
      <c r="D43" s="100">
        <v>13.961140262306959</v>
      </c>
      <c r="E43" s="100">
        <v>14273.869804182634</v>
      </c>
      <c r="F43" s="100">
        <v>3.5878650129574599</v>
      </c>
      <c r="G43" s="100">
        <v>3668.2331892477068</v>
      </c>
      <c r="H43" s="100">
        <v>11.968758152372878</v>
      </c>
      <c r="I43" s="100">
        <v>12236.858334986031</v>
      </c>
      <c r="J43" s="100">
        <v>12</v>
      </c>
      <c r="K43" s="100">
        <v>12268.8</v>
      </c>
      <c r="L43" s="100">
        <v>12</v>
      </c>
      <c r="M43" s="100">
        <v>12268.8</v>
      </c>
      <c r="N43" s="100">
        <v>14</v>
      </c>
      <c r="O43" s="100">
        <v>14313.6</v>
      </c>
      <c r="P43" s="100">
        <v>15.725870565444144</v>
      </c>
      <c r="Q43" s="100">
        <v>16078.130066110092</v>
      </c>
      <c r="R43" s="100">
        <v>2.8080040925619678</v>
      </c>
      <c r="S43" s="100">
        <v>2870.903384235356</v>
      </c>
      <c r="T43" s="100">
        <v>15</v>
      </c>
      <c r="U43" s="100">
        <v>15336</v>
      </c>
      <c r="V43" s="100">
        <v>15</v>
      </c>
      <c r="W43" s="100">
        <v>15336</v>
      </c>
      <c r="X43" s="100">
        <v>0.51672303875425407</v>
      </c>
      <c r="Y43" s="100">
        <v>528.29763482234932</v>
      </c>
      <c r="Z43" s="100">
        <v>12</v>
      </c>
      <c r="AA43" s="100">
        <v>12268.8</v>
      </c>
      <c r="AB43" s="100">
        <v>14</v>
      </c>
      <c r="AC43" s="100">
        <v>14313.6</v>
      </c>
      <c r="AD43" s="100">
        <v>6.5692836957158978</v>
      </c>
      <c r="AE43" s="100">
        <v>6716.4356504999341</v>
      </c>
      <c r="AF43" s="100">
        <v>7.7124932043430876</v>
      </c>
      <c r="AG43" s="100">
        <v>7885.2530521203726</v>
      </c>
      <c r="AH43" s="100">
        <v>16.250146862714004</v>
      </c>
      <c r="AI43" s="100">
        <v>16614.150152438797</v>
      </c>
      <c r="AJ43" s="100">
        <v>1.2367106011986722</v>
      </c>
      <c r="AK43" s="100">
        <v>1264.4129186655223</v>
      </c>
      <c r="AL43" s="100">
        <v>12.299903310040712</v>
      </c>
      <c r="AM43" s="100">
        <v>12575.421144185624</v>
      </c>
      <c r="AN43" s="100">
        <v>15.504175229189315</v>
      </c>
      <c r="AO43" s="100">
        <v>15851.468754323156</v>
      </c>
      <c r="AP43" s="100">
        <v>8.3916096192948118</v>
      </c>
      <c r="AQ43" s="100">
        <v>8579.581674767016</v>
      </c>
      <c r="AR43" s="100">
        <v>1.3465597794225712E-3</v>
      </c>
      <c r="AS43" s="100">
        <v>1.3767227184816369</v>
      </c>
      <c r="AT43" s="100">
        <v>15.000358727945397</v>
      </c>
      <c r="AU43" s="100">
        <v>15336.366763451373</v>
      </c>
      <c r="AV43" s="100">
        <v>11</v>
      </c>
      <c r="AW43" s="100">
        <v>11246.4</v>
      </c>
      <c r="AX43" s="100">
        <v>12</v>
      </c>
      <c r="AY43" s="100">
        <v>12268.8</v>
      </c>
      <c r="AZ43" s="100">
        <v>1.0534205594128367</v>
      </c>
      <c r="BA43" s="100">
        <v>1077.0171799436844</v>
      </c>
      <c r="BB43" s="100">
        <v>18</v>
      </c>
      <c r="BC43" s="100">
        <v>18403.2</v>
      </c>
      <c r="BD43" s="100">
        <v>4.2594540853743794</v>
      </c>
      <c r="BE43" s="100">
        <v>4354.8658568867659</v>
      </c>
      <c r="BF43" s="100">
        <v>16</v>
      </c>
      <c r="BG43" s="100">
        <v>16358.4</v>
      </c>
      <c r="BH43" s="100">
        <v>4.7043304511880324</v>
      </c>
      <c r="BI43" s="100">
        <v>4809.7074532946444</v>
      </c>
      <c r="BJ43" s="100">
        <v>13.450359431101733</v>
      </c>
      <c r="BK43" s="100">
        <v>13751.64748235841</v>
      </c>
      <c r="BL43" s="100">
        <v>11.807598551600181</v>
      </c>
      <c r="BM43" s="100">
        <v>12072.088759156024</v>
      </c>
      <c r="BN43" s="100">
        <v>16.326968057223894</v>
      </c>
      <c r="BO43" s="100">
        <v>16692.692141705709</v>
      </c>
      <c r="BP43" s="100">
        <v>15.059965032280806</v>
      </c>
      <c r="BQ43" s="100">
        <v>15397.308249003896</v>
      </c>
      <c r="BR43" s="100">
        <v>13.774025387743883</v>
      </c>
      <c r="BS43" s="100">
        <v>14082.563556429346</v>
      </c>
      <c r="BT43" s="100">
        <v>9.9788122439449349</v>
      </c>
      <c r="BU43" s="100">
        <v>10202.337638209301</v>
      </c>
      <c r="BV43" s="100">
        <v>8.5670591033538646</v>
      </c>
      <c r="BW43" s="100">
        <v>8758.9612272689901</v>
      </c>
      <c r="BX43" s="100">
        <v>1.1643729417396566E-3</v>
      </c>
      <c r="BY43" s="100">
        <v>1.1904548956346248</v>
      </c>
      <c r="BZ43" s="100">
        <v>2.8920980523398776</v>
      </c>
      <c r="CA43" s="100">
        <v>2956.881048712291</v>
      </c>
      <c r="CB43" s="100">
        <v>13.506789159843946</v>
      </c>
      <c r="CC43" s="100">
        <v>13809.34123702445</v>
      </c>
      <c r="CD43" s="100">
        <v>13.817737731273033</v>
      </c>
      <c r="CE43" s="100">
        <v>14127.255056453549</v>
      </c>
      <c r="CF43" s="100">
        <v>5.3694613976952672</v>
      </c>
      <c r="CG43" s="100">
        <v>5489.7373330036407</v>
      </c>
      <c r="CH43" s="100">
        <v>16.876689799862184</v>
      </c>
      <c r="CI43" s="100">
        <v>17254.727651379097</v>
      </c>
      <c r="CJ43" s="100">
        <v>20</v>
      </c>
      <c r="CK43" s="100">
        <v>20448</v>
      </c>
      <c r="CL43" s="100">
        <v>4.7137111390714423</v>
      </c>
      <c r="CM43" s="100">
        <v>4819.2982685866427</v>
      </c>
      <c r="CN43" s="100">
        <v>8.3933236736866059E-4</v>
      </c>
      <c r="CO43" s="100">
        <v>0.85813341239771856</v>
      </c>
      <c r="CP43" s="100">
        <v>15.000320739835669</v>
      </c>
      <c r="CQ43" s="100">
        <v>15336.327924407988</v>
      </c>
      <c r="CR43" s="100">
        <v>15.212766861258851</v>
      </c>
      <c r="CS43" s="100">
        <v>15553.532838951049</v>
      </c>
      <c r="CT43" s="100">
        <v>11.212453554813605</v>
      </c>
      <c r="CU43" s="100">
        <v>11463.612514441429</v>
      </c>
    </row>
    <row r="44" spans="2:99">
      <c r="C44" s="99" t="s">
        <v>210</v>
      </c>
      <c r="D44" s="100">
        <v>13.309854636928803</v>
      </c>
      <c r="E44" s="100">
        <v>13607.995380796008</v>
      </c>
      <c r="F44" s="100">
        <v>3.6095206609452992</v>
      </c>
      <c r="G44" s="100">
        <v>3690.3739237504738</v>
      </c>
      <c r="H44" s="100">
        <v>12.089852921419489</v>
      </c>
      <c r="I44" s="100">
        <v>12360.665626859285</v>
      </c>
      <c r="J44" s="100">
        <v>12</v>
      </c>
      <c r="K44" s="100">
        <v>12268.8</v>
      </c>
      <c r="L44" s="100">
        <v>13</v>
      </c>
      <c r="M44" s="100">
        <v>13291.199999999999</v>
      </c>
      <c r="N44" s="100">
        <v>13</v>
      </c>
      <c r="O44" s="100">
        <v>13291.199999999999</v>
      </c>
      <c r="P44" s="100">
        <v>14.800819355712136</v>
      </c>
      <c r="Q44" s="100">
        <v>15132.357709280088</v>
      </c>
      <c r="R44" s="100">
        <v>2.552730993238153</v>
      </c>
      <c r="S44" s="100">
        <v>2609.9121674866874</v>
      </c>
      <c r="T44" s="100">
        <v>15</v>
      </c>
      <c r="U44" s="100">
        <v>15336</v>
      </c>
      <c r="V44" s="100">
        <v>17</v>
      </c>
      <c r="W44" s="100">
        <v>17380.8</v>
      </c>
      <c r="X44" s="100">
        <v>0.51863587433689107</v>
      </c>
      <c r="Y44" s="100">
        <v>530.25331792203747</v>
      </c>
      <c r="Z44" s="100">
        <v>13</v>
      </c>
      <c r="AA44" s="100">
        <v>13291.199999999999</v>
      </c>
      <c r="AB44" s="100">
        <v>17</v>
      </c>
      <c r="AC44" s="100">
        <v>17380.8</v>
      </c>
      <c r="AD44" s="100">
        <v>6.5692836957158978</v>
      </c>
      <c r="AE44" s="100">
        <v>6716.4356504999341</v>
      </c>
      <c r="AF44" s="100">
        <v>8.8078157324935198</v>
      </c>
      <c r="AG44" s="100">
        <v>9005.1108049013746</v>
      </c>
      <c r="AH44" s="100">
        <v>16.093878504874752</v>
      </c>
      <c r="AI44" s="100">
        <v>16454.381383383945</v>
      </c>
      <c r="AJ44" s="100">
        <v>1.1379248531156412</v>
      </c>
      <c r="AK44" s="100">
        <v>1163.4143698254315</v>
      </c>
      <c r="AL44" s="100">
        <v>12.42398190376068</v>
      </c>
      <c r="AM44" s="100">
        <v>12702.279098404919</v>
      </c>
      <c r="AN44" s="100">
        <v>15.587286123427878</v>
      </c>
      <c r="AO44" s="100">
        <v>15936.441332592662</v>
      </c>
      <c r="AP44" s="100">
        <v>9.4387003884069287</v>
      </c>
      <c r="AQ44" s="100">
        <v>9650.1272771072436</v>
      </c>
      <c r="AR44" s="100">
        <v>1.3465597794225712E-3</v>
      </c>
      <c r="AS44" s="100">
        <v>1.3767227184816369</v>
      </c>
      <c r="AT44" s="100">
        <v>14.000313886952222</v>
      </c>
      <c r="AU44" s="100">
        <v>14313.920918019952</v>
      </c>
      <c r="AV44" s="100">
        <v>11</v>
      </c>
      <c r="AW44" s="100">
        <v>11246.4</v>
      </c>
      <c r="AX44" s="100">
        <v>12</v>
      </c>
      <c r="AY44" s="100">
        <v>12268.8</v>
      </c>
      <c r="AZ44" s="100">
        <v>1.0534205594128367</v>
      </c>
      <c r="BA44" s="100">
        <v>1077.0171799436844</v>
      </c>
      <c r="BB44" s="100">
        <v>18</v>
      </c>
      <c r="BC44" s="100">
        <v>18403.2</v>
      </c>
      <c r="BD44" s="100">
        <v>3.6041534568552445</v>
      </c>
      <c r="BE44" s="100">
        <v>3684.8864942888017</v>
      </c>
      <c r="BF44" s="100">
        <v>17</v>
      </c>
      <c r="BG44" s="100">
        <v>17380.8</v>
      </c>
      <c r="BH44" s="100">
        <v>4.7043304511880324</v>
      </c>
      <c r="BI44" s="100">
        <v>4809.7074532946444</v>
      </c>
      <c r="BJ44" s="100">
        <v>14.523249504638702</v>
      </c>
      <c r="BK44" s="100">
        <v>14848.570293542609</v>
      </c>
      <c r="BL44" s="100">
        <v>12.715875363261732</v>
      </c>
      <c r="BM44" s="100">
        <v>13000.710971398796</v>
      </c>
      <c r="BN44" s="100">
        <v>15.454279466949696</v>
      </c>
      <c r="BO44" s="100">
        <v>15800.455327009369</v>
      </c>
      <c r="BP44" s="100">
        <v>14.211388608320922</v>
      </c>
      <c r="BQ44" s="100">
        <v>14529.72371314731</v>
      </c>
      <c r="BR44" s="100">
        <v>15.304472653048759</v>
      </c>
      <c r="BS44" s="100">
        <v>15647.29284047705</v>
      </c>
      <c r="BT44" s="100">
        <v>10.746413185786853</v>
      </c>
      <c r="BU44" s="100">
        <v>10987.132841148477</v>
      </c>
      <c r="BV44" s="100">
        <v>8.5670591033538646</v>
      </c>
      <c r="BW44" s="100">
        <v>8758.9612272689901</v>
      </c>
      <c r="BX44" s="100">
        <v>1.0915996328809282E-3</v>
      </c>
      <c r="BY44" s="100">
        <v>1.1160514646574609</v>
      </c>
      <c r="BZ44" s="100">
        <v>2.892109615103776</v>
      </c>
      <c r="CA44" s="100">
        <v>2956.8928704821005</v>
      </c>
      <c r="CB44" s="100">
        <v>12.892954522281208</v>
      </c>
      <c r="CC44" s="100">
        <v>13181.756703580308</v>
      </c>
      <c r="CD44" s="100">
        <v>16.681448109394193</v>
      </c>
      <c r="CE44" s="100">
        <v>17055.112547044624</v>
      </c>
      <c r="CF44" s="100">
        <v>5.3694613976952672</v>
      </c>
      <c r="CG44" s="100">
        <v>5489.7373330036407</v>
      </c>
      <c r="CH44" s="100">
        <v>16.876689799862184</v>
      </c>
      <c r="CI44" s="100">
        <v>17254.727651379097</v>
      </c>
      <c r="CJ44" s="100">
        <v>18</v>
      </c>
      <c r="CK44" s="100">
        <v>18403.2</v>
      </c>
      <c r="CL44" s="100">
        <v>4.7137111390714423</v>
      </c>
      <c r="CM44" s="100">
        <v>4819.2982685866427</v>
      </c>
      <c r="CN44" s="100">
        <v>7.6938800342127224E-4</v>
      </c>
      <c r="CO44" s="100">
        <v>0.78662229469790867</v>
      </c>
      <c r="CP44" s="100">
        <v>14.000280647356211</v>
      </c>
      <c r="CQ44" s="100">
        <v>14313.886933856989</v>
      </c>
      <c r="CR44" s="100">
        <v>13.611422981126342</v>
      </c>
      <c r="CS44" s="100">
        <v>13916.318855903572</v>
      </c>
      <c r="CT44" s="100">
        <v>11.212453554813605</v>
      </c>
      <c r="CU44" s="100">
        <v>11463.612514441429</v>
      </c>
    </row>
    <row r="45" spans="2:99">
      <c r="C45" s="99" t="s">
        <v>211</v>
      </c>
      <c r="D45" s="100">
        <v>13.30838249028907</v>
      </c>
      <c r="E45" s="100">
        <v>16624.831406869107</v>
      </c>
      <c r="F45" s="100">
        <v>3.0350034441058829</v>
      </c>
      <c r="G45" s="100">
        <v>3791.3263023770692</v>
      </c>
      <c r="H45" s="100">
        <v>12.089852921419489</v>
      </c>
      <c r="I45" s="100">
        <v>15102.644269437225</v>
      </c>
      <c r="J45" s="100">
        <v>12</v>
      </c>
      <c r="K45" s="100">
        <v>14990.400000000001</v>
      </c>
      <c r="L45" s="100">
        <v>13</v>
      </c>
      <c r="M45" s="100">
        <v>16239.6</v>
      </c>
      <c r="N45" s="100">
        <v>15</v>
      </c>
      <c r="O45" s="100">
        <v>18738</v>
      </c>
      <c r="P45" s="100">
        <v>14.800819355712136</v>
      </c>
      <c r="Q45" s="100">
        <v>18489.183539155601</v>
      </c>
      <c r="R45" s="100">
        <v>2.552730993238153</v>
      </c>
      <c r="S45" s="100">
        <v>3188.8715567531008</v>
      </c>
      <c r="T45" s="100">
        <v>12</v>
      </c>
      <c r="U45" s="100">
        <v>14990.400000000001</v>
      </c>
      <c r="V45" s="100">
        <v>14</v>
      </c>
      <c r="W45" s="100">
        <v>17488.8</v>
      </c>
      <c r="X45" s="100">
        <v>0.55720667080559549</v>
      </c>
      <c r="Y45" s="100">
        <v>696.06257317034988</v>
      </c>
      <c r="Z45" s="100">
        <v>11</v>
      </c>
      <c r="AA45" s="100">
        <v>13741.2</v>
      </c>
      <c r="AB45" s="100">
        <v>16</v>
      </c>
      <c r="AC45" s="100">
        <v>19987.2</v>
      </c>
      <c r="AD45" s="100">
        <v>6.0639541806608293</v>
      </c>
      <c r="AE45" s="100">
        <v>7575.0915624815079</v>
      </c>
      <c r="AF45" s="100">
        <v>7.7351109579881214</v>
      </c>
      <c r="AG45" s="100">
        <v>9662.7006087187619</v>
      </c>
      <c r="AH45" s="100">
        <v>14.093878504874754</v>
      </c>
      <c r="AI45" s="100">
        <v>17606.073028289542</v>
      </c>
      <c r="AJ45" s="100">
        <v>1.2367106011986722</v>
      </c>
      <c r="AK45" s="100">
        <v>1544.8988830173814</v>
      </c>
      <c r="AL45" s="100">
        <v>11.6074566784749</v>
      </c>
      <c r="AM45" s="100">
        <v>14500.034882750846</v>
      </c>
      <c r="AN45" s="100">
        <v>13.938476337285564</v>
      </c>
      <c r="AO45" s="100">
        <v>17411.944640537127</v>
      </c>
      <c r="AP45" s="100">
        <v>9.4418619961650947</v>
      </c>
      <c r="AQ45" s="100">
        <v>11794.774005609437</v>
      </c>
      <c r="AR45" s="100">
        <v>1.2756882120845412E-3</v>
      </c>
      <c r="AS45" s="100">
        <v>1.5935897145360089</v>
      </c>
      <c r="AT45" s="100">
        <v>15.000358727945397</v>
      </c>
      <c r="AU45" s="100">
        <v>18738.44812294939</v>
      </c>
      <c r="AV45" s="100">
        <v>11</v>
      </c>
      <c r="AW45" s="100">
        <v>13741.2</v>
      </c>
      <c r="AX45" s="100">
        <v>14</v>
      </c>
      <c r="AY45" s="100">
        <v>17488.8</v>
      </c>
      <c r="AZ45" s="100">
        <v>1.0534205594128367</v>
      </c>
      <c r="BA45" s="100">
        <v>1315.9329628185158</v>
      </c>
      <c r="BB45" s="100">
        <v>16</v>
      </c>
      <c r="BC45" s="100">
        <v>19987.2</v>
      </c>
      <c r="BD45" s="100">
        <v>3.9318037711148124</v>
      </c>
      <c r="BE45" s="100">
        <v>4911.6092708766237</v>
      </c>
      <c r="BF45" s="100">
        <v>17</v>
      </c>
      <c r="BG45" s="100">
        <v>21236.400000000001</v>
      </c>
      <c r="BH45" s="100">
        <v>4.1816270677226957</v>
      </c>
      <c r="BI45" s="100">
        <v>5223.6885329991919</v>
      </c>
      <c r="BJ45" s="100">
        <v>13.450359431101733</v>
      </c>
      <c r="BK45" s="100">
        <v>16802.189001332285</v>
      </c>
      <c r="BL45" s="100">
        <v>12.715875363261732</v>
      </c>
      <c r="BM45" s="100">
        <v>15884.671503786556</v>
      </c>
      <c r="BN45" s="100">
        <v>16.246482075205318</v>
      </c>
      <c r="BO45" s="100">
        <v>20295.105408346484</v>
      </c>
      <c r="BP45" s="100">
        <v>13.211388608320922</v>
      </c>
      <c r="BQ45" s="100">
        <v>16503.666649514496</v>
      </c>
      <c r="BR45" s="100">
        <v>15.304472653048759</v>
      </c>
      <c r="BS45" s="100">
        <v>19118.347238188511</v>
      </c>
      <c r="BT45" s="100">
        <v>10.746413185786853</v>
      </c>
      <c r="BU45" s="100">
        <v>13424.419351684937</v>
      </c>
      <c r="BV45" s="100">
        <v>8.4981544128554969</v>
      </c>
      <c r="BW45" s="100">
        <v>10615.894492539088</v>
      </c>
      <c r="BX45" s="100">
        <v>1.0915996328809282E-3</v>
      </c>
      <c r="BY45" s="100">
        <v>1.3636262613948555</v>
      </c>
      <c r="BZ45" s="100">
        <v>2.6291860324886294</v>
      </c>
      <c r="CA45" s="100">
        <v>3284.3791917847961</v>
      </c>
      <c r="CB45" s="100">
        <v>13.508292676428404</v>
      </c>
      <c r="CC45" s="100">
        <v>16874.559211394364</v>
      </c>
      <c r="CD45" s="100">
        <v>15.817737731273033</v>
      </c>
      <c r="CE45" s="100">
        <v>19759.517973906273</v>
      </c>
      <c r="CF45" s="100">
        <v>5.3694613976952672</v>
      </c>
      <c r="CG45" s="100">
        <v>6707.5311780009279</v>
      </c>
      <c r="CH45" s="100">
        <v>15.939095922092061</v>
      </c>
      <c r="CI45" s="100">
        <v>19911.118625877403</v>
      </c>
      <c r="CJ45" s="100">
        <v>20</v>
      </c>
      <c r="CK45" s="100">
        <v>24984</v>
      </c>
      <c r="CL45" s="100">
        <v>5.5707495279935229</v>
      </c>
      <c r="CM45" s="100">
        <v>6958.9803103695094</v>
      </c>
      <c r="CN45" s="100">
        <v>8.3933236736866059E-4</v>
      </c>
      <c r="CO45" s="100">
        <v>1.0484939933169308</v>
      </c>
      <c r="CP45" s="100">
        <v>13.000320739835669</v>
      </c>
      <c r="CQ45" s="100">
        <v>16240.000668202718</v>
      </c>
      <c r="CR45" s="100">
        <v>12.810751041060085</v>
      </c>
      <c r="CS45" s="100">
        <v>16003.190200492259</v>
      </c>
      <c r="CT45" s="100">
        <v>11.212453554813605</v>
      </c>
      <c r="CU45" s="100">
        <v>14006.596980673155</v>
      </c>
    </row>
    <row r="46" spans="2:99">
      <c r="C46" s="99" t="s">
        <v>212</v>
      </c>
      <c r="D46" s="100">
        <v>12.658569011550647</v>
      </c>
      <c r="E46" s="100">
        <v>15342.185641999384</v>
      </c>
      <c r="F46" s="100">
        <v>3.0241756201119627</v>
      </c>
      <c r="G46" s="100">
        <v>3665.3008515756987</v>
      </c>
      <c r="H46" s="100">
        <v>13.089852921419489</v>
      </c>
      <c r="I46" s="100">
        <v>15864.901740760421</v>
      </c>
      <c r="J46" s="100">
        <v>12</v>
      </c>
      <c r="K46" s="100">
        <v>14544</v>
      </c>
      <c r="L46" s="100">
        <v>12</v>
      </c>
      <c r="M46" s="100">
        <v>14544</v>
      </c>
      <c r="N46" s="100">
        <v>15</v>
      </c>
      <c r="O46" s="100">
        <v>18180</v>
      </c>
      <c r="P46" s="100">
        <v>13.875768145980127</v>
      </c>
      <c r="Q46" s="100">
        <v>16817.430992927912</v>
      </c>
      <c r="R46" s="100">
        <v>2.8080040925619678</v>
      </c>
      <c r="S46" s="100">
        <v>3403.3009601851049</v>
      </c>
      <c r="T46" s="100">
        <v>14</v>
      </c>
      <c r="U46" s="100">
        <v>16968</v>
      </c>
      <c r="V46" s="100">
        <v>15</v>
      </c>
      <c r="W46" s="100">
        <v>18180</v>
      </c>
      <c r="X46" s="100">
        <v>0.51672303875425407</v>
      </c>
      <c r="Y46" s="100">
        <v>626.26832297015596</v>
      </c>
      <c r="Z46" s="100">
        <v>12</v>
      </c>
      <c r="AA46" s="100">
        <v>14544</v>
      </c>
      <c r="AB46" s="100">
        <v>15</v>
      </c>
      <c r="AC46" s="100">
        <v>18180</v>
      </c>
      <c r="AD46" s="100">
        <v>6.0639541806608293</v>
      </c>
      <c r="AE46" s="100">
        <v>7349.5124669609249</v>
      </c>
      <c r="AF46" s="100">
        <v>7.1987585707354214</v>
      </c>
      <c r="AG46" s="100">
        <v>8724.8953877313306</v>
      </c>
      <c r="AH46" s="100">
        <v>14.093878504874754</v>
      </c>
      <c r="AI46" s="100">
        <v>17081.7807479082</v>
      </c>
      <c r="AJ46" s="100">
        <v>1.2367106011986722</v>
      </c>
      <c r="AK46" s="100">
        <v>1498.8932486527906</v>
      </c>
      <c r="AL46" s="100">
        <v>10.790931453189119</v>
      </c>
      <c r="AM46" s="100">
        <v>13078.608921265211</v>
      </c>
      <c r="AN46" s="100">
        <v>13.938476337285564</v>
      </c>
      <c r="AO46" s="100">
        <v>16893.433320790104</v>
      </c>
      <c r="AP46" s="100">
        <v>8.4652511701255406</v>
      </c>
      <c r="AQ46" s="100">
        <v>10259.884418192156</v>
      </c>
      <c r="AR46" s="100">
        <v>1.133945077408481E-3</v>
      </c>
      <c r="AS46" s="100">
        <v>1.3743414338190789</v>
      </c>
      <c r="AT46" s="100">
        <v>15.000358727945397</v>
      </c>
      <c r="AU46" s="100">
        <v>18180.434778269821</v>
      </c>
      <c r="AV46" s="100">
        <v>11</v>
      </c>
      <c r="AW46" s="100">
        <v>13332</v>
      </c>
      <c r="AX46" s="100">
        <v>12</v>
      </c>
      <c r="AY46" s="100">
        <v>14544</v>
      </c>
      <c r="AZ46" s="100">
        <v>0.95765505401166984</v>
      </c>
      <c r="BA46" s="100">
        <v>1160.6779254621438</v>
      </c>
      <c r="BB46" s="100">
        <v>16</v>
      </c>
      <c r="BC46" s="100">
        <v>19392</v>
      </c>
      <c r="BD46" s="100">
        <v>3.6041534568552445</v>
      </c>
      <c r="BE46" s="100">
        <v>4368.2339897085567</v>
      </c>
      <c r="BF46" s="100">
        <v>18</v>
      </c>
      <c r="BG46" s="100">
        <v>21816</v>
      </c>
      <c r="BH46" s="100">
        <v>4.1816270677226957</v>
      </c>
      <c r="BI46" s="100">
        <v>5068.1320060799071</v>
      </c>
      <c r="BJ46" s="100">
        <v>12.576353967516308</v>
      </c>
      <c r="BK46" s="100">
        <v>15242.541008629765</v>
      </c>
      <c r="BL46" s="100">
        <v>12.715875363261732</v>
      </c>
      <c r="BM46" s="100">
        <v>15411.640940273219</v>
      </c>
      <c r="BN46" s="100">
        <v>16.246482075205318</v>
      </c>
      <c r="BO46" s="100">
        <v>19690.736275148844</v>
      </c>
      <c r="BP46" s="100">
        <v>13.211388608320922</v>
      </c>
      <c r="BQ46" s="100">
        <v>16012.202993284958</v>
      </c>
      <c r="BR46" s="100">
        <v>14.539249020396321</v>
      </c>
      <c r="BS46" s="100">
        <v>17621.56981272034</v>
      </c>
      <c r="BT46" s="100">
        <v>9.9788122439449349</v>
      </c>
      <c r="BU46" s="100">
        <v>12094.320439661262</v>
      </c>
      <c r="BV46" s="100">
        <v>7.8244272237000558</v>
      </c>
      <c r="BW46" s="100">
        <v>9483.2057951244678</v>
      </c>
      <c r="BX46" s="100">
        <v>1.2371462505983853E-3</v>
      </c>
      <c r="BY46" s="100">
        <v>1.4994212557252431</v>
      </c>
      <c r="BZ46" s="100">
        <v>2.8920984951657833</v>
      </c>
      <c r="CA46" s="100">
        <v>3505.2233761409293</v>
      </c>
      <c r="CB46" s="100">
        <v>13.508292676428404</v>
      </c>
      <c r="CC46" s="100">
        <v>16372.050723831226</v>
      </c>
      <c r="CD46" s="100">
        <v>15.817737731273033</v>
      </c>
      <c r="CE46" s="100">
        <v>19171.098130302915</v>
      </c>
      <c r="CF46" s="100">
        <v>5.3694613976952672</v>
      </c>
      <c r="CG46" s="100">
        <v>6507.7872140066638</v>
      </c>
      <c r="CH46" s="100">
        <v>16.876689799862184</v>
      </c>
      <c r="CI46" s="100">
        <v>20454.548037432967</v>
      </c>
      <c r="CJ46" s="100">
        <v>18</v>
      </c>
      <c r="CK46" s="100">
        <v>21816</v>
      </c>
      <c r="CL46" s="100">
        <v>5.142230333532483</v>
      </c>
      <c r="CM46" s="100">
        <v>6232.3831642413697</v>
      </c>
      <c r="CN46" s="100">
        <v>8.3933236736866059E-4</v>
      </c>
      <c r="CO46" s="100">
        <v>1.0172708292508166</v>
      </c>
      <c r="CP46" s="100">
        <v>15.000280647356211</v>
      </c>
      <c r="CQ46" s="100">
        <v>18180.340144595728</v>
      </c>
      <c r="CR46" s="100">
        <v>14.412094921192596</v>
      </c>
      <c r="CS46" s="100">
        <v>17467.459044485426</v>
      </c>
      <c r="CT46" s="100">
        <v>9.6106744755545179</v>
      </c>
      <c r="CU46" s="100">
        <v>11648.137464372076</v>
      </c>
    </row>
    <row r="47" spans="2:99">
      <c r="C47" s="99" t="s">
        <v>213</v>
      </c>
      <c r="D47" s="100">
        <v>13.847340104573414</v>
      </c>
      <c r="E47" s="100">
        <v>21153.196743746346</v>
      </c>
      <c r="F47" s="100">
        <v>3.0241756201119627</v>
      </c>
      <c r="G47" s="100">
        <v>4619.7306772830343</v>
      </c>
      <c r="H47" s="100">
        <v>10.968758152372878</v>
      </c>
      <c r="I47" s="100">
        <v>16755.874953564809</v>
      </c>
      <c r="J47" s="100">
        <v>10</v>
      </c>
      <c r="K47" s="100">
        <v>15276</v>
      </c>
      <c r="L47" s="100">
        <v>12</v>
      </c>
      <c r="M47" s="100">
        <v>18331.199999999997</v>
      </c>
      <c r="N47" s="100">
        <v>14</v>
      </c>
      <c r="O47" s="100">
        <v>21386.399999999998</v>
      </c>
      <c r="P47" s="100">
        <v>12.950716936248119</v>
      </c>
      <c r="Q47" s="100">
        <v>19783.515191812625</v>
      </c>
      <c r="R47" s="100">
        <v>2.552730993238153</v>
      </c>
      <c r="S47" s="100">
        <v>3899.5518652706023</v>
      </c>
      <c r="T47" s="100">
        <v>14</v>
      </c>
      <c r="U47" s="100">
        <v>21386.399999999998</v>
      </c>
      <c r="V47" s="100">
        <v>15</v>
      </c>
      <c r="W47" s="100">
        <v>22914</v>
      </c>
      <c r="X47" s="100">
        <v>0.51863587433689107</v>
      </c>
      <c r="Y47" s="100">
        <v>792.26816163703472</v>
      </c>
      <c r="Z47" s="100">
        <v>11</v>
      </c>
      <c r="AA47" s="100">
        <v>16803.599999999999</v>
      </c>
      <c r="AB47" s="100">
        <v>15</v>
      </c>
      <c r="AC47" s="100">
        <v>22914</v>
      </c>
      <c r="AD47" s="100">
        <v>6.5692836957158978</v>
      </c>
      <c r="AE47" s="100">
        <v>10035.237773575605</v>
      </c>
      <c r="AF47" s="100">
        <v>7.1761408170903884</v>
      </c>
      <c r="AG47" s="100">
        <v>10962.272712187276</v>
      </c>
      <c r="AH47" s="100">
        <v>14.250146862714004</v>
      </c>
      <c r="AI47" s="100">
        <v>21768.524347481911</v>
      </c>
      <c r="AJ47" s="100">
        <v>1.1425868189522139</v>
      </c>
      <c r="AK47" s="100">
        <v>1745.4156246314019</v>
      </c>
      <c r="AL47" s="100">
        <v>11.483378084754932</v>
      </c>
      <c r="AM47" s="100">
        <v>17542.008362271634</v>
      </c>
      <c r="AN47" s="100">
        <v>14.67977033611816</v>
      </c>
      <c r="AO47" s="100">
        <v>22424.8171654541</v>
      </c>
      <c r="AP47" s="100">
        <v>7.9769457571057627</v>
      </c>
      <c r="AQ47" s="100">
        <v>12185.582338554763</v>
      </c>
      <c r="AR47" s="100">
        <v>1.2756882120845412E-3</v>
      </c>
      <c r="AS47" s="100">
        <v>1.948741312780345</v>
      </c>
      <c r="AT47" s="100">
        <v>17.000403568938573</v>
      </c>
      <c r="AU47" s="100">
        <v>25969.816491910562</v>
      </c>
      <c r="AV47" s="100">
        <v>12</v>
      </c>
      <c r="AW47" s="100">
        <v>18331.199999999997</v>
      </c>
      <c r="AX47" s="100">
        <v>12</v>
      </c>
      <c r="AY47" s="100">
        <v>18331.199999999997</v>
      </c>
      <c r="AZ47" s="100">
        <v>0.95765505401166984</v>
      </c>
      <c r="BA47" s="100">
        <v>1462.9138605082267</v>
      </c>
      <c r="BB47" s="100">
        <v>15</v>
      </c>
      <c r="BC47" s="100">
        <v>22914</v>
      </c>
      <c r="BD47" s="100">
        <v>3.6041534568552445</v>
      </c>
      <c r="BE47" s="100">
        <v>5505.7048206920708</v>
      </c>
      <c r="BF47" s="100">
        <v>16</v>
      </c>
      <c r="BG47" s="100">
        <v>24441.599999999999</v>
      </c>
      <c r="BH47" s="100">
        <v>4.4924161967303622</v>
      </c>
      <c r="BI47" s="100">
        <v>6862.6149821253011</v>
      </c>
      <c r="BJ47" s="100">
        <v>12.476911662540537</v>
      </c>
      <c r="BK47" s="100">
        <v>19059.730255696923</v>
      </c>
      <c r="BL47" s="100">
        <v>10.899321739938628</v>
      </c>
      <c r="BM47" s="100">
        <v>16649.803889930248</v>
      </c>
      <c r="BN47" s="100">
        <v>16.246482075205318</v>
      </c>
      <c r="BO47" s="100">
        <v>24818.126018083643</v>
      </c>
      <c r="BP47" s="100">
        <v>14.059965032280806</v>
      </c>
      <c r="BQ47" s="100">
        <v>21478.002583312158</v>
      </c>
      <c r="BR47" s="100">
        <v>13.774025387743883</v>
      </c>
      <c r="BS47" s="100">
        <v>21041.201182317556</v>
      </c>
      <c r="BT47" s="100">
        <v>10.746413185786853</v>
      </c>
      <c r="BU47" s="100">
        <v>16416.220782607994</v>
      </c>
      <c r="BV47" s="100">
        <v>7.2196047250429807</v>
      </c>
      <c r="BW47" s="100">
        <v>11028.668177975656</v>
      </c>
      <c r="BX47" s="100">
        <v>1.1643729417396566E-3</v>
      </c>
      <c r="BY47" s="100">
        <v>1.7786961058014994</v>
      </c>
      <c r="BZ47" s="100">
        <v>2.8920984951657833</v>
      </c>
      <c r="CA47" s="100">
        <v>4417.9696612152502</v>
      </c>
      <c r="CB47" s="100">
        <v>13.506789159843946</v>
      </c>
      <c r="CC47" s="100">
        <v>20632.971120577611</v>
      </c>
      <c r="CD47" s="100">
        <v>14.681448109394193</v>
      </c>
      <c r="CE47" s="100">
        <v>22427.380131910566</v>
      </c>
      <c r="CF47" s="100">
        <v>5.3694613976952672</v>
      </c>
      <c r="CG47" s="100">
        <v>8202.3892311192903</v>
      </c>
      <c r="CH47" s="100">
        <v>16.876689799862184</v>
      </c>
      <c r="CI47" s="100">
        <v>25780.831338269472</v>
      </c>
      <c r="CJ47" s="100">
        <v>17</v>
      </c>
      <c r="CK47" s="100">
        <v>25969.199999999997</v>
      </c>
      <c r="CL47" s="100">
        <v>5.142230333532483</v>
      </c>
      <c r="CM47" s="100">
        <v>7855.2710575042211</v>
      </c>
      <c r="CN47" s="100">
        <v>8.3725940601314067E-4</v>
      </c>
      <c r="CO47" s="100">
        <v>1.2789974686256735</v>
      </c>
      <c r="CP47" s="100">
        <v>14.000320739835669</v>
      </c>
      <c r="CQ47" s="100">
        <v>21386.889962172965</v>
      </c>
      <c r="CR47" s="100">
        <v>12.010079100993829</v>
      </c>
      <c r="CS47" s="100">
        <v>18346.596834678174</v>
      </c>
      <c r="CT47" s="100">
        <v>10.41156401518406</v>
      </c>
      <c r="CU47" s="100">
        <v>15904.70518959517</v>
      </c>
    </row>
    <row r="48" spans="2:99">
      <c r="C48" s="99" t="s">
        <v>214</v>
      </c>
      <c r="D48" s="100">
        <v>13.194582332555523</v>
      </c>
      <c r="E48" s="100">
        <v>11447.619631725172</v>
      </c>
      <c r="F48" s="100">
        <v>3.3114342285316711</v>
      </c>
      <c r="G48" s="100">
        <v>2873.000336674078</v>
      </c>
      <c r="H48" s="100">
        <v>13.089852921419489</v>
      </c>
      <c r="I48" s="100">
        <v>11356.75639462355</v>
      </c>
      <c r="J48" s="100">
        <v>12</v>
      </c>
      <c r="K48" s="100">
        <v>10411.200000000001</v>
      </c>
      <c r="L48" s="100">
        <v>14</v>
      </c>
      <c r="M48" s="100">
        <v>12146.4</v>
      </c>
      <c r="N48" s="100">
        <v>14</v>
      </c>
      <c r="O48" s="100">
        <v>12146.4</v>
      </c>
      <c r="P48" s="100">
        <v>16.650921775176151</v>
      </c>
      <c r="Q48" s="100">
        <v>14446.339732142829</v>
      </c>
      <c r="R48" s="100">
        <v>2.8080040925619678</v>
      </c>
      <c r="S48" s="100">
        <v>2436.2243507067633</v>
      </c>
      <c r="T48" s="100">
        <v>14</v>
      </c>
      <c r="U48" s="100">
        <v>12146.4</v>
      </c>
      <c r="V48" s="100">
        <v>16</v>
      </c>
      <c r="W48" s="100">
        <v>13881.6</v>
      </c>
      <c r="X48" s="100">
        <v>0.63434826374300446</v>
      </c>
      <c r="Y48" s="100">
        <v>550.36055362343063</v>
      </c>
      <c r="Z48" s="100">
        <v>14</v>
      </c>
      <c r="AA48" s="100">
        <v>12146.4</v>
      </c>
      <c r="AB48" s="100">
        <v>16</v>
      </c>
      <c r="AC48" s="100">
        <v>13881.6</v>
      </c>
      <c r="AD48" s="100">
        <v>7.0746132107709672</v>
      </c>
      <c r="AE48" s="100">
        <v>6137.9344216648915</v>
      </c>
      <c r="AF48" s="100">
        <v>8.7851979788484869</v>
      </c>
      <c r="AG48" s="100">
        <v>7622.037766448947</v>
      </c>
      <c r="AH48" s="100">
        <v>15.250146862714004</v>
      </c>
      <c r="AI48" s="100">
        <v>13231.027418090671</v>
      </c>
      <c r="AJ48" s="100">
        <v>1.1425868189522139</v>
      </c>
      <c r="AK48" s="100">
        <v>991.3083241229408</v>
      </c>
      <c r="AL48" s="100">
        <v>12.42398190376068</v>
      </c>
      <c r="AM48" s="100">
        <v>10779.046699702767</v>
      </c>
      <c r="AN48" s="100">
        <v>14.67977033611816</v>
      </c>
      <c r="AO48" s="100">
        <v>12736.168743616116</v>
      </c>
      <c r="AP48" s="100">
        <v>8.4652511701255406</v>
      </c>
      <c r="AQ48" s="100">
        <v>7344.4519152009188</v>
      </c>
      <c r="AR48" s="100">
        <v>1.2756882120845412E-3</v>
      </c>
      <c r="AS48" s="100">
        <v>1.106787092804548</v>
      </c>
      <c r="AT48" s="100">
        <v>17.000358727945397</v>
      </c>
      <c r="AU48" s="100">
        <v>14749.511232365427</v>
      </c>
      <c r="AV48" s="100">
        <v>12</v>
      </c>
      <c r="AW48" s="100">
        <v>10411.200000000001</v>
      </c>
      <c r="AX48" s="100">
        <v>13</v>
      </c>
      <c r="AY48" s="100">
        <v>11278.800000000001</v>
      </c>
      <c r="AZ48" s="100">
        <v>1.0534205594128367</v>
      </c>
      <c r="BA48" s="100">
        <v>913.94767734657717</v>
      </c>
      <c r="BB48" s="100">
        <v>17</v>
      </c>
      <c r="BC48" s="100">
        <v>14749.2</v>
      </c>
      <c r="BD48" s="100">
        <v>3.9318037711148124</v>
      </c>
      <c r="BE48" s="100">
        <v>3411.2329518192114</v>
      </c>
      <c r="BF48" s="100">
        <v>17</v>
      </c>
      <c r="BG48" s="100">
        <v>14749.2</v>
      </c>
      <c r="BH48" s="100">
        <v>4.7043304511880324</v>
      </c>
      <c r="BI48" s="100">
        <v>4081.4770994507371</v>
      </c>
      <c r="BJ48" s="100">
        <v>13.549801736077505</v>
      </c>
      <c r="BK48" s="100">
        <v>11755.807986220843</v>
      </c>
      <c r="BL48" s="100">
        <v>11.807598551600181</v>
      </c>
      <c r="BM48" s="100">
        <v>10244.272503368318</v>
      </c>
      <c r="BN48" s="100">
        <v>15.454279466949696</v>
      </c>
      <c r="BO48" s="100">
        <v>13408.132865525557</v>
      </c>
      <c r="BP48" s="100">
        <v>14.059965032280806</v>
      </c>
      <c r="BQ48" s="100">
        <v>12198.425662006828</v>
      </c>
      <c r="BR48" s="100">
        <v>16.069696285701198</v>
      </c>
      <c r="BS48" s="100">
        <v>13942.06849747436</v>
      </c>
      <c r="BT48" s="100">
        <v>9.9788122439449349</v>
      </c>
      <c r="BU48" s="100">
        <v>8657.6175028466259</v>
      </c>
      <c r="BV48" s="100">
        <v>7.1507000345446148</v>
      </c>
      <c r="BW48" s="100">
        <v>6203.9473499709084</v>
      </c>
      <c r="BX48" s="100">
        <v>1.1643729417396566E-3</v>
      </c>
      <c r="BY48" s="100">
        <v>1.0102099642533262</v>
      </c>
      <c r="BZ48" s="100">
        <v>2.8920980523398776</v>
      </c>
      <c r="CA48" s="100">
        <v>2509.184270210078</v>
      </c>
      <c r="CB48" s="100">
        <v>14.741976017891711</v>
      </c>
      <c r="CC48" s="100">
        <v>12790.138393122848</v>
      </c>
      <c r="CD48" s="100">
        <v>13.95402735315187</v>
      </c>
      <c r="CE48" s="100">
        <v>12106.514131594564</v>
      </c>
      <c r="CF48" s="100">
        <v>5.3694613976952672</v>
      </c>
      <c r="CG48" s="100">
        <v>4658.5447086404138</v>
      </c>
      <c r="CH48" s="100">
        <v>16.876689799862184</v>
      </c>
      <c r="CI48" s="100">
        <v>14642.216070360431</v>
      </c>
      <c r="CJ48" s="100">
        <v>20</v>
      </c>
      <c r="CK48" s="100">
        <v>17352</v>
      </c>
      <c r="CL48" s="100">
        <v>5.5707495279935229</v>
      </c>
      <c r="CM48" s="100">
        <v>4833.1822904871806</v>
      </c>
      <c r="CN48" s="100">
        <v>9.051308086050091E-4</v>
      </c>
      <c r="CO48" s="100">
        <v>0.78529148954570593</v>
      </c>
      <c r="CP48" s="100">
        <v>15.000280647356211</v>
      </c>
      <c r="CQ48" s="100">
        <v>13014.243489646249</v>
      </c>
      <c r="CR48" s="100">
        <v>14.412094921192596</v>
      </c>
      <c r="CS48" s="100">
        <v>12503.933553626697</v>
      </c>
      <c r="CT48" s="100">
        <v>10.41156401518406</v>
      </c>
      <c r="CU48" s="100">
        <v>9033.0729395736907</v>
      </c>
    </row>
    <row r="49" spans="2:99">
      <c r="B49" s="99" t="s">
        <v>129</v>
      </c>
      <c r="C49" s="99" t="s">
        <v>215</v>
      </c>
      <c r="D49" s="100">
        <v>2.1629079595596665</v>
      </c>
      <c r="E49" s="100">
        <v>2130.8969217581835</v>
      </c>
      <c r="F49" s="100">
        <v>0.47544107757207121</v>
      </c>
      <c r="G49" s="100">
        <v>468.40454962400452</v>
      </c>
      <c r="H49" s="100">
        <v>7.2319912837539118</v>
      </c>
      <c r="I49" s="100">
        <v>7124.9578127543537</v>
      </c>
      <c r="J49" s="100">
        <v>6</v>
      </c>
      <c r="K49" s="100">
        <v>5911.2</v>
      </c>
      <c r="L49" s="100">
        <v>6</v>
      </c>
      <c r="M49" s="100">
        <v>5911.2</v>
      </c>
      <c r="N49" s="100">
        <v>9.4149481901890777</v>
      </c>
      <c r="O49" s="100">
        <v>9275.6069569742795</v>
      </c>
      <c r="P49" s="100">
        <v>11</v>
      </c>
      <c r="Q49" s="100">
        <v>10837.199999999999</v>
      </c>
      <c r="R49" s="100">
        <v>11</v>
      </c>
      <c r="S49" s="100">
        <v>10837.199999999999</v>
      </c>
      <c r="T49" s="100">
        <v>8</v>
      </c>
      <c r="U49" s="100">
        <v>7881.5999999999995</v>
      </c>
      <c r="V49" s="100">
        <v>6.9498896508743302</v>
      </c>
      <c r="W49" s="100">
        <v>6847.0312840413899</v>
      </c>
      <c r="X49" s="100">
        <v>3.6291392619286657E-4</v>
      </c>
      <c r="Y49" s="100">
        <v>0.35754280008521211</v>
      </c>
      <c r="Z49" s="100">
        <v>9</v>
      </c>
      <c r="AA49" s="100">
        <v>8866.7999999999993</v>
      </c>
      <c r="AB49" s="100">
        <v>9</v>
      </c>
      <c r="AC49" s="100">
        <v>8866.7999999999993</v>
      </c>
      <c r="AD49" s="100">
        <v>10</v>
      </c>
      <c r="AE49" s="100">
        <v>9852</v>
      </c>
      <c r="AF49" s="100">
        <v>9.172772717931414</v>
      </c>
      <c r="AG49" s="100">
        <v>9037.0156817060288</v>
      </c>
      <c r="AH49" s="100">
        <v>6</v>
      </c>
      <c r="AI49" s="100">
        <v>5911.2</v>
      </c>
      <c r="AJ49" s="100">
        <v>5</v>
      </c>
      <c r="AK49" s="100">
        <v>4926</v>
      </c>
      <c r="AL49" s="100">
        <v>6</v>
      </c>
      <c r="AM49" s="100">
        <v>5911.2</v>
      </c>
      <c r="AN49" s="100">
        <v>0.16870046688163176</v>
      </c>
      <c r="AO49" s="100">
        <v>166.20369997178361</v>
      </c>
      <c r="AP49" s="100">
        <v>8.7174819315008882</v>
      </c>
      <c r="AQ49" s="100">
        <v>8588.4631989146746</v>
      </c>
      <c r="AR49" s="100">
        <v>7.183767214542975</v>
      </c>
      <c r="AS49" s="100">
        <v>7077.4474597677381</v>
      </c>
      <c r="AT49" s="100">
        <v>8</v>
      </c>
      <c r="AU49" s="100">
        <v>7881.5999999999995</v>
      </c>
      <c r="AV49" s="100">
        <v>8</v>
      </c>
      <c r="AW49" s="100">
        <v>7881.5999999999995</v>
      </c>
      <c r="AX49" s="100">
        <v>6</v>
      </c>
      <c r="AY49" s="100">
        <v>5911.2</v>
      </c>
      <c r="AZ49" s="100">
        <v>8</v>
      </c>
      <c r="BA49" s="100">
        <v>7881.5999999999995</v>
      </c>
      <c r="BB49" s="100">
        <v>4.7862932683207902</v>
      </c>
      <c r="BC49" s="100">
        <v>4715.456127949642</v>
      </c>
      <c r="BD49" s="100">
        <v>7</v>
      </c>
      <c r="BE49" s="100">
        <v>6896.4</v>
      </c>
      <c r="BF49" s="100">
        <v>4.5983624873593376</v>
      </c>
      <c r="BG49" s="100">
        <v>4530.3067225464192</v>
      </c>
      <c r="BH49" s="100">
        <v>10.255083176657919</v>
      </c>
      <c r="BI49" s="100">
        <v>10103.307945643381</v>
      </c>
      <c r="BJ49" s="100">
        <v>9.6009313955866631</v>
      </c>
      <c r="BK49" s="100">
        <v>9458.8376109319797</v>
      </c>
      <c r="BL49" s="100">
        <v>7</v>
      </c>
      <c r="BM49" s="100">
        <v>6896.4</v>
      </c>
      <c r="BN49" s="100">
        <v>7</v>
      </c>
      <c r="BO49" s="100">
        <v>6896.4</v>
      </c>
      <c r="BP49" s="100">
        <v>9</v>
      </c>
      <c r="BQ49" s="100">
        <v>8866.7999999999993</v>
      </c>
      <c r="BR49" s="100">
        <v>8</v>
      </c>
      <c r="BS49" s="100">
        <v>7881.5999999999995</v>
      </c>
      <c r="BT49" s="100">
        <v>10.511047371680432</v>
      </c>
      <c r="BU49" s="100">
        <v>10355.483870579561</v>
      </c>
      <c r="BV49" s="100">
        <v>8</v>
      </c>
      <c r="BW49" s="100">
        <v>7881.5999999999995</v>
      </c>
      <c r="BX49" s="100">
        <v>1.5436306031940883</v>
      </c>
      <c r="BY49" s="100">
        <v>1520.7848702668157</v>
      </c>
      <c r="BZ49" s="100">
        <v>8.0244026181131662</v>
      </c>
      <c r="CA49" s="100">
        <v>7905.6414593650907</v>
      </c>
      <c r="CB49" s="100">
        <v>6</v>
      </c>
      <c r="CC49" s="100">
        <v>5911.2</v>
      </c>
      <c r="CD49" s="100">
        <v>9</v>
      </c>
      <c r="CE49" s="100">
        <v>8866.7999999999993</v>
      </c>
      <c r="CF49" s="100">
        <v>6</v>
      </c>
      <c r="CG49" s="100">
        <v>5911.2</v>
      </c>
      <c r="CH49" s="100">
        <v>5.8018598801796655</v>
      </c>
      <c r="CI49" s="100">
        <v>5715.9923539530064</v>
      </c>
      <c r="CJ49" s="100">
        <v>4.5401291828970871E-4</v>
      </c>
      <c r="CK49" s="100">
        <v>0.44729352709902098</v>
      </c>
      <c r="CL49" s="100">
        <v>8.6680070116943124</v>
      </c>
      <c r="CM49" s="100">
        <v>8539.7205079212363</v>
      </c>
      <c r="CN49" s="100">
        <v>9.9306367728890113</v>
      </c>
      <c r="CO49" s="100">
        <v>9783.6633486502524</v>
      </c>
      <c r="CP49" s="100">
        <v>7.5812312689951975</v>
      </c>
      <c r="CQ49" s="100">
        <v>7469.0290462140683</v>
      </c>
      <c r="CR49" s="100">
        <v>8.2978723404254691</v>
      </c>
      <c r="CS49" s="100">
        <v>8175.0638297871719</v>
      </c>
      <c r="CT49" s="100">
        <v>6</v>
      </c>
      <c r="CU49" s="100">
        <v>5911.2</v>
      </c>
    </row>
    <row r="50" spans="2:99">
      <c r="C50" s="99" t="s">
        <v>216</v>
      </c>
      <c r="D50" s="100">
        <v>5.3747383880984474</v>
      </c>
      <c r="E50" s="100">
        <v>1515.6762254437622</v>
      </c>
      <c r="F50" s="100">
        <v>1.8318298904574497</v>
      </c>
      <c r="G50" s="100">
        <v>516.57602910900084</v>
      </c>
      <c r="H50" s="100">
        <v>8.6054738452330497</v>
      </c>
      <c r="I50" s="100">
        <v>2426.7436243557199</v>
      </c>
      <c r="J50" s="100">
        <v>7</v>
      </c>
      <c r="K50" s="100">
        <v>1974</v>
      </c>
      <c r="L50" s="100">
        <v>7</v>
      </c>
      <c r="M50" s="100">
        <v>1974</v>
      </c>
      <c r="N50" s="100">
        <v>13</v>
      </c>
      <c r="O50" s="100">
        <v>3666</v>
      </c>
      <c r="P50" s="100">
        <v>11.100614516784102</v>
      </c>
      <c r="Q50" s="100">
        <v>3130.373293733117</v>
      </c>
      <c r="R50" s="100">
        <v>3.0632771918857831</v>
      </c>
      <c r="S50" s="100">
        <v>863.84416811179085</v>
      </c>
      <c r="T50" s="100">
        <v>9</v>
      </c>
      <c r="U50" s="100">
        <v>2538</v>
      </c>
      <c r="V50" s="100">
        <v>7</v>
      </c>
      <c r="W50" s="100">
        <v>1974</v>
      </c>
      <c r="X50" s="100">
        <v>0.26999557528093132</v>
      </c>
      <c r="Y50" s="100">
        <v>76.138752229222632</v>
      </c>
      <c r="Z50" s="100">
        <v>11</v>
      </c>
      <c r="AA50" s="100">
        <v>3102</v>
      </c>
      <c r="AB50" s="100">
        <v>10</v>
      </c>
      <c r="AC50" s="100">
        <v>2820</v>
      </c>
      <c r="AD50" s="100">
        <v>5.5586246656057599</v>
      </c>
      <c r="AE50" s="100">
        <v>1567.5321557008242</v>
      </c>
      <c r="AF50" s="100">
        <v>5.8998762597796937</v>
      </c>
      <c r="AG50" s="100">
        <v>1663.7651052578735</v>
      </c>
      <c r="AH50" s="100">
        <v>6.9376101470355032</v>
      </c>
      <c r="AI50" s="100">
        <v>1956.4060614640118</v>
      </c>
      <c r="AJ50" s="100">
        <v>0.63467218102734069</v>
      </c>
      <c r="AK50" s="100">
        <v>178.97755504971008</v>
      </c>
      <c r="AL50" s="100">
        <v>6.3360695456003082</v>
      </c>
      <c r="AM50" s="100">
        <v>1786.7716118592868</v>
      </c>
      <c r="AN50" s="100">
        <v>5.7708342514980941</v>
      </c>
      <c r="AO50" s="100">
        <v>1627.3752589224625</v>
      </c>
      <c r="AP50" s="100">
        <v>4.8808605307766584</v>
      </c>
      <c r="AQ50" s="100">
        <v>1376.4026696790177</v>
      </c>
      <c r="AR50" s="100">
        <v>5.6697253870424051E-4</v>
      </c>
      <c r="AS50" s="100">
        <v>0.15988625591459582</v>
      </c>
      <c r="AT50" s="100">
        <v>8.0002690459590475</v>
      </c>
      <c r="AU50" s="100">
        <v>2256.0758709604515</v>
      </c>
      <c r="AV50" s="100">
        <v>8</v>
      </c>
      <c r="AW50" s="100">
        <v>2256</v>
      </c>
      <c r="AX50" s="100">
        <v>7</v>
      </c>
      <c r="AY50" s="100">
        <v>1974</v>
      </c>
      <c r="AZ50" s="100">
        <v>0.7661240432093358</v>
      </c>
      <c r="BA50" s="100">
        <v>216.04698018503271</v>
      </c>
      <c r="BB50" s="100">
        <v>7</v>
      </c>
      <c r="BC50" s="100">
        <v>1974</v>
      </c>
      <c r="BD50" s="100">
        <v>2.2935521998169737</v>
      </c>
      <c r="BE50" s="100">
        <v>646.78172034838656</v>
      </c>
      <c r="BF50" s="100">
        <v>9</v>
      </c>
      <c r="BG50" s="100">
        <v>2538</v>
      </c>
      <c r="BH50" s="100">
        <v>2.6135169173266846</v>
      </c>
      <c r="BI50" s="100">
        <v>737.01177068612503</v>
      </c>
      <c r="BJ50" s="100">
        <v>8.1853513683926611</v>
      </c>
      <c r="BK50" s="100">
        <v>2308.2690858867304</v>
      </c>
      <c r="BL50" s="100">
        <v>6.3579376816308661</v>
      </c>
      <c r="BM50" s="100">
        <v>1792.9384262199042</v>
      </c>
      <c r="BN50" s="100">
        <v>5.1556455596266053</v>
      </c>
      <c r="BO50" s="100">
        <v>1453.8920478147027</v>
      </c>
      <c r="BP50" s="100">
        <v>9.7571178802005765</v>
      </c>
      <c r="BQ50" s="100">
        <v>2751.5072422165626</v>
      </c>
      <c r="BR50" s="100">
        <v>6.1217890612195038</v>
      </c>
      <c r="BS50" s="100">
        <v>1726.3445152639001</v>
      </c>
      <c r="BT50" s="100">
        <v>8.443610360261097</v>
      </c>
      <c r="BU50" s="100">
        <v>2381.0981215936295</v>
      </c>
      <c r="BV50" s="100">
        <v>6.3430584345570651</v>
      </c>
      <c r="BW50" s="100">
        <v>1788.7424785450924</v>
      </c>
      <c r="BX50" s="100">
        <v>5.0941316201109986E-4</v>
      </c>
      <c r="BY50" s="100">
        <v>0.14365451168713017</v>
      </c>
      <c r="BZ50" s="100">
        <v>1.8404628641765008</v>
      </c>
      <c r="CA50" s="100">
        <v>519.01052769777323</v>
      </c>
      <c r="CB50" s="100">
        <v>4.7327272509809992</v>
      </c>
      <c r="CC50" s="100">
        <v>1334.6290847766418</v>
      </c>
      <c r="CD50" s="100">
        <v>8.545158487515355</v>
      </c>
      <c r="CE50" s="100">
        <v>2409.73469347933</v>
      </c>
      <c r="CF50" s="100">
        <v>3.2216768386171601</v>
      </c>
      <c r="CG50" s="100">
        <v>908.51286849003918</v>
      </c>
      <c r="CH50" s="100">
        <v>6.563157144390849</v>
      </c>
      <c r="CI50" s="100">
        <v>1850.8103147182194</v>
      </c>
      <c r="CJ50" s="100">
        <v>8</v>
      </c>
      <c r="CK50" s="100">
        <v>2256</v>
      </c>
      <c r="CL50" s="100">
        <v>3.428153555688322</v>
      </c>
      <c r="CM50" s="100">
        <v>966.73930270410676</v>
      </c>
      <c r="CN50" s="100">
        <v>6.2949927552649533E-4</v>
      </c>
      <c r="CO50" s="100">
        <v>0.17751879569847168</v>
      </c>
      <c r="CP50" s="100">
        <v>8.0002405548767523</v>
      </c>
      <c r="CQ50" s="100">
        <v>2256.0678364752443</v>
      </c>
      <c r="CR50" s="100">
        <v>8.8073913407288078</v>
      </c>
      <c r="CS50" s="100">
        <v>2483.6843580855239</v>
      </c>
      <c r="CT50" s="100">
        <v>5.6062267774068024</v>
      </c>
      <c r="CU50" s="100">
        <v>1580.9559512287183</v>
      </c>
    </row>
    <row r="51" spans="2:99">
      <c r="C51" s="99" t="s">
        <v>217</v>
      </c>
      <c r="D51" s="100">
        <v>4.7249249093600252</v>
      </c>
      <c r="E51" s="100">
        <v>4036.9758425572054</v>
      </c>
      <c r="F51" s="100">
        <v>1.8318298904574497</v>
      </c>
      <c r="G51" s="100">
        <v>1565.1154584068449</v>
      </c>
      <c r="H51" s="100">
        <v>8.6054738452330497</v>
      </c>
      <c r="I51" s="100">
        <v>7352.5168533671176</v>
      </c>
      <c r="J51" s="100">
        <v>6</v>
      </c>
      <c r="K51" s="100">
        <v>5126.3999999999996</v>
      </c>
      <c r="L51" s="100">
        <v>6</v>
      </c>
      <c r="M51" s="100">
        <v>5126.3999999999996</v>
      </c>
      <c r="N51" s="100">
        <v>10</v>
      </c>
      <c r="O51" s="100">
        <v>8544</v>
      </c>
      <c r="P51" s="100">
        <v>10.175563307052093</v>
      </c>
      <c r="Q51" s="100">
        <v>8694.0012895453074</v>
      </c>
      <c r="R51" s="100">
        <v>2.8080040925619678</v>
      </c>
      <c r="S51" s="100">
        <v>2399.1586966849454</v>
      </c>
      <c r="T51" s="100">
        <v>9</v>
      </c>
      <c r="U51" s="100">
        <v>7689.5999999999995</v>
      </c>
      <c r="V51" s="100">
        <v>6</v>
      </c>
      <c r="W51" s="100">
        <v>5126.3999999999996</v>
      </c>
      <c r="X51" s="100">
        <v>0.2119823381698922</v>
      </c>
      <c r="Y51" s="100">
        <v>181.11770973235591</v>
      </c>
      <c r="Z51" s="100">
        <v>11</v>
      </c>
      <c r="AA51" s="100">
        <v>9398.4</v>
      </c>
      <c r="AB51" s="100">
        <v>8</v>
      </c>
      <c r="AC51" s="100">
        <v>6835.2</v>
      </c>
      <c r="AD51" s="100">
        <v>5.0532951505506905</v>
      </c>
      <c r="AE51" s="100">
        <v>4317.5353766305097</v>
      </c>
      <c r="AF51" s="100">
        <v>6.0355827816498913</v>
      </c>
      <c r="AG51" s="100">
        <v>5156.8019286416666</v>
      </c>
      <c r="AH51" s="100">
        <v>7.0938785048747537</v>
      </c>
      <c r="AI51" s="100">
        <v>6061.0097945649895</v>
      </c>
      <c r="AJ51" s="100">
        <v>0.63467218102734069</v>
      </c>
      <c r="AK51" s="100">
        <v>542.26391146975982</v>
      </c>
      <c r="AL51" s="100">
        <v>5.5195443203145285</v>
      </c>
      <c r="AM51" s="100">
        <v>4715.8986672767332</v>
      </c>
      <c r="AN51" s="100">
        <v>5.7708342514980941</v>
      </c>
      <c r="AO51" s="100">
        <v>4930.6007844799715</v>
      </c>
      <c r="AP51" s="100">
        <v>3.9042497047371034</v>
      </c>
      <c r="AQ51" s="100">
        <v>3335.7909477273811</v>
      </c>
      <c r="AR51" s="100">
        <v>6.378441060422706E-4</v>
      </c>
      <c r="AS51" s="100">
        <v>0.54497400420251596</v>
      </c>
      <c r="AT51" s="100">
        <v>7.0002242049658729</v>
      </c>
      <c r="AU51" s="100">
        <v>5980.9915607228413</v>
      </c>
      <c r="AV51" s="100">
        <v>8</v>
      </c>
      <c r="AW51" s="100">
        <v>6835.2</v>
      </c>
      <c r="AX51" s="100">
        <v>6</v>
      </c>
      <c r="AY51" s="100">
        <v>5126.3999999999996</v>
      </c>
      <c r="AZ51" s="100">
        <v>0.7661240432093358</v>
      </c>
      <c r="BA51" s="100">
        <v>654.57638251805645</v>
      </c>
      <c r="BB51" s="100">
        <v>8</v>
      </c>
      <c r="BC51" s="100">
        <v>6835.2</v>
      </c>
      <c r="BD51" s="100">
        <v>2.2935521998169737</v>
      </c>
      <c r="BE51" s="100">
        <v>1959.6109995236222</v>
      </c>
      <c r="BF51" s="100">
        <v>8</v>
      </c>
      <c r="BG51" s="100">
        <v>6835.2</v>
      </c>
      <c r="BH51" s="100">
        <v>2.6135169173266846</v>
      </c>
      <c r="BI51" s="100">
        <v>2232.9888541639193</v>
      </c>
      <c r="BJ51" s="100">
        <v>8.1853513683926611</v>
      </c>
      <c r="BK51" s="100">
        <v>6993.5642091546897</v>
      </c>
      <c r="BL51" s="100">
        <v>6.3579376816308661</v>
      </c>
      <c r="BM51" s="100">
        <v>5432.2219551854123</v>
      </c>
      <c r="BN51" s="100">
        <v>5.2361315416451806</v>
      </c>
      <c r="BO51" s="100">
        <v>4473.7507891816422</v>
      </c>
      <c r="BP51" s="100">
        <v>10.757117880200576</v>
      </c>
      <c r="BQ51" s="100">
        <v>9190.8815168433721</v>
      </c>
      <c r="BR51" s="100">
        <v>6.8870126938719416</v>
      </c>
      <c r="BS51" s="100">
        <v>5884.2636456441869</v>
      </c>
      <c r="BT51" s="100">
        <v>8.443610360261097</v>
      </c>
      <c r="BU51" s="100">
        <v>7214.2206918070815</v>
      </c>
      <c r="BV51" s="100">
        <v>5.6004265549032572</v>
      </c>
      <c r="BW51" s="100">
        <v>4785.0044485093431</v>
      </c>
      <c r="BX51" s="100">
        <v>4.3663985315237124E-4</v>
      </c>
      <c r="BY51" s="100">
        <v>0.37306509053338599</v>
      </c>
      <c r="BZ51" s="100">
        <v>1.5775512871511583</v>
      </c>
      <c r="CA51" s="100">
        <v>1347.8598197419497</v>
      </c>
      <c r="CB51" s="100">
        <v>4.7312237343965418</v>
      </c>
      <c r="CC51" s="100">
        <v>4042.3575586684051</v>
      </c>
      <c r="CD51" s="100">
        <v>9.545158487515355</v>
      </c>
      <c r="CE51" s="100">
        <v>8155.3834117331189</v>
      </c>
      <c r="CF51" s="100">
        <v>3.7586229783866871</v>
      </c>
      <c r="CG51" s="100">
        <v>3211.3674727335856</v>
      </c>
      <c r="CH51" s="100">
        <v>6.563157144390849</v>
      </c>
      <c r="CI51" s="100">
        <v>5607.5614641675411</v>
      </c>
      <c r="CJ51" s="100">
        <v>7</v>
      </c>
      <c r="CK51" s="100">
        <v>5980.8</v>
      </c>
      <c r="CL51" s="100">
        <v>3.428153555688322</v>
      </c>
      <c r="CM51" s="100">
        <v>2929.0143979801023</v>
      </c>
      <c r="CN51" s="100">
        <v>6.2742631417097541E-4</v>
      </c>
      <c r="CO51" s="100">
        <v>0.53607304282768142</v>
      </c>
      <c r="CP51" s="100">
        <v>8.0002405548767523</v>
      </c>
      <c r="CQ51" s="100">
        <v>6835.4055300866967</v>
      </c>
      <c r="CR51" s="100">
        <v>7.2060474605962979</v>
      </c>
      <c r="CS51" s="100">
        <v>6156.8469503334763</v>
      </c>
      <c r="CT51" s="100">
        <v>5.6062267774068024</v>
      </c>
      <c r="CU51" s="100">
        <v>4789.9601586163717</v>
      </c>
    </row>
    <row r="52" spans="2:99">
      <c r="C52" s="99" t="s">
        <v>218</v>
      </c>
      <c r="D52" s="100">
        <v>5.3762105347381803</v>
      </c>
      <c r="E52" s="100">
        <v>2903.1536887586176</v>
      </c>
      <c r="F52" s="100">
        <v>1.8210020664635296</v>
      </c>
      <c r="G52" s="100">
        <v>983.34111589030601</v>
      </c>
      <c r="H52" s="100">
        <v>8.6054738452330497</v>
      </c>
      <c r="I52" s="100">
        <v>4646.9558764258472</v>
      </c>
      <c r="J52" s="100">
        <v>7</v>
      </c>
      <c r="K52" s="100">
        <v>3780</v>
      </c>
      <c r="L52" s="100">
        <v>6</v>
      </c>
      <c r="M52" s="100">
        <v>3240</v>
      </c>
      <c r="N52" s="100">
        <v>11</v>
      </c>
      <c r="O52" s="100">
        <v>5940</v>
      </c>
      <c r="P52" s="100">
        <v>10.175563307052093</v>
      </c>
      <c r="Q52" s="100">
        <v>5494.8041858081297</v>
      </c>
      <c r="R52" s="100">
        <v>3.0632771918857831</v>
      </c>
      <c r="S52" s="100">
        <v>1654.1696836183228</v>
      </c>
      <c r="T52" s="100">
        <v>9</v>
      </c>
      <c r="U52" s="100">
        <v>4860</v>
      </c>
      <c r="V52" s="100">
        <v>7</v>
      </c>
      <c r="W52" s="100">
        <v>3780</v>
      </c>
      <c r="X52" s="100">
        <v>0.26999557528093132</v>
      </c>
      <c r="Y52" s="100">
        <v>145.79761065170291</v>
      </c>
      <c r="Z52" s="100">
        <v>11</v>
      </c>
      <c r="AA52" s="100">
        <v>5940</v>
      </c>
      <c r="AB52" s="100">
        <v>10</v>
      </c>
      <c r="AC52" s="100">
        <v>5400</v>
      </c>
      <c r="AD52" s="100">
        <v>4.5479656354956219</v>
      </c>
      <c r="AE52" s="100">
        <v>2455.901443167636</v>
      </c>
      <c r="AF52" s="100">
        <v>5.3635238725269954</v>
      </c>
      <c r="AG52" s="100">
        <v>2896.3028911645774</v>
      </c>
      <c r="AH52" s="100">
        <v>7.0938785048747537</v>
      </c>
      <c r="AI52" s="100">
        <v>3830.694392632367</v>
      </c>
      <c r="AJ52" s="100">
        <v>0.63933414686391343</v>
      </c>
      <c r="AK52" s="100">
        <v>345.24043930651328</v>
      </c>
      <c r="AL52" s="100">
        <v>5.5195443203145285</v>
      </c>
      <c r="AM52" s="100">
        <v>2980.5539329698454</v>
      </c>
      <c r="AN52" s="100">
        <v>6.1863887226909062</v>
      </c>
      <c r="AO52" s="100">
        <v>3340.6499102530893</v>
      </c>
      <c r="AP52" s="100">
        <v>4.3925551177568813</v>
      </c>
      <c r="AQ52" s="100">
        <v>2371.9797635887157</v>
      </c>
      <c r="AR52" s="100">
        <v>5.6697253870424051E-4</v>
      </c>
      <c r="AS52" s="100">
        <v>0.30616517090028988</v>
      </c>
      <c r="AT52" s="100">
        <v>8.0002690459590475</v>
      </c>
      <c r="AU52" s="100">
        <v>4320.145284817886</v>
      </c>
      <c r="AV52" s="100">
        <v>8</v>
      </c>
      <c r="AW52" s="100">
        <v>4320</v>
      </c>
      <c r="AX52" s="100">
        <v>7</v>
      </c>
      <c r="AY52" s="100">
        <v>3780</v>
      </c>
      <c r="AZ52" s="100">
        <v>0.86188954861050271</v>
      </c>
      <c r="BA52" s="100">
        <v>465.42035624967144</v>
      </c>
      <c r="BB52" s="100">
        <v>7</v>
      </c>
      <c r="BC52" s="100">
        <v>3780</v>
      </c>
      <c r="BD52" s="100">
        <v>2.2935521998169737</v>
      </c>
      <c r="BE52" s="100">
        <v>1238.5181879011657</v>
      </c>
      <c r="BF52" s="100">
        <v>8</v>
      </c>
      <c r="BG52" s="100">
        <v>4320</v>
      </c>
      <c r="BH52" s="100">
        <v>3.1362203007920217</v>
      </c>
      <c r="BI52" s="100">
        <v>1693.5589624276918</v>
      </c>
      <c r="BJ52" s="100">
        <v>8.1853513683926611</v>
      </c>
      <c r="BK52" s="100">
        <v>4420.0897389320371</v>
      </c>
      <c r="BL52" s="100">
        <v>6.3579376816308661</v>
      </c>
      <c r="BM52" s="100">
        <v>3433.2863480806677</v>
      </c>
      <c r="BN52" s="100">
        <v>5.2361315416451806</v>
      </c>
      <c r="BO52" s="100">
        <v>2827.5110324883976</v>
      </c>
      <c r="BP52" s="100">
        <v>11.757117880200576</v>
      </c>
      <c r="BQ52" s="100">
        <v>6348.8436553083111</v>
      </c>
      <c r="BR52" s="100">
        <v>6.8870126938719416</v>
      </c>
      <c r="BS52" s="100">
        <v>3718.9868546908483</v>
      </c>
      <c r="BT52" s="100">
        <v>9.2112113021030169</v>
      </c>
      <c r="BU52" s="100">
        <v>4974.0541031356288</v>
      </c>
      <c r="BV52" s="100">
        <v>5.6693312454016223</v>
      </c>
      <c r="BW52" s="100">
        <v>3061.438872516876</v>
      </c>
      <c r="BX52" s="100">
        <v>4.3663985315237124E-4</v>
      </c>
      <c r="BY52" s="100">
        <v>0.23578552070228045</v>
      </c>
      <c r="BZ52" s="100">
        <v>1.5775517299770636</v>
      </c>
      <c r="CA52" s="100">
        <v>851.8779341876143</v>
      </c>
      <c r="CB52" s="100">
        <v>4.0482498375238984</v>
      </c>
      <c r="CC52" s="100">
        <v>2186.054912262905</v>
      </c>
      <c r="CD52" s="100">
        <v>9.545158487515355</v>
      </c>
      <c r="CE52" s="100">
        <v>5154.3855832582913</v>
      </c>
      <c r="CF52" s="100">
        <v>3.2216768386171601</v>
      </c>
      <c r="CG52" s="100">
        <v>1739.7054928532664</v>
      </c>
      <c r="CH52" s="100">
        <v>5.6255632666207278</v>
      </c>
      <c r="CI52" s="100">
        <v>3037.8041639751932</v>
      </c>
      <c r="CJ52" s="100">
        <v>7</v>
      </c>
      <c r="CK52" s="100">
        <v>3780</v>
      </c>
      <c r="CL52" s="100">
        <v>3.8566727501493623</v>
      </c>
      <c r="CM52" s="100">
        <v>2082.6032850806555</v>
      </c>
      <c r="CN52" s="100">
        <v>6.9737067811836387E-4</v>
      </c>
      <c r="CO52" s="100">
        <v>0.37658016618391649</v>
      </c>
      <c r="CP52" s="100">
        <v>8.0002405548767523</v>
      </c>
      <c r="CQ52" s="100">
        <v>4320.1298996334463</v>
      </c>
      <c r="CR52" s="100">
        <v>8.0067194006625524</v>
      </c>
      <c r="CS52" s="100">
        <v>4323.6284763577787</v>
      </c>
      <c r="CT52" s="100">
        <v>4.8626845515260708</v>
      </c>
      <c r="CU52" s="100">
        <v>2625.8496578240783</v>
      </c>
    </row>
    <row r="53" spans="2:99">
      <c r="C53" s="99" t="s">
        <v>219</v>
      </c>
      <c r="D53" s="100">
        <v>5.3762105347381803</v>
      </c>
      <c r="E53" s="100">
        <v>2187.0424455314919</v>
      </c>
      <c r="F53" s="100">
        <v>2.1190884988771579</v>
      </c>
      <c r="G53" s="100">
        <v>862.04520134322786</v>
      </c>
      <c r="H53" s="100">
        <v>8.6054738452330497</v>
      </c>
      <c r="I53" s="100">
        <v>3500.7067602408047</v>
      </c>
      <c r="J53" s="100">
        <v>7</v>
      </c>
      <c r="K53" s="100">
        <v>2847.6</v>
      </c>
      <c r="L53" s="100">
        <v>6</v>
      </c>
      <c r="M53" s="100">
        <v>2440.8000000000002</v>
      </c>
      <c r="N53" s="100">
        <v>11</v>
      </c>
      <c r="O53" s="100">
        <v>4474.8</v>
      </c>
      <c r="P53" s="100">
        <v>10.175563307052093</v>
      </c>
      <c r="Q53" s="100">
        <v>4139.4191533087915</v>
      </c>
      <c r="R53" s="100">
        <v>2.8080040925619678</v>
      </c>
      <c r="S53" s="100">
        <v>1142.2960648542085</v>
      </c>
      <c r="T53" s="100">
        <v>9</v>
      </c>
      <c r="U53" s="100">
        <v>3661.2000000000003</v>
      </c>
      <c r="V53" s="100">
        <v>8</v>
      </c>
      <c r="W53" s="100">
        <v>3254.4</v>
      </c>
      <c r="X53" s="100">
        <v>0.23142477881222689</v>
      </c>
      <c r="Y53" s="100">
        <v>94.143600020813906</v>
      </c>
      <c r="Z53" s="100">
        <v>12</v>
      </c>
      <c r="AA53" s="100">
        <v>4881.6000000000004</v>
      </c>
      <c r="AB53" s="100">
        <v>9</v>
      </c>
      <c r="AC53" s="100">
        <v>3661.2000000000003</v>
      </c>
      <c r="AD53" s="100">
        <v>5.0532951505506905</v>
      </c>
      <c r="AE53" s="100">
        <v>2055.6804672440207</v>
      </c>
      <c r="AF53" s="100">
        <v>5.8998762597796937</v>
      </c>
      <c r="AG53" s="100">
        <v>2400.0696624783795</v>
      </c>
      <c r="AH53" s="100">
        <v>6.9376101470355032</v>
      </c>
      <c r="AI53" s="100">
        <v>2822.2198078140427</v>
      </c>
      <c r="AJ53" s="100">
        <v>0.54054839878088234</v>
      </c>
      <c r="AK53" s="100">
        <v>219.89508862406294</v>
      </c>
      <c r="AL53" s="100">
        <v>5.5195443203145285</v>
      </c>
      <c r="AM53" s="100">
        <v>2245.3506295039501</v>
      </c>
      <c r="AN53" s="100">
        <v>6.2694996169294681</v>
      </c>
      <c r="AO53" s="100">
        <v>2550.4324441669078</v>
      </c>
      <c r="AP53" s="100">
        <v>4.3925551177568813</v>
      </c>
      <c r="AQ53" s="100">
        <v>1786.8914219034993</v>
      </c>
      <c r="AR53" s="100">
        <v>6.378441060422706E-4</v>
      </c>
      <c r="AS53" s="100">
        <v>0.25947498233799571</v>
      </c>
      <c r="AT53" s="100">
        <v>8.0002690459590475</v>
      </c>
      <c r="AU53" s="100">
        <v>3254.5094478961405</v>
      </c>
      <c r="AV53" s="100">
        <v>8</v>
      </c>
      <c r="AW53" s="100">
        <v>3254.4</v>
      </c>
      <c r="AX53" s="100">
        <v>7</v>
      </c>
      <c r="AY53" s="100">
        <v>2847.6</v>
      </c>
      <c r="AZ53" s="100">
        <v>0.86188954861050271</v>
      </c>
      <c r="BA53" s="100">
        <v>350.61666837475252</v>
      </c>
      <c r="BB53" s="100">
        <v>8</v>
      </c>
      <c r="BC53" s="100">
        <v>3254.4</v>
      </c>
      <c r="BD53" s="100">
        <v>2.6212025140765411</v>
      </c>
      <c r="BE53" s="100">
        <v>1066.3051827263371</v>
      </c>
      <c r="BF53" s="100">
        <v>10</v>
      </c>
      <c r="BG53" s="100">
        <v>4068</v>
      </c>
      <c r="BH53" s="100">
        <v>2.8748686090593529</v>
      </c>
      <c r="BI53" s="100">
        <v>1169.4965501653448</v>
      </c>
      <c r="BJ53" s="100">
        <v>8.2847936733684335</v>
      </c>
      <c r="BK53" s="100">
        <v>3370.2540663262789</v>
      </c>
      <c r="BL53" s="100">
        <v>6.3579376816308661</v>
      </c>
      <c r="BM53" s="100">
        <v>2586.4090488874363</v>
      </c>
      <c r="BN53" s="100">
        <v>5.9478481678822286</v>
      </c>
      <c r="BO53" s="100">
        <v>2419.5846346944904</v>
      </c>
      <c r="BP53" s="100">
        <v>10.757117880200576</v>
      </c>
      <c r="BQ53" s="100">
        <v>4375.9955536655943</v>
      </c>
      <c r="BR53" s="100">
        <v>6.8870126938719416</v>
      </c>
      <c r="BS53" s="100">
        <v>2801.6367638671059</v>
      </c>
      <c r="BT53" s="100">
        <v>8.443610360261097</v>
      </c>
      <c r="BU53" s="100">
        <v>3434.8606945542142</v>
      </c>
      <c r="BV53" s="100">
        <v>5.6693312454016223</v>
      </c>
      <c r="BW53" s="100">
        <v>2306.2839506293799</v>
      </c>
      <c r="BX53" s="100">
        <v>5.0941316201109986E-4</v>
      </c>
      <c r="BY53" s="100">
        <v>0.20722927430611543</v>
      </c>
      <c r="BZ53" s="100">
        <v>1.8404628641765008</v>
      </c>
      <c r="CA53" s="100">
        <v>748.70029314700059</v>
      </c>
      <c r="CB53" s="100">
        <v>4.1158855802493468</v>
      </c>
      <c r="CC53" s="100">
        <v>1674.3422540454344</v>
      </c>
      <c r="CD53" s="100">
        <v>9.545158487515355</v>
      </c>
      <c r="CE53" s="100">
        <v>3882.9704727212466</v>
      </c>
      <c r="CF53" s="100">
        <v>3.2216768386171601</v>
      </c>
      <c r="CG53" s="100">
        <v>1310.5781379494608</v>
      </c>
      <c r="CH53" s="100">
        <v>6.563157144390849</v>
      </c>
      <c r="CI53" s="100">
        <v>2669.8923263381976</v>
      </c>
      <c r="CJ53" s="100">
        <v>6</v>
      </c>
      <c r="CK53" s="100">
        <v>2440.8000000000002</v>
      </c>
      <c r="CL53" s="100">
        <v>3.8566727501493623</v>
      </c>
      <c r="CM53" s="100">
        <v>1568.8944747607607</v>
      </c>
      <c r="CN53" s="100">
        <v>6.2949927552649533E-4</v>
      </c>
      <c r="CO53" s="100">
        <v>0.2560803052841783</v>
      </c>
      <c r="CP53" s="100">
        <v>8.0002806473562114</v>
      </c>
      <c r="CQ53" s="100">
        <v>3254.5141673445069</v>
      </c>
      <c r="CR53" s="100">
        <v>8.0067194006625524</v>
      </c>
      <c r="CS53" s="100">
        <v>3257.1334521895265</v>
      </c>
      <c r="CT53" s="100">
        <v>4.8626845515260708</v>
      </c>
      <c r="CU53" s="100">
        <v>1978.1400755608056</v>
      </c>
    </row>
    <row r="54" spans="2:99">
      <c r="C54" s="99" t="s">
        <v>220</v>
      </c>
      <c r="D54" s="100">
        <v>5.3762105347381803</v>
      </c>
      <c r="E54" s="100">
        <v>1799.9552870303428</v>
      </c>
      <c r="F54" s="100">
        <v>1.8318298904574497</v>
      </c>
      <c r="G54" s="100">
        <v>613.29664732515414</v>
      </c>
      <c r="H54" s="100">
        <v>8.6054738452330497</v>
      </c>
      <c r="I54" s="100">
        <v>2881.112643384025</v>
      </c>
      <c r="J54" s="100">
        <v>7</v>
      </c>
      <c r="K54" s="100">
        <v>2343.6</v>
      </c>
      <c r="L54" s="100">
        <v>7</v>
      </c>
      <c r="M54" s="100">
        <v>2343.6</v>
      </c>
      <c r="N54" s="100">
        <v>10</v>
      </c>
      <c r="O54" s="100">
        <v>3348</v>
      </c>
      <c r="P54" s="100">
        <v>11.100614516784102</v>
      </c>
      <c r="Q54" s="100">
        <v>3716.4857402193174</v>
      </c>
      <c r="R54" s="100">
        <v>3.0632771918857831</v>
      </c>
      <c r="S54" s="100">
        <v>1025.5852038433602</v>
      </c>
      <c r="T54" s="100">
        <v>9</v>
      </c>
      <c r="U54" s="100">
        <v>3013.2000000000003</v>
      </c>
      <c r="V54" s="100">
        <v>8</v>
      </c>
      <c r="W54" s="100">
        <v>2678.4</v>
      </c>
      <c r="X54" s="100">
        <v>0.23142477881222689</v>
      </c>
      <c r="Y54" s="100">
        <v>77.481015946333571</v>
      </c>
      <c r="Z54" s="100">
        <v>10</v>
      </c>
      <c r="AA54" s="100">
        <v>3348</v>
      </c>
      <c r="AB54" s="100">
        <v>10</v>
      </c>
      <c r="AC54" s="100">
        <v>3348</v>
      </c>
      <c r="AD54" s="100">
        <v>4.5479656354956219</v>
      </c>
      <c r="AE54" s="100">
        <v>1522.6588947639343</v>
      </c>
      <c r="AF54" s="100">
        <v>5.8998762597796937</v>
      </c>
      <c r="AG54" s="100">
        <v>1975.2785717742415</v>
      </c>
      <c r="AH54" s="100">
        <v>6.9376101470355032</v>
      </c>
      <c r="AI54" s="100">
        <v>2322.7118772274866</v>
      </c>
      <c r="AJ54" s="100">
        <v>0.63933414686391343</v>
      </c>
      <c r="AK54" s="100">
        <v>214.04907237003823</v>
      </c>
      <c r="AL54" s="100">
        <v>6.3360695456003082</v>
      </c>
      <c r="AM54" s="100">
        <v>2121.3160838669833</v>
      </c>
      <c r="AN54" s="100">
        <v>4.946429358426939</v>
      </c>
      <c r="AO54" s="100">
        <v>1656.0645492013393</v>
      </c>
      <c r="AP54" s="100">
        <v>4.8808605307766584</v>
      </c>
      <c r="AQ54" s="100">
        <v>1634.1121057040252</v>
      </c>
      <c r="AR54" s="100">
        <v>6.378441060422706E-4</v>
      </c>
      <c r="AS54" s="100">
        <v>0.21355020670295222</v>
      </c>
      <c r="AT54" s="100">
        <v>8.0002690459590475</v>
      </c>
      <c r="AU54" s="100">
        <v>2678.4900765870893</v>
      </c>
      <c r="AV54" s="100">
        <v>8</v>
      </c>
      <c r="AW54" s="100">
        <v>2678.4</v>
      </c>
      <c r="AX54" s="100">
        <v>7</v>
      </c>
      <c r="AY54" s="100">
        <v>2343.6</v>
      </c>
      <c r="AZ54" s="100">
        <v>0.86188954861050271</v>
      </c>
      <c r="BA54" s="100">
        <v>288.56062087479631</v>
      </c>
      <c r="BB54" s="100">
        <v>7</v>
      </c>
      <c r="BC54" s="100">
        <v>2343.6</v>
      </c>
      <c r="BD54" s="100">
        <v>2.2935521998169737</v>
      </c>
      <c r="BE54" s="100">
        <v>767.88127649872285</v>
      </c>
      <c r="BF54" s="100">
        <v>8</v>
      </c>
      <c r="BG54" s="100">
        <v>2678.4</v>
      </c>
      <c r="BH54" s="100">
        <v>2.8748686090593529</v>
      </c>
      <c r="BI54" s="100">
        <v>962.50601031307144</v>
      </c>
      <c r="BJ54" s="100">
        <v>9.1587991369538564</v>
      </c>
      <c r="BK54" s="100">
        <v>3066.3659510521511</v>
      </c>
      <c r="BL54" s="100">
        <v>6.3579376816308661</v>
      </c>
      <c r="BM54" s="100">
        <v>2128.637535810014</v>
      </c>
      <c r="BN54" s="100">
        <v>5.1556455596266053</v>
      </c>
      <c r="BO54" s="100">
        <v>1726.1101333629874</v>
      </c>
      <c r="BP54" s="100">
        <v>11.757117880200576</v>
      </c>
      <c r="BQ54" s="100">
        <v>3936.2830662911533</v>
      </c>
      <c r="BR54" s="100">
        <v>6.8870126938719416</v>
      </c>
      <c r="BS54" s="100">
        <v>2305.7718499083262</v>
      </c>
      <c r="BT54" s="100">
        <v>9.2112113021030169</v>
      </c>
      <c r="BU54" s="100">
        <v>3083.9135439440902</v>
      </c>
      <c r="BV54" s="100">
        <v>6.3425020102478333</v>
      </c>
      <c r="BW54" s="100">
        <v>2123.4696730309747</v>
      </c>
      <c r="BX54" s="100">
        <v>5.0941316201109986E-4</v>
      </c>
      <c r="BY54" s="100">
        <v>0.17055152664131623</v>
      </c>
      <c r="BZ54" s="100">
        <v>1.8404633070024063</v>
      </c>
      <c r="CA54" s="100">
        <v>616.18711518440568</v>
      </c>
      <c r="CB54" s="100">
        <v>5.3495689217126516</v>
      </c>
      <c r="CC54" s="100">
        <v>1791.0356749893958</v>
      </c>
      <c r="CD54" s="100">
        <v>8.545158487515355</v>
      </c>
      <c r="CE54" s="100">
        <v>2860.9190616201408</v>
      </c>
      <c r="CF54" s="100">
        <v>3.7586229783866871</v>
      </c>
      <c r="CG54" s="100">
        <v>1258.3869731638629</v>
      </c>
      <c r="CH54" s="100">
        <v>6.563157144390849</v>
      </c>
      <c r="CI54" s="100">
        <v>2197.3450119420563</v>
      </c>
      <c r="CJ54" s="100">
        <v>7</v>
      </c>
      <c r="CK54" s="100">
        <v>2343.6</v>
      </c>
      <c r="CL54" s="100">
        <v>3.8566727501493623</v>
      </c>
      <c r="CM54" s="100">
        <v>1291.2140367500065</v>
      </c>
      <c r="CN54" s="100">
        <v>6.3157223688201525E-4</v>
      </c>
      <c r="CO54" s="100">
        <v>0.21145038490809873</v>
      </c>
      <c r="CP54" s="100">
        <v>9.0002806473562114</v>
      </c>
      <c r="CQ54" s="100">
        <v>3013.2939607348599</v>
      </c>
      <c r="CR54" s="100">
        <v>8.8073913407288078</v>
      </c>
      <c r="CS54" s="100">
        <v>2948.714620876005</v>
      </c>
      <c r="CT54" s="100">
        <v>5.6062267774068024</v>
      </c>
      <c r="CU54" s="100">
        <v>1876.9647250757976</v>
      </c>
    </row>
    <row r="55" spans="2:99">
      <c r="C55" s="99" t="s">
        <v>221</v>
      </c>
      <c r="D55" s="100">
        <v>4.7234527627202914</v>
      </c>
      <c r="E55" s="100">
        <v>3134.4832533411854</v>
      </c>
      <c r="F55" s="100">
        <v>1.8210020664635296</v>
      </c>
      <c r="G55" s="100">
        <v>1208.4169713051983</v>
      </c>
      <c r="H55" s="100">
        <v>8.6054738452330497</v>
      </c>
      <c r="I55" s="100">
        <v>5710.5924436966516</v>
      </c>
      <c r="J55" s="100">
        <v>7</v>
      </c>
      <c r="K55" s="100">
        <v>4645.2</v>
      </c>
      <c r="L55" s="100">
        <v>6</v>
      </c>
      <c r="M55" s="100">
        <v>3981.6000000000004</v>
      </c>
      <c r="N55" s="100">
        <v>12</v>
      </c>
      <c r="O55" s="100">
        <v>7963.2000000000007</v>
      </c>
      <c r="P55" s="100">
        <v>10.175563307052093</v>
      </c>
      <c r="Q55" s="100">
        <v>6752.5038105597687</v>
      </c>
      <c r="R55" s="100">
        <v>3.0632771918857831</v>
      </c>
      <c r="S55" s="100">
        <v>2032.7907445354058</v>
      </c>
      <c r="T55" s="100">
        <v>9</v>
      </c>
      <c r="U55" s="100">
        <v>5972.4000000000005</v>
      </c>
      <c r="V55" s="100">
        <v>7</v>
      </c>
      <c r="W55" s="100">
        <v>4645.2</v>
      </c>
      <c r="X55" s="100">
        <v>0.23142477881222689</v>
      </c>
      <c r="Y55" s="100">
        <v>153.57348321979379</v>
      </c>
      <c r="Z55" s="100">
        <v>11</v>
      </c>
      <c r="AA55" s="100">
        <v>7299.6</v>
      </c>
      <c r="AB55" s="100">
        <v>9</v>
      </c>
      <c r="AC55" s="100">
        <v>5972.4000000000005</v>
      </c>
      <c r="AD55" s="100">
        <v>5.0532951505506905</v>
      </c>
      <c r="AE55" s="100">
        <v>3353.3666619054384</v>
      </c>
      <c r="AF55" s="100">
        <v>5.8998762597796937</v>
      </c>
      <c r="AG55" s="100">
        <v>3915.157885989805</v>
      </c>
      <c r="AH55" s="100">
        <v>7.0938785048747537</v>
      </c>
      <c r="AI55" s="100">
        <v>4707.4977758348869</v>
      </c>
      <c r="AJ55" s="100">
        <v>0.54054839878088234</v>
      </c>
      <c r="AK55" s="100">
        <v>358.70791743099352</v>
      </c>
      <c r="AL55" s="100">
        <v>5.5195443203145285</v>
      </c>
      <c r="AM55" s="100">
        <v>3662.7696109607214</v>
      </c>
      <c r="AN55" s="100">
        <v>6.1863887226909062</v>
      </c>
      <c r="AO55" s="100">
        <v>4105.2875563776852</v>
      </c>
      <c r="AP55" s="100">
        <v>4.3925551177568813</v>
      </c>
      <c r="AQ55" s="100">
        <v>2914.8995761434667</v>
      </c>
      <c r="AR55" s="100">
        <v>6.378441060422706E-4</v>
      </c>
      <c r="AS55" s="100">
        <v>0.42327334876965078</v>
      </c>
      <c r="AT55" s="100">
        <v>8.0002242049658729</v>
      </c>
      <c r="AU55" s="100">
        <v>5308.9487824153539</v>
      </c>
      <c r="AV55" s="100">
        <v>8</v>
      </c>
      <c r="AW55" s="100">
        <v>5308.8</v>
      </c>
      <c r="AX55" s="100">
        <v>7</v>
      </c>
      <c r="AY55" s="100">
        <v>4645.2</v>
      </c>
      <c r="AZ55" s="100">
        <v>0.86188954861050271</v>
      </c>
      <c r="BA55" s="100">
        <v>571.94990445792962</v>
      </c>
      <c r="BB55" s="100">
        <v>7</v>
      </c>
      <c r="BC55" s="100">
        <v>4645.2</v>
      </c>
      <c r="BD55" s="100">
        <v>2.2935521998169737</v>
      </c>
      <c r="BE55" s="100">
        <v>1522.0012397985438</v>
      </c>
      <c r="BF55" s="100">
        <v>9</v>
      </c>
      <c r="BG55" s="100">
        <v>5972.4000000000005</v>
      </c>
      <c r="BH55" s="100">
        <v>2.6135169173266846</v>
      </c>
      <c r="BI55" s="100">
        <v>1734.3298263379879</v>
      </c>
      <c r="BJ55" s="100">
        <v>9.1587991369538564</v>
      </c>
      <c r="BK55" s="100">
        <v>6077.7791072825794</v>
      </c>
      <c r="BL55" s="100">
        <v>5.4496608699693141</v>
      </c>
      <c r="BM55" s="100">
        <v>3616.394953311637</v>
      </c>
      <c r="BN55" s="100">
        <v>5.2361315416451806</v>
      </c>
      <c r="BO55" s="100">
        <v>3474.6968910357418</v>
      </c>
      <c r="BP55" s="100">
        <v>11.60569430416046</v>
      </c>
      <c r="BQ55" s="100">
        <v>7701.5387402408815</v>
      </c>
      <c r="BR55" s="100">
        <v>6.8870126938719416</v>
      </c>
      <c r="BS55" s="100">
        <v>4570.2216236534205</v>
      </c>
      <c r="BT55" s="100">
        <v>9.2112113021030169</v>
      </c>
      <c r="BU55" s="100">
        <v>6112.5598200755621</v>
      </c>
      <c r="BV55" s="100">
        <v>6.3430584345570651</v>
      </c>
      <c r="BW55" s="100">
        <v>4209.2535771720686</v>
      </c>
      <c r="BX55" s="100">
        <v>4.3663985315237124E-4</v>
      </c>
      <c r="BY55" s="100">
        <v>0.28975420655191358</v>
      </c>
      <c r="BZ55" s="100">
        <v>1.8404624213505951</v>
      </c>
      <c r="CA55" s="100">
        <v>1221.330862808255</v>
      </c>
      <c r="CB55" s="100">
        <v>4.0482498375238984</v>
      </c>
      <c r="CC55" s="100">
        <v>2686.4185921808589</v>
      </c>
      <c r="CD55" s="100">
        <v>8.545158487515355</v>
      </c>
      <c r="CE55" s="100">
        <v>5670.56717231519</v>
      </c>
      <c r="CF55" s="100">
        <v>3.2216768386171601</v>
      </c>
      <c r="CG55" s="100">
        <v>2137.9047501063474</v>
      </c>
      <c r="CH55" s="100">
        <v>6.563157144390849</v>
      </c>
      <c r="CI55" s="100">
        <v>4355.3110810177677</v>
      </c>
      <c r="CJ55" s="100">
        <v>7</v>
      </c>
      <c r="CK55" s="100">
        <v>4645.2</v>
      </c>
      <c r="CL55" s="100">
        <v>3.8566727501493623</v>
      </c>
      <c r="CM55" s="100">
        <v>2559.2880369991167</v>
      </c>
      <c r="CN55" s="100">
        <v>6.3157223688201525E-4</v>
      </c>
      <c r="CO55" s="100">
        <v>0.41911133639490533</v>
      </c>
      <c r="CP55" s="100">
        <v>7.0002405548767523</v>
      </c>
      <c r="CQ55" s="100">
        <v>4645.359632216213</v>
      </c>
      <c r="CR55" s="100">
        <v>8.0067194006625524</v>
      </c>
      <c r="CS55" s="100">
        <v>5313.2589942796703</v>
      </c>
      <c r="CT55" s="100">
        <v>5.6635740911556143</v>
      </c>
      <c r="CU55" s="100">
        <v>3758.3477668908658</v>
      </c>
    </row>
    <row r="56" spans="2:99">
      <c r="C56" s="99" t="s">
        <v>222</v>
      </c>
      <c r="D56" s="100">
        <v>6</v>
      </c>
      <c r="E56" s="100">
        <v>5889.5999999999995</v>
      </c>
      <c r="F56" s="100">
        <v>1.5539393273612849</v>
      </c>
      <c r="G56" s="100">
        <v>1525.3468437378372</v>
      </c>
      <c r="H56" s="100">
        <v>4.9656081686452085</v>
      </c>
      <c r="I56" s="100">
        <v>4874.2409783421363</v>
      </c>
      <c r="J56" s="100">
        <v>2.4275468531772115</v>
      </c>
      <c r="K56" s="100">
        <v>2382.8799910787507</v>
      </c>
      <c r="L56" s="100">
        <v>6.6774058235287672</v>
      </c>
      <c r="M56" s="100">
        <v>6554.541556375837</v>
      </c>
      <c r="N56" s="100">
        <v>3.3950615603914875</v>
      </c>
      <c r="O56" s="100">
        <v>3332.5924276802839</v>
      </c>
      <c r="P56" s="100">
        <v>10.847808669302959</v>
      </c>
      <c r="Q56" s="100">
        <v>10648.208989787783</v>
      </c>
      <c r="R56" s="100">
        <v>3.0205924123798917</v>
      </c>
      <c r="S56" s="100">
        <v>2965.0135119921015</v>
      </c>
      <c r="T56" s="100">
        <v>4.316638963334424</v>
      </c>
      <c r="U56" s="100">
        <v>4237.2128064090703</v>
      </c>
      <c r="V56" s="100">
        <v>4.5663792941851327</v>
      </c>
      <c r="W56" s="100">
        <v>4482.357915172126</v>
      </c>
      <c r="X56" s="100">
        <v>5.2190116890878961</v>
      </c>
      <c r="Y56" s="100">
        <v>5122.9818740086785</v>
      </c>
      <c r="Z56" s="100">
        <v>7.314821275915703</v>
      </c>
      <c r="AA56" s="100">
        <v>7180.228564438853</v>
      </c>
      <c r="AB56" s="100">
        <v>5.6470880644880719</v>
      </c>
      <c r="AC56" s="100">
        <v>5543.1816441014907</v>
      </c>
      <c r="AD56" s="100">
        <v>8.3429994428360104</v>
      </c>
      <c r="AE56" s="100">
        <v>8189.4882530878267</v>
      </c>
      <c r="AF56" s="100">
        <v>0.55206168923393517</v>
      </c>
      <c r="AG56" s="100">
        <v>541.90375415203073</v>
      </c>
      <c r="AH56" s="100">
        <v>4.0472402924903674</v>
      </c>
      <c r="AI56" s="100">
        <v>3972.7710711085442</v>
      </c>
      <c r="AJ56" s="100">
        <v>6.083283759666883</v>
      </c>
      <c r="AK56" s="100">
        <v>5971.3513384890121</v>
      </c>
      <c r="AL56" s="100">
        <v>5</v>
      </c>
      <c r="AM56" s="100">
        <v>4908</v>
      </c>
      <c r="AN56" s="100">
        <v>0.67528997916330102</v>
      </c>
      <c r="AO56" s="100">
        <v>662.86464354669624</v>
      </c>
      <c r="AP56" s="100">
        <v>7.7122188462259853</v>
      </c>
      <c r="AQ56" s="100">
        <v>7570.3140194554262</v>
      </c>
      <c r="AR56" s="100">
        <v>6.5730187079559492</v>
      </c>
      <c r="AS56" s="100">
        <v>6452.0751637295589</v>
      </c>
      <c r="AT56" s="100">
        <v>5.6187626563528053</v>
      </c>
      <c r="AU56" s="100">
        <v>5515.377423475913</v>
      </c>
      <c r="AV56" s="100">
        <v>0.40865324522156538</v>
      </c>
      <c r="AW56" s="100">
        <v>401.13402550948854</v>
      </c>
      <c r="AX56" s="100">
        <v>7.2327375494420192</v>
      </c>
      <c r="AY56" s="100">
        <v>7099.6551785322854</v>
      </c>
      <c r="AZ56" s="100">
        <v>2.9414342050594864</v>
      </c>
      <c r="BA56" s="100">
        <v>2887.3118156863916</v>
      </c>
      <c r="BB56" s="100">
        <v>6.4462100766629966</v>
      </c>
      <c r="BC56" s="100">
        <v>6327.5998112523966</v>
      </c>
      <c r="BD56" s="100">
        <v>5.5954544024362312</v>
      </c>
      <c r="BE56" s="100">
        <v>5492.4980414314041</v>
      </c>
      <c r="BF56" s="100">
        <v>7.1732440899302388</v>
      </c>
      <c r="BG56" s="100">
        <v>7041.2563986755213</v>
      </c>
      <c r="BH56" s="100">
        <v>9.1510521311867201</v>
      </c>
      <c r="BI56" s="100">
        <v>8982.6727719728842</v>
      </c>
      <c r="BJ56" s="100">
        <v>8.5027201464354665</v>
      </c>
      <c r="BK56" s="100">
        <v>8346.2700957410525</v>
      </c>
      <c r="BL56" s="100">
        <v>4.5514443494586576</v>
      </c>
      <c r="BM56" s="100">
        <v>4467.6977734286183</v>
      </c>
      <c r="BN56" s="100">
        <v>4.7128591792278023</v>
      </c>
      <c r="BO56" s="100">
        <v>4626.1425703300101</v>
      </c>
      <c r="BP56" s="100">
        <v>0.53792519847072606</v>
      </c>
      <c r="BQ56" s="100">
        <v>528.0273748188647</v>
      </c>
      <c r="BR56" s="100">
        <v>8.222060103302983</v>
      </c>
      <c r="BS56" s="100">
        <v>8070.7741974022074</v>
      </c>
      <c r="BT56" s="100">
        <v>10.406300171235202</v>
      </c>
      <c r="BU56" s="100">
        <v>10214.824248084473</v>
      </c>
      <c r="BV56" s="100">
        <v>7.0370432527796645</v>
      </c>
      <c r="BW56" s="100">
        <v>6907.5616569285176</v>
      </c>
      <c r="BX56" s="100">
        <v>4.0066768790601319</v>
      </c>
      <c r="BY56" s="100">
        <v>3932.9540244854252</v>
      </c>
      <c r="BZ56" s="100">
        <v>5.7269829562724857</v>
      </c>
      <c r="CA56" s="100">
        <v>5621.6064698770715</v>
      </c>
      <c r="CB56" s="100">
        <v>5.1834630952875829</v>
      </c>
      <c r="CC56" s="100">
        <v>5088.0873743342909</v>
      </c>
      <c r="CD56" s="100">
        <v>5.8342561652385303</v>
      </c>
      <c r="CE56" s="100">
        <v>5726.9058517981412</v>
      </c>
      <c r="CF56" s="100">
        <v>3.1284019164861835E-4</v>
      </c>
      <c r="CG56" s="100">
        <v>0.30708393212228374</v>
      </c>
      <c r="CH56" s="100">
        <v>5.1382551003908903</v>
      </c>
      <c r="CI56" s="100">
        <v>5043.7112065436977</v>
      </c>
      <c r="CJ56" s="100">
        <v>4.7072503789044173</v>
      </c>
      <c r="CK56" s="100">
        <v>4620.6369719325758</v>
      </c>
      <c r="CL56" s="100">
        <v>5.1655287852313263</v>
      </c>
      <c r="CM56" s="100">
        <v>5070.4830555830695</v>
      </c>
      <c r="CN56" s="100">
        <v>0.40900134168867469</v>
      </c>
      <c r="CO56" s="100">
        <v>401.47571700160302</v>
      </c>
      <c r="CP56" s="100">
        <v>8.2764808168437849</v>
      </c>
      <c r="CQ56" s="100">
        <v>8124.1935698138586</v>
      </c>
      <c r="CR56" s="100">
        <v>7.1275820410207142</v>
      </c>
      <c r="CS56" s="100">
        <v>6996.4345314659322</v>
      </c>
      <c r="CT56" s="100">
        <v>3.3846357197539936</v>
      </c>
      <c r="CU56" s="100">
        <v>3322.3584225105196</v>
      </c>
    </row>
    <row r="57" spans="2:99">
      <c r="C57" s="99" t="s">
        <v>223</v>
      </c>
      <c r="D57" s="100">
        <v>5.2594660837251688</v>
      </c>
      <c r="E57" s="100">
        <v>7422.1585373529588</v>
      </c>
      <c r="F57" s="100">
        <v>1.8210020664635296</v>
      </c>
      <c r="G57" s="100">
        <v>2569.798116193333</v>
      </c>
      <c r="H57" s="100">
        <v>8.6054738452330497</v>
      </c>
      <c r="I57" s="100">
        <v>12144.044690392881</v>
      </c>
      <c r="J57" s="100">
        <v>6</v>
      </c>
      <c r="K57" s="100">
        <v>8467.2000000000007</v>
      </c>
      <c r="L57" s="100">
        <v>6</v>
      </c>
      <c r="M57" s="100">
        <v>8467.2000000000007</v>
      </c>
      <c r="N57" s="100">
        <v>11</v>
      </c>
      <c r="O57" s="100">
        <v>15523.2</v>
      </c>
      <c r="P57" s="100">
        <v>9.2505120973200849</v>
      </c>
      <c r="Q57" s="100">
        <v>13054.322671738104</v>
      </c>
      <c r="R57" s="100">
        <v>2.8080040925619678</v>
      </c>
      <c r="S57" s="100">
        <v>3962.6553754234492</v>
      </c>
      <c r="T57" s="100">
        <v>8</v>
      </c>
      <c r="U57" s="100">
        <v>11289.6</v>
      </c>
      <c r="V57" s="100">
        <v>6</v>
      </c>
      <c r="W57" s="100">
        <v>8467.2000000000007</v>
      </c>
      <c r="X57" s="100">
        <v>0.23142477881222689</v>
      </c>
      <c r="Y57" s="100">
        <v>326.5866478598146</v>
      </c>
      <c r="Z57" s="100">
        <v>9</v>
      </c>
      <c r="AA57" s="100">
        <v>12700.800000000001</v>
      </c>
      <c r="AB57" s="100">
        <v>9</v>
      </c>
      <c r="AC57" s="100">
        <v>12700.800000000001</v>
      </c>
      <c r="AD57" s="100">
        <v>4.5479656354956219</v>
      </c>
      <c r="AE57" s="100">
        <v>6418.0891048114217</v>
      </c>
      <c r="AF57" s="100">
        <v>5.4992303943971921</v>
      </c>
      <c r="AG57" s="100">
        <v>7760.513932573318</v>
      </c>
      <c r="AH57" s="100">
        <v>5.9376101470355032</v>
      </c>
      <c r="AI57" s="100">
        <v>8379.1554394965024</v>
      </c>
      <c r="AJ57" s="100">
        <v>0.63933414686391343</v>
      </c>
      <c r="AK57" s="100">
        <v>902.22834805435468</v>
      </c>
      <c r="AL57" s="100">
        <v>4.5789405013087787</v>
      </c>
      <c r="AM57" s="100">
        <v>6461.8008354469484</v>
      </c>
      <c r="AN57" s="100">
        <v>5.3619838296197502</v>
      </c>
      <c r="AO57" s="100">
        <v>7566.8315803593914</v>
      </c>
      <c r="AP57" s="100">
        <v>4.0471512056775563</v>
      </c>
      <c r="AQ57" s="100">
        <v>5711.3397814521677</v>
      </c>
      <c r="AR57" s="100">
        <v>4.9610097136621042E-4</v>
      </c>
      <c r="AS57" s="100">
        <v>0.70009769079199613</v>
      </c>
      <c r="AT57" s="100">
        <v>7.0002242049658729</v>
      </c>
      <c r="AU57" s="100">
        <v>9878.7163980478399</v>
      </c>
      <c r="AV57" s="100">
        <v>8</v>
      </c>
      <c r="AW57" s="100">
        <v>11289.6</v>
      </c>
      <c r="AX57" s="100">
        <v>7</v>
      </c>
      <c r="AY57" s="100">
        <v>9878.4</v>
      </c>
      <c r="AZ57" s="100">
        <v>0.67035853780816879</v>
      </c>
      <c r="BA57" s="100">
        <v>946.00996855488779</v>
      </c>
      <c r="BB57" s="100">
        <v>7</v>
      </c>
      <c r="BC57" s="100">
        <v>9878.4</v>
      </c>
      <c r="BD57" s="100">
        <v>2.2935521998169737</v>
      </c>
      <c r="BE57" s="100">
        <v>3236.6608643817135</v>
      </c>
      <c r="BF57" s="100">
        <v>7</v>
      </c>
      <c r="BG57" s="100">
        <v>9878.4</v>
      </c>
      <c r="BH57" s="100">
        <v>2.8748686090593529</v>
      </c>
      <c r="BI57" s="100">
        <v>4057.0145811045591</v>
      </c>
      <c r="BJ57" s="100">
        <v>7.2119035998314649</v>
      </c>
      <c r="BK57" s="100">
        <v>10177.438360082164</v>
      </c>
      <c r="BL57" s="100">
        <v>6.3579376816308661</v>
      </c>
      <c r="BM57" s="100">
        <v>8972.3216563174792</v>
      </c>
      <c r="BN57" s="100">
        <v>5.1556455596266053</v>
      </c>
      <c r="BO57" s="100">
        <v>7275.647013745066</v>
      </c>
      <c r="BP57" s="100">
        <v>10.757117880200576</v>
      </c>
      <c r="BQ57" s="100">
        <v>15180.444752539053</v>
      </c>
      <c r="BR57" s="100">
        <v>6.1217890612195038</v>
      </c>
      <c r="BS57" s="100">
        <v>8639.0687231929642</v>
      </c>
      <c r="BT57" s="100">
        <v>8.443610360261097</v>
      </c>
      <c r="BU57" s="100">
        <v>11915.622940400461</v>
      </c>
      <c r="BV57" s="100">
        <v>5.6693312454016223</v>
      </c>
      <c r="BW57" s="100">
        <v>8000.5602535107691</v>
      </c>
      <c r="BX57" s="100">
        <v>4.3663985315237124E-4</v>
      </c>
      <c r="BY57" s="100">
        <v>0.61618616076862631</v>
      </c>
      <c r="BZ57" s="100">
        <v>1.8404628641765008</v>
      </c>
      <c r="CA57" s="100">
        <v>2597.2611939258782</v>
      </c>
      <c r="CB57" s="100">
        <v>4.1158855802493468</v>
      </c>
      <c r="CC57" s="100">
        <v>5808.3377308478784</v>
      </c>
      <c r="CD57" s="100">
        <v>8.545158487515355</v>
      </c>
      <c r="CE57" s="100">
        <v>12058.927657581669</v>
      </c>
      <c r="CF57" s="100">
        <v>3.2216768386171601</v>
      </c>
      <c r="CG57" s="100">
        <v>4546.4303546565361</v>
      </c>
      <c r="CH57" s="100">
        <v>5.6255632666207278</v>
      </c>
      <c r="CI57" s="100">
        <v>7938.7948818551713</v>
      </c>
      <c r="CJ57" s="100">
        <v>7</v>
      </c>
      <c r="CK57" s="100">
        <v>9878.4</v>
      </c>
      <c r="CL57" s="100">
        <v>3.428153555688322</v>
      </c>
      <c r="CM57" s="100">
        <v>4837.8102977873605</v>
      </c>
      <c r="CN57" s="100">
        <v>6.2949927552649533E-4</v>
      </c>
      <c r="CO57" s="100">
        <v>0.88834937762299027</v>
      </c>
      <c r="CP57" s="100">
        <v>8.0002405548767523</v>
      </c>
      <c r="CQ57" s="100">
        <v>11289.939471042073</v>
      </c>
      <c r="CR57" s="100">
        <v>8.0067194006625524</v>
      </c>
      <c r="CS57" s="100">
        <v>11299.082418214994</v>
      </c>
      <c r="CT57" s="100">
        <v>4.805337237777259</v>
      </c>
      <c r="CU57" s="100">
        <v>6781.2919099512683</v>
      </c>
    </row>
    <row r="58" spans="2:99">
      <c r="C58" s="99" t="s">
        <v>224</v>
      </c>
      <c r="D58" s="100">
        <v>2.1514761879744855</v>
      </c>
      <c r="E58" s="100">
        <v>2532.7177684835642</v>
      </c>
      <c r="F58" s="100">
        <v>0.47457871009264557</v>
      </c>
      <c r="G58" s="100">
        <v>558.67405752106242</v>
      </c>
      <c r="H58" s="100">
        <v>8.2319912837539118</v>
      </c>
      <c r="I58" s="100">
        <v>9690.7001392351049</v>
      </c>
      <c r="J58" s="100">
        <v>6</v>
      </c>
      <c r="K58" s="100">
        <v>7063.2000000000007</v>
      </c>
      <c r="L58" s="100">
        <v>7</v>
      </c>
      <c r="M58" s="100">
        <v>8240.4</v>
      </c>
      <c r="N58" s="100">
        <v>9.4149481901890777</v>
      </c>
      <c r="O58" s="100">
        <v>11083.277009490583</v>
      </c>
      <c r="P58" s="100">
        <v>10</v>
      </c>
      <c r="Q58" s="100">
        <v>11772</v>
      </c>
      <c r="R58" s="100">
        <v>11</v>
      </c>
      <c r="S58" s="100">
        <v>12949.2</v>
      </c>
      <c r="T58" s="100">
        <v>8</v>
      </c>
      <c r="U58" s="100">
        <v>9417.6</v>
      </c>
      <c r="V58" s="100">
        <v>5.9570482721779978</v>
      </c>
      <c r="W58" s="100">
        <v>7012.6372260079397</v>
      </c>
      <c r="X58" s="100">
        <v>4.3549671143143992E-4</v>
      </c>
      <c r="Y58" s="100">
        <v>0.51266672869709107</v>
      </c>
      <c r="Z58" s="100">
        <v>10</v>
      </c>
      <c r="AA58" s="100">
        <v>11772</v>
      </c>
      <c r="AB58" s="100">
        <v>9</v>
      </c>
      <c r="AC58" s="100">
        <v>10594.800000000001</v>
      </c>
      <c r="AD58" s="100">
        <v>9</v>
      </c>
      <c r="AE58" s="100">
        <v>10594.800000000001</v>
      </c>
      <c r="AF58" s="100">
        <v>9.172772717931414</v>
      </c>
      <c r="AG58" s="100">
        <v>10798.18804354886</v>
      </c>
      <c r="AH58" s="100">
        <v>5</v>
      </c>
      <c r="AI58" s="100">
        <v>5886</v>
      </c>
      <c r="AJ58" s="100">
        <v>6</v>
      </c>
      <c r="AK58" s="100">
        <v>7063.2000000000007</v>
      </c>
      <c r="AL58" s="100">
        <v>5</v>
      </c>
      <c r="AM58" s="100">
        <v>5886</v>
      </c>
      <c r="AN58" s="100">
        <v>0.14529191579064782</v>
      </c>
      <c r="AO58" s="100">
        <v>171.03764326875063</v>
      </c>
      <c r="AP58" s="100">
        <v>8.8365357439806012</v>
      </c>
      <c r="AQ58" s="100">
        <v>10402.369877813964</v>
      </c>
      <c r="AR58" s="100">
        <v>8.183767214542975</v>
      </c>
      <c r="AS58" s="100">
        <v>9633.9307649599905</v>
      </c>
      <c r="AT58" s="100">
        <v>8</v>
      </c>
      <c r="AU58" s="100">
        <v>9417.6</v>
      </c>
      <c r="AV58" s="100">
        <v>8</v>
      </c>
      <c r="AW58" s="100">
        <v>9417.6</v>
      </c>
      <c r="AX58" s="100">
        <v>6</v>
      </c>
      <c r="AY58" s="100">
        <v>7063.2000000000007</v>
      </c>
      <c r="AZ58" s="100">
        <v>8</v>
      </c>
      <c r="BA58" s="100">
        <v>9417.6</v>
      </c>
      <c r="BB58" s="100">
        <v>4.7862932683207902</v>
      </c>
      <c r="BC58" s="100">
        <v>5634.4244354672346</v>
      </c>
      <c r="BD58" s="100">
        <v>6</v>
      </c>
      <c r="BE58" s="100">
        <v>7063.2000000000007</v>
      </c>
      <c r="BF58" s="100">
        <v>5.1492392971364618</v>
      </c>
      <c r="BG58" s="100">
        <v>6061.6845005890427</v>
      </c>
      <c r="BH58" s="100">
        <v>10.255083176657919</v>
      </c>
      <c r="BI58" s="100">
        <v>12072.283915561704</v>
      </c>
      <c r="BJ58" s="100">
        <v>8.6009313955866631</v>
      </c>
      <c r="BK58" s="100">
        <v>10125.016438884621</v>
      </c>
      <c r="BL58" s="100">
        <v>6</v>
      </c>
      <c r="BM58" s="100">
        <v>7063.2000000000007</v>
      </c>
      <c r="BN58" s="100">
        <v>6</v>
      </c>
      <c r="BO58" s="100">
        <v>7063.2000000000007</v>
      </c>
      <c r="BP58" s="100">
        <v>9</v>
      </c>
      <c r="BQ58" s="100">
        <v>10594.800000000001</v>
      </c>
      <c r="BR58" s="100">
        <v>7</v>
      </c>
      <c r="BS58" s="100">
        <v>8240.4</v>
      </c>
      <c r="BT58" s="100">
        <v>10.511047371680432</v>
      </c>
      <c r="BU58" s="100">
        <v>12373.604965942204</v>
      </c>
      <c r="BV58" s="100">
        <v>8</v>
      </c>
      <c r="BW58" s="100">
        <v>9417.6</v>
      </c>
      <c r="BX58" s="100">
        <v>1.3245898293042535</v>
      </c>
      <c r="BY58" s="100">
        <v>1559.3071470569673</v>
      </c>
      <c r="BZ58" s="100">
        <v>7.8780593869541429</v>
      </c>
      <c r="CA58" s="100">
        <v>9274.051510322417</v>
      </c>
      <c r="CB58" s="100">
        <v>7</v>
      </c>
      <c r="CC58" s="100">
        <v>8240.4</v>
      </c>
      <c r="CD58" s="100">
        <v>9</v>
      </c>
      <c r="CE58" s="100">
        <v>10594.800000000001</v>
      </c>
      <c r="CF58" s="100">
        <v>7</v>
      </c>
      <c r="CG58" s="100">
        <v>8240.4</v>
      </c>
      <c r="CH58" s="100">
        <v>5.8018598801796655</v>
      </c>
      <c r="CI58" s="100">
        <v>6829.9494509475026</v>
      </c>
      <c r="CJ58" s="100">
        <v>5.2718152108711881E-4</v>
      </c>
      <c r="CK58" s="100">
        <v>0.62059808662375626</v>
      </c>
      <c r="CL58" s="100">
        <v>8.8297531753940941</v>
      </c>
      <c r="CM58" s="100">
        <v>10394.385438073929</v>
      </c>
      <c r="CN58" s="100">
        <v>9.9306367728890113</v>
      </c>
      <c r="CO58" s="100">
        <v>11690.345609044945</v>
      </c>
      <c r="CP58" s="100">
        <v>7.5812312689951975</v>
      </c>
      <c r="CQ58" s="100">
        <v>8924.625449861147</v>
      </c>
      <c r="CR58" s="100">
        <v>8.2978723404254691</v>
      </c>
      <c r="CS58" s="100">
        <v>9768.2553191488623</v>
      </c>
      <c r="CT58" s="100">
        <v>6</v>
      </c>
      <c r="CU58" s="100">
        <v>7063.2000000000007</v>
      </c>
    </row>
    <row r="59" spans="2:99">
      <c r="C59" s="99" t="s">
        <v>225</v>
      </c>
      <c r="D59" s="100">
        <v>5.3747383880984474</v>
      </c>
      <c r="E59" s="100">
        <v>1631.7705746266884</v>
      </c>
      <c r="F59" s="100">
        <v>2.1190884988771579</v>
      </c>
      <c r="G59" s="100">
        <v>643.35526825910506</v>
      </c>
      <c r="H59" s="100">
        <v>8.6054738452330497</v>
      </c>
      <c r="I59" s="100">
        <v>2612.6218594127536</v>
      </c>
      <c r="J59" s="100">
        <v>7</v>
      </c>
      <c r="K59" s="100">
        <v>2125.1999999999998</v>
      </c>
      <c r="L59" s="100">
        <v>7</v>
      </c>
      <c r="M59" s="100">
        <v>2125.1999999999998</v>
      </c>
      <c r="N59" s="100">
        <v>13</v>
      </c>
      <c r="O59" s="100">
        <v>3946.7999999999997</v>
      </c>
      <c r="P59" s="100">
        <v>10.175563307052093</v>
      </c>
      <c r="Q59" s="100">
        <v>3089.3010200210151</v>
      </c>
      <c r="R59" s="100">
        <v>3.0632771918857831</v>
      </c>
      <c r="S59" s="100">
        <v>930.01095545652367</v>
      </c>
      <c r="T59" s="100">
        <v>8</v>
      </c>
      <c r="U59" s="100">
        <v>2428.7999999999997</v>
      </c>
      <c r="V59" s="100">
        <v>7</v>
      </c>
      <c r="W59" s="100">
        <v>2125.1999999999998</v>
      </c>
      <c r="X59" s="100">
        <v>0.23142477881222689</v>
      </c>
      <c r="Y59" s="100">
        <v>70.26056284739208</v>
      </c>
      <c r="Z59" s="100">
        <v>11</v>
      </c>
      <c r="AA59" s="100">
        <v>3339.5999999999995</v>
      </c>
      <c r="AB59" s="100">
        <v>9</v>
      </c>
      <c r="AC59" s="100">
        <v>2732.3999999999996</v>
      </c>
      <c r="AD59" s="100">
        <v>5.5586246656057599</v>
      </c>
      <c r="AE59" s="100">
        <v>1687.5984484779085</v>
      </c>
      <c r="AF59" s="100">
        <v>6.4362286470323937</v>
      </c>
      <c r="AG59" s="100">
        <v>1954.0390172390346</v>
      </c>
      <c r="AH59" s="100">
        <v>7.0938785048747537</v>
      </c>
      <c r="AI59" s="100">
        <v>2153.7015140799749</v>
      </c>
      <c r="AJ59" s="100">
        <v>0.64399611270048607</v>
      </c>
      <c r="AK59" s="100">
        <v>195.51721981586755</v>
      </c>
      <c r="AL59" s="100">
        <v>5.5195443203145285</v>
      </c>
      <c r="AM59" s="100">
        <v>1675.7336556474907</v>
      </c>
      <c r="AN59" s="100">
        <v>6.5952391445692511</v>
      </c>
      <c r="AO59" s="100">
        <v>2002.3146042912244</v>
      </c>
      <c r="AP59" s="100">
        <v>4.8776989230184933</v>
      </c>
      <c r="AQ59" s="100">
        <v>1480.8693930284144</v>
      </c>
      <c r="AR59" s="100">
        <v>5.6697253870424051E-4</v>
      </c>
      <c r="AS59" s="100">
        <v>0.17213286275060741</v>
      </c>
      <c r="AT59" s="100">
        <v>8.0002242049658729</v>
      </c>
      <c r="AU59" s="100">
        <v>2428.8680686276389</v>
      </c>
      <c r="AV59" s="100">
        <v>9</v>
      </c>
      <c r="AW59" s="100">
        <v>2732.3999999999996</v>
      </c>
      <c r="AX59" s="100">
        <v>6</v>
      </c>
      <c r="AY59" s="100">
        <v>1821.6</v>
      </c>
      <c r="AZ59" s="100">
        <v>0.86188954861050271</v>
      </c>
      <c r="BA59" s="100">
        <v>261.66966695814858</v>
      </c>
      <c r="BB59" s="100">
        <v>8</v>
      </c>
      <c r="BC59" s="100">
        <v>2428.7999999999997</v>
      </c>
      <c r="BD59" s="100">
        <v>2.2935521998169737</v>
      </c>
      <c r="BE59" s="100">
        <v>696.32244786443312</v>
      </c>
      <c r="BF59" s="100">
        <v>9</v>
      </c>
      <c r="BG59" s="100">
        <v>2732.3999999999996</v>
      </c>
      <c r="BH59" s="100">
        <v>3.1362203007920217</v>
      </c>
      <c r="BI59" s="100">
        <v>952.15648332045771</v>
      </c>
      <c r="BJ59" s="100">
        <v>8.1853513683926611</v>
      </c>
      <c r="BK59" s="100">
        <v>2485.0726754440116</v>
      </c>
      <c r="BL59" s="100">
        <v>6.3579376816308661</v>
      </c>
      <c r="BM59" s="100">
        <v>1930.2698801431306</v>
      </c>
      <c r="BN59" s="100">
        <v>5.2361315416451806</v>
      </c>
      <c r="BO59" s="100">
        <v>1589.6895360434767</v>
      </c>
      <c r="BP59" s="100">
        <v>11.757117880200576</v>
      </c>
      <c r="BQ59" s="100">
        <v>3569.4609884288948</v>
      </c>
      <c r="BR59" s="100">
        <v>6.8870126938719416</v>
      </c>
      <c r="BS59" s="100">
        <v>2090.8970538595213</v>
      </c>
      <c r="BT59" s="100">
        <v>9.2112113021030169</v>
      </c>
      <c r="BU59" s="100">
        <v>2796.5237513184757</v>
      </c>
      <c r="BV59" s="100">
        <v>6.3430584345570651</v>
      </c>
      <c r="BW59" s="100">
        <v>1925.7525407315247</v>
      </c>
      <c r="BX59" s="100">
        <v>4.3663985315237124E-4</v>
      </c>
      <c r="BY59" s="100">
        <v>0.13256385941705989</v>
      </c>
      <c r="BZ59" s="100">
        <v>1.840452187064413</v>
      </c>
      <c r="CA59" s="100">
        <v>558.76128399275569</v>
      </c>
      <c r="CB59" s="100">
        <v>4.1158855802493468</v>
      </c>
      <c r="CC59" s="100">
        <v>1249.5828621637015</v>
      </c>
      <c r="CD59" s="100">
        <v>9.545158487515355</v>
      </c>
      <c r="CE59" s="100">
        <v>2897.9101168096613</v>
      </c>
      <c r="CF59" s="100">
        <v>3.2216768386171601</v>
      </c>
      <c r="CG59" s="100">
        <v>978.10108820416974</v>
      </c>
      <c r="CH59" s="100">
        <v>5.6255632666207278</v>
      </c>
      <c r="CI59" s="100">
        <v>1707.9210077460527</v>
      </c>
      <c r="CJ59" s="100">
        <v>7</v>
      </c>
      <c r="CK59" s="100">
        <v>2125.1999999999998</v>
      </c>
      <c r="CL59" s="100">
        <v>3.8566727501493623</v>
      </c>
      <c r="CM59" s="100">
        <v>1170.8858469453462</v>
      </c>
      <c r="CN59" s="100">
        <v>6.9944363947388368E-4</v>
      </c>
      <c r="CO59" s="100">
        <v>0.21235108894427107</v>
      </c>
      <c r="CP59" s="100">
        <v>9.0002405548767523</v>
      </c>
      <c r="CQ59" s="100">
        <v>2732.4730324605816</v>
      </c>
      <c r="CR59" s="100">
        <v>8.8073913407288078</v>
      </c>
      <c r="CS59" s="100">
        <v>2673.9240110452656</v>
      </c>
      <c r="CT59" s="100">
        <v>4.805337237777259</v>
      </c>
      <c r="CU59" s="100">
        <v>1458.9003853891757</v>
      </c>
    </row>
    <row r="60" spans="2:99">
      <c r="C60" s="99" t="s">
        <v>226</v>
      </c>
      <c r="D60" s="100">
        <v>5.3747383880984474</v>
      </c>
      <c r="E60" s="100">
        <v>3502.1795336849486</v>
      </c>
      <c r="F60" s="100">
        <v>2.1082606748832382</v>
      </c>
      <c r="G60" s="100">
        <v>1373.7426557539181</v>
      </c>
      <c r="H60" s="100">
        <v>7.6054738452330497</v>
      </c>
      <c r="I60" s="100">
        <v>4955.7267575538554</v>
      </c>
      <c r="J60" s="100">
        <v>7</v>
      </c>
      <c r="K60" s="100">
        <v>4561.2</v>
      </c>
      <c r="L60" s="100">
        <v>6</v>
      </c>
      <c r="M60" s="100">
        <v>3909.6000000000004</v>
      </c>
      <c r="N60" s="100">
        <v>11</v>
      </c>
      <c r="O60" s="100">
        <v>7167.6</v>
      </c>
      <c r="P60" s="100">
        <v>11.100614516784102</v>
      </c>
      <c r="Q60" s="100">
        <v>7233.1604191365213</v>
      </c>
      <c r="R60" s="100">
        <v>2.8080040925619678</v>
      </c>
      <c r="S60" s="100">
        <v>1829.6954667133782</v>
      </c>
      <c r="T60" s="100">
        <v>8</v>
      </c>
      <c r="U60" s="100">
        <v>5212.8</v>
      </c>
      <c r="V60" s="100">
        <v>7</v>
      </c>
      <c r="W60" s="100">
        <v>4561.2</v>
      </c>
      <c r="X60" s="100">
        <v>0.25055313463859669</v>
      </c>
      <c r="Y60" s="100">
        <v>163.2604225305096</v>
      </c>
      <c r="Z60" s="100">
        <v>10</v>
      </c>
      <c r="AA60" s="100">
        <v>6516</v>
      </c>
      <c r="AB60" s="100">
        <v>9</v>
      </c>
      <c r="AC60" s="100">
        <v>5864.4000000000005</v>
      </c>
      <c r="AD60" s="100">
        <v>5.0532951505506905</v>
      </c>
      <c r="AE60" s="100">
        <v>3292.7271200988298</v>
      </c>
      <c r="AF60" s="100">
        <v>6.4362286470323937</v>
      </c>
      <c r="AG60" s="100">
        <v>4193.8465864063082</v>
      </c>
      <c r="AH60" s="100">
        <v>7.0938785048747537</v>
      </c>
      <c r="AI60" s="100">
        <v>4622.37123377639</v>
      </c>
      <c r="AJ60" s="100">
        <v>0.54054839878088234</v>
      </c>
      <c r="AK60" s="100">
        <v>352.22133664562296</v>
      </c>
      <c r="AL60" s="100">
        <v>5.3954657265945594</v>
      </c>
      <c r="AM60" s="100">
        <v>3515.6854674490151</v>
      </c>
      <c r="AN60" s="100">
        <v>5.7708342514980941</v>
      </c>
      <c r="AO60" s="100">
        <v>3760.2755982761582</v>
      </c>
      <c r="AP60" s="100">
        <v>4.8808605307766584</v>
      </c>
      <c r="AQ60" s="100">
        <v>3180.3687218540708</v>
      </c>
      <c r="AR60" s="100">
        <v>4.9610097136621042E-4</v>
      </c>
      <c r="AS60" s="100">
        <v>0.32325939294222272</v>
      </c>
      <c r="AT60" s="100">
        <v>7.0002690459590475</v>
      </c>
      <c r="AU60" s="100">
        <v>4561.3753103469153</v>
      </c>
      <c r="AV60" s="100">
        <v>8</v>
      </c>
      <c r="AW60" s="100">
        <v>5212.8</v>
      </c>
      <c r="AX60" s="100">
        <v>7</v>
      </c>
      <c r="AY60" s="100">
        <v>4561.2</v>
      </c>
      <c r="AZ60" s="100">
        <v>0.7661240432093358</v>
      </c>
      <c r="BA60" s="100">
        <v>499.20642655520322</v>
      </c>
      <c r="BB60" s="100">
        <v>7</v>
      </c>
      <c r="BC60" s="100">
        <v>4561.2</v>
      </c>
      <c r="BD60" s="100">
        <v>2.6212025140765411</v>
      </c>
      <c r="BE60" s="100">
        <v>1707.9755581722743</v>
      </c>
      <c r="BF60" s="100">
        <v>8</v>
      </c>
      <c r="BG60" s="100">
        <v>5212.8</v>
      </c>
      <c r="BH60" s="100">
        <v>2.6409821602572392</v>
      </c>
      <c r="BI60" s="100">
        <v>1720.8639756236171</v>
      </c>
      <c r="BJ60" s="100">
        <v>8.1853513683926611</v>
      </c>
      <c r="BK60" s="100">
        <v>5333.5749516446585</v>
      </c>
      <c r="BL60" s="100">
        <v>6.3579376816308661</v>
      </c>
      <c r="BM60" s="100">
        <v>4142.8321933506722</v>
      </c>
      <c r="BN60" s="100">
        <v>5.1556455596266053</v>
      </c>
      <c r="BO60" s="100">
        <v>3359.4186466526962</v>
      </c>
      <c r="BP60" s="100">
        <v>10.757117880200576</v>
      </c>
      <c r="BQ60" s="100">
        <v>7009.3380107386956</v>
      </c>
      <c r="BR60" s="100">
        <v>6.1217890612195038</v>
      </c>
      <c r="BS60" s="100">
        <v>3988.9577522906288</v>
      </c>
      <c r="BT60" s="100">
        <v>9.2112113021030169</v>
      </c>
      <c r="BU60" s="100">
        <v>6002.0252844503257</v>
      </c>
      <c r="BV60" s="100">
        <v>6.3425020102478333</v>
      </c>
      <c r="BW60" s="100">
        <v>4132.7743098774881</v>
      </c>
      <c r="BX60" s="100">
        <v>5.0941316201109986E-4</v>
      </c>
      <c r="BY60" s="100">
        <v>0.3319336163664327</v>
      </c>
      <c r="BZ60" s="100">
        <v>1.8404517442385073</v>
      </c>
      <c r="CA60" s="100">
        <v>1199.2383565458115</v>
      </c>
      <c r="CB60" s="100">
        <v>4.7312237343965418</v>
      </c>
      <c r="CC60" s="100">
        <v>3082.8653853327869</v>
      </c>
      <c r="CD60" s="100">
        <v>8.545158487515355</v>
      </c>
      <c r="CE60" s="100">
        <v>5568.0252704650056</v>
      </c>
      <c r="CF60" s="100">
        <v>3.2216768386171601</v>
      </c>
      <c r="CG60" s="100">
        <v>2099.2446280429417</v>
      </c>
      <c r="CH60" s="100">
        <v>6.563157144390849</v>
      </c>
      <c r="CI60" s="100">
        <v>4276.553195285077</v>
      </c>
      <c r="CJ60" s="100">
        <v>6</v>
      </c>
      <c r="CK60" s="100">
        <v>3909.6000000000004</v>
      </c>
      <c r="CL60" s="100">
        <v>3.8566727501493623</v>
      </c>
      <c r="CM60" s="100">
        <v>2513.0079639973246</v>
      </c>
      <c r="CN60" s="100">
        <v>5.6370083429014683E-4</v>
      </c>
      <c r="CO60" s="100">
        <v>0.36730746362345967</v>
      </c>
      <c r="CP60" s="100">
        <v>8.0002405548767523</v>
      </c>
      <c r="CQ60" s="100">
        <v>5212.9567455576916</v>
      </c>
      <c r="CR60" s="100">
        <v>7.2060474605962979</v>
      </c>
      <c r="CS60" s="100">
        <v>4695.4605253245481</v>
      </c>
      <c r="CT60" s="100">
        <v>4.8626845515260708</v>
      </c>
      <c r="CU60" s="100">
        <v>3168.5252537743877</v>
      </c>
    </row>
    <row r="61" spans="2:99">
      <c r="C61" s="99" t="s">
        <v>227</v>
      </c>
      <c r="D61" s="100">
        <v>5.2594660837251688</v>
      </c>
      <c r="E61" s="100">
        <v>5004.9079252728698</v>
      </c>
      <c r="F61" s="100">
        <v>2.1082606748832382</v>
      </c>
      <c r="G61" s="100">
        <v>2006.2208582188894</v>
      </c>
      <c r="H61" s="100">
        <v>7.4843790761864391</v>
      </c>
      <c r="I61" s="100">
        <v>7122.1351288990145</v>
      </c>
      <c r="J61" s="100">
        <v>6</v>
      </c>
      <c r="K61" s="100">
        <v>5709.5999999999995</v>
      </c>
      <c r="L61" s="100">
        <v>6</v>
      </c>
      <c r="M61" s="100">
        <v>5709.5999999999995</v>
      </c>
      <c r="N61" s="100">
        <v>10</v>
      </c>
      <c r="O61" s="100">
        <v>9516</v>
      </c>
      <c r="P61" s="100">
        <v>11.100614516784102</v>
      </c>
      <c r="Q61" s="100">
        <v>10563.34477417175</v>
      </c>
      <c r="R61" s="100">
        <v>2.552730993238153</v>
      </c>
      <c r="S61" s="100">
        <v>2429.1788131654262</v>
      </c>
      <c r="T61" s="100">
        <v>8</v>
      </c>
      <c r="U61" s="100">
        <v>7612.7999999999993</v>
      </c>
      <c r="V61" s="100">
        <v>6</v>
      </c>
      <c r="W61" s="100">
        <v>5709.5999999999995</v>
      </c>
      <c r="X61" s="100">
        <v>0.2119823381698922</v>
      </c>
      <c r="Y61" s="100">
        <v>201.7223930024694</v>
      </c>
      <c r="Z61" s="100">
        <v>10</v>
      </c>
      <c r="AA61" s="100">
        <v>9516</v>
      </c>
      <c r="AB61" s="100">
        <v>9</v>
      </c>
      <c r="AC61" s="100">
        <v>8564.4</v>
      </c>
      <c r="AD61" s="100">
        <v>5.5586246656057599</v>
      </c>
      <c r="AE61" s="100">
        <v>5289.5872317904405</v>
      </c>
      <c r="AF61" s="100">
        <v>5.8998762597796937</v>
      </c>
      <c r="AG61" s="100">
        <v>5614.3222488063557</v>
      </c>
      <c r="AH61" s="100">
        <v>5.9376101470355032</v>
      </c>
      <c r="AI61" s="100">
        <v>5650.2298159189841</v>
      </c>
      <c r="AJ61" s="100">
        <v>0.54054839878088234</v>
      </c>
      <c r="AK61" s="100">
        <v>514.38585627988755</v>
      </c>
      <c r="AL61" s="100">
        <v>5.5195443203145285</v>
      </c>
      <c r="AM61" s="100">
        <v>5252.3983752113045</v>
      </c>
      <c r="AN61" s="100">
        <v>4.946429358426939</v>
      </c>
      <c r="AO61" s="100">
        <v>4707.0221774790743</v>
      </c>
      <c r="AP61" s="100">
        <v>3.9042497047371034</v>
      </c>
      <c r="AQ61" s="100">
        <v>3715.2840190278271</v>
      </c>
      <c r="AR61" s="100">
        <v>6.378441060422706E-4</v>
      </c>
      <c r="AS61" s="100">
        <v>0.60697245130982469</v>
      </c>
      <c r="AT61" s="100">
        <v>7.0002242049658729</v>
      </c>
      <c r="AU61" s="100">
        <v>6661.4133534455241</v>
      </c>
      <c r="AV61" s="100">
        <v>8</v>
      </c>
      <c r="AW61" s="100">
        <v>7612.7999999999993</v>
      </c>
      <c r="AX61" s="100">
        <v>7</v>
      </c>
      <c r="AY61" s="100">
        <v>6661.1999999999989</v>
      </c>
      <c r="AZ61" s="100">
        <v>0.86188954861050271</v>
      </c>
      <c r="BA61" s="100">
        <v>820.17409445775434</v>
      </c>
      <c r="BB61" s="100">
        <v>7</v>
      </c>
      <c r="BC61" s="100">
        <v>6661.1999999999989</v>
      </c>
      <c r="BD61" s="100">
        <v>2.2935521998169737</v>
      </c>
      <c r="BE61" s="100">
        <v>2182.5442733458322</v>
      </c>
      <c r="BF61" s="100">
        <v>9</v>
      </c>
      <c r="BG61" s="100">
        <v>8564.4</v>
      </c>
      <c r="BH61" s="100">
        <v>2.6135169173266846</v>
      </c>
      <c r="BI61" s="100">
        <v>2487.0226985280729</v>
      </c>
      <c r="BJ61" s="100">
        <v>8.1853513683926611</v>
      </c>
      <c r="BK61" s="100">
        <v>7789.1803621624558</v>
      </c>
      <c r="BL61" s="100">
        <v>6.3579376816308661</v>
      </c>
      <c r="BM61" s="100">
        <v>6050.2134978399317</v>
      </c>
      <c r="BN61" s="100">
        <v>5.1556455596266053</v>
      </c>
      <c r="BO61" s="100">
        <v>4906.1123145406773</v>
      </c>
      <c r="BP61" s="100">
        <v>10.757117880200576</v>
      </c>
      <c r="BQ61" s="100">
        <v>10236.473374798868</v>
      </c>
      <c r="BR61" s="100">
        <v>6.1217890612195038</v>
      </c>
      <c r="BS61" s="100">
        <v>5825.4944706564793</v>
      </c>
      <c r="BT61" s="100">
        <v>8.443610360261097</v>
      </c>
      <c r="BU61" s="100">
        <v>8034.9396188244591</v>
      </c>
      <c r="BV61" s="100">
        <v>6.3425020102478333</v>
      </c>
      <c r="BW61" s="100">
        <v>6035.5249129518379</v>
      </c>
      <c r="BX61" s="100">
        <v>5.0941316201109986E-4</v>
      </c>
      <c r="BY61" s="100">
        <v>0.48475756496976258</v>
      </c>
      <c r="BZ61" s="100">
        <v>1.8404517442385073</v>
      </c>
      <c r="CA61" s="100">
        <v>1751.3738798173633</v>
      </c>
      <c r="CB61" s="100">
        <v>4.6635879916710943</v>
      </c>
      <c r="CC61" s="100">
        <v>4437.8703328742131</v>
      </c>
      <c r="CD61" s="100">
        <v>9.4088688656365154</v>
      </c>
      <c r="CE61" s="100">
        <v>8953.4796125397079</v>
      </c>
      <c r="CF61" s="100">
        <v>3.2216768386171601</v>
      </c>
      <c r="CG61" s="100">
        <v>3065.7476796280894</v>
      </c>
      <c r="CH61" s="100">
        <v>5.6255632666207278</v>
      </c>
      <c r="CI61" s="100">
        <v>5353.2860045162843</v>
      </c>
      <c r="CJ61" s="100">
        <v>7</v>
      </c>
      <c r="CK61" s="100">
        <v>6661.1999999999989</v>
      </c>
      <c r="CL61" s="100">
        <v>3.8566727501493623</v>
      </c>
      <c r="CM61" s="100">
        <v>3670.009789042133</v>
      </c>
      <c r="CN61" s="100">
        <v>6.2949927552649533E-4</v>
      </c>
      <c r="CO61" s="100">
        <v>0.59903151059101289</v>
      </c>
      <c r="CP61" s="100">
        <v>8.0002405548767523</v>
      </c>
      <c r="CQ61" s="100">
        <v>7613.0289120207171</v>
      </c>
      <c r="CR61" s="100">
        <v>8.0067194006625524</v>
      </c>
      <c r="CS61" s="100">
        <v>7619.1941816704839</v>
      </c>
      <c r="CT61" s="100">
        <v>4.805337237777259</v>
      </c>
      <c r="CU61" s="100">
        <v>4572.7589154688394</v>
      </c>
    </row>
    <row r="62" spans="2:99">
      <c r="C62" s="99" t="s">
        <v>228</v>
      </c>
      <c r="D62" s="100">
        <v>6</v>
      </c>
      <c r="E62" s="100">
        <v>10015.200000000001</v>
      </c>
      <c r="F62" s="100">
        <v>1.5419776667306431</v>
      </c>
      <c r="G62" s="100">
        <v>2573.8691213067896</v>
      </c>
      <c r="H62" s="100">
        <v>5.0773061667932655</v>
      </c>
      <c r="I62" s="100">
        <v>8475.0394536113199</v>
      </c>
      <c r="J62" s="100">
        <v>2.0635016465773028</v>
      </c>
      <c r="K62" s="100">
        <v>3444.3969484668341</v>
      </c>
      <c r="L62" s="100">
        <v>6.6774058235287672</v>
      </c>
      <c r="M62" s="100">
        <v>11145.925800634219</v>
      </c>
      <c r="N62" s="100">
        <v>3.5362662312743822</v>
      </c>
      <c r="O62" s="100">
        <v>5902.7355932431992</v>
      </c>
      <c r="P62" s="100">
        <v>9.8478086693029585</v>
      </c>
      <c r="Q62" s="100">
        <v>16437.962230800498</v>
      </c>
      <c r="R62" s="100">
        <v>2.7185331711419027</v>
      </c>
      <c r="S62" s="100">
        <v>4537.7755692700639</v>
      </c>
      <c r="T62" s="100">
        <v>4.316638963334424</v>
      </c>
      <c r="U62" s="100">
        <v>7205.3337575978203</v>
      </c>
      <c r="V62" s="100">
        <v>5.2692500123540444</v>
      </c>
      <c r="W62" s="100">
        <v>8795.4321206213717</v>
      </c>
      <c r="X62" s="100">
        <v>4.4187253061897076</v>
      </c>
      <c r="Y62" s="100">
        <v>7375.7362810918603</v>
      </c>
      <c r="Z62" s="100">
        <v>7.314821275915703</v>
      </c>
      <c r="AA62" s="100">
        <v>12209.899673758491</v>
      </c>
      <c r="AB62" s="100">
        <v>5.0504855255929213</v>
      </c>
      <c r="AC62" s="100">
        <v>8430.2704393197037</v>
      </c>
      <c r="AD62" s="100">
        <v>7.4259646269286472</v>
      </c>
      <c r="AE62" s="100">
        <v>12395.420155269298</v>
      </c>
      <c r="AF62" s="100">
        <v>0.45253909815886068</v>
      </c>
      <c r="AG62" s="100">
        <v>755.37826264677028</v>
      </c>
      <c r="AH62" s="100">
        <v>4.0466002611226379</v>
      </c>
      <c r="AI62" s="100">
        <v>6754.5851558659078</v>
      </c>
      <c r="AJ62" s="100">
        <v>5.083283759666883</v>
      </c>
      <c r="AK62" s="100">
        <v>8485.0172516359617</v>
      </c>
      <c r="AL62" s="100">
        <v>5</v>
      </c>
      <c r="AM62" s="100">
        <v>8346</v>
      </c>
      <c r="AN62" s="100">
        <v>0.57857522267659522</v>
      </c>
      <c r="AO62" s="100">
        <v>965.75776169177277</v>
      </c>
      <c r="AP62" s="100">
        <v>7.7122188462259853</v>
      </c>
      <c r="AQ62" s="100">
        <v>12873.235698120416</v>
      </c>
      <c r="AR62" s="100">
        <v>6.5730187079559492</v>
      </c>
      <c r="AS62" s="100">
        <v>10971.68282732007</v>
      </c>
      <c r="AT62" s="100">
        <v>5.6137373783940419</v>
      </c>
      <c r="AU62" s="100">
        <v>9370.4504320153355</v>
      </c>
      <c r="AV62" s="100">
        <v>0.40963966535252605</v>
      </c>
      <c r="AW62" s="100">
        <v>683.77052940643648</v>
      </c>
      <c r="AX62" s="100">
        <v>6.2327375494420192</v>
      </c>
      <c r="AY62" s="100">
        <v>10403.685517528618</v>
      </c>
      <c r="AZ62" s="100">
        <v>2.62351392795658</v>
      </c>
      <c r="BA62" s="100">
        <v>4379.1694485451235</v>
      </c>
      <c r="BB62" s="100">
        <v>7.4462100766629966</v>
      </c>
      <c r="BC62" s="100">
        <v>12429.213859965874</v>
      </c>
      <c r="BD62" s="100">
        <v>6.5280301361756026</v>
      </c>
      <c r="BE62" s="100">
        <v>10896.587903304317</v>
      </c>
      <c r="BF62" s="100">
        <v>6.3762169688268786</v>
      </c>
      <c r="BG62" s="100">
        <v>10643.181364365826</v>
      </c>
      <c r="BH62" s="100">
        <v>7.6258767759889334</v>
      </c>
      <c r="BI62" s="100">
        <v>12729.113514480729</v>
      </c>
      <c r="BJ62" s="100">
        <v>6.6132267805609182</v>
      </c>
      <c r="BK62" s="100">
        <v>11038.798142112284</v>
      </c>
      <c r="BL62" s="100">
        <v>3.9012380138217071</v>
      </c>
      <c r="BM62" s="100">
        <v>6511.9464926711935</v>
      </c>
      <c r="BN62" s="100">
        <v>4.9322477604543815</v>
      </c>
      <c r="BO62" s="100">
        <v>8232.907961750454</v>
      </c>
      <c r="BP62" s="100">
        <v>0.48231053895975651</v>
      </c>
      <c r="BQ62" s="100">
        <v>805.07275163162558</v>
      </c>
      <c r="BR62" s="100">
        <v>7.222060103302983</v>
      </c>
      <c r="BS62" s="100">
        <v>12055.062724433339</v>
      </c>
      <c r="BT62" s="100">
        <v>9.4602728829410943</v>
      </c>
      <c r="BU62" s="100">
        <v>15791.087496205275</v>
      </c>
      <c r="BV62" s="100">
        <v>7.0370432527796645</v>
      </c>
      <c r="BW62" s="100">
        <v>11746.232597539816</v>
      </c>
      <c r="BX62" s="100">
        <v>4.0066768790601319</v>
      </c>
      <c r="BY62" s="100">
        <v>6687.9450465271721</v>
      </c>
      <c r="BZ62" s="100">
        <v>4.908842533947845</v>
      </c>
      <c r="CA62" s="100">
        <v>8193.839957665743</v>
      </c>
      <c r="CB62" s="100">
        <v>6.0473736111688465</v>
      </c>
      <c r="CC62" s="100">
        <v>10094.276031763038</v>
      </c>
      <c r="CD62" s="100">
        <v>5.1860054802120272</v>
      </c>
      <c r="CE62" s="100">
        <v>8656.4803475699155</v>
      </c>
      <c r="CF62" s="100">
        <v>3.1284019164861835E-4</v>
      </c>
      <c r="CG62" s="100">
        <v>0.52219284789987375</v>
      </c>
      <c r="CH62" s="100">
        <v>4.4068074322043627</v>
      </c>
      <c r="CI62" s="100">
        <v>7355.8429658355226</v>
      </c>
      <c r="CJ62" s="100">
        <v>4.7072503789044173</v>
      </c>
      <c r="CK62" s="100">
        <v>7857.342332467254</v>
      </c>
      <c r="CL62" s="100">
        <v>5.1655287852313263</v>
      </c>
      <c r="CM62" s="100">
        <v>8622.3006483081299</v>
      </c>
      <c r="CN62" s="100">
        <v>0.40900134168867469</v>
      </c>
      <c r="CO62" s="100">
        <v>682.70503954673586</v>
      </c>
      <c r="CP62" s="100">
        <v>7.2764808168437849</v>
      </c>
      <c r="CQ62" s="100">
        <v>12145.901779475646</v>
      </c>
      <c r="CR62" s="100">
        <v>7.919535601134128</v>
      </c>
      <c r="CS62" s="100">
        <v>13219.288825413087</v>
      </c>
      <c r="CT62" s="100">
        <v>2.8205297664616613</v>
      </c>
      <c r="CU62" s="100">
        <v>4708.0282861778051</v>
      </c>
    </row>
    <row r="63" spans="2:99">
      <c r="C63" s="99" t="s">
        <v>229</v>
      </c>
      <c r="D63" s="100">
        <v>5.2609382303649026</v>
      </c>
      <c r="E63" s="100">
        <v>4185.6024560783162</v>
      </c>
      <c r="F63" s="100">
        <v>1.8318298904574497</v>
      </c>
      <c r="G63" s="100">
        <v>1457.403860847947</v>
      </c>
      <c r="H63" s="100">
        <v>7.6054738452330497</v>
      </c>
      <c r="I63" s="100">
        <v>6050.9149912674147</v>
      </c>
      <c r="J63" s="100">
        <v>7</v>
      </c>
      <c r="K63" s="100">
        <v>5569.2</v>
      </c>
      <c r="L63" s="100">
        <v>6</v>
      </c>
      <c r="M63" s="100">
        <v>4773.6000000000004</v>
      </c>
      <c r="N63" s="100">
        <v>10</v>
      </c>
      <c r="O63" s="100">
        <v>7956</v>
      </c>
      <c r="P63" s="100">
        <v>9.2505120973200849</v>
      </c>
      <c r="Q63" s="100">
        <v>7359.7074246278598</v>
      </c>
      <c r="R63" s="100">
        <v>3.0632771918857831</v>
      </c>
      <c r="S63" s="100">
        <v>2437.1433338643292</v>
      </c>
      <c r="T63" s="100">
        <v>9</v>
      </c>
      <c r="U63" s="100">
        <v>7160.4000000000005</v>
      </c>
      <c r="V63" s="100">
        <v>8</v>
      </c>
      <c r="W63" s="100">
        <v>6364.8</v>
      </c>
      <c r="X63" s="100">
        <v>0.23142477881222689</v>
      </c>
      <c r="Y63" s="100">
        <v>184.12155402300772</v>
      </c>
      <c r="Z63" s="100">
        <v>11</v>
      </c>
      <c r="AA63" s="100">
        <v>8751.6</v>
      </c>
      <c r="AB63" s="100">
        <v>9</v>
      </c>
      <c r="AC63" s="100">
        <v>7160.4000000000005</v>
      </c>
      <c r="AD63" s="100">
        <v>5.0532951505506905</v>
      </c>
      <c r="AE63" s="100">
        <v>4020.4016217781295</v>
      </c>
      <c r="AF63" s="100">
        <v>5.8998762597796937</v>
      </c>
      <c r="AG63" s="100">
        <v>4693.941552280724</v>
      </c>
      <c r="AH63" s="100">
        <v>6.9376101470355032</v>
      </c>
      <c r="AI63" s="100">
        <v>5519.5626329814468</v>
      </c>
      <c r="AJ63" s="100">
        <v>0.63467218102734069</v>
      </c>
      <c r="AK63" s="100">
        <v>504.94518722535224</v>
      </c>
      <c r="AL63" s="100">
        <v>5.5195443203145285</v>
      </c>
      <c r="AM63" s="100">
        <v>4391.3494612422392</v>
      </c>
      <c r="AN63" s="100">
        <v>5.3619838296197502</v>
      </c>
      <c r="AO63" s="100">
        <v>4265.9943348454735</v>
      </c>
      <c r="AP63" s="100">
        <v>4.8808605307766584</v>
      </c>
      <c r="AQ63" s="100">
        <v>3883.2126382859096</v>
      </c>
      <c r="AR63" s="100">
        <v>5.6697253870424051E-4</v>
      </c>
      <c r="AS63" s="100">
        <v>0.45108335179309378</v>
      </c>
      <c r="AT63" s="100">
        <v>9.0002690459590475</v>
      </c>
      <c r="AU63" s="100">
        <v>7160.6140529650183</v>
      </c>
      <c r="AV63" s="100">
        <v>8</v>
      </c>
      <c r="AW63" s="100">
        <v>6364.8</v>
      </c>
      <c r="AX63" s="100">
        <v>6</v>
      </c>
      <c r="AY63" s="100">
        <v>4773.6000000000004</v>
      </c>
      <c r="AZ63" s="100">
        <v>0.7661240432093358</v>
      </c>
      <c r="BA63" s="100">
        <v>609.5282887773476</v>
      </c>
      <c r="BB63" s="100">
        <v>7</v>
      </c>
      <c r="BC63" s="100">
        <v>5569.2</v>
      </c>
      <c r="BD63" s="100">
        <v>1.9659018855574062</v>
      </c>
      <c r="BE63" s="100">
        <v>1564.0715401494724</v>
      </c>
      <c r="BF63" s="100">
        <v>9</v>
      </c>
      <c r="BG63" s="100">
        <v>7160.4000000000005</v>
      </c>
      <c r="BH63" s="100">
        <v>3.1636855437225759</v>
      </c>
      <c r="BI63" s="100">
        <v>2517.0282185856813</v>
      </c>
      <c r="BJ63" s="100">
        <v>9.1587991369538564</v>
      </c>
      <c r="BK63" s="100">
        <v>7286.7405933604887</v>
      </c>
      <c r="BL63" s="100">
        <v>6.3579376816308661</v>
      </c>
      <c r="BM63" s="100">
        <v>5058.3752195055176</v>
      </c>
      <c r="BN63" s="100">
        <v>5.9478481678822286</v>
      </c>
      <c r="BO63" s="100">
        <v>4732.1080023671011</v>
      </c>
      <c r="BP63" s="100">
        <v>9.7571178802005765</v>
      </c>
      <c r="BQ63" s="100">
        <v>7762.7629854875786</v>
      </c>
      <c r="BR63" s="100">
        <v>6.8870126938719416</v>
      </c>
      <c r="BS63" s="100">
        <v>5479.3072992445168</v>
      </c>
      <c r="BT63" s="100">
        <v>8.443610360261097</v>
      </c>
      <c r="BU63" s="100">
        <v>6717.7364026237292</v>
      </c>
      <c r="BV63" s="100">
        <v>6.2735973197494674</v>
      </c>
      <c r="BW63" s="100">
        <v>4991.2740275926762</v>
      </c>
      <c r="BX63" s="100">
        <v>4.3663985315237124E-4</v>
      </c>
      <c r="BY63" s="100">
        <v>0.34739066716802658</v>
      </c>
      <c r="BZ63" s="100">
        <v>1.577540167213165</v>
      </c>
      <c r="CA63" s="100">
        <v>1255.0909570347942</v>
      </c>
      <c r="CB63" s="100">
        <v>4.7327272509809992</v>
      </c>
      <c r="CC63" s="100">
        <v>3765.357800880483</v>
      </c>
      <c r="CD63" s="100">
        <v>8.545158487515355</v>
      </c>
      <c r="CE63" s="100">
        <v>6798.5280926672167</v>
      </c>
      <c r="CF63" s="100">
        <v>3.7586229783866871</v>
      </c>
      <c r="CG63" s="100">
        <v>2990.3604416044482</v>
      </c>
      <c r="CH63" s="100">
        <v>5.6255632666207278</v>
      </c>
      <c r="CI63" s="100">
        <v>4475.6981349234511</v>
      </c>
      <c r="CJ63" s="100">
        <v>6</v>
      </c>
      <c r="CK63" s="100">
        <v>4773.6000000000004</v>
      </c>
      <c r="CL63" s="100">
        <v>3.8566727501493623</v>
      </c>
      <c r="CM63" s="100">
        <v>3068.3688400188325</v>
      </c>
      <c r="CN63" s="100">
        <v>6.9944363947388368E-4</v>
      </c>
      <c r="CO63" s="100">
        <v>0.55647735956542188</v>
      </c>
      <c r="CP63" s="100">
        <v>8.0002806473562114</v>
      </c>
      <c r="CQ63" s="100">
        <v>6365.0232830366022</v>
      </c>
      <c r="CR63" s="100">
        <v>7.2060474605962979</v>
      </c>
      <c r="CS63" s="100">
        <v>5733.1313596504151</v>
      </c>
      <c r="CT63" s="100">
        <v>4.8626845515260708</v>
      </c>
      <c r="CU63" s="100">
        <v>3868.7518291941419</v>
      </c>
    </row>
    <row r="64" spans="2:99">
      <c r="C64" s="99" t="s">
        <v>230</v>
      </c>
      <c r="D64" s="100">
        <v>4.7249249093600252</v>
      </c>
      <c r="E64" s="100">
        <v>4768.3942185261367</v>
      </c>
      <c r="F64" s="100">
        <v>1.8210020664635296</v>
      </c>
      <c r="G64" s="100">
        <v>1837.7552854749938</v>
      </c>
      <c r="H64" s="100">
        <v>8.6054738452330497</v>
      </c>
      <c r="I64" s="100">
        <v>8684.6442046091925</v>
      </c>
      <c r="J64" s="100">
        <v>6</v>
      </c>
      <c r="K64" s="100">
        <v>6055.1999999999989</v>
      </c>
      <c r="L64" s="100">
        <v>6</v>
      </c>
      <c r="M64" s="100">
        <v>6055.1999999999989</v>
      </c>
      <c r="N64" s="100">
        <v>11</v>
      </c>
      <c r="O64" s="100">
        <v>11101.199999999997</v>
      </c>
      <c r="P64" s="100">
        <v>10.175563307052093</v>
      </c>
      <c r="Q64" s="100">
        <v>10269.17848947697</v>
      </c>
      <c r="R64" s="100">
        <v>2.8080040925619678</v>
      </c>
      <c r="S64" s="100">
        <v>2833.8377302135373</v>
      </c>
      <c r="T64" s="100">
        <v>8</v>
      </c>
      <c r="U64" s="100">
        <v>8073.5999999999985</v>
      </c>
      <c r="V64" s="100">
        <v>7</v>
      </c>
      <c r="W64" s="100">
        <v>7064.3999999999987</v>
      </c>
      <c r="X64" s="100">
        <v>0.23142477881222689</v>
      </c>
      <c r="Y64" s="100">
        <v>233.55388677729934</v>
      </c>
      <c r="Z64" s="100">
        <v>10</v>
      </c>
      <c r="AA64" s="100">
        <v>10091.999999999998</v>
      </c>
      <c r="AB64" s="100">
        <v>9</v>
      </c>
      <c r="AC64" s="100">
        <v>9082.7999999999993</v>
      </c>
      <c r="AD64" s="100">
        <v>4.5479656354956219</v>
      </c>
      <c r="AE64" s="100">
        <v>4589.8069193421807</v>
      </c>
      <c r="AF64" s="100">
        <v>5.8998762597796937</v>
      </c>
      <c r="AG64" s="100">
        <v>5954.1551213696657</v>
      </c>
      <c r="AH64" s="100">
        <v>7.0938785048747537</v>
      </c>
      <c r="AI64" s="100">
        <v>7159.1421871195998</v>
      </c>
      <c r="AJ64" s="100">
        <v>0.5358864329443096</v>
      </c>
      <c r="AK64" s="100">
        <v>540.81658812739715</v>
      </c>
      <c r="AL64" s="100">
        <v>5.3954657265945594</v>
      </c>
      <c r="AM64" s="100">
        <v>5445.104011279228</v>
      </c>
      <c r="AN64" s="100">
        <v>5.3619838296197502</v>
      </c>
      <c r="AO64" s="100">
        <v>5411.3140808522512</v>
      </c>
      <c r="AP64" s="100">
        <v>3.9042497047371034</v>
      </c>
      <c r="AQ64" s="100">
        <v>3940.1688020206839</v>
      </c>
      <c r="AR64" s="100">
        <v>4.9610097136621042E-4</v>
      </c>
      <c r="AS64" s="100">
        <v>0.50066510030277944</v>
      </c>
      <c r="AT64" s="100">
        <v>7.0002242049658729</v>
      </c>
      <c r="AU64" s="100">
        <v>7064.626267651558</v>
      </c>
      <c r="AV64" s="100">
        <v>8</v>
      </c>
      <c r="AW64" s="100">
        <v>8073.5999999999985</v>
      </c>
      <c r="AX64" s="100">
        <v>6</v>
      </c>
      <c r="AY64" s="100">
        <v>6055.1999999999989</v>
      </c>
      <c r="AZ64" s="100">
        <v>0.67035853780816879</v>
      </c>
      <c r="BA64" s="100">
        <v>676.52583635600377</v>
      </c>
      <c r="BB64" s="100">
        <v>7</v>
      </c>
      <c r="BC64" s="100">
        <v>7064.3999999999987</v>
      </c>
      <c r="BD64" s="100">
        <v>1.9659018855574062</v>
      </c>
      <c r="BE64" s="100">
        <v>1983.9881829045339</v>
      </c>
      <c r="BF64" s="100">
        <v>8</v>
      </c>
      <c r="BG64" s="100">
        <v>8073.5999999999985</v>
      </c>
      <c r="BH64" s="100">
        <v>2.6409821602572392</v>
      </c>
      <c r="BI64" s="100">
        <v>2665.2791961316052</v>
      </c>
      <c r="BJ64" s="100">
        <v>9.1587991369538564</v>
      </c>
      <c r="BK64" s="100">
        <v>9243.0600890138303</v>
      </c>
      <c r="BL64" s="100">
        <v>5.4496608699693141</v>
      </c>
      <c r="BM64" s="100">
        <v>5499.7977499730305</v>
      </c>
      <c r="BN64" s="100">
        <v>5.2361315416451806</v>
      </c>
      <c r="BO64" s="100">
        <v>5284.3039518283149</v>
      </c>
      <c r="BP64" s="100">
        <v>10.60569430416046</v>
      </c>
      <c r="BQ64" s="100">
        <v>10703.266691758734</v>
      </c>
      <c r="BR64" s="100">
        <v>6.1217890612195038</v>
      </c>
      <c r="BS64" s="100">
        <v>6178.1095205827223</v>
      </c>
      <c r="BT64" s="100">
        <v>7.6760094184191798</v>
      </c>
      <c r="BU64" s="100">
        <v>7746.6287050686351</v>
      </c>
      <c r="BV64" s="100">
        <v>6.3425020102478333</v>
      </c>
      <c r="BW64" s="100">
        <v>6400.8530287421127</v>
      </c>
      <c r="BX64" s="100">
        <v>4.3663985315237124E-4</v>
      </c>
      <c r="BY64" s="100">
        <v>0.44065693980137299</v>
      </c>
      <c r="BZ64" s="100">
        <v>1.8404628641765008</v>
      </c>
      <c r="CA64" s="100">
        <v>1857.3951225269243</v>
      </c>
      <c r="CB64" s="100">
        <v>4.7312237343965418</v>
      </c>
      <c r="CC64" s="100">
        <v>4774.7509927529891</v>
      </c>
      <c r="CD64" s="100">
        <v>9.545158487515355</v>
      </c>
      <c r="CE64" s="100">
        <v>9632.9739456004954</v>
      </c>
      <c r="CF64" s="100">
        <v>3.2216768386171601</v>
      </c>
      <c r="CG64" s="100">
        <v>3251.3162655324372</v>
      </c>
      <c r="CH64" s="100">
        <v>5.6255632666207278</v>
      </c>
      <c r="CI64" s="100">
        <v>5677.3184486736372</v>
      </c>
      <c r="CJ64" s="100">
        <v>7</v>
      </c>
      <c r="CK64" s="100">
        <v>7064.3999999999987</v>
      </c>
      <c r="CL64" s="100">
        <v>3.428153555688322</v>
      </c>
      <c r="CM64" s="100">
        <v>3459.6925684006542</v>
      </c>
      <c r="CN64" s="100">
        <v>6.3157223688201525E-4</v>
      </c>
      <c r="CO64" s="100">
        <v>0.63738270146132969</v>
      </c>
      <c r="CP64" s="100">
        <v>8.0002405548767523</v>
      </c>
      <c r="CQ64" s="100">
        <v>8073.8427679816168</v>
      </c>
      <c r="CR64" s="100">
        <v>8.0067194006625524</v>
      </c>
      <c r="CS64" s="100">
        <v>8080.3812191486468</v>
      </c>
      <c r="CT64" s="100">
        <v>4.805337237777259</v>
      </c>
      <c r="CU64" s="100">
        <v>4849.5463403648091</v>
      </c>
    </row>
    <row r="65" spans="2:99">
      <c r="C65" s="99" t="s">
        <v>231</v>
      </c>
      <c r="D65" s="100">
        <v>5.2594660837251688</v>
      </c>
      <c r="E65" s="100">
        <v>5396.2122019020235</v>
      </c>
      <c r="F65" s="100">
        <v>1.8210020664635296</v>
      </c>
      <c r="G65" s="100">
        <v>1868.3481201915813</v>
      </c>
      <c r="H65" s="100">
        <v>7.6054738452330497</v>
      </c>
      <c r="I65" s="100">
        <v>7803.216165209109</v>
      </c>
      <c r="J65" s="100">
        <v>7</v>
      </c>
      <c r="K65" s="100">
        <v>7182</v>
      </c>
      <c r="L65" s="100">
        <v>7</v>
      </c>
      <c r="M65" s="100">
        <v>7182</v>
      </c>
      <c r="N65" s="100">
        <v>11</v>
      </c>
      <c r="O65" s="100">
        <v>11286</v>
      </c>
      <c r="P65" s="100">
        <v>9.2505120973200849</v>
      </c>
      <c r="Q65" s="100">
        <v>9491.0254118504072</v>
      </c>
      <c r="R65" s="100">
        <v>2.8080040925619678</v>
      </c>
      <c r="S65" s="100">
        <v>2881.012198968579</v>
      </c>
      <c r="T65" s="100">
        <v>8</v>
      </c>
      <c r="U65" s="100">
        <v>8208</v>
      </c>
      <c r="V65" s="100">
        <v>6</v>
      </c>
      <c r="W65" s="100">
        <v>6156</v>
      </c>
      <c r="X65" s="100">
        <v>0.23142477881222689</v>
      </c>
      <c r="Y65" s="100">
        <v>237.44182306134479</v>
      </c>
      <c r="Z65" s="100">
        <v>10</v>
      </c>
      <c r="AA65" s="100">
        <v>10260</v>
      </c>
      <c r="AB65" s="100">
        <v>8</v>
      </c>
      <c r="AC65" s="100">
        <v>8208</v>
      </c>
      <c r="AD65" s="100">
        <v>4.5479656354956219</v>
      </c>
      <c r="AE65" s="100">
        <v>4666.2127420185079</v>
      </c>
      <c r="AF65" s="100">
        <v>4.8271714852742953</v>
      </c>
      <c r="AG65" s="100">
        <v>4952.6779438914273</v>
      </c>
      <c r="AH65" s="100">
        <v>5.9376101470355032</v>
      </c>
      <c r="AI65" s="100">
        <v>6091.9880108584266</v>
      </c>
      <c r="AJ65" s="100">
        <v>0.5358864329443096</v>
      </c>
      <c r="AK65" s="100">
        <v>549.81948020086168</v>
      </c>
      <c r="AL65" s="100">
        <v>5.3954657265945594</v>
      </c>
      <c r="AM65" s="100">
        <v>5535.7478354860177</v>
      </c>
      <c r="AN65" s="100">
        <v>5.3619838296197502</v>
      </c>
      <c r="AO65" s="100">
        <v>5501.395409189864</v>
      </c>
      <c r="AP65" s="100">
        <v>4.3925551177568813</v>
      </c>
      <c r="AQ65" s="100">
        <v>4506.76155081856</v>
      </c>
      <c r="AR65" s="100">
        <v>5.6697253870424051E-4</v>
      </c>
      <c r="AS65" s="100">
        <v>0.58171382471055078</v>
      </c>
      <c r="AT65" s="100">
        <v>9.0002690459590475</v>
      </c>
      <c r="AU65" s="100">
        <v>9234.2760411539821</v>
      </c>
      <c r="AV65" s="100">
        <v>8</v>
      </c>
      <c r="AW65" s="100">
        <v>8208</v>
      </c>
      <c r="AX65" s="100">
        <v>6</v>
      </c>
      <c r="AY65" s="100">
        <v>6156</v>
      </c>
      <c r="AZ65" s="100">
        <v>0.67035853780816879</v>
      </c>
      <c r="BA65" s="100">
        <v>687.78785979118118</v>
      </c>
      <c r="BB65" s="100">
        <v>6</v>
      </c>
      <c r="BC65" s="100">
        <v>6156</v>
      </c>
      <c r="BD65" s="100">
        <v>1.9659018855574062</v>
      </c>
      <c r="BE65" s="100">
        <v>2017.0153345818987</v>
      </c>
      <c r="BF65" s="100">
        <v>8</v>
      </c>
      <c r="BG65" s="100">
        <v>8208</v>
      </c>
      <c r="BH65" s="100">
        <v>2.6135169173266846</v>
      </c>
      <c r="BI65" s="100">
        <v>2681.4683571771784</v>
      </c>
      <c r="BJ65" s="100">
        <v>8.2847936733684335</v>
      </c>
      <c r="BK65" s="100">
        <v>8500.1983088760135</v>
      </c>
      <c r="BL65" s="100">
        <v>6.3579376816308661</v>
      </c>
      <c r="BM65" s="100">
        <v>6523.244061353269</v>
      </c>
      <c r="BN65" s="100">
        <v>5.1556455596266053</v>
      </c>
      <c r="BO65" s="100">
        <v>5289.6923441768968</v>
      </c>
      <c r="BP65" s="100">
        <v>10.757117880200576</v>
      </c>
      <c r="BQ65" s="100">
        <v>11036.802945085792</v>
      </c>
      <c r="BR65" s="100">
        <v>6.1217890612195038</v>
      </c>
      <c r="BS65" s="100">
        <v>6280.9555768112114</v>
      </c>
      <c r="BT65" s="100">
        <v>9.2112113021030169</v>
      </c>
      <c r="BU65" s="100">
        <v>9450.7027959576953</v>
      </c>
      <c r="BV65" s="100">
        <v>5.6687748210923905</v>
      </c>
      <c r="BW65" s="100">
        <v>5816.1629664407928</v>
      </c>
      <c r="BX65" s="100">
        <v>4.3663985315237124E-4</v>
      </c>
      <c r="BY65" s="100">
        <v>0.44799248933433289</v>
      </c>
      <c r="BZ65" s="100">
        <v>1.840452187064413</v>
      </c>
      <c r="CA65" s="100">
        <v>1888.3039439280878</v>
      </c>
      <c r="CB65" s="100">
        <v>4.1143820636648893</v>
      </c>
      <c r="CC65" s="100">
        <v>4221.3559973201764</v>
      </c>
      <c r="CD65" s="100">
        <v>8.545158487515355</v>
      </c>
      <c r="CE65" s="100">
        <v>8767.3326081907544</v>
      </c>
      <c r="CF65" s="100">
        <v>3.2216768386171601</v>
      </c>
      <c r="CG65" s="100">
        <v>3305.4404364212064</v>
      </c>
      <c r="CH65" s="100">
        <v>5.6255632666207278</v>
      </c>
      <c r="CI65" s="100">
        <v>5771.8279115528667</v>
      </c>
      <c r="CJ65" s="100">
        <v>6</v>
      </c>
      <c r="CK65" s="100">
        <v>6156</v>
      </c>
      <c r="CL65" s="100">
        <v>3.8566727501493623</v>
      </c>
      <c r="CM65" s="100">
        <v>3956.9462416532456</v>
      </c>
      <c r="CN65" s="100">
        <v>6.2742631417097541E-4</v>
      </c>
      <c r="CO65" s="100">
        <v>0.64373939833942073</v>
      </c>
      <c r="CP65" s="100">
        <v>8.0002405548767523</v>
      </c>
      <c r="CQ65" s="100">
        <v>8208.2468093035477</v>
      </c>
      <c r="CR65" s="100">
        <v>7.2060474605962979</v>
      </c>
      <c r="CS65" s="100">
        <v>7393.4046945718019</v>
      </c>
      <c r="CT65" s="100">
        <v>4.805337237777259</v>
      </c>
      <c r="CU65" s="100">
        <v>4930.2760059594675</v>
      </c>
    </row>
    <row r="66" spans="2:99">
      <c r="C66" s="99" t="s">
        <v>232</v>
      </c>
      <c r="D66" s="100">
        <v>5.3747383880984474</v>
      </c>
      <c r="E66" s="100">
        <v>6398.0885771923913</v>
      </c>
      <c r="F66" s="100">
        <v>1.8210020664635296</v>
      </c>
      <c r="G66" s="100">
        <v>2167.7208599181854</v>
      </c>
      <c r="H66" s="100">
        <v>7.6054738452330497</v>
      </c>
      <c r="I66" s="100">
        <v>9053.5560653654211</v>
      </c>
      <c r="J66" s="100">
        <v>6</v>
      </c>
      <c r="K66" s="100">
        <v>7142.4</v>
      </c>
      <c r="L66" s="100">
        <v>6</v>
      </c>
      <c r="M66" s="100">
        <v>7142.4</v>
      </c>
      <c r="N66" s="100">
        <v>11</v>
      </c>
      <c r="O66" s="100">
        <v>13094.399999999998</v>
      </c>
      <c r="P66" s="100">
        <v>9.2505120973200849</v>
      </c>
      <c r="Q66" s="100">
        <v>11011.809600649827</v>
      </c>
      <c r="R66" s="100">
        <v>2.8080040925619678</v>
      </c>
      <c r="S66" s="100">
        <v>3342.6480717857662</v>
      </c>
      <c r="T66" s="100">
        <v>9</v>
      </c>
      <c r="U66" s="100">
        <v>10713.599999999999</v>
      </c>
      <c r="V66" s="100">
        <v>7</v>
      </c>
      <c r="W66" s="100">
        <v>8332.7999999999993</v>
      </c>
      <c r="X66" s="100">
        <v>0.25055313463859669</v>
      </c>
      <c r="Y66" s="100">
        <v>298.25845147378544</v>
      </c>
      <c r="Z66" s="100">
        <v>11</v>
      </c>
      <c r="AA66" s="100">
        <v>13094.399999999998</v>
      </c>
      <c r="AB66" s="100">
        <v>9</v>
      </c>
      <c r="AC66" s="100">
        <v>10713.599999999999</v>
      </c>
      <c r="AD66" s="100">
        <v>4.5479656354956219</v>
      </c>
      <c r="AE66" s="100">
        <v>5413.8982924939874</v>
      </c>
      <c r="AF66" s="100">
        <v>4.8271714852742953</v>
      </c>
      <c r="AG66" s="100">
        <v>5746.2649360705209</v>
      </c>
      <c r="AH66" s="100">
        <v>6</v>
      </c>
      <c r="AI66" s="100">
        <v>7142.4</v>
      </c>
      <c r="AJ66" s="100">
        <v>0.63933414686391343</v>
      </c>
      <c r="AK66" s="100">
        <v>761.06336842680241</v>
      </c>
      <c r="AL66" s="100">
        <v>5.5195443203145285</v>
      </c>
      <c r="AM66" s="100">
        <v>6570.4655589024142</v>
      </c>
      <c r="AN66" s="100">
        <v>4.946429358426939</v>
      </c>
      <c r="AO66" s="100">
        <v>5888.2295082714272</v>
      </c>
      <c r="AP66" s="100">
        <v>4.3893935099987162</v>
      </c>
      <c r="AQ66" s="100">
        <v>5225.1340343024713</v>
      </c>
      <c r="AR66" s="100">
        <v>4.9610097136621042E-4</v>
      </c>
      <c r="AS66" s="100">
        <v>0.59055859631433683</v>
      </c>
      <c r="AT66" s="100">
        <v>8.0002242049658729</v>
      </c>
      <c r="AU66" s="100">
        <v>9523.4668935913742</v>
      </c>
      <c r="AV66" s="100">
        <v>8</v>
      </c>
      <c r="AW66" s="100">
        <v>9523.1999999999989</v>
      </c>
      <c r="AX66" s="100">
        <v>6</v>
      </c>
      <c r="AY66" s="100">
        <v>7142.4</v>
      </c>
      <c r="AZ66" s="100">
        <v>0.86188954861050271</v>
      </c>
      <c r="BA66" s="100">
        <v>1025.9933186659423</v>
      </c>
      <c r="BB66" s="100">
        <v>7</v>
      </c>
      <c r="BC66" s="100">
        <v>8332.7999999999993</v>
      </c>
      <c r="BD66" s="100">
        <v>2.2935521998169737</v>
      </c>
      <c r="BE66" s="100">
        <v>2730.2445386621253</v>
      </c>
      <c r="BF66" s="100">
        <v>8</v>
      </c>
      <c r="BG66" s="100">
        <v>9523.1999999999989</v>
      </c>
      <c r="BH66" s="100">
        <v>2.6135169173266846</v>
      </c>
      <c r="BI66" s="100">
        <v>3111.1305383856848</v>
      </c>
      <c r="BJ66" s="100">
        <v>8.1853513683926611</v>
      </c>
      <c r="BK66" s="100">
        <v>9743.8422689346226</v>
      </c>
      <c r="BL66" s="100">
        <v>6.3579376816308661</v>
      </c>
      <c r="BM66" s="100">
        <v>7568.4890162133825</v>
      </c>
      <c r="BN66" s="100">
        <v>5.5454182577893558</v>
      </c>
      <c r="BO66" s="100">
        <v>6601.2658940724486</v>
      </c>
      <c r="BP66" s="100">
        <v>9.7571178802005765</v>
      </c>
      <c r="BQ66" s="100">
        <v>11614.873124590766</v>
      </c>
      <c r="BR66" s="100">
        <v>6.1217890612195038</v>
      </c>
      <c r="BS66" s="100">
        <v>7287.3776984756969</v>
      </c>
      <c r="BT66" s="100">
        <v>8.443610360261097</v>
      </c>
      <c r="BU66" s="100">
        <v>10051.273772854809</v>
      </c>
      <c r="BV66" s="100">
        <v>5.6693312454016223</v>
      </c>
      <c r="BW66" s="100">
        <v>6748.7719145260908</v>
      </c>
      <c r="BX66" s="100">
        <v>5.0941316201109986E-4</v>
      </c>
      <c r="BY66" s="100">
        <v>0.60640542805801323</v>
      </c>
      <c r="BZ66" s="100">
        <v>1.840451301412602</v>
      </c>
      <c r="CA66" s="100">
        <v>2190.8732292015611</v>
      </c>
      <c r="CB66" s="100">
        <v>4.046746320939441</v>
      </c>
      <c r="CC66" s="100">
        <v>4817.2468204463103</v>
      </c>
      <c r="CD66" s="100">
        <v>9.545158487515355</v>
      </c>
      <c r="CE66" s="100">
        <v>11362.556663538277</v>
      </c>
      <c r="CF66" s="100">
        <v>3.2216768386171601</v>
      </c>
      <c r="CG66" s="100">
        <v>3835.0841086898672</v>
      </c>
      <c r="CH66" s="100">
        <v>5.6255632666207278</v>
      </c>
      <c r="CI66" s="100">
        <v>6696.6705125853132</v>
      </c>
      <c r="CJ66" s="100">
        <v>7</v>
      </c>
      <c r="CK66" s="100">
        <v>8332.7999999999993</v>
      </c>
      <c r="CL66" s="100">
        <v>3.8566727501493623</v>
      </c>
      <c r="CM66" s="100">
        <v>4590.9832417778007</v>
      </c>
      <c r="CN66" s="100">
        <v>5.6370083429014683E-4</v>
      </c>
      <c r="CO66" s="100">
        <v>0.67102947313899075</v>
      </c>
      <c r="CP66" s="100">
        <v>7.0002405548767523</v>
      </c>
      <c r="CQ66" s="100">
        <v>8333.0863565252857</v>
      </c>
      <c r="CR66" s="100">
        <v>7.2060474605962979</v>
      </c>
      <c r="CS66" s="100">
        <v>8578.078897093832</v>
      </c>
      <c r="CT66" s="100">
        <v>4.805337237777259</v>
      </c>
      <c r="CU66" s="100">
        <v>5720.2734478500488</v>
      </c>
    </row>
    <row r="67" spans="2:99">
      <c r="C67" s="99" t="s">
        <v>233</v>
      </c>
      <c r="D67" s="100">
        <v>5.2594660837251688</v>
      </c>
      <c r="E67" s="100">
        <v>5907.4323052401096</v>
      </c>
      <c r="F67" s="100">
        <v>1.8101742424696099</v>
      </c>
      <c r="G67" s="100">
        <v>2033.187709141866</v>
      </c>
      <c r="H67" s="100">
        <v>8.6054738452330497</v>
      </c>
      <c r="I67" s="100">
        <v>9665.6682229657617</v>
      </c>
      <c r="J67" s="100">
        <v>7</v>
      </c>
      <c r="K67" s="100">
        <v>7862.4000000000005</v>
      </c>
      <c r="L67" s="100">
        <v>6</v>
      </c>
      <c r="M67" s="100">
        <v>6739.2000000000007</v>
      </c>
      <c r="N67" s="100">
        <v>10</v>
      </c>
      <c r="O67" s="100">
        <v>11232</v>
      </c>
      <c r="P67" s="100">
        <v>10.175563307052093</v>
      </c>
      <c r="Q67" s="100">
        <v>11429.192706480912</v>
      </c>
      <c r="R67" s="100">
        <v>2.552730993238153</v>
      </c>
      <c r="S67" s="100">
        <v>2867.2274516050934</v>
      </c>
      <c r="T67" s="100">
        <v>9</v>
      </c>
      <c r="U67" s="100">
        <v>10108.800000000001</v>
      </c>
      <c r="V67" s="100">
        <v>6</v>
      </c>
      <c r="W67" s="100">
        <v>6739.2000000000007</v>
      </c>
      <c r="X67" s="100">
        <v>0.24864029905595972</v>
      </c>
      <c r="Y67" s="100">
        <v>279.27278389965397</v>
      </c>
      <c r="Z67" s="100">
        <v>10</v>
      </c>
      <c r="AA67" s="100">
        <v>11232</v>
      </c>
      <c r="AB67" s="100">
        <v>10</v>
      </c>
      <c r="AC67" s="100">
        <v>11232</v>
      </c>
      <c r="AD67" s="100">
        <v>4.5479656354956219</v>
      </c>
      <c r="AE67" s="100">
        <v>5108.2750017886829</v>
      </c>
      <c r="AF67" s="100">
        <v>5.4992303943971921</v>
      </c>
      <c r="AG67" s="100">
        <v>6176.7355789869262</v>
      </c>
      <c r="AH67" s="100">
        <v>6.9376101470355032</v>
      </c>
      <c r="AI67" s="100">
        <v>7792.3237171502778</v>
      </c>
      <c r="AJ67" s="100">
        <v>0.63933414686391343</v>
      </c>
      <c r="AK67" s="100">
        <v>718.10011375754755</v>
      </c>
      <c r="AL67" s="100">
        <v>5.5195443203145285</v>
      </c>
      <c r="AM67" s="100">
        <v>6199.5521805772787</v>
      </c>
      <c r="AN67" s="100">
        <v>5.3619838296197502</v>
      </c>
      <c r="AO67" s="100">
        <v>6022.5802374289033</v>
      </c>
      <c r="AP67" s="100">
        <v>4.3925551177568813</v>
      </c>
      <c r="AQ67" s="100">
        <v>4933.7179082645289</v>
      </c>
      <c r="AR67" s="100">
        <v>5.6697253870424051E-4</v>
      </c>
      <c r="AS67" s="100">
        <v>0.63682355547260294</v>
      </c>
      <c r="AT67" s="100">
        <v>8.0002242049658729</v>
      </c>
      <c r="AU67" s="100">
        <v>8985.8518270176683</v>
      </c>
      <c r="AV67" s="100">
        <v>8</v>
      </c>
      <c r="AW67" s="100">
        <v>8985.6</v>
      </c>
      <c r="AX67" s="100">
        <v>6</v>
      </c>
      <c r="AY67" s="100">
        <v>6739.2000000000007</v>
      </c>
      <c r="AZ67" s="100">
        <v>0.7661240432093358</v>
      </c>
      <c r="BA67" s="100">
        <v>860.51052533272605</v>
      </c>
      <c r="BB67" s="100">
        <v>7</v>
      </c>
      <c r="BC67" s="100">
        <v>7862.4000000000005</v>
      </c>
      <c r="BD67" s="100">
        <v>2.2935521998169737</v>
      </c>
      <c r="BE67" s="100">
        <v>2576.1178308344251</v>
      </c>
      <c r="BF67" s="100">
        <v>8</v>
      </c>
      <c r="BG67" s="100">
        <v>8985.6</v>
      </c>
      <c r="BH67" s="100">
        <v>2.8748686090593529</v>
      </c>
      <c r="BI67" s="100">
        <v>3229.0524216954655</v>
      </c>
      <c r="BJ67" s="100">
        <v>9.1587991369538564</v>
      </c>
      <c r="BK67" s="100">
        <v>10287.163190626572</v>
      </c>
      <c r="BL67" s="100">
        <v>6.3579376816308661</v>
      </c>
      <c r="BM67" s="100">
        <v>7141.2356040077893</v>
      </c>
      <c r="BN67" s="100">
        <v>5.1556455596266053</v>
      </c>
      <c r="BO67" s="100">
        <v>5790.8210925726034</v>
      </c>
      <c r="BP67" s="100">
        <v>10.757117880200576</v>
      </c>
      <c r="BQ67" s="100">
        <v>12082.394803041288</v>
      </c>
      <c r="BR67" s="100">
        <v>6.8870126938719416</v>
      </c>
      <c r="BS67" s="100">
        <v>7735.4926577569649</v>
      </c>
      <c r="BT67" s="100">
        <v>8.443610360261097</v>
      </c>
      <c r="BU67" s="100">
        <v>9483.8631566452641</v>
      </c>
      <c r="BV67" s="100">
        <v>5.6687748210923905</v>
      </c>
      <c r="BW67" s="100">
        <v>6367.1678790509732</v>
      </c>
      <c r="BX67" s="100">
        <v>5.0941316201109986E-4</v>
      </c>
      <c r="BY67" s="100">
        <v>0.57217286357086738</v>
      </c>
      <c r="BZ67" s="100">
        <v>1.5775512871511583</v>
      </c>
      <c r="CA67" s="100">
        <v>1771.9056057281812</v>
      </c>
      <c r="CB67" s="100">
        <v>4.7312237343965418</v>
      </c>
      <c r="CC67" s="100">
        <v>5314.110498474196</v>
      </c>
      <c r="CD67" s="100">
        <v>9.545158487515355</v>
      </c>
      <c r="CE67" s="100">
        <v>10721.122013177248</v>
      </c>
      <c r="CF67" s="100">
        <v>3.7586229783866871</v>
      </c>
      <c r="CG67" s="100">
        <v>4221.6853293239274</v>
      </c>
      <c r="CH67" s="100">
        <v>6.563157144390849</v>
      </c>
      <c r="CI67" s="100">
        <v>7371.738104579802</v>
      </c>
      <c r="CJ67" s="100">
        <v>7</v>
      </c>
      <c r="CK67" s="100">
        <v>7862.4000000000005</v>
      </c>
      <c r="CL67" s="100">
        <v>3.428153555688322</v>
      </c>
      <c r="CM67" s="100">
        <v>3850.5020737491236</v>
      </c>
      <c r="CN67" s="100">
        <v>6.2949927552649533E-4</v>
      </c>
      <c r="CO67" s="100">
        <v>0.70705358627135961</v>
      </c>
      <c r="CP67" s="100">
        <v>8.0002806473562114</v>
      </c>
      <c r="CQ67" s="100">
        <v>8985.9152231104963</v>
      </c>
      <c r="CR67" s="100">
        <v>7.2060474605962979</v>
      </c>
      <c r="CS67" s="100">
        <v>8093.8325077417621</v>
      </c>
      <c r="CT67" s="100">
        <v>5.6062267774068024</v>
      </c>
      <c r="CU67" s="100">
        <v>6296.9139163833206</v>
      </c>
    </row>
    <row r="68" spans="2:99">
      <c r="C68" s="99" t="s">
        <v>234</v>
      </c>
      <c r="D68" s="100">
        <v>5.3747383880984474</v>
      </c>
      <c r="E68" s="100">
        <v>5553.1797025833157</v>
      </c>
      <c r="F68" s="100">
        <v>1.8318298904574497</v>
      </c>
      <c r="G68" s="100">
        <v>1892.6466428206372</v>
      </c>
      <c r="H68" s="100">
        <v>8.6054738452330497</v>
      </c>
      <c r="I68" s="100">
        <v>8891.1755768947878</v>
      </c>
      <c r="J68" s="100">
        <v>6</v>
      </c>
      <c r="K68" s="100">
        <v>6199.2000000000007</v>
      </c>
      <c r="L68" s="100">
        <v>6</v>
      </c>
      <c r="M68" s="100">
        <v>6199.2000000000007</v>
      </c>
      <c r="N68" s="100">
        <v>10</v>
      </c>
      <c r="O68" s="100">
        <v>10332</v>
      </c>
      <c r="P68" s="100">
        <v>11.100614516784102</v>
      </c>
      <c r="Q68" s="100">
        <v>11469.154918741335</v>
      </c>
      <c r="R68" s="100">
        <v>2.552730993238153</v>
      </c>
      <c r="S68" s="100">
        <v>2637.48166221366</v>
      </c>
      <c r="T68" s="100">
        <v>8</v>
      </c>
      <c r="U68" s="100">
        <v>8265.6</v>
      </c>
      <c r="V68" s="100">
        <v>6</v>
      </c>
      <c r="W68" s="100">
        <v>6199.2000000000007</v>
      </c>
      <c r="X68" s="100">
        <v>0.23142477881222689</v>
      </c>
      <c r="Y68" s="100">
        <v>239.10808146879285</v>
      </c>
      <c r="Z68" s="100">
        <v>11</v>
      </c>
      <c r="AA68" s="100">
        <v>11365.2</v>
      </c>
      <c r="AB68" s="100">
        <v>9</v>
      </c>
      <c r="AC68" s="100">
        <v>9298.8000000000011</v>
      </c>
      <c r="AD68" s="100">
        <v>4.5479656354956219</v>
      </c>
      <c r="AE68" s="100">
        <v>4698.958094594077</v>
      </c>
      <c r="AF68" s="100">
        <v>5.8998762597796937</v>
      </c>
      <c r="AG68" s="100">
        <v>6095.7521516043798</v>
      </c>
      <c r="AH68" s="100">
        <v>5.9376101470355032</v>
      </c>
      <c r="AI68" s="100">
        <v>6134.7388039170819</v>
      </c>
      <c r="AJ68" s="100">
        <v>0.63933414686391343</v>
      </c>
      <c r="AK68" s="100">
        <v>660.56004053979541</v>
      </c>
      <c r="AL68" s="100">
        <v>4.7030190950287478</v>
      </c>
      <c r="AM68" s="100">
        <v>4859.1593289837028</v>
      </c>
      <c r="AN68" s="100">
        <v>5.3619838296197502</v>
      </c>
      <c r="AO68" s="100">
        <v>5540.0016927631259</v>
      </c>
      <c r="AP68" s="100">
        <v>4.3893935099987162</v>
      </c>
      <c r="AQ68" s="100">
        <v>4535.1213745306741</v>
      </c>
      <c r="AR68" s="100">
        <v>5.6697253870424051E-4</v>
      </c>
      <c r="AS68" s="100">
        <v>0.58579602698922129</v>
      </c>
      <c r="AT68" s="100">
        <v>8.0002242049658729</v>
      </c>
      <c r="AU68" s="100">
        <v>8265.8316485707401</v>
      </c>
      <c r="AV68" s="100">
        <v>8</v>
      </c>
      <c r="AW68" s="100">
        <v>8265.6</v>
      </c>
      <c r="AX68" s="100">
        <v>6</v>
      </c>
      <c r="AY68" s="100">
        <v>6199.2000000000007</v>
      </c>
      <c r="AZ68" s="100">
        <v>0.7661240432093358</v>
      </c>
      <c r="BA68" s="100">
        <v>791.55936144388579</v>
      </c>
      <c r="BB68" s="100">
        <v>7</v>
      </c>
      <c r="BC68" s="100">
        <v>7232.4000000000005</v>
      </c>
      <c r="BD68" s="100">
        <v>2.2935521998169737</v>
      </c>
      <c r="BE68" s="100">
        <v>2369.6981328508973</v>
      </c>
      <c r="BF68" s="100">
        <v>8</v>
      </c>
      <c r="BG68" s="100">
        <v>8265.6</v>
      </c>
      <c r="BH68" s="100">
        <v>2.6135169173266846</v>
      </c>
      <c r="BI68" s="100">
        <v>2700.2856789819307</v>
      </c>
      <c r="BJ68" s="100">
        <v>8.1853513683926611</v>
      </c>
      <c r="BK68" s="100">
        <v>8457.1050338232981</v>
      </c>
      <c r="BL68" s="100">
        <v>6.3579376816308661</v>
      </c>
      <c r="BM68" s="100">
        <v>6569.0212126610113</v>
      </c>
      <c r="BN68" s="100">
        <v>5.9478481678822286</v>
      </c>
      <c r="BO68" s="100">
        <v>6145.3167270559188</v>
      </c>
      <c r="BP68" s="100">
        <v>10.757117880200576</v>
      </c>
      <c r="BQ68" s="100">
        <v>11114.254193823235</v>
      </c>
      <c r="BR68" s="100">
        <v>6.1217890612195038</v>
      </c>
      <c r="BS68" s="100">
        <v>6325.0324580519919</v>
      </c>
      <c r="BT68" s="100">
        <v>8.443610360261097</v>
      </c>
      <c r="BU68" s="100">
        <v>8723.9382242217653</v>
      </c>
      <c r="BV68" s="100">
        <v>5.6004265549032572</v>
      </c>
      <c r="BW68" s="100">
        <v>5786.3607165260455</v>
      </c>
      <c r="BX68" s="100">
        <v>4.3663985315237124E-4</v>
      </c>
      <c r="BY68" s="100">
        <v>0.45113629627703</v>
      </c>
      <c r="BZ68" s="100">
        <v>1.5775397243872593</v>
      </c>
      <c r="CA68" s="100">
        <v>1629.9140432369163</v>
      </c>
      <c r="CB68" s="100">
        <v>4.1143820636648893</v>
      </c>
      <c r="CC68" s="100">
        <v>4250.9795481785641</v>
      </c>
      <c r="CD68" s="100">
        <v>8.545158487515355</v>
      </c>
      <c r="CE68" s="100">
        <v>8828.8577493008652</v>
      </c>
      <c r="CF68" s="100">
        <v>3.2216768386171601</v>
      </c>
      <c r="CG68" s="100">
        <v>3328.6365096592499</v>
      </c>
      <c r="CH68" s="100">
        <v>6.563157144390849</v>
      </c>
      <c r="CI68" s="100">
        <v>6781.0539615846255</v>
      </c>
      <c r="CJ68" s="100">
        <v>6</v>
      </c>
      <c r="CK68" s="100">
        <v>6199.2000000000007</v>
      </c>
      <c r="CL68" s="100">
        <v>3.428153555688322</v>
      </c>
      <c r="CM68" s="100">
        <v>3541.9682537371746</v>
      </c>
      <c r="CN68" s="100">
        <v>6.2949927552649533E-4</v>
      </c>
      <c r="CO68" s="100">
        <v>0.65039865147397502</v>
      </c>
      <c r="CP68" s="100">
        <v>7.0002405548767523</v>
      </c>
      <c r="CQ68" s="100">
        <v>7232.6485412986613</v>
      </c>
      <c r="CR68" s="100">
        <v>8.0067194006625524</v>
      </c>
      <c r="CS68" s="100">
        <v>8272.54248476455</v>
      </c>
      <c r="CT68" s="100">
        <v>4.805337237777259</v>
      </c>
      <c r="CU68" s="100">
        <v>4964.8744340714638</v>
      </c>
    </row>
    <row r="69" spans="2:99">
      <c r="C69" s="99" t="s">
        <v>235</v>
      </c>
      <c r="D69" s="100">
        <v>5.3762105347381803</v>
      </c>
      <c r="E69" s="100">
        <v>4077.3180695454357</v>
      </c>
      <c r="F69" s="100">
        <v>1.8101742424696099</v>
      </c>
      <c r="G69" s="100">
        <v>1372.8361454889521</v>
      </c>
      <c r="H69" s="100">
        <v>7.6054738452330497</v>
      </c>
      <c r="I69" s="100">
        <v>5767.9913642247448</v>
      </c>
      <c r="J69" s="100">
        <v>6</v>
      </c>
      <c r="K69" s="100">
        <v>4550.3999999999996</v>
      </c>
      <c r="L69" s="100">
        <v>6</v>
      </c>
      <c r="M69" s="100">
        <v>4550.3999999999996</v>
      </c>
      <c r="N69" s="100">
        <v>11</v>
      </c>
      <c r="O69" s="100">
        <v>8342.4</v>
      </c>
      <c r="P69" s="100">
        <v>11.100614516784102</v>
      </c>
      <c r="Q69" s="100">
        <v>8418.7060495290625</v>
      </c>
      <c r="R69" s="100">
        <v>2.552730993238153</v>
      </c>
      <c r="S69" s="100">
        <v>1935.9911852718151</v>
      </c>
      <c r="T69" s="100">
        <v>8</v>
      </c>
      <c r="U69" s="100">
        <v>6067.2</v>
      </c>
      <c r="V69" s="100">
        <v>7</v>
      </c>
      <c r="W69" s="100">
        <v>5308.8</v>
      </c>
      <c r="X69" s="100">
        <v>0.24864029905595972</v>
      </c>
      <c r="Y69" s="100">
        <v>188.56880280403985</v>
      </c>
      <c r="Z69" s="100">
        <v>10</v>
      </c>
      <c r="AA69" s="100">
        <v>7584</v>
      </c>
      <c r="AB69" s="100">
        <v>9</v>
      </c>
      <c r="AC69" s="100">
        <v>6825.5999999999995</v>
      </c>
      <c r="AD69" s="100">
        <v>5.0532951505506905</v>
      </c>
      <c r="AE69" s="100">
        <v>3832.4190421776434</v>
      </c>
      <c r="AF69" s="100">
        <v>5.3635238725269954</v>
      </c>
      <c r="AG69" s="100">
        <v>4067.6965049244732</v>
      </c>
      <c r="AH69" s="100">
        <v>6.9376101470355032</v>
      </c>
      <c r="AI69" s="100">
        <v>5261.4835355117257</v>
      </c>
      <c r="AJ69" s="100">
        <v>0.63933414686391343</v>
      </c>
      <c r="AK69" s="100">
        <v>484.87101698159194</v>
      </c>
      <c r="AL69" s="100">
        <v>5.5195443203145285</v>
      </c>
      <c r="AM69" s="100">
        <v>4186.0224125265386</v>
      </c>
      <c r="AN69" s="100">
        <v>5.3619838296197502</v>
      </c>
      <c r="AO69" s="100">
        <v>4066.5285363836183</v>
      </c>
      <c r="AP69" s="100">
        <v>4.3893935099987162</v>
      </c>
      <c r="AQ69" s="100">
        <v>3328.9160379830264</v>
      </c>
      <c r="AR69" s="100">
        <v>5.6697253870424051E-4</v>
      </c>
      <c r="AS69" s="100">
        <v>0.42999197335329598</v>
      </c>
      <c r="AT69" s="100">
        <v>9.0002690459590475</v>
      </c>
      <c r="AU69" s="100">
        <v>6825.8040444553417</v>
      </c>
      <c r="AV69" s="100">
        <v>8</v>
      </c>
      <c r="AW69" s="100">
        <v>6067.2</v>
      </c>
      <c r="AX69" s="100">
        <v>6</v>
      </c>
      <c r="AY69" s="100">
        <v>4550.3999999999996</v>
      </c>
      <c r="AZ69" s="100">
        <v>0.7661240432093358</v>
      </c>
      <c r="BA69" s="100">
        <v>581.02847436996024</v>
      </c>
      <c r="BB69" s="100">
        <v>7</v>
      </c>
      <c r="BC69" s="100">
        <v>5308.8</v>
      </c>
      <c r="BD69" s="100">
        <v>1.9659018855574062</v>
      </c>
      <c r="BE69" s="100">
        <v>1490.9399900067367</v>
      </c>
      <c r="BF69" s="100">
        <v>9</v>
      </c>
      <c r="BG69" s="100">
        <v>6825.5999999999995</v>
      </c>
      <c r="BH69" s="100">
        <v>2.8748686090593529</v>
      </c>
      <c r="BI69" s="100">
        <v>2180.3003531106133</v>
      </c>
      <c r="BJ69" s="100">
        <v>8.2847936733684335</v>
      </c>
      <c r="BK69" s="100">
        <v>6283.1875218826199</v>
      </c>
      <c r="BL69" s="100">
        <v>6.3579376816308661</v>
      </c>
      <c r="BM69" s="100">
        <v>4821.859937748849</v>
      </c>
      <c r="BN69" s="100">
        <v>5.9478481678822286</v>
      </c>
      <c r="BO69" s="100">
        <v>4510.8480505218822</v>
      </c>
      <c r="BP69" s="100">
        <v>11.757117880200576</v>
      </c>
      <c r="BQ69" s="100">
        <v>8916.5982003441168</v>
      </c>
      <c r="BR69" s="100">
        <v>6.8870126938719416</v>
      </c>
      <c r="BS69" s="100">
        <v>5223.1104270324804</v>
      </c>
      <c r="BT69" s="100">
        <v>9.2112113021030169</v>
      </c>
      <c r="BU69" s="100">
        <v>6985.7826515149281</v>
      </c>
      <c r="BV69" s="100">
        <v>5.6687748210923905</v>
      </c>
      <c r="BW69" s="100">
        <v>4299.1988243164687</v>
      </c>
      <c r="BX69" s="100">
        <v>4.3663985315237124E-4</v>
      </c>
      <c r="BY69" s="100">
        <v>0.33114766463075834</v>
      </c>
      <c r="BZ69" s="100">
        <v>1.577540167213165</v>
      </c>
      <c r="CA69" s="100">
        <v>1196.4064628144642</v>
      </c>
      <c r="CB69" s="100">
        <v>4.1158855802493468</v>
      </c>
      <c r="CC69" s="100">
        <v>3121.4876240611047</v>
      </c>
      <c r="CD69" s="100">
        <v>8.545158487515355</v>
      </c>
      <c r="CE69" s="100">
        <v>6480.6481969316446</v>
      </c>
      <c r="CF69" s="100">
        <v>3.2216768386171601</v>
      </c>
      <c r="CG69" s="100">
        <v>2443.3197144072542</v>
      </c>
      <c r="CH69" s="100">
        <v>6.563157144390849</v>
      </c>
      <c r="CI69" s="100">
        <v>4977.4983783060197</v>
      </c>
      <c r="CJ69" s="100">
        <v>7</v>
      </c>
      <c r="CK69" s="100">
        <v>5308.8</v>
      </c>
      <c r="CL69" s="100">
        <v>3.428153555688322</v>
      </c>
      <c r="CM69" s="100">
        <v>2599.9116566340235</v>
      </c>
      <c r="CN69" s="100">
        <v>6.2949927552649533E-4</v>
      </c>
      <c r="CO69" s="100">
        <v>0.47741225055929404</v>
      </c>
      <c r="CP69" s="100">
        <v>8.0002806473562114</v>
      </c>
      <c r="CQ69" s="100">
        <v>6067.4128429549501</v>
      </c>
      <c r="CR69" s="100">
        <v>8.0067194006625524</v>
      </c>
      <c r="CS69" s="100">
        <v>6072.2959934624796</v>
      </c>
      <c r="CT69" s="100">
        <v>4.805337237777259</v>
      </c>
      <c r="CU69" s="100">
        <v>3644.3677611302733</v>
      </c>
    </row>
    <row r="70" spans="2:99">
      <c r="C70" s="99" t="s">
        <v>236</v>
      </c>
      <c r="D70" s="100">
        <v>5.3762105347381803</v>
      </c>
      <c r="E70" s="100">
        <v>2877.3478781918739</v>
      </c>
      <c r="F70" s="100">
        <v>1.8318298904574497</v>
      </c>
      <c r="G70" s="100">
        <v>980.39535737282699</v>
      </c>
      <c r="H70" s="100">
        <v>8.6054738452330497</v>
      </c>
      <c r="I70" s="100">
        <v>4605.6496019687274</v>
      </c>
      <c r="J70" s="100">
        <v>7</v>
      </c>
      <c r="K70" s="100">
        <v>3746.3999999999996</v>
      </c>
      <c r="L70" s="100">
        <v>7</v>
      </c>
      <c r="M70" s="100">
        <v>3746.3999999999996</v>
      </c>
      <c r="N70" s="100">
        <v>12</v>
      </c>
      <c r="O70" s="100">
        <v>6422.4</v>
      </c>
      <c r="P70" s="100">
        <v>10.175563307052093</v>
      </c>
      <c r="Q70" s="100">
        <v>5445.9614819342796</v>
      </c>
      <c r="R70" s="100">
        <v>3.0632771918857831</v>
      </c>
      <c r="S70" s="100">
        <v>1639.4659530972708</v>
      </c>
      <c r="T70" s="100">
        <v>8</v>
      </c>
      <c r="U70" s="100">
        <v>4281.5999999999995</v>
      </c>
      <c r="V70" s="100">
        <v>7</v>
      </c>
      <c r="W70" s="100">
        <v>3746.3999999999996</v>
      </c>
      <c r="X70" s="100">
        <v>0.25055313463859669</v>
      </c>
      <c r="Y70" s="100">
        <v>134.09603765857693</v>
      </c>
      <c r="Z70" s="100">
        <v>11</v>
      </c>
      <c r="AA70" s="100">
        <v>5887.1999999999989</v>
      </c>
      <c r="AB70" s="100">
        <v>10</v>
      </c>
      <c r="AC70" s="100">
        <v>5351.9999999999991</v>
      </c>
      <c r="AD70" s="100">
        <v>5.0532951505506905</v>
      </c>
      <c r="AE70" s="100">
        <v>2704.5235645747293</v>
      </c>
      <c r="AF70" s="100">
        <v>5.8998762597796937</v>
      </c>
      <c r="AG70" s="100">
        <v>3157.6137742340916</v>
      </c>
      <c r="AH70" s="100">
        <v>7.0938785048747537</v>
      </c>
      <c r="AI70" s="100">
        <v>3796.6437758089678</v>
      </c>
      <c r="AJ70" s="100">
        <v>0.63933414686391343</v>
      </c>
      <c r="AK70" s="100">
        <v>342.17163540156645</v>
      </c>
      <c r="AL70" s="100">
        <v>5.5195443203145285</v>
      </c>
      <c r="AM70" s="100">
        <v>2954.0601202323351</v>
      </c>
      <c r="AN70" s="100">
        <v>5.3619838296197502</v>
      </c>
      <c r="AO70" s="100">
        <v>2869.7337456124901</v>
      </c>
      <c r="AP70" s="100">
        <v>4.8808605307766584</v>
      </c>
      <c r="AQ70" s="100">
        <v>2612.2365560716671</v>
      </c>
      <c r="AR70" s="100">
        <v>5.6697253870424051E-4</v>
      </c>
      <c r="AS70" s="100">
        <v>0.30344370271450949</v>
      </c>
      <c r="AT70" s="100">
        <v>9.0002242049658729</v>
      </c>
      <c r="AU70" s="100">
        <v>4816.9199944977345</v>
      </c>
      <c r="AV70" s="100">
        <v>8</v>
      </c>
      <c r="AW70" s="100">
        <v>4281.5999999999995</v>
      </c>
      <c r="AX70" s="100">
        <v>7</v>
      </c>
      <c r="AY70" s="100">
        <v>3746.3999999999996</v>
      </c>
      <c r="AZ70" s="100">
        <v>0.7661240432093358</v>
      </c>
      <c r="BA70" s="100">
        <v>410.02958792563646</v>
      </c>
      <c r="BB70" s="100">
        <v>7</v>
      </c>
      <c r="BC70" s="100">
        <v>3746.3999999999996</v>
      </c>
      <c r="BD70" s="100">
        <v>2.2935521998169737</v>
      </c>
      <c r="BE70" s="100">
        <v>1227.5091373420441</v>
      </c>
      <c r="BF70" s="100">
        <v>9</v>
      </c>
      <c r="BG70" s="100">
        <v>4816.7999999999993</v>
      </c>
      <c r="BH70" s="100">
        <v>2.6135169173266846</v>
      </c>
      <c r="BI70" s="100">
        <v>1398.7542541532414</v>
      </c>
      <c r="BJ70" s="100">
        <v>8.2847936733684335</v>
      </c>
      <c r="BK70" s="100">
        <v>4434.0215739867854</v>
      </c>
      <c r="BL70" s="100">
        <v>6.3579376816308661</v>
      </c>
      <c r="BM70" s="100">
        <v>3402.7682472088391</v>
      </c>
      <c r="BN70" s="100">
        <v>5.2361315416451806</v>
      </c>
      <c r="BO70" s="100">
        <v>2802.3776010885003</v>
      </c>
      <c r="BP70" s="100">
        <v>9.7571178802005765</v>
      </c>
      <c r="BQ70" s="100">
        <v>5222.0094894833483</v>
      </c>
      <c r="BR70" s="100">
        <v>6.8870126938719416</v>
      </c>
      <c r="BS70" s="100">
        <v>3685.9291937602625</v>
      </c>
      <c r="BT70" s="100">
        <v>9.2112113021030169</v>
      </c>
      <c r="BU70" s="100">
        <v>4929.8402888855344</v>
      </c>
      <c r="BV70" s="100">
        <v>6.3425020102478333</v>
      </c>
      <c r="BW70" s="100">
        <v>3394.50707588464</v>
      </c>
      <c r="BX70" s="100">
        <v>4.3663985315237124E-4</v>
      </c>
      <c r="BY70" s="100">
        <v>0.23368964940714906</v>
      </c>
      <c r="BZ70" s="100">
        <v>1.8404517442385073</v>
      </c>
      <c r="CA70" s="100">
        <v>985.00977351644894</v>
      </c>
      <c r="CB70" s="100">
        <v>4.7312237343965418</v>
      </c>
      <c r="CC70" s="100">
        <v>2532.1509426490288</v>
      </c>
      <c r="CD70" s="100">
        <v>8.545158487515355</v>
      </c>
      <c r="CE70" s="100">
        <v>4573.3688225182177</v>
      </c>
      <c r="CF70" s="100">
        <v>3.7586229783866871</v>
      </c>
      <c r="CG70" s="100">
        <v>2011.6150180325546</v>
      </c>
      <c r="CH70" s="100">
        <v>5.6255632666207278</v>
      </c>
      <c r="CI70" s="100">
        <v>3010.8014602954131</v>
      </c>
      <c r="CJ70" s="100">
        <v>7</v>
      </c>
      <c r="CK70" s="100">
        <v>3746.3999999999996</v>
      </c>
      <c r="CL70" s="100">
        <v>3.428153555688322</v>
      </c>
      <c r="CM70" s="100">
        <v>1834.7477830043897</v>
      </c>
      <c r="CN70" s="100">
        <v>6.2949927552649533E-4</v>
      </c>
      <c r="CO70" s="100">
        <v>0.33690801226178024</v>
      </c>
      <c r="CP70" s="100">
        <v>8.0002806473562114</v>
      </c>
      <c r="CQ70" s="100">
        <v>4281.7502024650439</v>
      </c>
      <c r="CR70" s="100">
        <v>8.0067194006625524</v>
      </c>
      <c r="CS70" s="100">
        <v>4285.1962232345977</v>
      </c>
      <c r="CT70" s="100">
        <v>4.805337237777259</v>
      </c>
      <c r="CU70" s="100">
        <v>2571.8164896583885</v>
      </c>
    </row>
    <row r="71" spans="2:99">
      <c r="B71" s="99" t="s">
        <v>130</v>
      </c>
      <c r="C71" s="99" t="s">
        <v>237</v>
      </c>
      <c r="D71" s="100">
        <v>2.6779957180243703</v>
      </c>
      <c r="E71" s="100">
        <v>1510.3895849657449</v>
      </c>
      <c r="F71" s="100">
        <v>0.63363398093628631</v>
      </c>
      <c r="G71" s="100">
        <v>357.3695652480655</v>
      </c>
      <c r="H71" s="100">
        <v>8.2319912837539118</v>
      </c>
      <c r="I71" s="100">
        <v>4642.8430840372066</v>
      </c>
      <c r="J71" s="100">
        <v>5</v>
      </c>
      <c r="K71" s="100">
        <v>2820</v>
      </c>
      <c r="L71" s="100">
        <v>9</v>
      </c>
      <c r="M71" s="100">
        <v>5076</v>
      </c>
      <c r="N71" s="100">
        <v>7.5319585521512611</v>
      </c>
      <c r="O71" s="100">
        <v>4248.024623413311</v>
      </c>
      <c r="P71" s="100">
        <v>5</v>
      </c>
      <c r="Q71" s="100">
        <v>2820</v>
      </c>
      <c r="R71" s="100">
        <v>5</v>
      </c>
      <c r="S71" s="100">
        <v>2820</v>
      </c>
      <c r="T71" s="100">
        <v>7</v>
      </c>
      <c r="U71" s="100">
        <v>3948</v>
      </c>
      <c r="V71" s="100">
        <v>8.9355724082669958</v>
      </c>
      <c r="W71" s="100">
        <v>5039.6628382625859</v>
      </c>
      <c r="X71" s="100">
        <v>5.0807949667001321E-4</v>
      </c>
      <c r="Y71" s="100">
        <v>0.28655683612188743</v>
      </c>
      <c r="Z71" s="100">
        <v>7.0549615841548574</v>
      </c>
      <c r="AA71" s="100">
        <v>3978.9983334633398</v>
      </c>
      <c r="AB71" s="100">
        <v>6</v>
      </c>
      <c r="AC71" s="100">
        <v>3384</v>
      </c>
      <c r="AD71" s="100">
        <v>7</v>
      </c>
      <c r="AE71" s="100">
        <v>3948</v>
      </c>
      <c r="AF71" s="100">
        <v>8.2554954461382728</v>
      </c>
      <c r="AG71" s="100">
        <v>4656.0994316219858</v>
      </c>
      <c r="AH71" s="100">
        <v>6</v>
      </c>
      <c r="AI71" s="100">
        <v>3384</v>
      </c>
      <c r="AJ71" s="100">
        <v>9</v>
      </c>
      <c r="AK71" s="100">
        <v>5076</v>
      </c>
      <c r="AL71" s="100">
        <v>6</v>
      </c>
      <c r="AM71" s="100">
        <v>3384</v>
      </c>
      <c r="AN71" s="100">
        <v>0.21067695981885515</v>
      </c>
      <c r="AO71" s="100">
        <v>118.82180533783431</v>
      </c>
      <c r="AP71" s="100">
        <v>5.5794737792855384</v>
      </c>
      <c r="AQ71" s="100">
        <v>3146.8232115170435</v>
      </c>
      <c r="AR71" s="100">
        <v>7.183767214542975</v>
      </c>
      <c r="AS71" s="100">
        <v>4051.644709002238</v>
      </c>
      <c r="AT71" s="100">
        <v>7</v>
      </c>
      <c r="AU71" s="100">
        <v>3948</v>
      </c>
      <c r="AV71" s="100">
        <v>5</v>
      </c>
      <c r="AW71" s="100">
        <v>2820</v>
      </c>
      <c r="AX71" s="100">
        <v>9</v>
      </c>
      <c r="AY71" s="100">
        <v>5076</v>
      </c>
      <c r="AZ71" s="100">
        <v>8</v>
      </c>
      <c r="BA71" s="100">
        <v>4512</v>
      </c>
      <c r="BB71" s="100">
        <v>3.4187809059434215</v>
      </c>
      <c r="BC71" s="100">
        <v>1928.1924309520898</v>
      </c>
      <c r="BD71" s="100">
        <v>6</v>
      </c>
      <c r="BE71" s="100">
        <v>3384</v>
      </c>
      <c r="BF71" s="100">
        <v>4.112860786712865</v>
      </c>
      <c r="BG71" s="100">
        <v>2319.6534837060558</v>
      </c>
      <c r="BH71" s="100">
        <v>7.1920267650708238</v>
      </c>
      <c r="BI71" s="100">
        <v>4056.3030954999444</v>
      </c>
      <c r="BJ71" s="100">
        <v>7.9013970933799937</v>
      </c>
      <c r="BK71" s="100">
        <v>4456.3879606663168</v>
      </c>
      <c r="BL71" s="100">
        <v>4</v>
      </c>
      <c r="BM71" s="100">
        <v>2256</v>
      </c>
      <c r="BN71" s="100">
        <v>8</v>
      </c>
      <c r="BO71" s="100">
        <v>4512</v>
      </c>
      <c r="BP71" s="100">
        <v>5</v>
      </c>
      <c r="BQ71" s="100">
        <v>2820</v>
      </c>
      <c r="BR71" s="100">
        <v>9</v>
      </c>
      <c r="BS71" s="100">
        <v>5076</v>
      </c>
      <c r="BT71" s="100">
        <v>5.7332985663711442</v>
      </c>
      <c r="BU71" s="100">
        <v>3233.5803914333255</v>
      </c>
      <c r="BV71" s="100">
        <v>5</v>
      </c>
      <c r="BW71" s="100">
        <v>2820</v>
      </c>
      <c r="BX71" s="100">
        <v>1.2521735275475319</v>
      </c>
      <c r="BY71" s="100">
        <v>706.22586953680798</v>
      </c>
      <c r="BZ71" s="100">
        <v>5.5853729246360952</v>
      </c>
      <c r="CA71" s="100">
        <v>3150.1503294947579</v>
      </c>
      <c r="CB71" s="100">
        <v>7</v>
      </c>
      <c r="CC71" s="100">
        <v>3948</v>
      </c>
      <c r="CD71" s="100">
        <v>6</v>
      </c>
      <c r="CE71" s="100">
        <v>3384</v>
      </c>
      <c r="CF71" s="100">
        <v>8</v>
      </c>
      <c r="CG71" s="100">
        <v>4512</v>
      </c>
      <c r="CH71" s="100">
        <v>8.2883712573995201</v>
      </c>
      <c r="CI71" s="100">
        <v>4674.6413891733291</v>
      </c>
      <c r="CJ71" s="100">
        <v>5.8534882237928107E-4</v>
      </c>
      <c r="CK71" s="100">
        <v>0.3301367358219145</v>
      </c>
      <c r="CL71" s="100">
        <v>6.1322231458984646</v>
      </c>
      <c r="CM71" s="100">
        <v>3458.5738542867339</v>
      </c>
      <c r="CN71" s="100">
        <v>6.6647405520635798</v>
      </c>
      <c r="CO71" s="100">
        <v>3758.9136713638591</v>
      </c>
      <c r="CP71" s="100">
        <v>9.4765390862439958</v>
      </c>
      <c r="CQ71" s="100">
        <v>5344.7680446416134</v>
      </c>
      <c r="CR71" s="100">
        <v>6.4539007092198108</v>
      </c>
      <c r="CS71" s="100">
        <v>3639.9999999999732</v>
      </c>
      <c r="CT71" s="100">
        <v>8</v>
      </c>
      <c r="CU71" s="100">
        <v>4512</v>
      </c>
    </row>
    <row r="72" spans="2:99">
      <c r="C72" s="99" t="s">
        <v>238</v>
      </c>
      <c r="D72" s="100">
        <v>2.6779957180243703</v>
      </c>
      <c r="E72" s="100">
        <v>199.24288142101312</v>
      </c>
      <c r="F72" s="100">
        <v>0.63449634841571201</v>
      </c>
      <c r="G72" s="100">
        <v>47.206528322128968</v>
      </c>
      <c r="H72" s="100">
        <v>8.1855930270031294</v>
      </c>
      <c r="I72" s="100">
        <v>609.00812120903277</v>
      </c>
      <c r="J72" s="100">
        <v>5</v>
      </c>
      <c r="K72" s="100">
        <v>371.99999999999994</v>
      </c>
      <c r="L72" s="100">
        <v>8</v>
      </c>
      <c r="M72" s="100">
        <v>595.19999999999993</v>
      </c>
      <c r="N72" s="100">
        <v>8.4734533711701694</v>
      </c>
      <c r="O72" s="100">
        <v>630.42493081506052</v>
      </c>
      <c r="P72" s="100">
        <v>4</v>
      </c>
      <c r="Q72" s="100">
        <v>297.59999999999997</v>
      </c>
      <c r="R72" s="100">
        <v>6</v>
      </c>
      <c r="S72" s="100">
        <v>446.4</v>
      </c>
      <c r="T72" s="100">
        <v>7</v>
      </c>
      <c r="U72" s="100">
        <v>520.79999999999995</v>
      </c>
      <c r="V72" s="100">
        <v>8.9355724082669958</v>
      </c>
      <c r="W72" s="100">
        <v>664.80658717506446</v>
      </c>
      <c r="X72" s="100">
        <v>5.8066228190858655E-4</v>
      </c>
      <c r="Y72" s="100">
        <v>4.3201273773998836E-2</v>
      </c>
      <c r="Z72" s="100">
        <v>7.0659539009858285</v>
      </c>
      <c r="AA72" s="100">
        <v>525.7069702333456</v>
      </c>
      <c r="AB72" s="100">
        <v>6</v>
      </c>
      <c r="AC72" s="100">
        <v>446.4</v>
      </c>
      <c r="AD72" s="100">
        <v>7</v>
      </c>
      <c r="AE72" s="100">
        <v>520.79999999999995</v>
      </c>
      <c r="AF72" s="100">
        <v>8.2554954461382728</v>
      </c>
      <c r="AG72" s="100">
        <v>614.20886119268744</v>
      </c>
      <c r="AH72" s="100">
        <v>7</v>
      </c>
      <c r="AI72" s="100">
        <v>520.79999999999995</v>
      </c>
      <c r="AJ72" s="100">
        <v>8</v>
      </c>
      <c r="AK72" s="100">
        <v>595.19999999999993</v>
      </c>
      <c r="AL72" s="100">
        <v>6</v>
      </c>
      <c r="AM72" s="100">
        <v>446.4</v>
      </c>
      <c r="AN72" s="100">
        <v>0.23408551090983906</v>
      </c>
      <c r="AO72" s="100">
        <v>17.415962011692024</v>
      </c>
      <c r="AP72" s="100">
        <v>6.5794737792855384</v>
      </c>
      <c r="AQ72" s="100">
        <v>489.51284917884402</v>
      </c>
      <c r="AR72" s="100">
        <v>8.2297090181787187</v>
      </c>
      <c r="AS72" s="100">
        <v>612.29035095249662</v>
      </c>
      <c r="AT72" s="100">
        <v>7</v>
      </c>
      <c r="AU72" s="100">
        <v>520.79999999999995</v>
      </c>
      <c r="AV72" s="100">
        <v>5</v>
      </c>
      <c r="AW72" s="100">
        <v>371.99999999999994</v>
      </c>
      <c r="AX72" s="100">
        <v>8</v>
      </c>
      <c r="AY72" s="100">
        <v>595.19999999999993</v>
      </c>
      <c r="AZ72" s="100">
        <v>8</v>
      </c>
      <c r="BA72" s="100">
        <v>595.19999999999993</v>
      </c>
      <c r="BB72" s="100">
        <v>4.1025370871321059</v>
      </c>
      <c r="BC72" s="100">
        <v>305.22875928262863</v>
      </c>
      <c r="BD72" s="100">
        <v>6</v>
      </c>
      <c r="BE72" s="100">
        <v>446.4</v>
      </c>
      <c r="BF72" s="100">
        <v>4.6637375964899892</v>
      </c>
      <c r="BG72" s="100">
        <v>346.98207717885515</v>
      </c>
      <c r="BH72" s="100">
        <v>7.3378753881297261</v>
      </c>
      <c r="BI72" s="100">
        <v>545.93792887685152</v>
      </c>
      <c r="BJ72" s="100">
        <v>7.9013970933799937</v>
      </c>
      <c r="BK72" s="100">
        <v>587.86394374747147</v>
      </c>
      <c r="BL72" s="100">
        <v>5</v>
      </c>
      <c r="BM72" s="100">
        <v>371.99999999999994</v>
      </c>
      <c r="BN72" s="100">
        <v>9</v>
      </c>
      <c r="BO72" s="100">
        <v>669.59999999999991</v>
      </c>
      <c r="BP72" s="100">
        <v>5</v>
      </c>
      <c r="BQ72" s="100">
        <v>371.99999999999994</v>
      </c>
      <c r="BR72" s="100">
        <v>9</v>
      </c>
      <c r="BS72" s="100">
        <v>669.59999999999991</v>
      </c>
      <c r="BT72" s="100">
        <v>5.7332985663711442</v>
      </c>
      <c r="BU72" s="100">
        <v>426.55741333801308</v>
      </c>
      <c r="BV72" s="100">
        <v>5</v>
      </c>
      <c r="BW72" s="100">
        <v>371.99999999999994</v>
      </c>
      <c r="BX72" s="100">
        <v>1.043477939622943</v>
      </c>
      <c r="BY72" s="100">
        <v>77.634758707946943</v>
      </c>
      <c r="BZ72" s="100">
        <v>7.7317161557951195</v>
      </c>
      <c r="CA72" s="100">
        <v>575.23968199115677</v>
      </c>
      <c r="CB72" s="100">
        <v>7</v>
      </c>
      <c r="CC72" s="100">
        <v>520.79999999999995</v>
      </c>
      <c r="CD72" s="100">
        <v>7</v>
      </c>
      <c r="CE72" s="100">
        <v>520.79999999999995</v>
      </c>
      <c r="CF72" s="100">
        <v>10</v>
      </c>
      <c r="CG72" s="100">
        <v>743.99999999999989</v>
      </c>
      <c r="CH72" s="100">
        <v>8.2883712573995201</v>
      </c>
      <c r="CI72" s="100">
        <v>616.65482155052428</v>
      </c>
      <c r="CJ72" s="100">
        <v>6.5851742517669123E-4</v>
      </c>
      <c r="CK72" s="100">
        <v>4.8993696433145821E-2</v>
      </c>
      <c r="CL72" s="100">
        <v>5.9704769821986838</v>
      </c>
      <c r="CM72" s="100">
        <v>444.20348747558205</v>
      </c>
      <c r="CN72" s="100">
        <v>7.6647405520635798</v>
      </c>
      <c r="CO72" s="100">
        <v>570.25669707353029</v>
      </c>
      <c r="CP72" s="100">
        <v>9.4765390862439958</v>
      </c>
      <c r="CQ72" s="100">
        <v>705.0545080165532</v>
      </c>
      <c r="CR72" s="100">
        <v>6.4539007092198108</v>
      </c>
      <c r="CS72" s="100">
        <v>480.17021276595386</v>
      </c>
      <c r="CT72" s="100">
        <v>9</v>
      </c>
      <c r="CU72" s="100">
        <v>669.59999999999991</v>
      </c>
    </row>
    <row r="73" spans="2:99">
      <c r="C73" s="99" t="s">
        <v>239</v>
      </c>
      <c r="D73" s="100">
        <v>2.6779957180243703</v>
      </c>
      <c r="E73" s="100">
        <v>1497.5352055192277</v>
      </c>
      <c r="F73" s="100">
        <v>0.5558310804733172</v>
      </c>
      <c r="G73" s="100">
        <v>310.82074020067893</v>
      </c>
      <c r="H73" s="100">
        <v>8.1855930270031294</v>
      </c>
      <c r="I73" s="100">
        <v>4577.3836207001495</v>
      </c>
      <c r="J73" s="100">
        <v>5</v>
      </c>
      <c r="K73" s="100">
        <v>2795.9999999999995</v>
      </c>
      <c r="L73" s="100">
        <v>8</v>
      </c>
      <c r="M73" s="100">
        <v>4473.5999999999995</v>
      </c>
      <c r="N73" s="100">
        <v>7.5319585521512611</v>
      </c>
      <c r="O73" s="100">
        <v>4211.8712223629846</v>
      </c>
      <c r="P73" s="100">
        <v>5</v>
      </c>
      <c r="Q73" s="100">
        <v>2795.9999999999995</v>
      </c>
      <c r="R73" s="100">
        <v>6</v>
      </c>
      <c r="S73" s="100">
        <v>3355.2</v>
      </c>
      <c r="T73" s="100">
        <v>7</v>
      </c>
      <c r="U73" s="100">
        <v>3914.3999999999996</v>
      </c>
      <c r="V73" s="100">
        <v>7.9427310295706635</v>
      </c>
      <c r="W73" s="100">
        <v>4441.5751917359148</v>
      </c>
      <c r="X73" s="100">
        <v>5.8066228190858655E-4</v>
      </c>
      <c r="Y73" s="100">
        <v>0.32470634804328158</v>
      </c>
      <c r="Z73" s="100">
        <v>7.0549615841548574</v>
      </c>
      <c r="AA73" s="100">
        <v>3945.1345178593956</v>
      </c>
      <c r="AB73" s="100">
        <v>6</v>
      </c>
      <c r="AC73" s="100">
        <v>3355.2</v>
      </c>
      <c r="AD73" s="100">
        <v>8</v>
      </c>
      <c r="AE73" s="100">
        <v>4473.5999999999995</v>
      </c>
      <c r="AF73" s="100">
        <v>9.172772717931414</v>
      </c>
      <c r="AG73" s="100">
        <v>5129.4145038672459</v>
      </c>
      <c r="AH73" s="100">
        <v>7</v>
      </c>
      <c r="AI73" s="100">
        <v>3914.3999999999996</v>
      </c>
      <c r="AJ73" s="100">
        <v>8</v>
      </c>
      <c r="AK73" s="100">
        <v>4473.5999999999995</v>
      </c>
      <c r="AL73" s="100">
        <v>7</v>
      </c>
      <c r="AM73" s="100">
        <v>3914.3999999999996</v>
      </c>
      <c r="AN73" s="100">
        <v>0.21067695981885515</v>
      </c>
      <c r="AO73" s="100">
        <v>117.81055593070379</v>
      </c>
      <c r="AP73" s="100">
        <v>5.4635790234284309</v>
      </c>
      <c r="AQ73" s="100">
        <v>3055.2333899011783</v>
      </c>
      <c r="AR73" s="100">
        <v>8.2297090181787187</v>
      </c>
      <c r="AS73" s="100">
        <v>4602.0532829655385</v>
      </c>
      <c r="AT73" s="100">
        <v>8</v>
      </c>
      <c r="AU73" s="100">
        <v>4473.5999999999995</v>
      </c>
      <c r="AV73" s="100">
        <v>6</v>
      </c>
      <c r="AW73" s="100">
        <v>3355.2</v>
      </c>
      <c r="AX73" s="100">
        <v>9</v>
      </c>
      <c r="AY73" s="100">
        <v>5032.7999999999993</v>
      </c>
      <c r="AZ73" s="100">
        <v>8</v>
      </c>
      <c r="BA73" s="100">
        <v>4473.5999999999995</v>
      </c>
      <c r="BB73" s="100">
        <v>3.4187809059434215</v>
      </c>
      <c r="BC73" s="100">
        <v>1911.782282603561</v>
      </c>
      <c r="BD73" s="100">
        <v>6</v>
      </c>
      <c r="BE73" s="100">
        <v>3355.2</v>
      </c>
      <c r="BF73" s="100">
        <v>3.5574706566371397</v>
      </c>
      <c r="BG73" s="100">
        <v>1989.3375911914882</v>
      </c>
      <c r="BH73" s="100">
        <v>6.2271009228002354</v>
      </c>
      <c r="BI73" s="100">
        <v>3482.1948360298911</v>
      </c>
      <c r="BJ73" s="100">
        <v>7.9013970933799937</v>
      </c>
      <c r="BK73" s="100">
        <v>4418.4612546180915</v>
      </c>
      <c r="BL73" s="100">
        <v>4</v>
      </c>
      <c r="BM73" s="100">
        <v>2236.7999999999997</v>
      </c>
      <c r="BN73" s="100">
        <v>8</v>
      </c>
      <c r="BO73" s="100">
        <v>4473.5999999999995</v>
      </c>
      <c r="BP73" s="100">
        <v>5</v>
      </c>
      <c r="BQ73" s="100">
        <v>2795.9999999999995</v>
      </c>
      <c r="BR73" s="100">
        <v>9</v>
      </c>
      <c r="BS73" s="100">
        <v>5032.7999999999993</v>
      </c>
      <c r="BT73" s="100">
        <v>5.7332985663711442</v>
      </c>
      <c r="BU73" s="100">
        <v>3206.0605583147435</v>
      </c>
      <c r="BV73" s="100">
        <v>6</v>
      </c>
      <c r="BW73" s="100">
        <v>3355.2</v>
      </c>
      <c r="BX73" s="100">
        <v>1.043477939622943</v>
      </c>
      <c r="BY73" s="100">
        <v>583.51286383714967</v>
      </c>
      <c r="BZ73" s="100">
        <v>6.7317161557951195</v>
      </c>
      <c r="CA73" s="100">
        <v>3764.3756743206304</v>
      </c>
      <c r="CB73" s="100">
        <v>7</v>
      </c>
      <c r="CC73" s="100">
        <v>3914.3999999999996</v>
      </c>
      <c r="CD73" s="100">
        <v>6</v>
      </c>
      <c r="CE73" s="100">
        <v>3355.2</v>
      </c>
      <c r="CF73" s="100">
        <v>9</v>
      </c>
      <c r="CG73" s="100">
        <v>5032.7999999999993</v>
      </c>
      <c r="CH73" s="100">
        <v>8.2883712573995201</v>
      </c>
      <c r="CI73" s="100">
        <v>4634.8572071378112</v>
      </c>
      <c r="CJ73" s="100">
        <v>5.8534882237928107E-4</v>
      </c>
      <c r="CK73" s="100">
        <v>0.32732706147449392</v>
      </c>
      <c r="CL73" s="100">
        <v>6.9704769821986838</v>
      </c>
      <c r="CM73" s="100">
        <v>3897.8907284455036</v>
      </c>
      <c r="CN73" s="100">
        <v>6.6647405520635798</v>
      </c>
      <c r="CO73" s="100">
        <v>3726.9229167139533</v>
      </c>
      <c r="CP73" s="100">
        <v>8.5288851776195962</v>
      </c>
      <c r="CQ73" s="100">
        <v>4769.3525913248777</v>
      </c>
      <c r="CR73" s="100">
        <v>6.4539007092198108</v>
      </c>
      <c r="CS73" s="100">
        <v>3609.0212765957176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2.6779957180243703</v>
      </c>
      <c r="E74" s="100">
        <v>1079.767873507426</v>
      </c>
      <c r="F74" s="100">
        <v>0.5558310804733172</v>
      </c>
      <c r="G74" s="100">
        <v>224.11109164684149</v>
      </c>
      <c r="H74" s="100">
        <v>8.1855930270031294</v>
      </c>
      <c r="I74" s="100">
        <v>3300.4311084876617</v>
      </c>
      <c r="J74" s="100">
        <v>5</v>
      </c>
      <c r="K74" s="100">
        <v>2016</v>
      </c>
      <c r="L74" s="100">
        <v>8</v>
      </c>
      <c r="M74" s="100">
        <v>3225.6</v>
      </c>
      <c r="N74" s="100">
        <v>8.4734533711701694</v>
      </c>
      <c r="O74" s="100">
        <v>3416.4963992558123</v>
      </c>
      <c r="P74" s="100">
        <v>5</v>
      </c>
      <c r="Q74" s="100">
        <v>2016</v>
      </c>
      <c r="R74" s="100">
        <v>6</v>
      </c>
      <c r="S74" s="100">
        <v>2419.1999999999998</v>
      </c>
      <c r="T74" s="100">
        <v>7</v>
      </c>
      <c r="U74" s="100">
        <v>2822.4</v>
      </c>
      <c r="V74" s="100">
        <v>7.9427310295706635</v>
      </c>
      <c r="W74" s="100">
        <v>3202.5091511228916</v>
      </c>
      <c r="X74" s="100">
        <v>5.8066228190858655E-4</v>
      </c>
      <c r="Y74" s="100">
        <v>0.23412303206554208</v>
      </c>
      <c r="Z74" s="100">
        <v>7.0549615841548574</v>
      </c>
      <c r="AA74" s="100">
        <v>2844.5605107312385</v>
      </c>
      <c r="AB74" s="100">
        <v>6</v>
      </c>
      <c r="AC74" s="100">
        <v>2419.1999999999998</v>
      </c>
      <c r="AD74" s="100">
        <v>7</v>
      </c>
      <c r="AE74" s="100">
        <v>2822.4</v>
      </c>
      <c r="AF74" s="100">
        <v>8.2554954461382728</v>
      </c>
      <c r="AG74" s="100">
        <v>3328.6157638829513</v>
      </c>
      <c r="AH74" s="100">
        <v>7</v>
      </c>
      <c r="AI74" s="100">
        <v>2822.4</v>
      </c>
      <c r="AJ74" s="100">
        <v>9</v>
      </c>
      <c r="AK74" s="100">
        <v>3628.7999999999997</v>
      </c>
      <c r="AL74" s="100">
        <v>6</v>
      </c>
      <c r="AM74" s="100">
        <v>2419.1999999999998</v>
      </c>
      <c r="AN74" s="100">
        <v>0.23408551090983906</v>
      </c>
      <c r="AO74" s="100">
        <v>94.383277998847106</v>
      </c>
      <c r="AP74" s="100">
        <v>5.5794737792855384</v>
      </c>
      <c r="AQ74" s="100">
        <v>2249.643827807929</v>
      </c>
      <c r="AR74" s="100">
        <v>7.2297090181787187</v>
      </c>
      <c r="AS74" s="100">
        <v>2915.0186761296591</v>
      </c>
      <c r="AT74" s="100">
        <v>7</v>
      </c>
      <c r="AU74" s="100">
        <v>2822.4</v>
      </c>
      <c r="AV74" s="100">
        <v>5</v>
      </c>
      <c r="AW74" s="100">
        <v>2016</v>
      </c>
      <c r="AX74" s="100">
        <v>8</v>
      </c>
      <c r="AY74" s="100">
        <v>3225.6</v>
      </c>
      <c r="AZ74" s="100">
        <v>8</v>
      </c>
      <c r="BA74" s="100">
        <v>3225.6</v>
      </c>
      <c r="BB74" s="100">
        <v>3.4187809059434215</v>
      </c>
      <c r="BC74" s="100">
        <v>1378.4524612763876</v>
      </c>
      <c r="BD74" s="100">
        <v>7</v>
      </c>
      <c r="BE74" s="100">
        <v>2822.4</v>
      </c>
      <c r="BF74" s="100">
        <v>4.1106041265635644</v>
      </c>
      <c r="BG74" s="100">
        <v>1657.3955838304291</v>
      </c>
      <c r="BH74" s="100">
        <v>7.3378753881297261</v>
      </c>
      <c r="BI74" s="100">
        <v>2958.6313564939055</v>
      </c>
      <c r="BJ74" s="100">
        <v>7.9013970933799937</v>
      </c>
      <c r="BK74" s="100">
        <v>3185.8433080508134</v>
      </c>
      <c r="BL74" s="100">
        <v>5</v>
      </c>
      <c r="BM74" s="100">
        <v>2016</v>
      </c>
      <c r="BN74" s="100">
        <v>9</v>
      </c>
      <c r="BO74" s="100">
        <v>3628.7999999999997</v>
      </c>
      <c r="BP74" s="100">
        <v>5</v>
      </c>
      <c r="BQ74" s="100">
        <v>2016</v>
      </c>
      <c r="BR74" s="100">
        <v>8</v>
      </c>
      <c r="BS74" s="100">
        <v>3225.6</v>
      </c>
      <c r="BT74" s="100">
        <v>5.7332985663711442</v>
      </c>
      <c r="BU74" s="100">
        <v>2311.6659819608453</v>
      </c>
      <c r="BV74" s="100">
        <v>5</v>
      </c>
      <c r="BW74" s="100">
        <v>2016</v>
      </c>
      <c r="BX74" s="100">
        <v>1.2521735275475319</v>
      </c>
      <c r="BY74" s="100">
        <v>504.87636630716486</v>
      </c>
      <c r="BZ74" s="100">
        <v>5.7317161557951195</v>
      </c>
      <c r="CA74" s="100">
        <v>2311.027954016592</v>
      </c>
      <c r="CB74" s="100">
        <v>7</v>
      </c>
      <c r="CC74" s="100">
        <v>2822.4</v>
      </c>
      <c r="CD74" s="100">
        <v>6</v>
      </c>
      <c r="CE74" s="100">
        <v>2419.1999999999998</v>
      </c>
      <c r="CF74" s="100">
        <v>8</v>
      </c>
      <c r="CG74" s="100">
        <v>3225.6</v>
      </c>
      <c r="CH74" s="100">
        <v>8.2883712573995201</v>
      </c>
      <c r="CI74" s="100">
        <v>3341.8712909834862</v>
      </c>
      <c r="CJ74" s="100">
        <v>5.1218021958187102E-4</v>
      </c>
      <c r="CK74" s="100">
        <v>0.20651106453541038</v>
      </c>
      <c r="CL74" s="100">
        <v>6.1322231458984646</v>
      </c>
      <c r="CM74" s="100">
        <v>2472.5123724262608</v>
      </c>
      <c r="CN74" s="100">
        <v>6.6647405520635798</v>
      </c>
      <c r="CO74" s="100">
        <v>2687.2233905920352</v>
      </c>
      <c r="CP74" s="100">
        <v>7.5812312689951975</v>
      </c>
      <c r="CQ74" s="100">
        <v>3056.7524476588637</v>
      </c>
      <c r="CR74" s="100">
        <v>7.37588652482264</v>
      </c>
      <c r="CS74" s="100">
        <v>2973.9574468084884</v>
      </c>
      <c r="CT74" s="100">
        <v>8</v>
      </c>
      <c r="CU74" s="100">
        <v>3225.6</v>
      </c>
    </row>
    <row r="75" spans="2:99">
      <c r="C75" s="99" t="s">
        <v>241</v>
      </c>
      <c r="D75" s="100">
        <v>2.380440638243885</v>
      </c>
      <c r="E75" s="100">
        <v>1531.0994185184666</v>
      </c>
      <c r="F75" s="100">
        <v>0.55755581543216837</v>
      </c>
      <c r="G75" s="100">
        <v>358.61990048597067</v>
      </c>
      <c r="H75" s="100">
        <v>8.1855930270031294</v>
      </c>
      <c r="I75" s="100">
        <v>5264.9734349684122</v>
      </c>
      <c r="J75" s="100">
        <v>5</v>
      </c>
      <c r="K75" s="100">
        <v>3215.9999999999995</v>
      </c>
      <c r="L75" s="100">
        <v>8</v>
      </c>
      <c r="M75" s="100">
        <v>5145.5999999999995</v>
      </c>
      <c r="N75" s="100">
        <v>8.4734533711701694</v>
      </c>
      <c r="O75" s="100">
        <v>5450.1252083366526</v>
      </c>
      <c r="P75" s="100">
        <v>4</v>
      </c>
      <c r="Q75" s="100">
        <v>2572.7999999999997</v>
      </c>
      <c r="R75" s="100">
        <v>6</v>
      </c>
      <c r="S75" s="100">
        <v>3859.2</v>
      </c>
      <c r="T75" s="100">
        <v>6</v>
      </c>
      <c r="U75" s="100">
        <v>3859.2</v>
      </c>
      <c r="V75" s="100">
        <v>8.9355724082669958</v>
      </c>
      <c r="W75" s="100">
        <v>5747.3601729973307</v>
      </c>
      <c r="X75" s="100">
        <v>5.8066228190858655E-4</v>
      </c>
      <c r="Y75" s="100">
        <v>0.37348197972360281</v>
      </c>
      <c r="Z75" s="100">
        <v>7.0549615841548574</v>
      </c>
      <c r="AA75" s="100">
        <v>4537.7512909284042</v>
      </c>
      <c r="AB75" s="100">
        <v>5</v>
      </c>
      <c r="AC75" s="100">
        <v>3215.9999999999995</v>
      </c>
      <c r="AD75" s="100">
        <v>7</v>
      </c>
      <c r="AE75" s="100">
        <v>4502.3999999999996</v>
      </c>
      <c r="AF75" s="100">
        <v>9.172772717931414</v>
      </c>
      <c r="AG75" s="100">
        <v>5899.9274121734852</v>
      </c>
      <c r="AH75" s="100">
        <v>7</v>
      </c>
      <c r="AI75" s="100">
        <v>4502.3999999999996</v>
      </c>
      <c r="AJ75" s="100">
        <v>8</v>
      </c>
      <c r="AK75" s="100">
        <v>5145.5999999999995</v>
      </c>
      <c r="AL75" s="100">
        <v>6</v>
      </c>
      <c r="AM75" s="100">
        <v>3859.2</v>
      </c>
      <c r="AN75" s="100">
        <v>0.23408551090983906</v>
      </c>
      <c r="AO75" s="100">
        <v>150.56380061720847</v>
      </c>
      <c r="AP75" s="100">
        <v>5.5794737792855384</v>
      </c>
      <c r="AQ75" s="100">
        <v>3588.7175348364581</v>
      </c>
      <c r="AR75" s="100">
        <v>7.183767214542975</v>
      </c>
      <c r="AS75" s="100">
        <v>4620.5990723940413</v>
      </c>
      <c r="AT75" s="100">
        <v>7</v>
      </c>
      <c r="AU75" s="100">
        <v>4502.3999999999996</v>
      </c>
      <c r="AV75" s="100">
        <v>5</v>
      </c>
      <c r="AW75" s="100">
        <v>3215.9999999999995</v>
      </c>
      <c r="AX75" s="100">
        <v>9</v>
      </c>
      <c r="AY75" s="100">
        <v>5788.7999999999993</v>
      </c>
      <c r="AZ75" s="100">
        <v>7</v>
      </c>
      <c r="BA75" s="100">
        <v>4502.3999999999996</v>
      </c>
      <c r="BB75" s="100">
        <v>3.4187809059434215</v>
      </c>
      <c r="BC75" s="100">
        <v>2198.9598787028085</v>
      </c>
      <c r="BD75" s="100">
        <v>6</v>
      </c>
      <c r="BE75" s="100">
        <v>3859.2</v>
      </c>
      <c r="BF75" s="100">
        <v>4.0835242047719618</v>
      </c>
      <c r="BG75" s="100">
        <v>2626.5227685093255</v>
      </c>
      <c r="BH75" s="100">
        <v>6.3729495458591394</v>
      </c>
      <c r="BI75" s="100">
        <v>4099.0811478965979</v>
      </c>
      <c r="BJ75" s="100">
        <v>6.9013970933799937</v>
      </c>
      <c r="BK75" s="100">
        <v>4438.9786104620116</v>
      </c>
      <c r="BL75" s="100">
        <v>5</v>
      </c>
      <c r="BM75" s="100">
        <v>3215.9999999999995</v>
      </c>
      <c r="BN75" s="100">
        <v>7</v>
      </c>
      <c r="BO75" s="100">
        <v>4502.3999999999996</v>
      </c>
      <c r="BP75" s="100">
        <v>4</v>
      </c>
      <c r="BQ75" s="100">
        <v>2572.7999999999997</v>
      </c>
      <c r="BR75" s="100">
        <v>9</v>
      </c>
      <c r="BS75" s="100">
        <v>5788.7999999999993</v>
      </c>
      <c r="BT75" s="100">
        <v>5.7332985663711442</v>
      </c>
      <c r="BU75" s="100">
        <v>3687.6576378899194</v>
      </c>
      <c r="BV75" s="100">
        <v>5</v>
      </c>
      <c r="BW75" s="100">
        <v>3215.9999999999995</v>
      </c>
      <c r="BX75" s="100">
        <v>1.043477939622943</v>
      </c>
      <c r="BY75" s="100">
        <v>671.16501076547684</v>
      </c>
      <c r="BZ75" s="100">
        <v>6.7317161557951195</v>
      </c>
      <c r="CA75" s="100">
        <v>4329.8398314074202</v>
      </c>
      <c r="CB75" s="100">
        <v>7</v>
      </c>
      <c r="CC75" s="100">
        <v>4502.3999999999996</v>
      </c>
      <c r="CD75" s="100">
        <v>6</v>
      </c>
      <c r="CE75" s="100">
        <v>3859.2</v>
      </c>
      <c r="CF75" s="100">
        <v>9</v>
      </c>
      <c r="CG75" s="100">
        <v>5788.7999999999993</v>
      </c>
      <c r="CH75" s="100">
        <v>7.4595341316595691</v>
      </c>
      <c r="CI75" s="100">
        <v>4797.9723534834347</v>
      </c>
      <c r="CJ75" s="100">
        <v>5.8534882237928107E-4</v>
      </c>
      <c r="CK75" s="100">
        <v>0.37649636255435354</v>
      </c>
      <c r="CL75" s="100">
        <v>6.1322231458984646</v>
      </c>
      <c r="CM75" s="100">
        <v>3944.245927441892</v>
      </c>
      <c r="CN75" s="100">
        <v>5.6647405520635798</v>
      </c>
      <c r="CO75" s="100">
        <v>3643.5611230872942</v>
      </c>
      <c r="CP75" s="100">
        <v>9.4765390862439958</v>
      </c>
      <c r="CQ75" s="100">
        <v>6095.3099402721373</v>
      </c>
      <c r="CR75" s="100">
        <v>7.37588652482264</v>
      </c>
      <c r="CS75" s="100">
        <v>4744.1702127659219</v>
      </c>
      <c r="CT75" s="100">
        <v>8</v>
      </c>
      <c r="CU75" s="100">
        <v>5145.5999999999995</v>
      </c>
    </row>
    <row r="76" spans="2:99">
      <c r="C76" s="99" t="s">
        <v>242</v>
      </c>
      <c r="D76" s="100">
        <v>2.6779957180243703</v>
      </c>
      <c r="E76" s="100">
        <v>2085.6230651973797</v>
      </c>
      <c r="F76" s="100">
        <v>0.63449634841571201</v>
      </c>
      <c r="G76" s="100">
        <v>494.14575614615649</v>
      </c>
      <c r="H76" s="100">
        <v>8.1855930270031294</v>
      </c>
      <c r="I76" s="100">
        <v>6374.9398494300367</v>
      </c>
      <c r="J76" s="100">
        <v>5</v>
      </c>
      <c r="K76" s="100">
        <v>3894</v>
      </c>
      <c r="L76" s="100">
        <v>8</v>
      </c>
      <c r="M76" s="100">
        <v>6230.4</v>
      </c>
      <c r="N76" s="100">
        <v>7.5319585521512611</v>
      </c>
      <c r="O76" s="100">
        <v>5865.8893204154019</v>
      </c>
      <c r="P76" s="100">
        <v>5</v>
      </c>
      <c r="Q76" s="100">
        <v>3894</v>
      </c>
      <c r="R76" s="100">
        <v>5</v>
      </c>
      <c r="S76" s="100">
        <v>3894</v>
      </c>
      <c r="T76" s="100">
        <v>7</v>
      </c>
      <c r="U76" s="100">
        <v>5451.5999999999995</v>
      </c>
      <c r="V76" s="100">
        <v>7.9427310295706635</v>
      </c>
      <c r="W76" s="100">
        <v>6185.798925829632</v>
      </c>
      <c r="X76" s="100">
        <v>5.0807949667001321E-4</v>
      </c>
      <c r="Y76" s="100">
        <v>0.39569231200660626</v>
      </c>
      <c r="Z76" s="100">
        <v>7.0549615841548574</v>
      </c>
      <c r="AA76" s="100">
        <v>5494.4040817398027</v>
      </c>
      <c r="AB76" s="100">
        <v>5</v>
      </c>
      <c r="AC76" s="100">
        <v>3894</v>
      </c>
      <c r="AD76" s="100">
        <v>8</v>
      </c>
      <c r="AE76" s="100">
        <v>6230.4</v>
      </c>
      <c r="AF76" s="100">
        <v>7.3382181743451307</v>
      </c>
      <c r="AG76" s="100">
        <v>5715.0043141799879</v>
      </c>
      <c r="AH76" s="100">
        <v>6</v>
      </c>
      <c r="AI76" s="100">
        <v>4672.7999999999993</v>
      </c>
      <c r="AJ76" s="100">
        <v>9</v>
      </c>
      <c r="AK76" s="100">
        <v>7009.2</v>
      </c>
      <c r="AL76" s="100">
        <v>6</v>
      </c>
      <c r="AM76" s="100">
        <v>4672.7999999999993</v>
      </c>
      <c r="AN76" s="100">
        <v>0.21067695981885515</v>
      </c>
      <c r="AO76" s="100">
        <v>164.07521630692437</v>
      </c>
      <c r="AP76" s="100">
        <v>5.4635790234284309</v>
      </c>
      <c r="AQ76" s="100">
        <v>4255.0353434460621</v>
      </c>
      <c r="AR76" s="100">
        <v>7.183767214542975</v>
      </c>
      <c r="AS76" s="100">
        <v>5594.717906686069</v>
      </c>
      <c r="AT76" s="100">
        <v>7</v>
      </c>
      <c r="AU76" s="100">
        <v>5451.5999999999995</v>
      </c>
      <c r="AV76" s="100">
        <v>6</v>
      </c>
      <c r="AW76" s="100">
        <v>4672.7999999999993</v>
      </c>
      <c r="AX76" s="100">
        <v>8</v>
      </c>
      <c r="AY76" s="100">
        <v>6230.4</v>
      </c>
      <c r="AZ76" s="100">
        <v>7</v>
      </c>
      <c r="BA76" s="100">
        <v>5451.5999999999995</v>
      </c>
      <c r="BB76" s="100">
        <v>4.1025370871321059</v>
      </c>
      <c r="BC76" s="100">
        <v>3195.055883458484</v>
      </c>
      <c r="BD76" s="100">
        <v>5</v>
      </c>
      <c r="BE76" s="100">
        <v>3894</v>
      </c>
      <c r="BF76" s="100">
        <v>4.1290015120383803</v>
      </c>
      <c r="BG76" s="100">
        <v>3215.6663775754905</v>
      </c>
      <c r="BH76" s="100">
        <v>7.1920267650708238</v>
      </c>
      <c r="BI76" s="100">
        <v>5601.1504446371573</v>
      </c>
      <c r="BJ76" s="100">
        <v>7.9013970933799937</v>
      </c>
      <c r="BK76" s="100">
        <v>6153.6080563243386</v>
      </c>
      <c r="BL76" s="100">
        <v>5</v>
      </c>
      <c r="BM76" s="100">
        <v>3894</v>
      </c>
      <c r="BN76" s="100">
        <v>7</v>
      </c>
      <c r="BO76" s="100">
        <v>5451.5999999999995</v>
      </c>
      <c r="BP76" s="100">
        <v>4</v>
      </c>
      <c r="BQ76" s="100">
        <v>3115.2</v>
      </c>
      <c r="BR76" s="100">
        <v>8</v>
      </c>
      <c r="BS76" s="100">
        <v>6230.4</v>
      </c>
      <c r="BT76" s="100">
        <v>5.7332985663711442</v>
      </c>
      <c r="BU76" s="100">
        <v>4465.0929234898467</v>
      </c>
      <c r="BV76" s="100">
        <v>5</v>
      </c>
      <c r="BW76" s="100">
        <v>3894</v>
      </c>
      <c r="BX76" s="100">
        <v>1.2521735275475319</v>
      </c>
      <c r="BY76" s="100">
        <v>975.19274325401773</v>
      </c>
      <c r="BZ76" s="100">
        <v>5.5853729246360952</v>
      </c>
      <c r="CA76" s="100">
        <v>4349.8884337065911</v>
      </c>
      <c r="CB76" s="100">
        <v>7</v>
      </c>
      <c r="CC76" s="100">
        <v>5451.5999999999995</v>
      </c>
      <c r="CD76" s="100">
        <v>6</v>
      </c>
      <c r="CE76" s="100">
        <v>4672.7999999999993</v>
      </c>
      <c r="CF76" s="100">
        <v>8</v>
      </c>
      <c r="CG76" s="100">
        <v>6230.4</v>
      </c>
      <c r="CH76" s="100">
        <v>8.2883712573995201</v>
      </c>
      <c r="CI76" s="100">
        <v>6454.983535262746</v>
      </c>
      <c r="CJ76" s="100">
        <v>5.1218021958187102E-4</v>
      </c>
      <c r="CK76" s="100">
        <v>0.39888595501036112</v>
      </c>
      <c r="CL76" s="100">
        <v>6.9704769821986838</v>
      </c>
      <c r="CM76" s="100">
        <v>5428.6074737363342</v>
      </c>
      <c r="CN76" s="100">
        <v>5.6647405520635798</v>
      </c>
      <c r="CO76" s="100">
        <v>4411.6999419471158</v>
      </c>
      <c r="CP76" s="100">
        <v>9.4765390862439958</v>
      </c>
      <c r="CQ76" s="100">
        <v>7380.3286403668235</v>
      </c>
      <c r="CR76" s="100">
        <v>7.37588652482264</v>
      </c>
      <c r="CS76" s="100">
        <v>5744.3404255318719</v>
      </c>
      <c r="CT76" s="100">
        <v>9</v>
      </c>
      <c r="CU76" s="100">
        <v>7009.2</v>
      </c>
    </row>
    <row r="77" spans="2:99">
      <c r="C77" s="99" t="s">
        <v>243</v>
      </c>
      <c r="D77" s="100">
        <v>2.380440638243885</v>
      </c>
      <c r="E77" s="100">
        <v>662.7146736870975</v>
      </c>
      <c r="F77" s="100">
        <v>0.55669344795274278</v>
      </c>
      <c r="G77" s="100">
        <v>154.98345591004357</v>
      </c>
      <c r="H77" s="100">
        <v>8.1855930270031294</v>
      </c>
      <c r="I77" s="100">
        <v>2278.869098717671</v>
      </c>
      <c r="J77" s="100">
        <v>5</v>
      </c>
      <c r="K77" s="100">
        <v>1392</v>
      </c>
      <c r="L77" s="100">
        <v>9</v>
      </c>
      <c r="M77" s="100">
        <v>2505.6</v>
      </c>
      <c r="N77" s="100">
        <v>8.4734533711701694</v>
      </c>
      <c r="O77" s="100">
        <v>2359.0094185337748</v>
      </c>
      <c r="P77" s="100">
        <v>5</v>
      </c>
      <c r="Q77" s="100">
        <v>1392</v>
      </c>
      <c r="R77" s="100">
        <v>6</v>
      </c>
      <c r="S77" s="100">
        <v>1670.3999999999999</v>
      </c>
      <c r="T77" s="100">
        <v>7</v>
      </c>
      <c r="U77" s="100">
        <v>1948.7999999999997</v>
      </c>
      <c r="V77" s="100">
        <v>8.9355724082669958</v>
      </c>
      <c r="W77" s="100">
        <v>2487.6633584615315</v>
      </c>
      <c r="X77" s="100">
        <v>5.8066228190858655E-4</v>
      </c>
      <c r="Y77" s="100">
        <v>0.16165637928335047</v>
      </c>
      <c r="Z77" s="100">
        <v>7.0659539009858285</v>
      </c>
      <c r="AA77" s="100">
        <v>1967.1615660344546</v>
      </c>
      <c r="AB77" s="100">
        <v>6</v>
      </c>
      <c r="AC77" s="100">
        <v>1670.3999999999999</v>
      </c>
      <c r="AD77" s="100">
        <v>8</v>
      </c>
      <c r="AE77" s="100">
        <v>2227.1999999999998</v>
      </c>
      <c r="AF77" s="100">
        <v>8.2554954461382728</v>
      </c>
      <c r="AG77" s="100">
        <v>2298.3299322048952</v>
      </c>
      <c r="AH77" s="100">
        <v>6</v>
      </c>
      <c r="AI77" s="100">
        <v>1670.3999999999999</v>
      </c>
      <c r="AJ77" s="100">
        <v>8</v>
      </c>
      <c r="AK77" s="100">
        <v>2227.1999999999998</v>
      </c>
      <c r="AL77" s="100">
        <v>7</v>
      </c>
      <c r="AM77" s="100">
        <v>1948.7999999999997</v>
      </c>
      <c r="AN77" s="100">
        <v>0.23408551090983906</v>
      </c>
      <c r="AO77" s="100">
        <v>65.169406237299185</v>
      </c>
      <c r="AP77" s="100">
        <v>6.4635790234284309</v>
      </c>
      <c r="AQ77" s="100">
        <v>1799.460400122475</v>
      </c>
      <c r="AR77" s="100">
        <v>7.2297090181787187</v>
      </c>
      <c r="AS77" s="100">
        <v>2012.750990660955</v>
      </c>
      <c r="AT77" s="100">
        <v>7</v>
      </c>
      <c r="AU77" s="100">
        <v>1948.7999999999997</v>
      </c>
      <c r="AV77" s="100">
        <v>5</v>
      </c>
      <c r="AW77" s="100">
        <v>1392</v>
      </c>
      <c r="AX77" s="100">
        <v>9</v>
      </c>
      <c r="AY77" s="100">
        <v>2505.6</v>
      </c>
      <c r="AZ77" s="100">
        <v>8</v>
      </c>
      <c r="BA77" s="100">
        <v>2227.1999999999998</v>
      </c>
      <c r="BB77" s="100">
        <v>3.4187809059434215</v>
      </c>
      <c r="BC77" s="100">
        <v>951.78860421464844</v>
      </c>
      <c r="BD77" s="100">
        <v>6</v>
      </c>
      <c r="BE77" s="100">
        <v>1670.3999999999999</v>
      </c>
      <c r="BF77" s="100">
        <v>4.6344010145490859</v>
      </c>
      <c r="BG77" s="100">
        <v>1290.2172424504654</v>
      </c>
      <c r="BH77" s="100">
        <v>6.3729495458591394</v>
      </c>
      <c r="BI77" s="100">
        <v>1774.2291535671843</v>
      </c>
      <c r="BJ77" s="100">
        <v>7.9013970933799937</v>
      </c>
      <c r="BK77" s="100">
        <v>2199.7489507969899</v>
      </c>
      <c r="BL77" s="100">
        <v>5</v>
      </c>
      <c r="BM77" s="100">
        <v>1392</v>
      </c>
      <c r="BN77" s="100">
        <v>8</v>
      </c>
      <c r="BO77" s="100">
        <v>2227.1999999999998</v>
      </c>
      <c r="BP77" s="100">
        <v>5</v>
      </c>
      <c r="BQ77" s="100">
        <v>1392</v>
      </c>
      <c r="BR77" s="100">
        <v>9</v>
      </c>
      <c r="BS77" s="100">
        <v>2505.6</v>
      </c>
      <c r="BT77" s="100">
        <v>6.6888483274330008</v>
      </c>
      <c r="BU77" s="100">
        <v>1862.1753743573472</v>
      </c>
      <c r="BV77" s="100">
        <v>5</v>
      </c>
      <c r="BW77" s="100">
        <v>1392</v>
      </c>
      <c r="BX77" s="100">
        <v>1.2521735275475319</v>
      </c>
      <c r="BY77" s="100">
        <v>348.60511006923286</v>
      </c>
      <c r="BZ77" s="100">
        <v>5.7317161557951195</v>
      </c>
      <c r="CA77" s="100">
        <v>1595.7097777733611</v>
      </c>
      <c r="CB77" s="100">
        <v>8</v>
      </c>
      <c r="CC77" s="100">
        <v>2227.1999999999998</v>
      </c>
      <c r="CD77" s="100">
        <v>6</v>
      </c>
      <c r="CE77" s="100">
        <v>1670.3999999999999</v>
      </c>
      <c r="CF77" s="100">
        <v>9</v>
      </c>
      <c r="CG77" s="100">
        <v>2505.6</v>
      </c>
      <c r="CH77" s="100">
        <v>9.1172083831394737</v>
      </c>
      <c r="CI77" s="100">
        <v>2538.2308138660292</v>
      </c>
      <c r="CJ77" s="100">
        <v>5.8534882237928107E-4</v>
      </c>
      <c r="CK77" s="100">
        <v>0.16296111215039183</v>
      </c>
      <c r="CL77" s="100">
        <v>6.9704769821986838</v>
      </c>
      <c r="CM77" s="100">
        <v>1940.5807918441135</v>
      </c>
      <c r="CN77" s="100">
        <v>6.6647405520635798</v>
      </c>
      <c r="CO77" s="100">
        <v>1855.4637696945006</v>
      </c>
      <c r="CP77" s="100">
        <v>8.5288851776195962</v>
      </c>
      <c r="CQ77" s="100">
        <v>2374.4416334492953</v>
      </c>
      <c r="CR77" s="100">
        <v>6.4539007092198108</v>
      </c>
      <c r="CS77" s="100">
        <v>1796.7659574467953</v>
      </c>
      <c r="CT77" s="100">
        <v>8</v>
      </c>
      <c r="CU77" s="100">
        <v>2227.1999999999998</v>
      </c>
    </row>
    <row r="78" spans="2:99">
      <c r="C78" s="99" t="s">
        <v>244</v>
      </c>
      <c r="D78" s="100">
        <v>2.380440638243885</v>
      </c>
      <c r="E78" s="100">
        <v>1314.0032323106245</v>
      </c>
      <c r="F78" s="100">
        <v>0.63363398093628631</v>
      </c>
      <c r="G78" s="100">
        <v>349.76595747683007</v>
      </c>
      <c r="H78" s="100">
        <v>8.1855930270031294</v>
      </c>
      <c r="I78" s="100">
        <v>4518.447350905727</v>
      </c>
      <c r="J78" s="100">
        <v>5</v>
      </c>
      <c r="K78" s="100">
        <v>2760</v>
      </c>
      <c r="L78" s="100">
        <v>8</v>
      </c>
      <c r="M78" s="100">
        <v>4416</v>
      </c>
      <c r="N78" s="100">
        <v>8.4734533711701694</v>
      </c>
      <c r="O78" s="100">
        <v>4677.3462608859336</v>
      </c>
      <c r="P78" s="100">
        <v>4</v>
      </c>
      <c r="Q78" s="100">
        <v>2208</v>
      </c>
      <c r="R78" s="100">
        <v>6</v>
      </c>
      <c r="S78" s="100">
        <v>3312</v>
      </c>
      <c r="T78" s="100">
        <v>6</v>
      </c>
      <c r="U78" s="100">
        <v>3312</v>
      </c>
      <c r="V78" s="100">
        <v>8.9355724082669958</v>
      </c>
      <c r="W78" s="100">
        <v>4932.4359693633814</v>
      </c>
      <c r="X78" s="100">
        <v>5.8066228190858655E-4</v>
      </c>
      <c r="Y78" s="100">
        <v>0.32052557961353978</v>
      </c>
      <c r="Z78" s="100">
        <v>7.0549615841548574</v>
      </c>
      <c r="AA78" s="100">
        <v>3894.3387944534811</v>
      </c>
      <c r="AB78" s="100">
        <v>5</v>
      </c>
      <c r="AC78" s="100">
        <v>2760</v>
      </c>
      <c r="AD78" s="100">
        <v>7</v>
      </c>
      <c r="AE78" s="100">
        <v>3864</v>
      </c>
      <c r="AF78" s="100">
        <v>8.2554954461382728</v>
      </c>
      <c r="AG78" s="100">
        <v>4557.0334862683267</v>
      </c>
      <c r="AH78" s="100">
        <v>6</v>
      </c>
      <c r="AI78" s="100">
        <v>3312</v>
      </c>
      <c r="AJ78" s="100">
        <v>8</v>
      </c>
      <c r="AK78" s="100">
        <v>4416</v>
      </c>
      <c r="AL78" s="100">
        <v>6</v>
      </c>
      <c r="AM78" s="100">
        <v>3312</v>
      </c>
      <c r="AN78" s="100">
        <v>0.23408551090983906</v>
      </c>
      <c r="AO78" s="100">
        <v>129.21520202223115</v>
      </c>
      <c r="AP78" s="100">
        <v>5.4635790234284309</v>
      </c>
      <c r="AQ78" s="100">
        <v>3015.8956209324938</v>
      </c>
      <c r="AR78" s="100">
        <v>7.183767214542975</v>
      </c>
      <c r="AS78" s="100">
        <v>3965.4395024277223</v>
      </c>
      <c r="AT78" s="100">
        <v>7</v>
      </c>
      <c r="AU78" s="100">
        <v>3864</v>
      </c>
      <c r="AV78" s="100">
        <v>6</v>
      </c>
      <c r="AW78" s="100">
        <v>3312</v>
      </c>
      <c r="AX78" s="100">
        <v>8</v>
      </c>
      <c r="AY78" s="100">
        <v>4416</v>
      </c>
      <c r="AZ78" s="100">
        <v>8</v>
      </c>
      <c r="BA78" s="100">
        <v>4416</v>
      </c>
      <c r="BB78" s="100">
        <v>3.4187809059434215</v>
      </c>
      <c r="BC78" s="100">
        <v>1887.1670600807688</v>
      </c>
      <c r="BD78" s="100">
        <v>6</v>
      </c>
      <c r="BE78" s="100">
        <v>3312</v>
      </c>
      <c r="BF78" s="100">
        <v>4.0835242047719618</v>
      </c>
      <c r="BG78" s="100">
        <v>2254.1053610341228</v>
      </c>
      <c r="BH78" s="100">
        <v>7.1920267650708238</v>
      </c>
      <c r="BI78" s="100">
        <v>3969.9987743190945</v>
      </c>
      <c r="BJ78" s="100">
        <v>8.9013970933799946</v>
      </c>
      <c r="BK78" s="100">
        <v>4913.5711955457573</v>
      </c>
      <c r="BL78" s="100">
        <v>5</v>
      </c>
      <c r="BM78" s="100">
        <v>2760</v>
      </c>
      <c r="BN78" s="100">
        <v>8</v>
      </c>
      <c r="BO78" s="100">
        <v>4416</v>
      </c>
      <c r="BP78" s="100">
        <v>5</v>
      </c>
      <c r="BQ78" s="100">
        <v>2760</v>
      </c>
      <c r="BR78" s="100">
        <v>8</v>
      </c>
      <c r="BS78" s="100">
        <v>4416</v>
      </c>
      <c r="BT78" s="100">
        <v>4.7777488053092867</v>
      </c>
      <c r="BU78" s="100">
        <v>2637.3173405307261</v>
      </c>
      <c r="BV78" s="100">
        <v>5</v>
      </c>
      <c r="BW78" s="100">
        <v>2760</v>
      </c>
      <c r="BX78" s="100">
        <v>1.2521735275475319</v>
      </c>
      <c r="BY78" s="100">
        <v>691.1997872062376</v>
      </c>
      <c r="BZ78" s="100">
        <v>6.7317161557951195</v>
      </c>
      <c r="CA78" s="100">
        <v>3715.9073179989059</v>
      </c>
      <c r="CB78" s="100">
        <v>7</v>
      </c>
      <c r="CC78" s="100">
        <v>3864</v>
      </c>
      <c r="CD78" s="100">
        <v>6</v>
      </c>
      <c r="CE78" s="100">
        <v>3312</v>
      </c>
      <c r="CF78" s="100">
        <v>9</v>
      </c>
      <c r="CG78" s="100">
        <v>4968</v>
      </c>
      <c r="CH78" s="100">
        <v>7.4595341316595691</v>
      </c>
      <c r="CI78" s="100">
        <v>4117.6628406760819</v>
      </c>
      <c r="CJ78" s="100">
        <v>5.8534882237928107E-4</v>
      </c>
      <c r="CK78" s="100">
        <v>0.32311254995336314</v>
      </c>
      <c r="CL78" s="100">
        <v>6.9704769821986838</v>
      </c>
      <c r="CM78" s="100">
        <v>3847.7032941736734</v>
      </c>
      <c r="CN78" s="100">
        <v>6.6647405520635798</v>
      </c>
      <c r="CO78" s="100">
        <v>3678.9367847390959</v>
      </c>
      <c r="CP78" s="100">
        <v>9.4765390862439958</v>
      </c>
      <c r="CQ78" s="100">
        <v>5231.0495756066857</v>
      </c>
      <c r="CR78" s="100">
        <v>6.4539007092198108</v>
      </c>
      <c r="CS78" s="100">
        <v>3562.5531914893354</v>
      </c>
      <c r="CT78" s="100">
        <v>8</v>
      </c>
      <c r="CU78" s="100">
        <v>4416</v>
      </c>
    </row>
    <row r="79" spans="2:99">
      <c r="C79" s="99" t="s">
        <v>245</v>
      </c>
      <c r="D79" s="100">
        <v>2.6779957180243703</v>
      </c>
      <c r="E79" s="100">
        <v>2027.7783576880531</v>
      </c>
      <c r="F79" s="100">
        <v>0.63535871589513759</v>
      </c>
      <c r="G79" s="100">
        <v>481.09361967579815</v>
      </c>
      <c r="H79" s="100">
        <v>7.1855930270031294</v>
      </c>
      <c r="I79" s="100">
        <v>5440.9310400467693</v>
      </c>
      <c r="J79" s="100">
        <v>5</v>
      </c>
      <c r="K79" s="100">
        <v>3785.9999999999995</v>
      </c>
      <c r="L79" s="100">
        <v>8</v>
      </c>
      <c r="M79" s="100">
        <v>6057.5999999999995</v>
      </c>
      <c r="N79" s="100">
        <v>7.5319585521512611</v>
      </c>
      <c r="O79" s="100">
        <v>5703.1990156889342</v>
      </c>
      <c r="P79" s="100">
        <v>4</v>
      </c>
      <c r="Q79" s="100">
        <v>3028.7999999999997</v>
      </c>
      <c r="R79" s="100">
        <v>6</v>
      </c>
      <c r="S79" s="100">
        <v>4543.2</v>
      </c>
      <c r="T79" s="100">
        <v>6</v>
      </c>
      <c r="U79" s="100">
        <v>4543.2</v>
      </c>
      <c r="V79" s="100">
        <v>7.9427310295706635</v>
      </c>
      <c r="W79" s="100">
        <v>6014.2359355909057</v>
      </c>
      <c r="X79" s="100">
        <v>5.0807949667001321E-4</v>
      </c>
      <c r="Y79" s="100">
        <v>0.38471779487853397</v>
      </c>
      <c r="Z79" s="100">
        <v>6.0549615841548574</v>
      </c>
      <c r="AA79" s="100">
        <v>4584.816911522058</v>
      </c>
      <c r="AB79" s="100">
        <v>5</v>
      </c>
      <c r="AC79" s="100">
        <v>3785.9999999999995</v>
      </c>
      <c r="AD79" s="100">
        <v>7</v>
      </c>
      <c r="AE79" s="100">
        <v>5300.4</v>
      </c>
      <c r="AF79" s="100">
        <v>8.2554954461382728</v>
      </c>
      <c r="AG79" s="100">
        <v>6251.0611518158994</v>
      </c>
      <c r="AH79" s="100">
        <v>7</v>
      </c>
      <c r="AI79" s="100">
        <v>5300.4</v>
      </c>
      <c r="AJ79" s="100">
        <v>8</v>
      </c>
      <c r="AK79" s="100">
        <v>6057.5999999999995</v>
      </c>
      <c r="AL79" s="100">
        <v>7</v>
      </c>
      <c r="AM79" s="100">
        <v>5300.4</v>
      </c>
      <c r="AN79" s="100">
        <v>0.21067695981885515</v>
      </c>
      <c r="AO79" s="100">
        <v>159.5245939748371</v>
      </c>
      <c r="AP79" s="100">
        <v>5.4635790234284309</v>
      </c>
      <c r="AQ79" s="100">
        <v>4137.0220365400073</v>
      </c>
      <c r="AR79" s="100">
        <v>7.183767214542975</v>
      </c>
      <c r="AS79" s="100">
        <v>5439.5485348519405</v>
      </c>
      <c r="AT79" s="100">
        <v>6</v>
      </c>
      <c r="AU79" s="100">
        <v>4543.2</v>
      </c>
      <c r="AV79" s="100">
        <v>5</v>
      </c>
      <c r="AW79" s="100">
        <v>3785.9999999999995</v>
      </c>
      <c r="AX79" s="100">
        <v>8</v>
      </c>
      <c r="AY79" s="100">
        <v>6057.5999999999995</v>
      </c>
      <c r="AZ79" s="100">
        <v>7</v>
      </c>
      <c r="BA79" s="100">
        <v>5300.4</v>
      </c>
      <c r="BB79" s="100">
        <v>3.4187809059434215</v>
      </c>
      <c r="BC79" s="100">
        <v>2588.7009019803586</v>
      </c>
      <c r="BD79" s="100">
        <v>6</v>
      </c>
      <c r="BE79" s="100">
        <v>4543.2</v>
      </c>
      <c r="BF79" s="100">
        <v>4.1290015120383803</v>
      </c>
      <c r="BG79" s="100">
        <v>3126.4799449154611</v>
      </c>
      <c r="BH79" s="100">
        <v>6.3729495458591394</v>
      </c>
      <c r="BI79" s="100">
        <v>4825.59739612454</v>
      </c>
      <c r="BJ79" s="100">
        <v>6.9013970933799937</v>
      </c>
      <c r="BK79" s="100">
        <v>5225.7378791073306</v>
      </c>
      <c r="BL79" s="100">
        <v>4</v>
      </c>
      <c r="BM79" s="100">
        <v>3028.7999999999997</v>
      </c>
      <c r="BN79" s="100">
        <v>8</v>
      </c>
      <c r="BO79" s="100">
        <v>6057.5999999999995</v>
      </c>
      <c r="BP79" s="100">
        <v>5</v>
      </c>
      <c r="BQ79" s="100">
        <v>3785.9999999999995</v>
      </c>
      <c r="BR79" s="100">
        <v>8</v>
      </c>
      <c r="BS79" s="100">
        <v>6057.5999999999995</v>
      </c>
      <c r="BT79" s="100">
        <v>5.7332985663711442</v>
      </c>
      <c r="BU79" s="100">
        <v>4341.2536744562303</v>
      </c>
      <c r="BV79" s="100">
        <v>5</v>
      </c>
      <c r="BW79" s="100">
        <v>3785.9999999999995</v>
      </c>
      <c r="BX79" s="100">
        <v>1.043477939622943</v>
      </c>
      <c r="BY79" s="100">
        <v>790.12149588249235</v>
      </c>
      <c r="BZ79" s="100">
        <v>6.7317161557951195</v>
      </c>
      <c r="CA79" s="100">
        <v>5097.2554731680639</v>
      </c>
      <c r="CB79" s="100">
        <v>8</v>
      </c>
      <c r="CC79" s="100">
        <v>6057.5999999999995</v>
      </c>
      <c r="CD79" s="100">
        <v>6</v>
      </c>
      <c r="CE79" s="100">
        <v>4543.2</v>
      </c>
      <c r="CF79" s="100">
        <v>8</v>
      </c>
      <c r="CG79" s="100">
        <v>6057.5999999999995</v>
      </c>
      <c r="CH79" s="100">
        <v>7.4595341316595691</v>
      </c>
      <c r="CI79" s="100">
        <v>5648.3592444926253</v>
      </c>
      <c r="CJ79" s="100">
        <v>5.8534882237928107E-4</v>
      </c>
      <c r="CK79" s="100">
        <v>0.4432261283055916</v>
      </c>
      <c r="CL79" s="100">
        <v>5.9704769821986838</v>
      </c>
      <c r="CM79" s="100">
        <v>4520.845170920843</v>
      </c>
      <c r="CN79" s="100">
        <v>6.6647405520635798</v>
      </c>
      <c r="CO79" s="100">
        <v>5046.5415460225422</v>
      </c>
      <c r="CP79" s="100">
        <v>8.5288851776195962</v>
      </c>
      <c r="CQ79" s="100">
        <v>6458.0718564935578</v>
      </c>
      <c r="CR79" s="100">
        <v>7.37588652482264</v>
      </c>
      <c r="CS79" s="100">
        <v>5585.0212765957021</v>
      </c>
      <c r="CT79" s="100">
        <v>8</v>
      </c>
      <c r="CU79" s="100">
        <v>6057.5999999999995</v>
      </c>
    </row>
    <row r="80" spans="2:99">
      <c r="C80" s="99" t="s">
        <v>246</v>
      </c>
      <c r="D80" s="100">
        <v>2.6779957180243703</v>
      </c>
      <c r="E80" s="100">
        <v>2156.3221521532228</v>
      </c>
      <c r="F80" s="100">
        <v>0.5558310804733172</v>
      </c>
      <c r="G80" s="100">
        <v>447.55518599711496</v>
      </c>
      <c r="H80" s="100">
        <v>8.2319912837539118</v>
      </c>
      <c r="I80" s="100">
        <v>6628.3993816786488</v>
      </c>
      <c r="J80" s="100">
        <v>5</v>
      </c>
      <c r="K80" s="100">
        <v>4025.9999999999995</v>
      </c>
      <c r="L80" s="100">
        <v>7</v>
      </c>
      <c r="M80" s="100">
        <v>5636.4</v>
      </c>
      <c r="N80" s="100">
        <v>8.4734533711701694</v>
      </c>
      <c r="O80" s="100">
        <v>6822.8246544662197</v>
      </c>
      <c r="P80" s="100">
        <v>4</v>
      </c>
      <c r="Q80" s="100">
        <v>3220.7999999999997</v>
      </c>
      <c r="R80" s="100">
        <v>5</v>
      </c>
      <c r="S80" s="100">
        <v>4025.9999999999995</v>
      </c>
      <c r="T80" s="100">
        <v>6</v>
      </c>
      <c r="U80" s="100">
        <v>4831.2</v>
      </c>
      <c r="V80" s="100">
        <v>8.9355724082669958</v>
      </c>
      <c r="W80" s="100">
        <v>7194.9229031365849</v>
      </c>
      <c r="X80" s="100">
        <v>5.8066228190858655E-4</v>
      </c>
      <c r="Y80" s="100">
        <v>0.46754926939279384</v>
      </c>
      <c r="Z80" s="100">
        <v>7.0549615841548574</v>
      </c>
      <c r="AA80" s="100">
        <v>5680.6550675614908</v>
      </c>
      <c r="AB80" s="100">
        <v>6</v>
      </c>
      <c r="AC80" s="100">
        <v>4831.2</v>
      </c>
      <c r="AD80" s="100">
        <v>7</v>
      </c>
      <c r="AE80" s="100">
        <v>5636.4</v>
      </c>
      <c r="AF80" s="100">
        <v>7.3382181743451307</v>
      </c>
      <c r="AG80" s="100">
        <v>5908.7332739826988</v>
      </c>
      <c r="AH80" s="100">
        <v>6</v>
      </c>
      <c r="AI80" s="100">
        <v>4831.2</v>
      </c>
      <c r="AJ80" s="100">
        <v>8</v>
      </c>
      <c r="AK80" s="100">
        <v>6441.5999999999995</v>
      </c>
      <c r="AL80" s="100">
        <v>6</v>
      </c>
      <c r="AM80" s="100">
        <v>4831.2</v>
      </c>
      <c r="AN80" s="100">
        <v>0.21067695981885515</v>
      </c>
      <c r="AO80" s="100">
        <v>169.63708804614214</v>
      </c>
      <c r="AP80" s="100">
        <v>5.5794737792855384</v>
      </c>
      <c r="AQ80" s="100">
        <v>4492.5922870807153</v>
      </c>
      <c r="AR80" s="100">
        <v>7.183767214542975</v>
      </c>
      <c r="AS80" s="100">
        <v>5784.369361150003</v>
      </c>
      <c r="AT80" s="100">
        <v>7</v>
      </c>
      <c r="AU80" s="100">
        <v>5636.4</v>
      </c>
      <c r="AV80" s="100">
        <v>5</v>
      </c>
      <c r="AW80" s="100">
        <v>4025.9999999999995</v>
      </c>
      <c r="AX80" s="100">
        <v>9</v>
      </c>
      <c r="AY80" s="100">
        <v>7246.7999999999993</v>
      </c>
      <c r="AZ80" s="100">
        <v>7</v>
      </c>
      <c r="BA80" s="100">
        <v>5636.4</v>
      </c>
      <c r="BB80" s="100">
        <v>3.4187809059434215</v>
      </c>
      <c r="BC80" s="100">
        <v>2752.8023854656426</v>
      </c>
      <c r="BD80" s="100">
        <v>6</v>
      </c>
      <c r="BE80" s="100">
        <v>4831.2</v>
      </c>
      <c r="BF80" s="100">
        <v>3.5326473949948376</v>
      </c>
      <c r="BG80" s="100">
        <v>2844.4876824498429</v>
      </c>
      <c r="BH80" s="100">
        <v>7.1920267650708238</v>
      </c>
      <c r="BI80" s="100">
        <v>5791.0199512350273</v>
      </c>
      <c r="BJ80" s="100">
        <v>6.9013970933799937</v>
      </c>
      <c r="BK80" s="100">
        <v>5557.0049395895703</v>
      </c>
      <c r="BL80" s="100">
        <v>4</v>
      </c>
      <c r="BM80" s="100">
        <v>3220.7999999999997</v>
      </c>
      <c r="BN80" s="100">
        <v>8</v>
      </c>
      <c r="BO80" s="100">
        <v>6441.5999999999995</v>
      </c>
      <c r="BP80" s="100">
        <v>5</v>
      </c>
      <c r="BQ80" s="100">
        <v>4025.9999999999995</v>
      </c>
      <c r="BR80" s="100">
        <v>9</v>
      </c>
      <c r="BS80" s="100">
        <v>7246.7999999999993</v>
      </c>
      <c r="BT80" s="100">
        <v>5.7332985663711442</v>
      </c>
      <c r="BU80" s="100">
        <v>4616.4520056420452</v>
      </c>
      <c r="BV80" s="100">
        <v>5</v>
      </c>
      <c r="BW80" s="100">
        <v>4025.9999999999995</v>
      </c>
      <c r="BX80" s="100">
        <v>1.043477939622943</v>
      </c>
      <c r="BY80" s="100">
        <v>840.20843698439364</v>
      </c>
      <c r="BZ80" s="100">
        <v>6.7317161557951195</v>
      </c>
      <c r="CA80" s="100">
        <v>5420.3778486462297</v>
      </c>
      <c r="CB80" s="100">
        <v>7</v>
      </c>
      <c r="CC80" s="100">
        <v>5636.4</v>
      </c>
      <c r="CD80" s="100">
        <v>6</v>
      </c>
      <c r="CE80" s="100">
        <v>4831.2</v>
      </c>
      <c r="CF80" s="100">
        <v>8</v>
      </c>
      <c r="CG80" s="100">
        <v>6441.5999999999995</v>
      </c>
      <c r="CH80" s="100">
        <v>7.4595341316595691</v>
      </c>
      <c r="CI80" s="100">
        <v>6006.4168828122847</v>
      </c>
      <c r="CJ80" s="100">
        <v>5.1218021958187102E-4</v>
      </c>
      <c r="CK80" s="100">
        <v>0.41240751280732252</v>
      </c>
      <c r="CL80" s="100">
        <v>6.9704769821986838</v>
      </c>
      <c r="CM80" s="100">
        <v>5612.6280660663797</v>
      </c>
      <c r="CN80" s="100">
        <v>5.6647405520635798</v>
      </c>
      <c r="CO80" s="100">
        <v>4561.2490925215943</v>
      </c>
      <c r="CP80" s="100">
        <v>8.5288851776195962</v>
      </c>
      <c r="CQ80" s="100">
        <v>6867.4583450192986</v>
      </c>
      <c r="CR80" s="100">
        <v>7.37588652482264</v>
      </c>
      <c r="CS80" s="100">
        <v>5939.0638297871892</v>
      </c>
      <c r="CT80" s="100">
        <v>9</v>
      </c>
      <c r="CU80" s="100">
        <v>7246.7999999999993</v>
      </c>
    </row>
    <row r="81" spans="2:99">
      <c r="C81" s="99" t="s">
        <v>247</v>
      </c>
      <c r="D81" s="100">
        <v>2.380440638243885</v>
      </c>
      <c r="E81" s="100">
        <v>1793.9000649805917</v>
      </c>
      <c r="F81" s="100">
        <v>0.5558310804733172</v>
      </c>
      <c r="G81" s="100">
        <v>418.87430224469188</v>
      </c>
      <c r="H81" s="100">
        <v>8.2319912837539118</v>
      </c>
      <c r="I81" s="100">
        <v>6203.6286314369481</v>
      </c>
      <c r="J81" s="100">
        <v>5</v>
      </c>
      <c r="K81" s="100">
        <v>3768</v>
      </c>
      <c r="L81" s="100">
        <v>8</v>
      </c>
      <c r="M81" s="100">
        <v>6028.8</v>
      </c>
      <c r="N81" s="100">
        <v>7.5319585521512611</v>
      </c>
      <c r="O81" s="100">
        <v>5676.0839649011905</v>
      </c>
      <c r="P81" s="100">
        <v>4</v>
      </c>
      <c r="Q81" s="100">
        <v>3014.4</v>
      </c>
      <c r="R81" s="100">
        <v>6</v>
      </c>
      <c r="S81" s="100">
        <v>4521.6000000000004</v>
      </c>
      <c r="T81" s="100">
        <v>7</v>
      </c>
      <c r="U81" s="100">
        <v>5275.2</v>
      </c>
      <c r="V81" s="100">
        <v>7.9427310295706635</v>
      </c>
      <c r="W81" s="100">
        <v>5985.6421038844519</v>
      </c>
      <c r="X81" s="100">
        <v>5.0807949667001321E-4</v>
      </c>
      <c r="Y81" s="100">
        <v>0.38288870869052194</v>
      </c>
      <c r="Z81" s="100">
        <v>7.0549615841548574</v>
      </c>
      <c r="AA81" s="100">
        <v>5316.6190498191008</v>
      </c>
      <c r="AB81" s="100">
        <v>6</v>
      </c>
      <c r="AC81" s="100">
        <v>4521.6000000000004</v>
      </c>
      <c r="AD81" s="100">
        <v>7</v>
      </c>
      <c r="AE81" s="100">
        <v>5275.2</v>
      </c>
      <c r="AF81" s="100">
        <v>8.2554954461382728</v>
      </c>
      <c r="AG81" s="100">
        <v>6221.3413682098026</v>
      </c>
      <c r="AH81" s="100">
        <v>7</v>
      </c>
      <c r="AI81" s="100">
        <v>5275.2</v>
      </c>
      <c r="AJ81" s="100">
        <v>8</v>
      </c>
      <c r="AK81" s="100">
        <v>6028.8</v>
      </c>
      <c r="AL81" s="100">
        <v>7</v>
      </c>
      <c r="AM81" s="100">
        <v>5275.2</v>
      </c>
      <c r="AN81" s="100">
        <v>0.21067695981885515</v>
      </c>
      <c r="AO81" s="100">
        <v>158.76615691948925</v>
      </c>
      <c r="AP81" s="100">
        <v>5.4635790234284309</v>
      </c>
      <c r="AQ81" s="100">
        <v>4117.3531520556653</v>
      </c>
      <c r="AR81" s="100">
        <v>7.183767214542975</v>
      </c>
      <c r="AS81" s="100">
        <v>5413.6869728795864</v>
      </c>
      <c r="AT81" s="100">
        <v>7</v>
      </c>
      <c r="AU81" s="100">
        <v>5275.2</v>
      </c>
      <c r="AV81" s="100">
        <v>5</v>
      </c>
      <c r="AW81" s="100">
        <v>3768</v>
      </c>
      <c r="AX81" s="100">
        <v>8</v>
      </c>
      <c r="AY81" s="100">
        <v>6028.8</v>
      </c>
      <c r="AZ81" s="100">
        <v>8</v>
      </c>
      <c r="BA81" s="100">
        <v>6028.8</v>
      </c>
      <c r="BB81" s="100">
        <v>3.4187809059434215</v>
      </c>
      <c r="BC81" s="100">
        <v>2576.3932907189624</v>
      </c>
      <c r="BD81" s="100">
        <v>6</v>
      </c>
      <c r="BE81" s="100">
        <v>4521.6000000000004</v>
      </c>
      <c r="BF81" s="100">
        <v>4.1583380939792827</v>
      </c>
      <c r="BG81" s="100">
        <v>3133.7235876227874</v>
      </c>
      <c r="BH81" s="100">
        <v>6.2271009228002354</v>
      </c>
      <c r="BI81" s="100">
        <v>4692.7432554222578</v>
      </c>
      <c r="BJ81" s="100">
        <v>6.9013970933799937</v>
      </c>
      <c r="BK81" s="100">
        <v>5200.8928495711634</v>
      </c>
      <c r="BL81" s="100">
        <v>4</v>
      </c>
      <c r="BM81" s="100">
        <v>3014.4</v>
      </c>
      <c r="BN81" s="100">
        <v>7</v>
      </c>
      <c r="BO81" s="100">
        <v>5275.2</v>
      </c>
      <c r="BP81" s="100">
        <v>5</v>
      </c>
      <c r="BQ81" s="100">
        <v>3768</v>
      </c>
      <c r="BR81" s="100">
        <v>8</v>
      </c>
      <c r="BS81" s="100">
        <v>6028.8</v>
      </c>
      <c r="BT81" s="100">
        <v>5.7332985663711442</v>
      </c>
      <c r="BU81" s="100">
        <v>4320.6137996172947</v>
      </c>
      <c r="BV81" s="100">
        <v>5</v>
      </c>
      <c r="BW81" s="100">
        <v>3768</v>
      </c>
      <c r="BX81" s="100">
        <v>1.043477939622943</v>
      </c>
      <c r="BY81" s="100">
        <v>786.3649752998499</v>
      </c>
      <c r="BZ81" s="100">
        <v>6.7317161557951195</v>
      </c>
      <c r="CA81" s="100">
        <v>5073.0212950072018</v>
      </c>
      <c r="CB81" s="100">
        <v>7</v>
      </c>
      <c r="CC81" s="100">
        <v>5275.2</v>
      </c>
      <c r="CD81" s="100">
        <v>6</v>
      </c>
      <c r="CE81" s="100">
        <v>4521.6000000000004</v>
      </c>
      <c r="CF81" s="100">
        <v>9</v>
      </c>
      <c r="CG81" s="100">
        <v>6782.4000000000005</v>
      </c>
      <c r="CH81" s="100">
        <v>7.4595341316595691</v>
      </c>
      <c r="CI81" s="100">
        <v>5621.5049216186517</v>
      </c>
      <c r="CJ81" s="100">
        <v>5.1218021958187102E-4</v>
      </c>
      <c r="CK81" s="100">
        <v>0.385979013476898</v>
      </c>
      <c r="CL81" s="100">
        <v>6.1322231458984646</v>
      </c>
      <c r="CM81" s="100">
        <v>4621.2433627490827</v>
      </c>
      <c r="CN81" s="100">
        <v>5.6647405520635798</v>
      </c>
      <c r="CO81" s="100">
        <v>4268.9484800351138</v>
      </c>
      <c r="CP81" s="100">
        <v>8.5288851776195962</v>
      </c>
      <c r="CQ81" s="100">
        <v>6427.367869854128</v>
      </c>
      <c r="CR81" s="100">
        <v>7.37588652482264</v>
      </c>
      <c r="CS81" s="100">
        <v>5558.4680851063413</v>
      </c>
      <c r="CT81" s="100">
        <v>9</v>
      </c>
      <c r="CU81" s="100">
        <v>6782.4000000000005</v>
      </c>
    </row>
    <row r="82" spans="2:99">
      <c r="C82" s="99" t="s">
        <v>248</v>
      </c>
      <c r="D82" s="100">
        <v>2.6779957180243703</v>
      </c>
      <c r="E82" s="100">
        <v>1362.5642213307992</v>
      </c>
      <c r="F82" s="100">
        <v>0.5558310804733172</v>
      </c>
      <c r="G82" s="100">
        <v>282.80685374482374</v>
      </c>
      <c r="H82" s="100">
        <v>8.2319912837539118</v>
      </c>
      <c r="I82" s="100">
        <v>4188.4371651739893</v>
      </c>
      <c r="J82" s="100">
        <v>5</v>
      </c>
      <c r="K82" s="100">
        <v>2543.9999999999995</v>
      </c>
      <c r="L82" s="100">
        <v>9</v>
      </c>
      <c r="M82" s="100">
        <v>4579.1999999999989</v>
      </c>
      <c r="N82" s="100">
        <v>8.4734533711701694</v>
      </c>
      <c r="O82" s="100">
        <v>4311.2930752513812</v>
      </c>
      <c r="P82" s="100">
        <v>5</v>
      </c>
      <c r="Q82" s="100">
        <v>2543.9999999999995</v>
      </c>
      <c r="R82" s="100">
        <v>6</v>
      </c>
      <c r="S82" s="100">
        <v>3052.7999999999993</v>
      </c>
      <c r="T82" s="100">
        <v>6</v>
      </c>
      <c r="U82" s="100">
        <v>3052.7999999999993</v>
      </c>
      <c r="V82" s="100">
        <v>7.9427310295706635</v>
      </c>
      <c r="W82" s="100">
        <v>4041.2615478455527</v>
      </c>
      <c r="X82" s="100">
        <v>5.8066228190858655E-4</v>
      </c>
      <c r="Y82" s="100">
        <v>0.29544096903508876</v>
      </c>
      <c r="Z82" s="100">
        <v>7.0659539009858285</v>
      </c>
      <c r="AA82" s="100">
        <v>3595.157344821589</v>
      </c>
      <c r="AB82" s="100">
        <v>6</v>
      </c>
      <c r="AC82" s="100">
        <v>3052.7999999999993</v>
      </c>
      <c r="AD82" s="100">
        <v>7</v>
      </c>
      <c r="AE82" s="100">
        <v>3561.5999999999995</v>
      </c>
      <c r="AF82" s="100">
        <v>7.3382181743451307</v>
      </c>
      <c r="AG82" s="100">
        <v>3733.6854071068019</v>
      </c>
      <c r="AH82" s="100">
        <v>6</v>
      </c>
      <c r="AI82" s="100">
        <v>3052.7999999999993</v>
      </c>
      <c r="AJ82" s="100">
        <v>9</v>
      </c>
      <c r="AK82" s="100">
        <v>4579.1999999999989</v>
      </c>
      <c r="AL82" s="100">
        <v>7</v>
      </c>
      <c r="AM82" s="100">
        <v>3561.5999999999995</v>
      </c>
      <c r="AN82" s="100">
        <v>0.21067695981885515</v>
      </c>
      <c r="AO82" s="100">
        <v>107.19243715583347</v>
      </c>
      <c r="AP82" s="100">
        <v>5.5794737792855384</v>
      </c>
      <c r="AQ82" s="100">
        <v>2838.8362589004814</v>
      </c>
      <c r="AR82" s="100">
        <v>8.183767214542975</v>
      </c>
      <c r="AS82" s="100">
        <v>4163.9007587594651</v>
      </c>
      <c r="AT82" s="100">
        <v>7</v>
      </c>
      <c r="AU82" s="100">
        <v>3561.5999999999995</v>
      </c>
      <c r="AV82" s="100">
        <v>6</v>
      </c>
      <c r="AW82" s="100">
        <v>3052.7999999999993</v>
      </c>
      <c r="AX82" s="100">
        <v>9</v>
      </c>
      <c r="AY82" s="100">
        <v>4579.1999999999989</v>
      </c>
      <c r="AZ82" s="100">
        <v>7</v>
      </c>
      <c r="BA82" s="100">
        <v>3561.5999999999995</v>
      </c>
      <c r="BB82" s="100">
        <v>4.1025370871321059</v>
      </c>
      <c r="BC82" s="100">
        <v>2087.3708699328149</v>
      </c>
      <c r="BD82" s="100">
        <v>6</v>
      </c>
      <c r="BE82" s="100">
        <v>3052.7999999999993</v>
      </c>
      <c r="BF82" s="100">
        <v>4.659224276191388</v>
      </c>
      <c r="BG82" s="100">
        <v>2370.6133117261779</v>
      </c>
      <c r="BH82" s="100">
        <v>7.1920267650708238</v>
      </c>
      <c r="BI82" s="100">
        <v>3659.3032180680343</v>
      </c>
      <c r="BJ82" s="100">
        <v>7.9013970933799937</v>
      </c>
      <c r="BK82" s="100">
        <v>4020.2308411117401</v>
      </c>
      <c r="BL82" s="100">
        <v>5</v>
      </c>
      <c r="BM82" s="100">
        <v>2543.9999999999995</v>
      </c>
      <c r="BN82" s="100">
        <v>8</v>
      </c>
      <c r="BO82" s="100">
        <v>4070.3999999999992</v>
      </c>
      <c r="BP82" s="100">
        <v>5</v>
      </c>
      <c r="BQ82" s="100">
        <v>2543.9999999999995</v>
      </c>
      <c r="BR82" s="100">
        <v>9</v>
      </c>
      <c r="BS82" s="100">
        <v>4579.1999999999989</v>
      </c>
      <c r="BT82" s="100">
        <v>5.7332985663711442</v>
      </c>
      <c r="BU82" s="100">
        <v>2917.1023105696377</v>
      </c>
      <c r="BV82" s="100">
        <v>5</v>
      </c>
      <c r="BW82" s="100">
        <v>2543.9999999999995</v>
      </c>
      <c r="BX82" s="100">
        <v>1.2521735275475319</v>
      </c>
      <c r="BY82" s="100">
        <v>637.10589081618411</v>
      </c>
      <c r="BZ82" s="100">
        <v>5.7317161557951195</v>
      </c>
      <c r="CA82" s="100">
        <v>2916.2971800685564</v>
      </c>
      <c r="CB82" s="100">
        <v>7</v>
      </c>
      <c r="CC82" s="100">
        <v>3561.5999999999995</v>
      </c>
      <c r="CD82" s="100">
        <v>6</v>
      </c>
      <c r="CE82" s="100">
        <v>3052.7999999999993</v>
      </c>
      <c r="CF82" s="100">
        <v>9</v>
      </c>
      <c r="CG82" s="100">
        <v>4579.1999999999989</v>
      </c>
      <c r="CH82" s="100">
        <v>8.2883712573995201</v>
      </c>
      <c r="CI82" s="100">
        <v>4217.1232957648754</v>
      </c>
      <c r="CJ82" s="100">
        <v>5.8534882237928107E-4</v>
      </c>
      <c r="CK82" s="100">
        <v>0.29782548082657817</v>
      </c>
      <c r="CL82" s="100">
        <v>7.1652582781623355</v>
      </c>
      <c r="CM82" s="100">
        <v>3645.6834119289956</v>
      </c>
      <c r="CN82" s="100">
        <v>6.6647405520635798</v>
      </c>
      <c r="CO82" s="100">
        <v>3391.0199928899488</v>
      </c>
      <c r="CP82" s="100">
        <v>7.5812312689951975</v>
      </c>
      <c r="CQ82" s="100">
        <v>3857.3304696647556</v>
      </c>
      <c r="CR82" s="100">
        <v>7.37588652482264</v>
      </c>
      <c r="CS82" s="100">
        <v>3752.8510638297585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2.6779957180243703</v>
      </c>
      <c r="E83" s="100">
        <v>2304.1475157881682</v>
      </c>
      <c r="F83" s="100">
        <v>0.55755581543216837</v>
      </c>
      <c r="G83" s="100">
        <v>479.72102359783764</v>
      </c>
      <c r="H83" s="100">
        <v>7.1855930270031294</v>
      </c>
      <c r="I83" s="100">
        <v>6182.4842404334922</v>
      </c>
      <c r="J83" s="100">
        <v>4</v>
      </c>
      <c r="K83" s="100">
        <v>3441.6</v>
      </c>
      <c r="L83" s="100">
        <v>8</v>
      </c>
      <c r="M83" s="100">
        <v>6883.2</v>
      </c>
      <c r="N83" s="100">
        <v>8.4734533711701694</v>
      </c>
      <c r="O83" s="100">
        <v>7290.559280554814</v>
      </c>
      <c r="P83" s="100">
        <v>4</v>
      </c>
      <c r="Q83" s="100">
        <v>3441.6</v>
      </c>
      <c r="R83" s="100">
        <v>5</v>
      </c>
      <c r="S83" s="100">
        <v>4302</v>
      </c>
      <c r="T83" s="100">
        <v>6</v>
      </c>
      <c r="U83" s="100">
        <v>5162.3999999999996</v>
      </c>
      <c r="V83" s="100">
        <v>7.9427310295706635</v>
      </c>
      <c r="W83" s="100">
        <v>6833.925777842599</v>
      </c>
      <c r="X83" s="100">
        <v>5.0807949667001321E-4</v>
      </c>
      <c r="Y83" s="100">
        <v>0.43715159893487937</v>
      </c>
      <c r="Z83" s="100">
        <v>7.0549615841548574</v>
      </c>
      <c r="AA83" s="100">
        <v>6070.0889470068396</v>
      </c>
      <c r="AB83" s="100">
        <v>6</v>
      </c>
      <c r="AC83" s="100">
        <v>5162.3999999999996</v>
      </c>
      <c r="AD83" s="100">
        <v>8</v>
      </c>
      <c r="AE83" s="100">
        <v>6883.2</v>
      </c>
      <c r="AF83" s="100">
        <v>8.2554954461382728</v>
      </c>
      <c r="AG83" s="100">
        <v>7103.0282818573696</v>
      </c>
      <c r="AH83" s="100">
        <v>7</v>
      </c>
      <c r="AI83" s="100">
        <v>6022.8</v>
      </c>
      <c r="AJ83" s="100">
        <v>8</v>
      </c>
      <c r="AK83" s="100">
        <v>6883.2</v>
      </c>
      <c r="AL83" s="100">
        <v>7</v>
      </c>
      <c r="AM83" s="100">
        <v>6022.8</v>
      </c>
      <c r="AN83" s="100">
        <v>0.18726840872787123</v>
      </c>
      <c r="AO83" s="100">
        <v>161.12573886946041</v>
      </c>
      <c r="AP83" s="100">
        <v>5.5794737792855384</v>
      </c>
      <c r="AQ83" s="100">
        <v>4800.5792396972774</v>
      </c>
      <c r="AR83" s="100">
        <v>7.183767214542975</v>
      </c>
      <c r="AS83" s="100">
        <v>6180.9133113927755</v>
      </c>
      <c r="AT83" s="100">
        <v>6</v>
      </c>
      <c r="AU83" s="100">
        <v>5162.3999999999996</v>
      </c>
      <c r="AV83" s="100">
        <v>5</v>
      </c>
      <c r="AW83" s="100">
        <v>4302</v>
      </c>
      <c r="AX83" s="100">
        <v>9</v>
      </c>
      <c r="AY83" s="100">
        <v>7743.5999999999995</v>
      </c>
      <c r="AZ83" s="100">
        <v>7</v>
      </c>
      <c r="BA83" s="100">
        <v>6022.8</v>
      </c>
      <c r="BB83" s="100">
        <v>3.4187809059434215</v>
      </c>
      <c r="BC83" s="100">
        <v>2941.51909147372</v>
      </c>
      <c r="BD83" s="100">
        <v>6</v>
      </c>
      <c r="BE83" s="100">
        <v>5162.3999999999996</v>
      </c>
      <c r="BF83" s="100">
        <v>4.1290015120383803</v>
      </c>
      <c r="BG83" s="100">
        <v>3552.5929009578222</v>
      </c>
      <c r="BH83" s="100">
        <v>6.3729495458591394</v>
      </c>
      <c r="BI83" s="100">
        <v>5483.2857892572038</v>
      </c>
      <c r="BJ83" s="100">
        <v>7.9013970933799937</v>
      </c>
      <c r="BK83" s="100">
        <v>6798.3620591441468</v>
      </c>
      <c r="BL83" s="100">
        <v>4</v>
      </c>
      <c r="BM83" s="100">
        <v>3441.6</v>
      </c>
      <c r="BN83" s="100">
        <v>7</v>
      </c>
      <c r="BO83" s="100">
        <v>6022.8</v>
      </c>
      <c r="BP83" s="100">
        <v>4</v>
      </c>
      <c r="BQ83" s="100">
        <v>3441.6</v>
      </c>
      <c r="BR83" s="100">
        <v>8</v>
      </c>
      <c r="BS83" s="100">
        <v>6883.2</v>
      </c>
      <c r="BT83" s="100">
        <v>5.7332985663711442</v>
      </c>
      <c r="BU83" s="100">
        <v>4932.9300865057321</v>
      </c>
      <c r="BV83" s="100">
        <v>5</v>
      </c>
      <c r="BW83" s="100">
        <v>4302</v>
      </c>
      <c r="BX83" s="100">
        <v>1.043477939622943</v>
      </c>
      <c r="BY83" s="100">
        <v>897.80841925158018</v>
      </c>
      <c r="BZ83" s="100">
        <v>5.5853729246360952</v>
      </c>
      <c r="CA83" s="100">
        <v>4805.6548643568958</v>
      </c>
      <c r="CB83" s="100">
        <v>7</v>
      </c>
      <c r="CC83" s="100">
        <v>6022.8</v>
      </c>
      <c r="CD83" s="100">
        <v>5</v>
      </c>
      <c r="CE83" s="100">
        <v>4302</v>
      </c>
      <c r="CF83" s="100">
        <v>8</v>
      </c>
      <c r="CG83" s="100">
        <v>6883.2</v>
      </c>
      <c r="CH83" s="100">
        <v>7.4595341316595691</v>
      </c>
      <c r="CI83" s="100">
        <v>6418.1831668798932</v>
      </c>
      <c r="CJ83" s="100">
        <v>5.1218021958187102E-4</v>
      </c>
      <c r="CK83" s="100">
        <v>0.4406798609282418</v>
      </c>
      <c r="CL83" s="100">
        <v>6.0005089206203843</v>
      </c>
      <c r="CM83" s="100">
        <v>5162.8378753017787</v>
      </c>
      <c r="CN83" s="100">
        <v>5.6647405520635798</v>
      </c>
      <c r="CO83" s="100">
        <v>4873.9427709955044</v>
      </c>
      <c r="CP83" s="100">
        <v>8.5288851776195962</v>
      </c>
      <c r="CQ83" s="100">
        <v>7338.2528068239008</v>
      </c>
      <c r="CR83" s="100">
        <v>6.4539007092198108</v>
      </c>
      <c r="CS83" s="100">
        <v>5552.9361702127253</v>
      </c>
      <c r="CT83" s="100">
        <v>8</v>
      </c>
      <c r="CU83" s="100">
        <v>6883.2</v>
      </c>
    </row>
    <row r="84" spans="2:99">
      <c r="C84" s="99" t="s">
        <v>250</v>
      </c>
      <c r="D84" s="100">
        <v>2.6779957180243703</v>
      </c>
      <c r="E84" s="100">
        <v>2092.0502549206381</v>
      </c>
      <c r="F84" s="100">
        <v>0.55755581543216837</v>
      </c>
      <c r="G84" s="100">
        <v>435.56260301560991</v>
      </c>
      <c r="H84" s="100">
        <v>7.1855930270031294</v>
      </c>
      <c r="I84" s="100">
        <v>5613.3852726948444</v>
      </c>
      <c r="J84" s="100">
        <v>5</v>
      </c>
      <c r="K84" s="100">
        <v>3905.9999999999995</v>
      </c>
      <c r="L84" s="100">
        <v>8</v>
      </c>
      <c r="M84" s="100">
        <v>6249.5999999999995</v>
      </c>
      <c r="N84" s="100">
        <v>8.4734533711701694</v>
      </c>
      <c r="O84" s="100">
        <v>6619.461773558136</v>
      </c>
      <c r="P84" s="100">
        <v>4</v>
      </c>
      <c r="Q84" s="100">
        <v>3124.7999999999997</v>
      </c>
      <c r="R84" s="100">
        <v>5</v>
      </c>
      <c r="S84" s="100">
        <v>3905.9999999999995</v>
      </c>
      <c r="T84" s="100">
        <v>6</v>
      </c>
      <c r="U84" s="100">
        <v>4687.2</v>
      </c>
      <c r="V84" s="100">
        <v>7.9427310295706635</v>
      </c>
      <c r="W84" s="100">
        <v>6204.8614803006021</v>
      </c>
      <c r="X84" s="100">
        <v>5.0807949667001321E-4</v>
      </c>
      <c r="Y84" s="100">
        <v>0.39691170279861426</v>
      </c>
      <c r="Z84" s="100">
        <v>7.0549615841548574</v>
      </c>
      <c r="AA84" s="100">
        <v>5511.3359895417743</v>
      </c>
      <c r="AB84" s="100">
        <v>5</v>
      </c>
      <c r="AC84" s="100">
        <v>3905.9999999999995</v>
      </c>
      <c r="AD84" s="100">
        <v>8</v>
      </c>
      <c r="AE84" s="100">
        <v>6249.5999999999995</v>
      </c>
      <c r="AF84" s="100">
        <v>8.2554954461382728</v>
      </c>
      <c r="AG84" s="100">
        <v>6449.1930425232185</v>
      </c>
      <c r="AH84" s="100">
        <v>7</v>
      </c>
      <c r="AI84" s="100">
        <v>5468.4</v>
      </c>
      <c r="AJ84" s="100">
        <v>9</v>
      </c>
      <c r="AK84" s="100">
        <v>7030.7999999999993</v>
      </c>
      <c r="AL84" s="100">
        <v>6</v>
      </c>
      <c r="AM84" s="100">
        <v>4687.2</v>
      </c>
      <c r="AN84" s="100">
        <v>0.21067695981885515</v>
      </c>
      <c r="AO84" s="100">
        <v>164.58084101048962</v>
      </c>
      <c r="AP84" s="100">
        <v>5.4635790234284309</v>
      </c>
      <c r="AQ84" s="100">
        <v>4268.1479331022902</v>
      </c>
      <c r="AR84" s="100">
        <v>7.183767214542975</v>
      </c>
      <c r="AS84" s="100">
        <v>5611.9589480009718</v>
      </c>
      <c r="AT84" s="100">
        <v>7</v>
      </c>
      <c r="AU84" s="100">
        <v>5468.4</v>
      </c>
      <c r="AV84" s="100">
        <v>5</v>
      </c>
      <c r="AW84" s="100">
        <v>3905.9999999999995</v>
      </c>
      <c r="AX84" s="100">
        <v>9</v>
      </c>
      <c r="AY84" s="100">
        <v>7030.7999999999993</v>
      </c>
      <c r="AZ84" s="100">
        <v>8</v>
      </c>
      <c r="BA84" s="100">
        <v>6249.5999999999995</v>
      </c>
      <c r="BB84" s="100">
        <v>3.4187809059434215</v>
      </c>
      <c r="BC84" s="100">
        <v>2670.7516437230006</v>
      </c>
      <c r="BD84" s="100">
        <v>6</v>
      </c>
      <c r="BE84" s="100">
        <v>4687.2</v>
      </c>
      <c r="BF84" s="100">
        <v>3.5326473949948376</v>
      </c>
      <c r="BG84" s="100">
        <v>2759.7041449699668</v>
      </c>
      <c r="BH84" s="100">
        <v>6.2271009228002354</v>
      </c>
      <c r="BI84" s="100">
        <v>4864.6112408915433</v>
      </c>
      <c r="BJ84" s="100">
        <v>7.9013970933799937</v>
      </c>
      <c r="BK84" s="100">
        <v>6172.5714093484503</v>
      </c>
      <c r="BL84" s="100">
        <v>4</v>
      </c>
      <c r="BM84" s="100">
        <v>3124.7999999999997</v>
      </c>
      <c r="BN84" s="100">
        <v>7</v>
      </c>
      <c r="BO84" s="100">
        <v>5468.4</v>
      </c>
      <c r="BP84" s="100">
        <v>5</v>
      </c>
      <c r="BQ84" s="100">
        <v>3905.9999999999995</v>
      </c>
      <c r="BR84" s="100">
        <v>8</v>
      </c>
      <c r="BS84" s="100">
        <v>6249.5999999999995</v>
      </c>
      <c r="BT84" s="100">
        <v>5.7332985663711442</v>
      </c>
      <c r="BU84" s="100">
        <v>4478.8528400491377</v>
      </c>
      <c r="BV84" s="100">
        <v>5</v>
      </c>
      <c r="BW84" s="100">
        <v>3905.9999999999995</v>
      </c>
      <c r="BX84" s="100">
        <v>1.043477939622943</v>
      </c>
      <c r="BY84" s="100">
        <v>815.16496643344294</v>
      </c>
      <c r="BZ84" s="100">
        <v>6.7317161557951195</v>
      </c>
      <c r="CA84" s="100">
        <v>5258.8166609071468</v>
      </c>
      <c r="CB84" s="100">
        <v>7</v>
      </c>
      <c r="CC84" s="100">
        <v>5468.4</v>
      </c>
      <c r="CD84" s="100">
        <v>6</v>
      </c>
      <c r="CE84" s="100">
        <v>4687.2</v>
      </c>
      <c r="CF84" s="100">
        <v>9</v>
      </c>
      <c r="CG84" s="100">
        <v>7030.7999999999993</v>
      </c>
      <c r="CH84" s="100">
        <v>8.2883712573995201</v>
      </c>
      <c r="CI84" s="100">
        <v>6474.8756262805045</v>
      </c>
      <c r="CJ84" s="100">
        <v>5.1218021958187102E-4</v>
      </c>
      <c r="CK84" s="100">
        <v>0.40011518753735759</v>
      </c>
      <c r="CL84" s="100">
        <v>7.1322231458984646</v>
      </c>
      <c r="CM84" s="100">
        <v>5571.6927215758797</v>
      </c>
      <c r="CN84" s="100">
        <v>6.6647405520635798</v>
      </c>
      <c r="CO84" s="100">
        <v>5206.4953192720677</v>
      </c>
      <c r="CP84" s="100">
        <v>8.5288851776195962</v>
      </c>
      <c r="CQ84" s="100">
        <v>6662.7651007564282</v>
      </c>
      <c r="CR84" s="100">
        <v>7.37588652482264</v>
      </c>
      <c r="CS84" s="100">
        <v>5762.0425531914461</v>
      </c>
      <c r="CT84" s="100">
        <v>8</v>
      </c>
      <c r="CU84" s="100">
        <v>6249.5999999999995</v>
      </c>
    </row>
    <row r="85" spans="2:99">
      <c r="C85" s="99" t="s">
        <v>251</v>
      </c>
      <c r="D85" s="100">
        <v>2.380440638243885</v>
      </c>
      <c r="E85" s="100">
        <v>357.06609573658272</v>
      </c>
      <c r="F85" s="100">
        <v>0.55669344795274278</v>
      </c>
      <c r="G85" s="100">
        <v>83.504017192911419</v>
      </c>
      <c r="H85" s="100">
        <v>8.2319912837539118</v>
      </c>
      <c r="I85" s="100">
        <v>1234.7986925630867</v>
      </c>
      <c r="J85" s="100">
        <v>6</v>
      </c>
      <c r="K85" s="100">
        <v>900</v>
      </c>
      <c r="L85" s="100">
        <v>9</v>
      </c>
      <c r="M85" s="100">
        <v>1350</v>
      </c>
      <c r="N85" s="100">
        <v>8.4734533711701694</v>
      </c>
      <c r="O85" s="100">
        <v>1271.0180056755255</v>
      </c>
      <c r="P85" s="100">
        <v>5</v>
      </c>
      <c r="Q85" s="100">
        <v>750</v>
      </c>
      <c r="R85" s="100">
        <v>5</v>
      </c>
      <c r="S85" s="100">
        <v>750</v>
      </c>
      <c r="T85" s="100">
        <v>6</v>
      </c>
      <c r="U85" s="100">
        <v>900</v>
      </c>
      <c r="V85" s="100">
        <v>8.9355724082669958</v>
      </c>
      <c r="W85" s="100">
        <v>1340.3358612400493</v>
      </c>
      <c r="X85" s="100">
        <v>5.8066228190858655E-4</v>
      </c>
      <c r="Y85" s="100">
        <v>8.709934228628799E-2</v>
      </c>
      <c r="Z85" s="100">
        <v>7.0549615841548574</v>
      </c>
      <c r="AA85" s="100">
        <v>1058.2442376232286</v>
      </c>
      <c r="AB85" s="100">
        <v>7</v>
      </c>
      <c r="AC85" s="100">
        <v>1050</v>
      </c>
      <c r="AD85" s="100">
        <v>7</v>
      </c>
      <c r="AE85" s="100">
        <v>1050</v>
      </c>
      <c r="AF85" s="100">
        <v>8.2554954461382728</v>
      </c>
      <c r="AG85" s="100">
        <v>1238.324316920741</v>
      </c>
      <c r="AH85" s="100">
        <v>7</v>
      </c>
      <c r="AI85" s="100">
        <v>1050</v>
      </c>
      <c r="AJ85" s="100">
        <v>9</v>
      </c>
      <c r="AK85" s="100">
        <v>1350</v>
      </c>
      <c r="AL85" s="100">
        <v>7</v>
      </c>
      <c r="AM85" s="100">
        <v>1050</v>
      </c>
      <c r="AN85" s="100">
        <v>0.23408551090983906</v>
      </c>
      <c r="AO85" s="100">
        <v>35.112826636475859</v>
      </c>
      <c r="AP85" s="100">
        <v>5.5794737792855384</v>
      </c>
      <c r="AQ85" s="100">
        <v>836.92106689283082</v>
      </c>
      <c r="AR85" s="100">
        <v>7.183767214542975</v>
      </c>
      <c r="AS85" s="100">
        <v>1077.5650821814463</v>
      </c>
      <c r="AT85" s="100">
        <v>7</v>
      </c>
      <c r="AU85" s="100">
        <v>1050</v>
      </c>
      <c r="AV85" s="100">
        <v>5</v>
      </c>
      <c r="AW85" s="100">
        <v>750</v>
      </c>
      <c r="AX85" s="100">
        <v>9</v>
      </c>
      <c r="AY85" s="100">
        <v>1350</v>
      </c>
      <c r="AZ85" s="100">
        <v>8</v>
      </c>
      <c r="BA85" s="100">
        <v>1200</v>
      </c>
      <c r="BB85" s="100">
        <v>3.4187809059434215</v>
      </c>
      <c r="BC85" s="100">
        <v>512.8171358915132</v>
      </c>
      <c r="BD85" s="100">
        <v>6</v>
      </c>
      <c r="BE85" s="100">
        <v>900</v>
      </c>
      <c r="BF85" s="100">
        <v>4.112860786712865</v>
      </c>
      <c r="BG85" s="100">
        <v>616.9291180069298</v>
      </c>
      <c r="BH85" s="100">
        <v>7.1920267650708238</v>
      </c>
      <c r="BI85" s="100">
        <v>1078.8040147606237</v>
      </c>
      <c r="BJ85" s="100">
        <v>8.9013970933799946</v>
      </c>
      <c r="BK85" s="100">
        <v>1335.2095640069992</v>
      </c>
      <c r="BL85" s="100">
        <v>5</v>
      </c>
      <c r="BM85" s="100">
        <v>750</v>
      </c>
      <c r="BN85" s="100">
        <v>8</v>
      </c>
      <c r="BO85" s="100">
        <v>1200</v>
      </c>
      <c r="BP85" s="100">
        <v>5</v>
      </c>
      <c r="BQ85" s="100">
        <v>750</v>
      </c>
      <c r="BR85" s="100">
        <v>10</v>
      </c>
      <c r="BS85" s="100">
        <v>1500</v>
      </c>
      <c r="BT85" s="100">
        <v>6.6888483274330008</v>
      </c>
      <c r="BU85" s="100">
        <v>1003.3272491149502</v>
      </c>
      <c r="BV85" s="100">
        <v>5</v>
      </c>
      <c r="BW85" s="100">
        <v>750</v>
      </c>
      <c r="BX85" s="100">
        <v>1.2521735275475319</v>
      </c>
      <c r="BY85" s="100">
        <v>187.82602913212978</v>
      </c>
      <c r="BZ85" s="100">
        <v>6.7317161557951195</v>
      </c>
      <c r="CA85" s="100">
        <v>1009.7574233692679</v>
      </c>
      <c r="CB85" s="100">
        <v>7</v>
      </c>
      <c r="CC85" s="100">
        <v>1050</v>
      </c>
      <c r="CD85" s="100">
        <v>6</v>
      </c>
      <c r="CE85" s="100">
        <v>900</v>
      </c>
      <c r="CF85" s="100">
        <v>10</v>
      </c>
      <c r="CG85" s="100">
        <v>1500</v>
      </c>
      <c r="CH85" s="100">
        <v>8.2883712573995201</v>
      </c>
      <c r="CI85" s="100">
        <v>1243.255688609928</v>
      </c>
      <c r="CJ85" s="100">
        <v>5.8534882237928107E-4</v>
      </c>
      <c r="CK85" s="100">
        <v>8.7802323356892156E-2</v>
      </c>
      <c r="CL85" s="100">
        <v>7.1322231458984646</v>
      </c>
      <c r="CM85" s="100">
        <v>1069.8334718847698</v>
      </c>
      <c r="CN85" s="100">
        <v>6.6647405520635798</v>
      </c>
      <c r="CO85" s="100">
        <v>999.71108280953695</v>
      </c>
      <c r="CP85" s="100">
        <v>9.4765390862439958</v>
      </c>
      <c r="CQ85" s="100">
        <v>1421.4808629365994</v>
      </c>
      <c r="CR85" s="100">
        <v>8.2978723404254691</v>
      </c>
      <c r="CS85" s="100">
        <v>1244.6808510638205</v>
      </c>
      <c r="CT85" s="100">
        <v>9</v>
      </c>
      <c r="CU85" s="100">
        <v>1350</v>
      </c>
    </row>
    <row r="86" spans="2:99">
      <c r="C86" s="99" t="s">
        <v>252</v>
      </c>
      <c r="D86" s="100">
        <v>2.6779957180243703</v>
      </c>
      <c r="E86" s="100">
        <v>1446.11768773316</v>
      </c>
      <c r="F86" s="100">
        <v>0.55669344795274278</v>
      </c>
      <c r="G86" s="100">
        <v>300.61446189448111</v>
      </c>
      <c r="H86" s="100">
        <v>7.1855930270031294</v>
      </c>
      <c r="I86" s="100">
        <v>3880.22023458169</v>
      </c>
      <c r="J86" s="100">
        <v>5</v>
      </c>
      <c r="K86" s="100">
        <v>2700</v>
      </c>
      <c r="L86" s="100">
        <v>8</v>
      </c>
      <c r="M86" s="100">
        <v>4320</v>
      </c>
      <c r="N86" s="100">
        <v>7.5319585521512611</v>
      </c>
      <c r="O86" s="100">
        <v>4067.257618161681</v>
      </c>
      <c r="P86" s="100">
        <v>5</v>
      </c>
      <c r="Q86" s="100">
        <v>2700</v>
      </c>
      <c r="R86" s="100">
        <v>6</v>
      </c>
      <c r="S86" s="100">
        <v>3240</v>
      </c>
      <c r="T86" s="100">
        <v>7</v>
      </c>
      <c r="U86" s="100">
        <v>3780</v>
      </c>
      <c r="V86" s="100">
        <v>7.9427310295706635</v>
      </c>
      <c r="W86" s="100">
        <v>4289.0747559681586</v>
      </c>
      <c r="X86" s="100">
        <v>5.0807949667001321E-4</v>
      </c>
      <c r="Y86" s="100">
        <v>0.27436292820180713</v>
      </c>
      <c r="Z86" s="100">
        <v>7.0659539009858285</v>
      </c>
      <c r="AA86" s="100">
        <v>3815.6151065323475</v>
      </c>
      <c r="AB86" s="100">
        <v>6</v>
      </c>
      <c r="AC86" s="100">
        <v>3240</v>
      </c>
      <c r="AD86" s="100">
        <v>8</v>
      </c>
      <c r="AE86" s="100">
        <v>4320</v>
      </c>
      <c r="AF86" s="100">
        <v>7.3382181743451307</v>
      </c>
      <c r="AG86" s="100">
        <v>3962.6378141463706</v>
      </c>
      <c r="AH86" s="100">
        <v>6</v>
      </c>
      <c r="AI86" s="100">
        <v>3240</v>
      </c>
      <c r="AJ86" s="100">
        <v>8</v>
      </c>
      <c r="AK86" s="100">
        <v>4320</v>
      </c>
      <c r="AL86" s="100">
        <v>7</v>
      </c>
      <c r="AM86" s="100">
        <v>3780</v>
      </c>
      <c r="AN86" s="100">
        <v>0.21067695981885515</v>
      </c>
      <c r="AO86" s="100">
        <v>113.76555830218177</v>
      </c>
      <c r="AP86" s="100">
        <v>5.5794737792855384</v>
      </c>
      <c r="AQ86" s="100">
        <v>3012.9158408141907</v>
      </c>
      <c r="AR86" s="100">
        <v>7.2297090181787187</v>
      </c>
      <c r="AS86" s="100">
        <v>3904.0428698165083</v>
      </c>
      <c r="AT86" s="100">
        <v>7</v>
      </c>
      <c r="AU86" s="100">
        <v>3780</v>
      </c>
      <c r="AV86" s="100">
        <v>6</v>
      </c>
      <c r="AW86" s="100">
        <v>3240</v>
      </c>
      <c r="AX86" s="100">
        <v>9</v>
      </c>
      <c r="AY86" s="100">
        <v>4860</v>
      </c>
      <c r="AZ86" s="100">
        <v>8</v>
      </c>
      <c r="BA86" s="100">
        <v>4320</v>
      </c>
      <c r="BB86" s="100">
        <v>4.1025370871321059</v>
      </c>
      <c r="BC86" s="100">
        <v>2215.3700270513373</v>
      </c>
      <c r="BD86" s="100">
        <v>5</v>
      </c>
      <c r="BE86" s="100">
        <v>2700</v>
      </c>
      <c r="BF86" s="100">
        <v>4.0835242047719618</v>
      </c>
      <c r="BG86" s="100">
        <v>2205.1030705768594</v>
      </c>
      <c r="BH86" s="100">
        <v>7.1920267650708238</v>
      </c>
      <c r="BI86" s="100">
        <v>3883.6944531382451</v>
      </c>
      <c r="BJ86" s="100">
        <v>7.9013970933799937</v>
      </c>
      <c r="BK86" s="100">
        <v>4266.7544304251969</v>
      </c>
      <c r="BL86" s="100">
        <v>5</v>
      </c>
      <c r="BM86" s="100">
        <v>2700</v>
      </c>
      <c r="BN86" s="100">
        <v>8</v>
      </c>
      <c r="BO86" s="100">
        <v>4320</v>
      </c>
      <c r="BP86" s="100">
        <v>4</v>
      </c>
      <c r="BQ86" s="100">
        <v>2160</v>
      </c>
      <c r="BR86" s="100">
        <v>8</v>
      </c>
      <c r="BS86" s="100">
        <v>4320</v>
      </c>
      <c r="BT86" s="100">
        <v>5.7332985663711442</v>
      </c>
      <c r="BU86" s="100">
        <v>3095.9812258404177</v>
      </c>
      <c r="BV86" s="100">
        <v>5</v>
      </c>
      <c r="BW86" s="100">
        <v>2700</v>
      </c>
      <c r="BX86" s="100">
        <v>1.043477939622943</v>
      </c>
      <c r="BY86" s="100">
        <v>563.47808739638924</v>
      </c>
      <c r="BZ86" s="100">
        <v>6.7317161557951195</v>
      </c>
      <c r="CA86" s="100">
        <v>3635.1267241293644</v>
      </c>
      <c r="CB86" s="100">
        <v>7</v>
      </c>
      <c r="CC86" s="100">
        <v>3780</v>
      </c>
      <c r="CD86" s="100">
        <v>6</v>
      </c>
      <c r="CE86" s="100">
        <v>3240</v>
      </c>
      <c r="CF86" s="100">
        <v>9</v>
      </c>
      <c r="CG86" s="100">
        <v>4860</v>
      </c>
      <c r="CH86" s="100">
        <v>8.2883712573995201</v>
      </c>
      <c r="CI86" s="100">
        <v>4475.7204789957405</v>
      </c>
      <c r="CJ86" s="100">
        <v>5.8534882237928107E-4</v>
      </c>
      <c r="CK86" s="100">
        <v>0.31608836408481178</v>
      </c>
      <c r="CL86" s="100">
        <v>7.1322231458984646</v>
      </c>
      <c r="CM86" s="100">
        <v>3851.4004987851708</v>
      </c>
      <c r="CN86" s="100">
        <v>6.6647405520635798</v>
      </c>
      <c r="CO86" s="100">
        <v>3598.9598981143331</v>
      </c>
      <c r="CP86" s="100">
        <v>8.5288851776195962</v>
      </c>
      <c r="CQ86" s="100">
        <v>4605.5979959145816</v>
      </c>
      <c r="CR86" s="100">
        <v>7.37588652482264</v>
      </c>
      <c r="CS86" s="100">
        <v>3982.9787234042255</v>
      </c>
      <c r="CT86" s="100">
        <v>9</v>
      </c>
      <c r="CU86" s="100">
        <v>4860</v>
      </c>
    </row>
    <row r="87" spans="2:99">
      <c r="B87" s="99" t="s">
        <v>131</v>
      </c>
      <c r="C87" s="99" t="s">
        <v>253</v>
      </c>
      <c r="D87" s="100">
        <v>5</v>
      </c>
      <c r="E87" s="100">
        <v>5370</v>
      </c>
      <c r="F87" s="100">
        <v>1.7949867243088695</v>
      </c>
      <c r="G87" s="100">
        <v>1927.8157419077259</v>
      </c>
      <c r="H87" s="100">
        <v>4.5273287758732073</v>
      </c>
      <c r="I87" s="100">
        <v>4862.3511052878248</v>
      </c>
      <c r="J87" s="100">
        <v>2.3246201565523763</v>
      </c>
      <c r="K87" s="100">
        <v>2496.642048137252</v>
      </c>
      <c r="L87" s="100">
        <v>7.0161087352931508</v>
      </c>
      <c r="M87" s="100">
        <v>7535.3007817048438</v>
      </c>
      <c r="N87" s="100">
        <v>1.8230460432027611</v>
      </c>
      <c r="O87" s="100">
        <v>1957.9514503997655</v>
      </c>
      <c r="P87" s="100">
        <v>5.8478086693029576</v>
      </c>
      <c r="Q87" s="100">
        <v>6280.5465108313765</v>
      </c>
      <c r="R87" s="100">
        <v>1.5102962061899459</v>
      </c>
      <c r="S87" s="100">
        <v>1622.0581254480019</v>
      </c>
      <c r="T87" s="100">
        <v>3.0252362340179149</v>
      </c>
      <c r="U87" s="100">
        <v>3249.1037153352404</v>
      </c>
      <c r="V87" s="100">
        <v>6.0502284166373359</v>
      </c>
      <c r="W87" s="100">
        <v>6497.9453194684984</v>
      </c>
      <c r="X87" s="100">
        <v>3.4132079693822179</v>
      </c>
      <c r="Y87" s="100">
        <v>3665.7853591165021</v>
      </c>
      <c r="Z87" s="100">
        <v>4.0637895977309464</v>
      </c>
      <c r="AA87" s="100">
        <v>4364.510027963036</v>
      </c>
      <c r="AB87" s="100">
        <v>5.195010215494321</v>
      </c>
      <c r="AC87" s="100">
        <v>5579.4409714409003</v>
      </c>
      <c r="AD87" s="100">
        <v>3.7859516616019362</v>
      </c>
      <c r="AE87" s="100">
        <v>4066.1120845604796</v>
      </c>
      <c r="AF87" s="100">
        <v>0.30459447963797082</v>
      </c>
      <c r="AG87" s="100">
        <v>327.13447113118065</v>
      </c>
      <c r="AH87" s="100">
        <v>4.6915137598442547</v>
      </c>
      <c r="AI87" s="100">
        <v>5038.6857780727296</v>
      </c>
      <c r="AJ87" s="100">
        <v>7.0999405116002592</v>
      </c>
      <c r="AK87" s="100">
        <v>7625.336109458678</v>
      </c>
      <c r="AL87" s="100">
        <v>5</v>
      </c>
      <c r="AM87" s="100">
        <v>5370</v>
      </c>
      <c r="AN87" s="100">
        <v>0.86529285964943436</v>
      </c>
      <c r="AO87" s="100">
        <v>929.32453126349253</v>
      </c>
      <c r="AP87" s="100">
        <v>4.6628003219044798</v>
      </c>
      <c r="AQ87" s="100">
        <v>5007.8475457254117</v>
      </c>
      <c r="AR87" s="100">
        <v>5.1887225089909128</v>
      </c>
      <c r="AS87" s="100">
        <v>5572.6879746562399</v>
      </c>
      <c r="AT87" s="100">
        <v>3.68415651018055</v>
      </c>
      <c r="AU87" s="100">
        <v>3956.7840919339105</v>
      </c>
      <c r="AV87" s="100">
        <v>0.41013287541800636</v>
      </c>
      <c r="AW87" s="100">
        <v>440.48270819893884</v>
      </c>
      <c r="AX87" s="100">
        <v>8.3103167325893601</v>
      </c>
      <c r="AY87" s="100">
        <v>8925.280170800972</v>
      </c>
      <c r="AZ87" s="100">
        <v>2.2254419397203447</v>
      </c>
      <c r="BA87" s="100">
        <v>2390.1246432596504</v>
      </c>
      <c r="BB87" s="100">
        <v>4.5354520919955954</v>
      </c>
      <c r="BC87" s="100">
        <v>4871.0755468032694</v>
      </c>
      <c r="BD87" s="100">
        <v>7.460605869914974</v>
      </c>
      <c r="BE87" s="100">
        <v>8012.6907042886824</v>
      </c>
      <c r="BF87" s="100">
        <v>4.7821627266201592</v>
      </c>
      <c r="BG87" s="100">
        <v>5136.0427683900507</v>
      </c>
      <c r="BH87" s="100">
        <v>4.5755260655933601</v>
      </c>
      <c r="BI87" s="100">
        <v>4914.1149944472691</v>
      </c>
      <c r="BJ87" s="100">
        <v>5.668480097623644</v>
      </c>
      <c r="BK87" s="100">
        <v>6087.947624847794</v>
      </c>
      <c r="BL87" s="100">
        <v>3.9012380138217071</v>
      </c>
      <c r="BM87" s="100">
        <v>4189.9296268445132</v>
      </c>
      <c r="BN87" s="100">
        <v>5.498335709099103</v>
      </c>
      <c r="BO87" s="100">
        <v>5905.2125515724365</v>
      </c>
      <c r="BP87" s="100">
        <v>0.41968464266028699</v>
      </c>
      <c r="BQ87" s="100">
        <v>450.74130621714824</v>
      </c>
      <c r="BR87" s="100">
        <v>7.3108841446241764</v>
      </c>
      <c r="BS87" s="100">
        <v>7851.8895713263655</v>
      </c>
      <c r="BT87" s="100">
        <v>6.6221910180587651</v>
      </c>
      <c r="BU87" s="100">
        <v>7112.2331533951137</v>
      </c>
      <c r="BV87" s="100">
        <v>6.2551495580263685</v>
      </c>
      <c r="BW87" s="100">
        <v>6718.0306253203198</v>
      </c>
      <c r="BX87" s="100">
        <v>5.3422358387468423</v>
      </c>
      <c r="BY87" s="100">
        <v>5737.5612908141084</v>
      </c>
      <c r="BZ87" s="100">
        <v>3.2725616892985632</v>
      </c>
      <c r="CA87" s="100">
        <v>3514.7312543066569</v>
      </c>
      <c r="CB87" s="100">
        <v>6.0473736111688465</v>
      </c>
      <c r="CC87" s="100">
        <v>6494.8792583953409</v>
      </c>
      <c r="CD87" s="100">
        <v>5.1860054802120272</v>
      </c>
      <c r="CE87" s="100">
        <v>5569.7698857477171</v>
      </c>
      <c r="CF87" s="100">
        <v>2.6070015970718194E-4</v>
      </c>
      <c r="CG87" s="100">
        <v>0.27999197152551342</v>
      </c>
      <c r="CH87" s="100">
        <v>4.4104317168214022</v>
      </c>
      <c r="CI87" s="100">
        <v>4736.8036638661861</v>
      </c>
      <c r="CJ87" s="100">
        <v>4.2195673444763573</v>
      </c>
      <c r="CK87" s="100">
        <v>4531.815327967608</v>
      </c>
      <c r="CL87" s="100">
        <v>6.6926371636854602</v>
      </c>
      <c r="CM87" s="100">
        <v>7187.8923137981847</v>
      </c>
      <c r="CN87" s="100">
        <v>0.35984843180952386</v>
      </c>
      <c r="CO87" s="100">
        <v>386.4772157634286</v>
      </c>
      <c r="CP87" s="100">
        <v>4.2764808168437849</v>
      </c>
      <c r="CQ87" s="100">
        <v>4592.9403972902246</v>
      </c>
      <c r="CR87" s="100">
        <v>5.5436749207938893</v>
      </c>
      <c r="CS87" s="100">
        <v>5953.9068649326373</v>
      </c>
      <c r="CT87" s="100">
        <v>4.5128476263386581</v>
      </c>
      <c r="CU87" s="100">
        <v>4846.798350687719</v>
      </c>
    </row>
    <row r="88" spans="2:99">
      <c r="C88" s="99" t="s">
        <v>254</v>
      </c>
      <c r="D88" s="100">
        <v>6</v>
      </c>
      <c r="E88" s="100">
        <v>5954.4</v>
      </c>
      <c r="F88" s="100">
        <v>1.5539393273612849</v>
      </c>
      <c r="G88" s="100">
        <v>1542.1293884733391</v>
      </c>
      <c r="H88" s="100">
        <v>3.8844719780423969</v>
      </c>
      <c r="I88" s="100">
        <v>3854.9499910092745</v>
      </c>
      <c r="J88" s="100">
        <v>2.3246201565523763</v>
      </c>
      <c r="K88" s="100">
        <v>2306.9530433625782</v>
      </c>
      <c r="L88" s="100">
        <v>7.0161087352931508</v>
      </c>
      <c r="M88" s="100">
        <v>6962.7863089049224</v>
      </c>
      <c r="N88" s="100">
        <v>2.1625521992419099</v>
      </c>
      <c r="O88" s="100">
        <v>2146.1168025276711</v>
      </c>
      <c r="P88" s="100">
        <v>5.8478086693029576</v>
      </c>
      <c r="Q88" s="100">
        <v>5803.3653234162548</v>
      </c>
      <c r="R88" s="100">
        <v>1.2082369649519566</v>
      </c>
      <c r="S88" s="100">
        <v>1199.0543640183218</v>
      </c>
      <c r="T88" s="100">
        <v>3.0252362340179149</v>
      </c>
      <c r="U88" s="100">
        <v>3002.2444386393786</v>
      </c>
      <c r="V88" s="100">
        <v>5.2619051642112158</v>
      </c>
      <c r="W88" s="100">
        <v>5221.9146849632107</v>
      </c>
      <c r="X88" s="100">
        <v>4.7619168922104613</v>
      </c>
      <c r="Y88" s="100">
        <v>4725.7263238296619</v>
      </c>
      <c r="Z88" s="100">
        <v>3.251031678184757</v>
      </c>
      <c r="AA88" s="100">
        <v>3226.3238374305529</v>
      </c>
      <c r="AB88" s="100">
        <v>4.6018229262104944</v>
      </c>
      <c r="AC88" s="100">
        <v>4566.8490719712945</v>
      </c>
      <c r="AD88" s="100">
        <v>4.7035438837859083</v>
      </c>
      <c r="AE88" s="100">
        <v>4667.7969502691349</v>
      </c>
      <c r="AF88" s="100">
        <v>0.30459447963797082</v>
      </c>
      <c r="AG88" s="100">
        <v>302.27956159272225</v>
      </c>
      <c r="AH88" s="100">
        <v>4.6619938817120987</v>
      </c>
      <c r="AI88" s="100">
        <v>4626.5627282110863</v>
      </c>
      <c r="AJ88" s="100">
        <v>6.083283759666883</v>
      </c>
      <c r="AK88" s="100">
        <v>6037.0508030934143</v>
      </c>
      <c r="AL88" s="100">
        <v>5</v>
      </c>
      <c r="AM88" s="100">
        <v>4962</v>
      </c>
      <c r="AN88" s="100">
        <v>0.86529285964943436</v>
      </c>
      <c r="AO88" s="100">
        <v>858.71663391609866</v>
      </c>
      <c r="AP88" s="100">
        <v>4.7314830281081104</v>
      </c>
      <c r="AQ88" s="100">
        <v>4695.5237570944882</v>
      </c>
      <c r="AR88" s="100">
        <v>5.1887225089909128</v>
      </c>
      <c r="AS88" s="100">
        <v>5149.2882179225817</v>
      </c>
      <c r="AT88" s="100">
        <v>3.6791312322217866</v>
      </c>
      <c r="AU88" s="100">
        <v>3651.1698348569012</v>
      </c>
      <c r="AV88" s="100">
        <v>0.40963966535252605</v>
      </c>
      <c r="AW88" s="100">
        <v>406.52640389584684</v>
      </c>
      <c r="AX88" s="100">
        <v>8.2715271410156888</v>
      </c>
      <c r="AY88" s="100">
        <v>8208.6635347439696</v>
      </c>
      <c r="AZ88" s="100">
        <v>2.0105738626460039</v>
      </c>
      <c r="BA88" s="100">
        <v>1995.2935012898943</v>
      </c>
      <c r="BB88" s="100">
        <v>4.5354520919955954</v>
      </c>
      <c r="BC88" s="100">
        <v>4500.9826560964284</v>
      </c>
      <c r="BD88" s="100">
        <v>7.460605869914974</v>
      </c>
      <c r="BE88" s="100">
        <v>7403.9052653036197</v>
      </c>
      <c r="BF88" s="100">
        <v>6.3762169688268786</v>
      </c>
      <c r="BG88" s="100">
        <v>6327.7577198637946</v>
      </c>
      <c r="BH88" s="100">
        <v>4.5755260655933601</v>
      </c>
      <c r="BI88" s="100">
        <v>4540.7520674948501</v>
      </c>
      <c r="BJ88" s="100">
        <v>5.668480097623644</v>
      </c>
      <c r="BK88" s="100">
        <v>5625.3996488817038</v>
      </c>
      <c r="BL88" s="100">
        <v>3.2510316781847557</v>
      </c>
      <c r="BM88" s="100">
        <v>3226.3238374305515</v>
      </c>
      <c r="BN88" s="100">
        <v>4.7128591792278023</v>
      </c>
      <c r="BO88" s="100">
        <v>4677.0414494656707</v>
      </c>
      <c r="BP88" s="100">
        <v>0.36406998314931743</v>
      </c>
      <c r="BQ88" s="100">
        <v>361.30305127738262</v>
      </c>
      <c r="BR88" s="100">
        <v>7.2664721239635801</v>
      </c>
      <c r="BS88" s="100">
        <v>7211.2469358214566</v>
      </c>
      <c r="BT88" s="100">
        <v>6.6221910180587651</v>
      </c>
      <c r="BU88" s="100">
        <v>6571.8623663215185</v>
      </c>
      <c r="BV88" s="100">
        <v>7.0370432527796645</v>
      </c>
      <c r="BW88" s="100">
        <v>6983.5617240585389</v>
      </c>
      <c r="BX88" s="100">
        <v>4.6744563589034867</v>
      </c>
      <c r="BY88" s="100">
        <v>4638.9304905758199</v>
      </c>
      <c r="BZ88" s="100">
        <v>4.0907021116232043</v>
      </c>
      <c r="CA88" s="100">
        <v>4059.612775574868</v>
      </c>
      <c r="CB88" s="100">
        <v>6.0473736111688465</v>
      </c>
      <c r="CC88" s="100">
        <v>6001.4135717239633</v>
      </c>
      <c r="CD88" s="100">
        <v>5.2297200232691008</v>
      </c>
      <c r="CE88" s="100">
        <v>5189.9741510922559</v>
      </c>
      <c r="CF88" s="100">
        <v>2.6070015970718194E-4</v>
      </c>
      <c r="CG88" s="100">
        <v>0.25871883849340732</v>
      </c>
      <c r="CH88" s="100">
        <v>4.4140560014384418</v>
      </c>
      <c r="CI88" s="100">
        <v>4380.5091758275094</v>
      </c>
      <c r="CJ88" s="100">
        <v>3.435424193203938</v>
      </c>
      <c r="CK88" s="100">
        <v>3409.3149693355881</v>
      </c>
      <c r="CL88" s="100">
        <v>6.7721756745065127</v>
      </c>
      <c r="CM88" s="100">
        <v>6720.7071393802635</v>
      </c>
      <c r="CN88" s="100">
        <v>0.30973927570882953</v>
      </c>
      <c r="CO88" s="100">
        <v>307.3852572134424</v>
      </c>
      <c r="CP88" s="100">
        <v>5.2764808168437849</v>
      </c>
      <c r="CQ88" s="100">
        <v>5236.3795626357723</v>
      </c>
      <c r="CR88" s="100">
        <v>5.5436749207938893</v>
      </c>
      <c r="CS88" s="100">
        <v>5501.542991395856</v>
      </c>
      <c r="CT88" s="100">
        <v>5.0769535796309899</v>
      </c>
      <c r="CU88" s="100">
        <v>5038.3687324257944</v>
      </c>
    </row>
    <row r="89" spans="2:99">
      <c r="C89" s="99" t="s">
        <v>255</v>
      </c>
      <c r="D89" s="100">
        <v>5</v>
      </c>
      <c r="E89" s="100">
        <v>5310</v>
      </c>
      <c r="F89" s="100">
        <v>1.7830250636782277</v>
      </c>
      <c r="G89" s="100">
        <v>1893.5726176262779</v>
      </c>
      <c r="H89" s="100">
        <v>3.7727739798943389</v>
      </c>
      <c r="I89" s="100">
        <v>4006.6859666477881</v>
      </c>
      <c r="J89" s="100">
        <v>2.3246201565523763</v>
      </c>
      <c r="K89" s="100">
        <v>2468.7466062586236</v>
      </c>
      <c r="L89" s="100">
        <v>6.0161087352931508</v>
      </c>
      <c r="M89" s="100">
        <v>6389.107476881326</v>
      </c>
      <c r="N89" s="100">
        <v>2.1625521992419099</v>
      </c>
      <c r="O89" s="100">
        <v>2296.6304355949082</v>
      </c>
      <c r="P89" s="100">
        <v>5.8478086693029576</v>
      </c>
      <c r="Q89" s="100">
        <v>6210.3728067997408</v>
      </c>
      <c r="R89" s="100">
        <v>1.5102962061899459</v>
      </c>
      <c r="S89" s="100">
        <v>1603.9345709737224</v>
      </c>
      <c r="T89" s="100">
        <v>3.0209028936780449</v>
      </c>
      <c r="U89" s="100">
        <v>3208.1988730860835</v>
      </c>
      <c r="V89" s="100">
        <v>5.3473576984684241</v>
      </c>
      <c r="W89" s="100">
        <v>5678.8938757734668</v>
      </c>
      <c r="X89" s="100">
        <v>3.4132079693822179</v>
      </c>
      <c r="Y89" s="100">
        <v>3624.8268634839155</v>
      </c>
      <c r="Z89" s="100">
        <v>3.251031678184757</v>
      </c>
      <c r="AA89" s="100">
        <v>3452.595642232212</v>
      </c>
      <c r="AB89" s="100">
        <v>4.6018229262104944</v>
      </c>
      <c r="AC89" s="100">
        <v>4887.1359476355447</v>
      </c>
      <c r="AD89" s="100">
        <v>4.7035438837859083</v>
      </c>
      <c r="AE89" s="100">
        <v>4995.1636045806345</v>
      </c>
      <c r="AF89" s="100">
        <v>0.25550281814629444</v>
      </c>
      <c r="AG89" s="100">
        <v>271.34399287136472</v>
      </c>
      <c r="AH89" s="100">
        <v>5.3062673490659868</v>
      </c>
      <c r="AI89" s="100">
        <v>5635.2559247080781</v>
      </c>
      <c r="AJ89" s="100">
        <v>7.0999405116002592</v>
      </c>
      <c r="AK89" s="100">
        <v>7540.1368233194753</v>
      </c>
      <c r="AL89" s="100">
        <v>5</v>
      </c>
      <c r="AM89" s="100">
        <v>5310</v>
      </c>
      <c r="AN89" s="100">
        <v>0.86529285964943436</v>
      </c>
      <c r="AO89" s="100">
        <v>918.94101694769927</v>
      </c>
      <c r="AP89" s="100">
        <v>4.7314830281081104</v>
      </c>
      <c r="AQ89" s="100">
        <v>5024.834975850813</v>
      </c>
      <c r="AR89" s="100">
        <v>5.1887225089909128</v>
      </c>
      <c r="AS89" s="100">
        <v>5510.4233045483497</v>
      </c>
      <c r="AT89" s="100">
        <v>3.6816438712011688</v>
      </c>
      <c r="AU89" s="100">
        <v>3909.9057912156413</v>
      </c>
      <c r="AV89" s="100">
        <v>0.40963966535252605</v>
      </c>
      <c r="AW89" s="100">
        <v>435.03732460438266</v>
      </c>
      <c r="AX89" s="100">
        <v>8.2715271410156888</v>
      </c>
      <c r="AY89" s="100">
        <v>8784.3618237586616</v>
      </c>
      <c r="AZ89" s="100">
        <v>2.3284941397489107</v>
      </c>
      <c r="BA89" s="100">
        <v>2472.860776413343</v>
      </c>
      <c r="BB89" s="100">
        <v>5.5354520919955954</v>
      </c>
      <c r="BC89" s="100">
        <v>5878.650121699322</v>
      </c>
      <c r="BD89" s="100">
        <v>7.460605869914974</v>
      </c>
      <c r="BE89" s="100">
        <v>7923.1634338497024</v>
      </c>
      <c r="BF89" s="100">
        <v>5.5791898477235184</v>
      </c>
      <c r="BG89" s="100">
        <v>5925.0996182823765</v>
      </c>
      <c r="BH89" s="100">
        <v>5.3381137431922534</v>
      </c>
      <c r="BI89" s="100">
        <v>5669.0767952701735</v>
      </c>
      <c r="BJ89" s="100">
        <v>4.7237334146863699</v>
      </c>
      <c r="BK89" s="100">
        <v>5016.6048863969245</v>
      </c>
      <c r="BL89" s="100">
        <v>3.2510316781847557</v>
      </c>
      <c r="BM89" s="100">
        <v>3452.5956422322106</v>
      </c>
      <c r="BN89" s="100">
        <v>5.498335709099103</v>
      </c>
      <c r="BO89" s="100">
        <v>5839.2325230632478</v>
      </c>
      <c r="BP89" s="100">
        <v>0.36406998314931743</v>
      </c>
      <c r="BQ89" s="100">
        <v>386.6423221045751</v>
      </c>
      <c r="BR89" s="100">
        <v>7.3108841446241764</v>
      </c>
      <c r="BS89" s="100">
        <v>7764.1589615908752</v>
      </c>
      <c r="BT89" s="100">
        <v>7.5682183063528745</v>
      </c>
      <c r="BU89" s="100">
        <v>8037.4478413467523</v>
      </c>
      <c r="BV89" s="100">
        <v>7.0370432527796645</v>
      </c>
      <c r="BW89" s="100">
        <v>7473.3399344520039</v>
      </c>
      <c r="BX89" s="100">
        <v>4.6744563589034867</v>
      </c>
      <c r="BY89" s="100">
        <v>4964.2726531555027</v>
      </c>
      <c r="BZ89" s="100">
        <v>4.0907021116232043</v>
      </c>
      <c r="CA89" s="100">
        <v>4344.3256425438431</v>
      </c>
      <c r="CB89" s="100">
        <v>6.0473736111688465</v>
      </c>
      <c r="CC89" s="100">
        <v>6422.3107750613153</v>
      </c>
      <c r="CD89" s="100">
        <v>5.1860054802120272</v>
      </c>
      <c r="CE89" s="100">
        <v>5507.537819985173</v>
      </c>
      <c r="CF89" s="100">
        <v>2.6070015970718194E-4</v>
      </c>
      <c r="CG89" s="100">
        <v>0.27686356960902719</v>
      </c>
      <c r="CH89" s="100">
        <v>4.4104317168214022</v>
      </c>
      <c r="CI89" s="100">
        <v>4683.8784832643296</v>
      </c>
      <c r="CJ89" s="100">
        <v>4.1762468568286932</v>
      </c>
      <c r="CK89" s="100">
        <v>4435.1741619520726</v>
      </c>
      <c r="CL89" s="100">
        <v>6.0815749968666077</v>
      </c>
      <c r="CM89" s="100">
        <v>6458.6326466723376</v>
      </c>
      <c r="CN89" s="100">
        <v>0.35937030869875214</v>
      </c>
      <c r="CO89" s="100">
        <v>381.65126783807477</v>
      </c>
      <c r="CP89" s="100">
        <v>5.2304006807031538</v>
      </c>
      <c r="CQ89" s="100">
        <v>5554.6855229067496</v>
      </c>
      <c r="CR89" s="100">
        <v>6.3356284809073022</v>
      </c>
      <c r="CS89" s="100">
        <v>6728.4374467235548</v>
      </c>
      <c r="CT89" s="100">
        <v>5.0769535796309899</v>
      </c>
      <c r="CU89" s="100">
        <v>5391.7247015681114</v>
      </c>
    </row>
    <row r="90" spans="2:99">
      <c r="C90" s="99" t="s">
        <v>256</v>
      </c>
      <c r="D90" s="100">
        <v>5</v>
      </c>
      <c r="E90" s="100">
        <v>5544</v>
      </c>
      <c r="F90" s="100">
        <v>1.7830250636782277</v>
      </c>
      <c r="G90" s="100">
        <v>1977.0181906064188</v>
      </c>
      <c r="H90" s="100">
        <v>4.5273287758732073</v>
      </c>
      <c r="I90" s="100">
        <v>5019.9021466882123</v>
      </c>
      <c r="J90" s="100">
        <v>2.3246201565523763</v>
      </c>
      <c r="K90" s="100">
        <v>2577.5388295852749</v>
      </c>
      <c r="L90" s="100">
        <v>7.0161087352931508</v>
      </c>
      <c r="M90" s="100">
        <v>7779.4613656930451</v>
      </c>
      <c r="N90" s="100">
        <v>2.1625521992419099</v>
      </c>
      <c r="O90" s="100">
        <v>2397.8378785194295</v>
      </c>
      <c r="P90" s="100">
        <v>5.8478086693029576</v>
      </c>
      <c r="Q90" s="100">
        <v>6484.0502525231195</v>
      </c>
      <c r="R90" s="100">
        <v>1.5102962061899459</v>
      </c>
      <c r="S90" s="100">
        <v>1674.616433423412</v>
      </c>
      <c r="T90" s="100">
        <v>2.9351161780181272</v>
      </c>
      <c r="U90" s="100">
        <v>3254.4568181864993</v>
      </c>
      <c r="V90" s="100">
        <v>6.0502284166373359</v>
      </c>
      <c r="W90" s="100">
        <v>6708.4932683674779</v>
      </c>
      <c r="X90" s="100">
        <v>3.9575137423301601</v>
      </c>
      <c r="Y90" s="100">
        <v>4388.0912374956815</v>
      </c>
      <c r="Z90" s="100">
        <v>3.251031678184757</v>
      </c>
      <c r="AA90" s="100">
        <v>3604.7439247712587</v>
      </c>
      <c r="AB90" s="100">
        <v>5.2667033521764672</v>
      </c>
      <c r="AC90" s="100">
        <v>5839.7206768932665</v>
      </c>
      <c r="AD90" s="100">
        <v>4.7035438837859083</v>
      </c>
      <c r="AE90" s="100">
        <v>5215.2894583418147</v>
      </c>
      <c r="AF90" s="100">
        <v>0.25550281814629444</v>
      </c>
      <c r="AG90" s="100">
        <v>283.30152476061124</v>
      </c>
      <c r="AH90" s="100">
        <v>5.3062673490659868</v>
      </c>
      <c r="AI90" s="100">
        <v>5883.5892366443659</v>
      </c>
      <c r="AJ90" s="100">
        <v>6.0999405116002592</v>
      </c>
      <c r="AK90" s="100">
        <v>6763.6140392623674</v>
      </c>
      <c r="AL90" s="100">
        <v>4</v>
      </c>
      <c r="AM90" s="100">
        <v>4435.2</v>
      </c>
      <c r="AN90" s="100">
        <v>0.67528997916330102</v>
      </c>
      <c r="AO90" s="100">
        <v>748.76152889626815</v>
      </c>
      <c r="AP90" s="100">
        <v>5.6754902101896114</v>
      </c>
      <c r="AQ90" s="100">
        <v>6292.9835450582405</v>
      </c>
      <c r="AR90" s="100">
        <v>4.5947514896552963</v>
      </c>
      <c r="AS90" s="100">
        <v>5094.6604517297919</v>
      </c>
      <c r="AT90" s="100">
        <v>3.6816438712011688</v>
      </c>
      <c r="AU90" s="100">
        <v>4082.206724387856</v>
      </c>
      <c r="AV90" s="100">
        <v>0.3595444298307911</v>
      </c>
      <c r="AW90" s="100">
        <v>398.66286379638115</v>
      </c>
      <c r="AX90" s="100">
        <v>8.2327375494420192</v>
      </c>
      <c r="AY90" s="100">
        <v>9128.4593948213096</v>
      </c>
      <c r="AZ90" s="100">
        <v>1.9075216626174383</v>
      </c>
      <c r="BA90" s="100">
        <v>2115.0600195102156</v>
      </c>
      <c r="BB90" s="100">
        <v>5.5354520919955954</v>
      </c>
      <c r="BC90" s="100">
        <v>6137.7092796047164</v>
      </c>
      <c r="BD90" s="100">
        <v>6.5280301361756026</v>
      </c>
      <c r="BE90" s="100">
        <v>7238.2798149915079</v>
      </c>
      <c r="BF90" s="100">
        <v>5.5791898477235184</v>
      </c>
      <c r="BG90" s="100">
        <v>6186.205703155837</v>
      </c>
      <c r="BH90" s="100">
        <v>5.3381137431922534</v>
      </c>
      <c r="BI90" s="100">
        <v>5918.90051845157</v>
      </c>
      <c r="BJ90" s="100">
        <v>4.7237334146863699</v>
      </c>
      <c r="BK90" s="100">
        <v>5237.6756102042464</v>
      </c>
      <c r="BL90" s="100">
        <v>3.2510316781847557</v>
      </c>
      <c r="BM90" s="100">
        <v>3604.7439247712568</v>
      </c>
      <c r="BN90" s="100">
        <v>4.7128591792278023</v>
      </c>
      <c r="BO90" s="100">
        <v>5225.6182579277865</v>
      </c>
      <c r="BP90" s="100">
        <v>0.36406998314931743</v>
      </c>
      <c r="BQ90" s="100">
        <v>403.68079731596316</v>
      </c>
      <c r="BR90" s="100">
        <v>6.3108841446241764</v>
      </c>
      <c r="BS90" s="100">
        <v>6997.5083395592865</v>
      </c>
      <c r="BT90" s="100">
        <v>6.6221910180587651</v>
      </c>
      <c r="BU90" s="100">
        <v>7342.6854008235587</v>
      </c>
      <c r="BV90" s="100">
        <v>7.0370432527796645</v>
      </c>
      <c r="BW90" s="100">
        <v>7802.6735586820914</v>
      </c>
      <c r="BX90" s="100">
        <v>4.6744563589034867</v>
      </c>
      <c r="BY90" s="100">
        <v>5183.0372107521862</v>
      </c>
      <c r="BZ90" s="100">
        <v>3.2725616892985632</v>
      </c>
      <c r="CA90" s="100">
        <v>3628.6164010942466</v>
      </c>
      <c r="CB90" s="100">
        <v>5.1834630952875829</v>
      </c>
      <c r="CC90" s="100">
        <v>5747.4238800548719</v>
      </c>
      <c r="CD90" s="100">
        <v>4.576005020360463</v>
      </c>
      <c r="CE90" s="100">
        <v>5073.8743665756811</v>
      </c>
      <c r="CF90" s="100">
        <v>2.6070015970718194E-4</v>
      </c>
      <c r="CG90" s="100">
        <v>0.2890643370833233</v>
      </c>
      <c r="CH90" s="100">
        <v>5.1418793850079298</v>
      </c>
      <c r="CI90" s="100">
        <v>5701.3158620967924</v>
      </c>
      <c r="CJ90" s="100">
        <v>4.0960978082108941</v>
      </c>
      <c r="CK90" s="100">
        <v>4541.7532497442389</v>
      </c>
      <c r="CL90" s="100">
        <v>6.7721756745065127</v>
      </c>
      <c r="CM90" s="100">
        <v>7508.9883878928213</v>
      </c>
      <c r="CN90" s="100">
        <v>0.35984843180952386</v>
      </c>
      <c r="CO90" s="100">
        <v>398.99994119040002</v>
      </c>
      <c r="CP90" s="100">
        <v>5.2764808168437849</v>
      </c>
      <c r="CQ90" s="100">
        <v>5850.5619297163885</v>
      </c>
      <c r="CR90" s="100">
        <v>5.5436749207938893</v>
      </c>
      <c r="CS90" s="100">
        <v>6146.8267521762646</v>
      </c>
      <c r="CT90" s="100">
        <v>5.0769535796309899</v>
      </c>
      <c r="CU90" s="100">
        <v>5629.3261290948412</v>
      </c>
    </row>
    <row r="91" spans="2:99">
      <c r="C91" s="99" t="s">
        <v>257</v>
      </c>
      <c r="D91" s="100">
        <v>6</v>
      </c>
      <c r="E91" s="100">
        <v>6818.4</v>
      </c>
      <c r="F91" s="100">
        <v>1.7830250636782277</v>
      </c>
      <c r="G91" s="100">
        <v>2026.2296823639376</v>
      </c>
      <c r="H91" s="100">
        <v>4.5273287758732073</v>
      </c>
      <c r="I91" s="100">
        <v>5144.8564209023125</v>
      </c>
      <c r="J91" s="100">
        <v>2.3246201565523763</v>
      </c>
      <c r="K91" s="100">
        <v>2641.6983459061203</v>
      </c>
      <c r="L91" s="100">
        <v>6.0161087352931508</v>
      </c>
      <c r="M91" s="100">
        <v>6836.7059667871354</v>
      </c>
      <c r="N91" s="100">
        <v>1.807356635326884</v>
      </c>
      <c r="O91" s="100">
        <v>2053.8800803854706</v>
      </c>
      <c r="P91" s="100">
        <v>5.8478086693029576</v>
      </c>
      <c r="Q91" s="100">
        <v>6645.4497717958802</v>
      </c>
      <c r="R91" s="100">
        <v>1.5102962061899459</v>
      </c>
      <c r="S91" s="100">
        <v>1716.3006087142542</v>
      </c>
      <c r="T91" s="100">
        <v>3.4198860046703294</v>
      </c>
      <c r="U91" s="100">
        <v>3886.3584557073618</v>
      </c>
      <c r="V91" s="100">
        <v>4.6444869802995141</v>
      </c>
      <c r="W91" s="100">
        <v>5277.9950044123671</v>
      </c>
      <c r="X91" s="100">
        <v>3.9575137423301601</v>
      </c>
      <c r="Y91" s="100">
        <v>4497.3186167839931</v>
      </c>
      <c r="Z91" s="100">
        <v>3.251031678184757</v>
      </c>
      <c r="AA91" s="100">
        <v>3694.4723990891575</v>
      </c>
      <c r="AB91" s="100">
        <v>4.6018229262104944</v>
      </c>
      <c r="AC91" s="100">
        <v>5229.511573345605</v>
      </c>
      <c r="AD91" s="100">
        <v>3.7666878661242613</v>
      </c>
      <c r="AE91" s="100">
        <v>4280.4640910636099</v>
      </c>
      <c r="AF91" s="100">
        <v>0.30526411368383166</v>
      </c>
      <c r="AG91" s="100">
        <v>346.90213879030625</v>
      </c>
      <c r="AH91" s="100">
        <v>4.6619938817120987</v>
      </c>
      <c r="AI91" s="100">
        <v>5297.8898471776283</v>
      </c>
      <c r="AJ91" s="100">
        <v>6.083283759666883</v>
      </c>
      <c r="AK91" s="100">
        <v>6913.0436644854453</v>
      </c>
      <c r="AL91" s="100">
        <v>5</v>
      </c>
      <c r="AM91" s="100">
        <v>5681.9999999999991</v>
      </c>
      <c r="AN91" s="100">
        <v>0.67357666291966189</v>
      </c>
      <c r="AO91" s="100">
        <v>765.45251974190364</v>
      </c>
      <c r="AP91" s="100">
        <v>4.6628003219044798</v>
      </c>
      <c r="AQ91" s="100">
        <v>5298.8062858122503</v>
      </c>
      <c r="AR91" s="100">
        <v>4.5729099173652346</v>
      </c>
      <c r="AS91" s="100">
        <v>5196.6548300938521</v>
      </c>
      <c r="AT91" s="100">
        <v>3.68415651018055</v>
      </c>
      <c r="AU91" s="100">
        <v>4186.6754581691766</v>
      </c>
      <c r="AV91" s="100">
        <v>0.40963966535252605</v>
      </c>
      <c r="AW91" s="100">
        <v>465.51451570661055</v>
      </c>
      <c r="AX91" s="100">
        <v>9.2715271410156888</v>
      </c>
      <c r="AY91" s="100">
        <v>10536.163443050227</v>
      </c>
      <c r="AZ91" s="100">
        <v>2.3284941397489107</v>
      </c>
      <c r="BA91" s="100">
        <v>2646.1007404106617</v>
      </c>
      <c r="BB91" s="100">
        <v>4.5354520919955954</v>
      </c>
      <c r="BC91" s="100">
        <v>5154.0877573437938</v>
      </c>
      <c r="BD91" s="100">
        <v>7.460605869914974</v>
      </c>
      <c r="BE91" s="100">
        <v>8478.2325105713753</v>
      </c>
      <c r="BF91" s="100">
        <v>5.5791898477235184</v>
      </c>
      <c r="BG91" s="100">
        <v>6340.1913429530059</v>
      </c>
      <c r="BH91" s="100">
        <v>4.5755260655933601</v>
      </c>
      <c r="BI91" s="100">
        <v>5199.6278209402935</v>
      </c>
      <c r="BJ91" s="100">
        <v>4.7237334146863699</v>
      </c>
      <c r="BK91" s="100">
        <v>5368.0506524495904</v>
      </c>
      <c r="BL91" s="100">
        <v>3.2510316781847557</v>
      </c>
      <c r="BM91" s="100">
        <v>3694.4723990891557</v>
      </c>
      <c r="BN91" s="100">
        <v>5.498335709099103</v>
      </c>
      <c r="BO91" s="100">
        <v>6248.3086998202198</v>
      </c>
      <c r="BP91" s="100">
        <v>0.36173290421981741</v>
      </c>
      <c r="BQ91" s="100">
        <v>411.07327235540043</v>
      </c>
      <c r="BR91" s="100">
        <v>7.2664721239635801</v>
      </c>
      <c r="BS91" s="100">
        <v>8257.6189216722123</v>
      </c>
      <c r="BT91" s="100">
        <v>6.6221910180587651</v>
      </c>
      <c r="BU91" s="100">
        <v>7525.4578729219802</v>
      </c>
      <c r="BV91" s="100">
        <v>6.2551495580263685</v>
      </c>
      <c r="BW91" s="100">
        <v>7108.3519577411644</v>
      </c>
      <c r="BX91" s="100">
        <v>5.3422358387468423</v>
      </c>
      <c r="BY91" s="100">
        <v>6070.9168071519107</v>
      </c>
      <c r="BZ91" s="100">
        <v>3.2725616892985632</v>
      </c>
      <c r="CA91" s="100">
        <v>3718.9391037188866</v>
      </c>
      <c r="CB91" s="100">
        <v>5.1834630952875829</v>
      </c>
      <c r="CC91" s="100">
        <v>5890.4874614848086</v>
      </c>
      <c r="CD91" s="100">
        <v>5.2242557053869669</v>
      </c>
      <c r="CE91" s="100">
        <v>5936.8441836017482</v>
      </c>
      <c r="CF91" s="100">
        <v>2.6070015970718194E-4</v>
      </c>
      <c r="CG91" s="100">
        <v>0.2962596614912415</v>
      </c>
      <c r="CH91" s="100">
        <v>4.4104317168214022</v>
      </c>
      <c r="CI91" s="100">
        <v>5012.0146029958405</v>
      </c>
      <c r="CJ91" s="100">
        <v>3.5588937294694007</v>
      </c>
      <c r="CK91" s="100">
        <v>4044.3268341690264</v>
      </c>
      <c r="CL91" s="100">
        <v>6.6926371636854602</v>
      </c>
      <c r="CM91" s="100">
        <v>7605.5128728121563</v>
      </c>
      <c r="CN91" s="100">
        <v>0.35984843180952386</v>
      </c>
      <c r="CO91" s="100">
        <v>408.93175790834289</v>
      </c>
      <c r="CP91" s="100">
        <v>5.2304006807031538</v>
      </c>
      <c r="CQ91" s="100">
        <v>5943.827333551063</v>
      </c>
      <c r="CR91" s="100">
        <v>5.5436749207938893</v>
      </c>
      <c r="CS91" s="100">
        <v>6299.8321799901751</v>
      </c>
      <c r="CT91" s="100">
        <v>4.5128476263386581</v>
      </c>
      <c r="CU91" s="100">
        <v>5128.4000425712502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1.7830250636782277</v>
      </c>
      <c r="G92" s="100">
        <v>1399.3180699746729</v>
      </c>
      <c r="H92" s="100">
        <v>4.5273287758732073</v>
      </c>
      <c r="I92" s="100">
        <v>3553.0476233052927</v>
      </c>
      <c r="J92" s="100">
        <v>2.6431180058664787</v>
      </c>
      <c r="K92" s="100">
        <v>2074.3190110040123</v>
      </c>
      <c r="L92" s="100">
        <v>7.0161087352931508</v>
      </c>
      <c r="M92" s="100">
        <v>5506.2421354580647</v>
      </c>
      <c r="N92" s="100">
        <v>2.1625521992419099</v>
      </c>
      <c r="O92" s="100">
        <v>1697.1709659650508</v>
      </c>
      <c r="P92" s="100">
        <v>6.8478086693029576</v>
      </c>
      <c r="Q92" s="100">
        <v>5374.1602436689609</v>
      </c>
      <c r="R92" s="100">
        <v>1.5102962061899459</v>
      </c>
      <c r="S92" s="100">
        <v>1185.2804626178695</v>
      </c>
      <c r="T92" s="100">
        <v>3.0209028936780449</v>
      </c>
      <c r="U92" s="100">
        <v>2370.8045909585294</v>
      </c>
      <c r="V92" s="100">
        <v>6.0502284166373359</v>
      </c>
      <c r="W92" s="100">
        <v>4748.2192613769812</v>
      </c>
      <c r="X92" s="100">
        <v>4.7660336591925727</v>
      </c>
      <c r="Y92" s="100">
        <v>3740.3832157343309</v>
      </c>
      <c r="Z92" s="100">
        <v>3.251031678184757</v>
      </c>
      <c r="AA92" s="100">
        <v>2551.4096610393972</v>
      </c>
      <c r="AB92" s="100">
        <v>5.1847644666603498</v>
      </c>
      <c r="AC92" s="100">
        <v>4069.0031534350423</v>
      </c>
      <c r="AD92" s="100">
        <v>3.7859516616019362</v>
      </c>
      <c r="AE92" s="100">
        <v>2971.2148640251994</v>
      </c>
      <c r="AF92" s="100">
        <v>0.25483318410043365</v>
      </c>
      <c r="AG92" s="100">
        <v>199.99308288202033</v>
      </c>
      <c r="AH92" s="100">
        <v>5.3069073804337155</v>
      </c>
      <c r="AI92" s="100">
        <v>4164.8609121643794</v>
      </c>
      <c r="AJ92" s="100">
        <v>7.0999405116002592</v>
      </c>
      <c r="AK92" s="100">
        <v>5572.0333135038827</v>
      </c>
      <c r="AL92" s="100">
        <v>4</v>
      </c>
      <c r="AM92" s="100">
        <v>3139.2</v>
      </c>
      <c r="AN92" s="100">
        <v>0.77029141940636769</v>
      </c>
      <c r="AO92" s="100">
        <v>604.52470595011732</v>
      </c>
      <c r="AP92" s="100">
        <v>5.6754902101896114</v>
      </c>
      <c r="AQ92" s="100">
        <v>4454.1247169568069</v>
      </c>
      <c r="AR92" s="100">
        <v>5.2854340929950983</v>
      </c>
      <c r="AS92" s="100">
        <v>4148.0086761825532</v>
      </c>
      <c r="AT92" s="100">
        <v>4.3214873086331567</v>
      </c>
      <c r="AU92" s="100">
        <v>3391.5032398153012</v>
      </c>
      <c r="AV92" s="100">
        <v>0.41013287541800636</v>
      </c>
      <c r="AW92" s="100">
        <v>321.87228062805139</v>
      </c>
      <c r="AX92" s="100">
        <v>8.2715271410156888</v>
      </c>
      <c r="AY92" s="100">
        <v>6491.494500269112</v>
      </c>
      <c r="AZ92" s="100">
        <v>2.3284941397489107</v>
      </c>
      <c r="BA92" s="100">
        <v>1827.402200874945</v>
      </c>
      <c r="BB92" s="100">
        <v>5.6246941073281951</v>
      </c>
      <c r="BC92" s="100">
        <v>4414.2599354311669</v>
      </c>
      <c r="BD92" s="100">
        <v>8.3931816036543463</v>
      </c>
      <c r="BE92" s="100">
        <v>6586.9689225479306</v>
      </c>
      <c r="BF92" s="100">
        <v>5.5791898477235184</v>
      </c>
      <c r="BG92" s="100">
        <v>4378.5481924934174</v>
      </c>
      <c r="BH92" s="100">
        <v>5.3381137431922534</v>
      </c>
      <c r="BI92" s="100">
        <v>4189.3516656572801</v>
      </c>
      <c r="BJ92" s="100">
        <v>5.668480097623644</v>
      </c>
      <c r="BK92" s="100">
        <v>4448.6231806150354</v>
      </c>
      <c r="BL92" s="100">
        <v>3.9012380138217071</v>
      </c>
      <c r="BM92" s="100">
        <v>3061.6915932472757</v>
      </c>
      <c r="BN92" s="100">
        <v>5.498335709099103</v>
      </c>
      <c r="BO92" s="100">
        <v>4315.0938645009755</v>
      </c>
      <c r="BP92" s="100">
        <v>0.36406998314931743</v>
      </c>
      <c r="BQ92" s="100">
        <v>285.7221227755843</v>
      </c>
      <c r="BR92" s="100">
        <v>7.3108841446241764</v>
      </c>
      <c r="BS92" s="100">
        <v>5737.5818767010533</v>
      </c>
      <c r="BT92" s="100">
        <v>6.6221910180587651</v>
      </c>
      <c r="BU92" s="100">
        <v>5197.0955109725182</v>
      </c>
      <c r="BV92" s="100">
        <v>6.2551495580263685</v>
      </c>
      <c r="BW92" s="100">
        <v>4909.0413731390936</v>
      </c>
      <c r="BX92" s="100">
        <v>5.3422358387468423</v>
      </c>
      <c r="BY92" s="100">
        <v>4192.5866862485218</v>
      </c>
      <c r="BZ92" s="100">
        <v>4.0907021116232043</v>
      </c>
      <c r="CA92" s="100">
        <v>3210.3830172018907</v>
      </c>
      <c r="CB92" s="100">
        <v>5.1834630952875829</v>
      </c>
      <c r="CC92" s="100">
        <v>4067.9818371816946</v>
      </c>
      <c r="CD92" s="100">
        <v>4.5814693382425977</v>
      </c>
      <c r="CE92" s="100">
        <v>3595.5371366527907</v>
      </c>
      <c r="CF92" s="100">
        <v>2.6070015970718194E-4</v>
      </c>
      <c r="CG92" s="100">
        <v>0.20459748533819638</v>
      </c>
      <c r="CH92" s="100">
        <v>4.4104317168214022</v>
      </c>
      <c r="CI92" s="100">
        <v>3461.3068113614363</v>
      </c>
      <c r="CJ92" s="100">
        <v>4.0960978082108941</v>
      </c>
      <c r="CK92" s="100">
        <v>3214.6175598839095</v>
      </c>
      <c r="CL92" s="100">
        <v>6.7721756745065127</v>
      </c>
      <c r="CM92" s="100">
        <v>5314.8034693527106</v>
      </c>
      <c r="CN92" s="100">
        <v>0.35937030869875214</v>
      </c>
      <c r="CO92" s="100">
        <v>282.03381826678066</v>
      </c>
      <c r="CP92" s="100">
        <v>5.2764808168437849</v>
      </c>
      <c r="CQ92" s="100">
        <v>4140.9821450590025</v>
      </c>
      <c r="CR92" s="100">
        <v>6.3356284809073022</v>
      </c>
      <c r="CS92" s="100">
        <v>4972.2012318160505</v>
      </c>
      <c r="CT92" s="100">
        <v>5.0769535796309899</v>
      </c>
      <c r="CU92" s="100">
        <v>3984.3931692944006</v>
      </c>
    </row>
    <row r="93" spans="2:99">
      <c r="C93" s="99" t="s">
        <v>259</v>
      </c>
      <c r="D93" s="100">
        <v>5</v>
      </c>
      <c r="E93" s="100">
        <v>3468</v>
      </c>
      <c r="F93" s="100">
        <v>1.7830250636782277</v>
      </c>
      <c r="G93" s="100">
        <v>1236.7061841672187</v>
      </c>
      <c r="H93" s="100">
        <v>4.5273287758732073</v>
      </c>
      <c r="I93" s="100">
        <v>3140.1552389456565</v>
      </c>
      <c r="J93" s="100">
        <v>2.340476025111319</v>
      </c>
      <c r="K93" s="100">
        <v>1623.354171017211</v>
      </c>
      <c r="L93" s="100">
        <v>6.0161087352931508</v>
      </c>
      <c r="M93" s="100">
        <v>4172.7730187993293</v>
      </c>
      <c r="N93" s="100">
        <v>1.8230460432027611</v>
      </c>
      <c r="O93" s="100">
        <v>1264.4647355654351</v>
      </c>
      <c r="P93" s="100">
        <v>6.8478086693029576</v>
      </c>
      <c r="Q93" s="100">
        <v>4749.6400930285317</v>
      </c>
      <c r="R93" s="100">
        <v>1.5849044206414582</v>
      </c>
      <c r="S93" s="100">
        <v>1099.2897061569154</v>
      </c>
      <c r="T93" s="100">
        <v>3.5100060606701176</v>
      </c>
      <c r="U93" s="100">
        <v>2434.5402036807936</v>
      </c>
      <c r="V93" s="100">
        <v>5.3473576984684241</v>
      </c>
      <c r="W93" s="100">
        <v>3708.9272996576992</v>
      </c>
      <c r="X93" s="100">
        <v>4.7660336591925727</v>
      </c>
      <c r="Y93" s="100">
        <v>3305.7209460159684</v>
      </c>
      <c r="Z93" s="100">
        <v>4.0637895977309464</v>
      </c>
      <c r="AA93" s="100">
        <v>2818.6444649861846</v>
      </c>
      <c r="AB93" s="100">
        <v>4.6735160628926407</v>
      </c>
      <c r="AC93" s="100">
        <v>3241.5507412223355</v>
      </c>
      <c r="AD93" s="100">
        <v>4.6842800883082338</v>
      </c>
      <c r="AE93" s="100">
        <v>3249.0166692505909</v>
      </c>
      <c r="AF93" s="100">
        <v>0.30459447963797082</v>
      </c>
      <c r="AG93" s="100">
        <v>211.26673107689658</v>
      </c>
      <c r="AH93" s="100">
        <v>4.6921537912119833</v>
      </c>
      <c r="AI93" s="100">
        <v>3254.4778695846317</v>
      </c>
      <c r="AJ93" s="100">
        <v>6.083283759666883</v>
      </c>
      <c r="AK93" s="100">
        <v>4219.36561570495</v>
      </c>
      <c r="AL93" s="100">
        <v>5</v>
      </c>
      <c r="AM93" s="100">
        <v>3468</v>
      </c>
      <c r="AN93" s="100">
        <v>0.77029141940636769</v>
      </c>
      <c r="AO93" s="100">
        <v>534.27412850025667</v>
      </c>
      <c r="AP93" s="100">
        <v>5.6754902101896114</v>
      </c>
      <c r="AQ93" s="100">
        <v>3936.5200097875145</v>
      </c>
      <c r="AR93" s="100">
        <v>5.9326728516434013</v>
      </c>
      <c r="AS93" s="100">
        <v>4114.9018898998629</v>
      </c>
      <c r="AT93" s="100">
        <v>3.6791312322217866</v>
      </c>
      <c r="AU93" s="100">
        <v>2551.8454226690314</v>
      </c>
      <c r="AV93" s="100">
        <v>0.41013287541800636</v>
      </c>
      <c r="AW93" s="100">
        <v>284.4681623899292</v>
      </c>
      <c r="AX93" s="100">
        <v>8.2715271410156888</v>
      </c>
      <c r="AY93" s="100">
        <v>5737.131225008482</v>
      </c>
      <c r="AZ93" s="100">
        <v>2.0105738626460039</v>
      </c>
      <c r="BA93" s="100">
        <v>1394.5340311312684</v>
      </c>
      <c r="BB93" s="100">
        <v>4.5354520919955954</v>
      </c>
      <c r="BC93" s="100">
        <v>3145.7895710081452</v>
      </c>
      <c r="BD93" s="100">
        <v>7.460605869914974</v>
      </c>
      <c r="BE93" s="100">
        <v>5174.676231373026</v>
      </c>
      <c r="BF93" s="100">
        <v>5.5791898477235184</v>
      </c>
      <c r="BG93" s="100">
        <v>3869.7260783810325</v>
      </c>
      <c r="BH93" s="100">
        <v>5.3381137431922534</v>
      </c>
      <c r="BI93" s="100">
        <v>3702.5156922781471</v>
      </c>
      <c r="BJ93" s="100">
        <v>4.7237334146863699</v>
      </c>
      <c r="BK93" s="100">
        <v>3276.3814964264661</v>
      </c>
      <c r="BL93" s="100">
        <v>3.9012380138217071</v>
      </c>
      <c r="BM93" s="100">
        <v>2705.8986863867362</v>
      </c>
      <c r="BN93" s="100">
        <v>5.498335709099103</v>
      </c>
      <c r="BO93" s="100">
        <v>3813.6456478311379</v>
      </c>
      <c r="BP93" s="100">
        <v>0.41968464266028699</v>
      </c>
      <c r="BQ93" s="100">
        <v>291.09326814917506</v>
      </c>
      <c r="BR93" s="100">
        <v>7.2664721239635801</v>
      </c>
      <c r="BS93" s="100">
        <v>5040.0250651811393</v>
      </c>
      <c r="BT93" s="100">
        <v>6.6221910180587651</v>
      </c>
      <c r="BU93" s="100">
        <v>4593.15169012556</v>
      </c>
      <c r="BV93" s="100">
        <v>7.0370432527796645</v>
      </c>
      <c r="BW93" s="100">
        <v>4880.8932001279754</v>
      </c>
      <c r="BX93" s="100">
        <v>5.3422358387468423</v>
      </c>
      <c r="BY93" s="100">
        <v>3705.3747777548101</v>
      </c>
      <c r="BZ93" s="100">
        <v>4.0907021116232043</v>
      </c>
      <c r="CA93" s="100">
        <v>2837.3109846218545</v>
      </c>
      <c r="CB93" s="100">
        <v>5.1834630952875829</v>
      </c>
      <c r="CC93" s="100">
        <v>3595.2500028914674</v>
      </c>
      <c r="CD93" s="100">
        <v>4.5377547951855233</v>
      </c>
      <c r="CE93" s="100">
        <v>3147.3867259406788</v>
      </c>
      <c r="CF93" s="100">
        <v>3.1284019164861835E-4</v>
      </c>
      <c r="CG93" s="100">
        <v>0.21698595692748171</v>
      </c>
      <c r="CH93" s="100">
        <v>5.1418793850079298</v>
      </c>
      <c r="CI93" s="100">
        <v>3566.4075414415001</v>
      </c>
      <c r="CJ93" s="100">
        <v>4.2195673444763573</v>
      </c>
      <c r="CK93" s="100">
        <v>2926.6919101288013</v>
      </c>
      <c r="CL93" s="100">
        <v>6.6926371636854602</v>
      </c>
      <c r="CM93" s="100">
        <v>4642.0131367322356</v>
      </c>
      <c r="CN93" s="100">
        <v>0.30926115259805781</v>
      </c>
      <c r="CO93" s="100">
        <v>214.50353544201289</v>
      </c>
      <c r="CP93" s="100">
        <v>5.2304006807031538</v>
      </c>
      <c r="CQ93" s="100">
        <v>3627.8059121357078</v>
      </c>
      <c r="CR93" s="100">
        <v>5.5436749207938893</v>
      </c>
      <c r="CS93" s="100">
        <v>3845.0929250626418</v>
      </c>
      <c r="CT93" s="100">
        <v>5.0769535796309899</v>
      </c>
      <c r="CU93" s="100">
        <v>3521.3750028320546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1.7830250636782277</v>
      </c>
      <c r="G94" s="100">
        <v>2126.7922959553898</v>
      </c>
      <c r="H94" s="100">
        <v>4.5273287758732073</v>
      </c>
      <c r="I94" s="100">
        <v>5400.1977638615617</v>
      </c>
      <c r="J94" s="100">
        <v>2.0061223072382735</v>
      </c>
      <c r="K94" s="100">
        <v>2392.9026880738124</v>
      </c>
      <c r="L94" s="100">
        <v>7.0161087352931508</v>
      </c>
      <c r="M94" s="100">
        <v>8368.8144994576705</v>
      </c>
      <c r="N94" s="100">
        <v>2.1625521992419099</v>
      </c>
      <c r="O94" s="100">
        <v>2579.49226325575</v>
      </c>
      <c r="P94" s="100">
        <v>5.8478086693029576</v>
      </c>
      <c r="Q94" s="100">
        <v>6975.2661807445675</v>
      </c>
      <c r="R94" s="100">
        <v>1.2082369649519566</v>
      </c>
      <c r="S94" s="100">
        <v>1441.1850517946939</v>
      </c>
      <c r="T94" s="100">
        <v>3.0252362340179149</v>
      </c>
      <c r="U94" s="100">
        <v>3608.5017799365687</v>
      </c>
      <c r="V94" s="100">
        <v>5.3473576984684241</v>
      </c>
      <c r="W94" s="100">
        <v>6378.3282627331364</v>
      </c>
      <c r="X94" s="100">
        <v>3.9616305093122719</v>
      </c>
      <c r="Y94" s="100">
        <v>4725.4328715076781</v>
      </c>
      <c r="Z94" s="100">
        <v>3.251031678184757</v>
      </c>
      <c r="AA94" s="100">
        <v>3877.8305857387782</v>
      </c>
      <c r="AB94" s="100">
        <v>4.6006845096733873</v>
      </c>
      <c r="AC94" s="100">
        <v>5487.6964831384157</v>
      </c>
      <c r="AD94" s="100">
        <v>3.7859516616019362</v>
      </c>
      <c r="AE94" s="100">
        <v>4515.8831419587896</v>
      </c>
      <c r="AF94" s="100">
        <v>0.30459447963797082</v>
      </c>
      <c r="AG94" s="100">
        <v>363.3202953121716</v>
      </c>
      <c r="AH94" s="100">
        <v>4.6619938817120987</v>
      </c>
      <c r="AI94" s="100">
        <v>5560.8263021061912</v>
      </c>
      <c r="AJ94" s="100">
        <v>6.0999405116002592</v>
      </c>
      <c r="AK94" s="100">
        <v>7276.0090422367884</v>
      </c>
      <c r="AL94" s="100">
        <v>5</v>
      </c>
      <c r="AM94" s="100">
        <v>5964</v>
      </c>
      <c r="AN94" s="100">
        <v>0.77029141940636769</v>
      </c>
      <c r="AO94" s="100">
        <v>918.80360506791533</v>
      </c>
      <c r="AP94" s="100">
        <v>4.6628003219044798</v>
      </c>
      <c r="AQ94" s="100">
        <v>5561.7882239676637</v>
      </c>
      <c r="AR94" s="100">
        <v>5.1887225089909128</v>
      </c>
      <c r="AS94" s="100">
        <v>6189.1082087243603</v>
      </c>
      <c r="AT94" s="100">
        <v>3.6816438712011688</v>
      </c>
      <c r="AU94" s="100">
        <v>4391.4648095687535</v>
      </c>
      <c r="AV94" s="100">
        <v>0.35905121976531074</v>
      </c>
      <c r="AW94" s="100">
        <v>428.27629493606264</v>
      </c>
      <c r="AX94" s="100">
        <v>8.2715271410156888</v>
      </c>
      <c r="AY94" s="100">
        <v>9866.2775738035125</v>
      </c>
      <c r="AZ94" s="100">
        <v>1.9075216626174383</v>
      </c>
      <c r="BA94" s="100">
        <v>2275.2918391700805</v>
      </c>
      <c r="BB94" s="100">
        <v>4.5354520919955954</v>
      </c>
      <c r="BC94" s="100">
        <v>5409.8872553323463</v>
      </c>
      <c r="BD94" s="100">
        <v>8.3931816036543463</v>
      </c>
      <c r="BE94" s="100">
        <v>10011.387016838904</v>
      </c>
      <c r="BF94" s="100">
        <v>5.5791898477235184</v>
      </c>
      <c r="BG94" s="100">
        <v>6654.8576503646127</v>
      </c>
      <c r="BH94" s="100">
        <v>5.3381137431922534</v>
      </c>
      <c r="BI94" s="100">
        <v>6367.3020728797192</v>
      </c>
      <c r="BJ94" s="100">
        <v>4.7237334146863699</v>
      </c>
      <c r="BK94" s="100">
        <v>5634.4692170379021</v>
      </c>
      <c r="BL94" s="100">
        <v>3.2510316781847557</v>
      </c>
      <c r="BM94" s="100">
        <v>3877.8305857387763</v>
      </c>
      <c r="BN94" s="100">
        <v>4.7128591792278023</v>
      </c>
      <c r="BO94" s="100">
        <v>5621.4984289829226</v>
      </c>
      <c r="BP94" s="100">
        <v>0.36173290421981741</v>
      </c>
      <c r="BQ94" s="100">
        <v>431.47500815339816</v>
      </c>
      <c r="BR94" s="100">
        <v>6.3108841446241764</v>
      </c>
      <c r="BS94" s="100">
        <v>7527.6226077077172</v>
      </c>
      <c r="BT94" s="100">
        <v>6.6221910180587651</v>
      </c>
      <c r="BU94" s="100">
        <v>7898.9494463404944</v>
      </c>
      <c r="BV94" s="100">
        <v>6.2551495580263685</v>
      </c>
      <c r="BW94" s="100">
        <v>7461.142392813852</v>
      </c>
      <c r="BX94" s="100">
        <v>4.6744563589034867</v>
      </c>
      <c r="BY94" s="100">
        <v>5575.691544900079</v>
      </c>
      <c r="BZ94" s="100">
        <v>3.2725616892985632</v>
      </c>
      <c r="CA94" s="100">
        <v>3903.5115829953261</v>
      </c>
      <c r="CB94" s="100">
        <v>5.1834630952875829</v>
      </c>
      <c r="CC94" s="100">
        <v>6182.8347800590282</v>
      </c>
      <c r="CD94" s="100">
        <v>4.5377547951855233</v>
      </c>
      <c r="CE94" s="100">
        <v>5412.6339196972922</v>
      </c>
      <c r="CF94" s="100">
        <v>2.6070015970718194E-4</v>
      </c>
      <c r="CG94" s="100">
        <v>0.31096315049872658</v>
      </c>
      <c r="CH94" s="100">
        <v>4.4104317168214022</v>
      </c>
      <c r="CI94" s="100">
        <v>5260.7629518245685</v>
      </c>
      <c r="CJ94" s="100">
        <v>3.5588937294694007</v>
      </c>
      <c r="CK94" s="100">
        <v>4245.048440511101</v>
      </c>
      <c r="CL94" s="100">
        <v>6.0020364860455544</v>
      </c>
      <c r="CM94" s="100">
        <v>7159.2291205551373</v>
      </c>
      <c r="CN94" s="100">
        <v>0.35937030869875214</v>
      </c>
      <c r="CO94" s="100">
        <v>428.65690421587152</v>
      </c>
      <c r="CP94" s="100">
        <v>5.2304006807031538</v>
      </c>
      <c r="CQ94" s="100">
        <v>6238.8219319427217</v>
      </c>
      <c r="CR94" s="100">
        <v>5.5436749207938893</v>
      </c>
      <c r="CS94" s="100">
        <v>6612.4954455229508</v>
      </c>
      <c r="CT94" s="100">
        <v>5.0769535796309899</v>
      </c>
      <c r="CU94" s="100">
        <v>6055.7902297838446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2.5540138970435491</v>
      </c>
      <c r="G95" s="100">
        <v>839.75976934791902</v>
      </c>
      <c r="H95" s="100">
        <v>6.9026911619578684</v>
      </c>
      <c r="I95" s="100">
        <v>2269.6048540517472</v>
      </c>
      <c r="J95" s="100">
        <v>3.6461791594856163</v>
      </c>
      <c r="K95" s="100">
        <v>1198.8637076388707</v>
      </c>
      <c r="L95" s="100">
        <v>11.354811647057534</v>
      </c>
      <c r="M95" s="100">
        <v>3733.4620695525173</v>
      </c>
      <c r="N95" s="100">
        <v>3.9228406109411624</v>
      </c>
      <c r="O95" s="100">
        <v>1289.8299928774543</v>
      </c>
      <c r="P95" s="100">
        <v>9.9891101141867846</v>
      </c>
      <c r="Q95" s="100">
        <v>3284.4194055446151</v>
      </c>
      <c r="R95" s="100">
        <v>3.0858746000249653</v>
      </c>
      <c r="S95" s="100">
        <v>1014.6355684882086</v>
      </c>
      <c r="T95" s="100">
        <v>5.5695388056578023</v>
      </c>
      <c r="U95" s="100">
        <v>1831.2643593002854</v>
      </c>
      <c r="V95" s="100">
        <v>6.9297168629873109</v>
      </c>
      <c r="W95" s="100">
        <v>2278.4909045502277</v>
      </c>
      <c r="X95" s="100">
        <v>7.738878784588394</v>
      </c>
      <c r="Y95" s="100">
        <v>2544.5433443726638</v>
      </c>
      <c r="Z95" s="100">
        <v>7.314821275915703</v>
      </c>
      <c r="AA95" s="100">
        <v>2405.1132355210834</v>
      </c>
      <c r="AB95" s="100">
        <v>7.1942051595406689</v>
      </c>
      <c r="AC95" s="100">
        <v>2365.4546564569719</v>
      </c>
      <c r="AD95" s="100">
        <v>6.6090020575662951</v>
      </c>
      <c r="AE95" s="100">
        <v>2173.0398765277978</v>
      </c>
      <c r="AF95" s="100">
        <v>0.5023003936963979</v>
      </c>
      <c r="AG95" s="100">
        <v>165.15636944737562</v>
      </c>
      <c r="AH95" s="100">
        <v>7.3231671659500179</v>
      </c>
      <c r="AI95" s="100">
        <v>2407.8573641643661</v>
      </c>
      <c r="AJ95" s="100">
        <v>11.099940511600259</v>
      </c>
      <c r="AK95" s="100">
        <v>3649.6604402141652</v>
      </c>
      <c r="AL95" s="100">
        <v>8</v>
      </c>
      <c r="AM95" s="100">
        <v>2630.4</v>
      </c>
      <c r="AN95" s="100">
        <v>0.66501008170146636</v>
      </c>
      <c r="AO95" s="100">
        <v>218.65531486344216</v>
      </c>
      <c r="AP95" s="100">
        <v>5.681228916454641</v>
      </c>
      <c r="AQ95" s="100">
        <v>1867.988067730286</v>
      </c>
      <c r="AR95" s="100">
        <v>6.3815553086819454</v>
      </c>
      <c r="AS95" s="100">
        <v>2098.2553854946236</v>
      </c>
      <c r="AT95" s="100">
        <v>7.3582624644435732</v>
      </c>
      <c r="AU95" s="100">
        <v>2419.3966983090468</v>
      </c>
      <c r="AV95" s="100">
        <v>0.4617077411361824</v>
      </c>
      <c r="AW95" s="100">
        <v>151.80950528557679</v>
      </c>
      <c r="AX95" s="100">
        <v>7.2715271410156896</v>
      </c>
      <c r="AY95" s="100">
        <v>2390.8781239659588</v>
      </c>
      <c r="AZ95" s="100">
        <v>2.2254419397203447</v>
      </c>
      <c r="BA95" s="100">
        <v>731.72530978004932</v>
      </c>
      <c r="BB95" s="100">
        <v>11.803178137993394</v>
      </c>
      <c r="BC95" s="100">
        <v>3880.8849717722278</v>
      </c>
      <c r="BD95" s="100">
        <v>6.5280301361756026</v>
      </c>
      <c r="BE95" s="100">
        <v>2146.4163087745383</v>
      </c>
      <c r="BF95" s="100">
        <v>7.1732440899302388</v>
      </c>
      <c r="BG95" s="100">
        <v>2358.5626567690624</v>
      </c>
      <c r="BH95" s="100">
        <v>6.1007014207911467</v>
      </c>
      <c r="BI95" s="100">
        <v>2005.9106271561291</v>
      </c>
      <c r="BJ95" s="100">
        <v>6.7358534768359402</v>
      </c>
      <c r="BK95" s="100">
        <v>2214.7486231836574</v>
      </c>
      <c r="BL95" s="100">
        <v>7.8024760276434142</v>
      </c>
      <c r="BM95" s="100">
        <v>2565.4541178891545</v>
      </c>
      <c r="BN95" s="100">
        <v>7.0692887688417043</v>
      </c>
      <c r="BO95" s="100">
        <v>2324.3821471951524</v>
      </c>
      <c r="BP95" s="100">
        <v>0.48231053895975651</v>
      </c>
      <c r="BQ95" s="100">
        <v>158.58370520996795</v>
      </c>
      <c r="BR95" s="100">
        <v>7.2664721239635801</v>
      </c>
      <c r="BS95" s="100">
        <v>2389.2160343592254</v>
      </c>
      <c r="BT95" s="100">
        <v>9.4602728829410943</v>
      </c>
      <c r="BU95" s="100">
        <v>3110.5377239110321</v>
      </c>
      <c r="BV95" s="100">
        <v>5.4732558632730726</v>
      </c>
      <c r="BW95" s="100">
        <v>1799.6065278441863</v>
      </c>
      <c r="BX95" s="100">
        <v>7.3455742782769082</v>
      </c>
      <c r="BY95" s="100">
        <v>2415.2248226974475</v>
      </c>
      <c r="BZ95" s="100">
        <v>8.1814042232464086</v>
      </c>
      <c r="CA95" s="100">
        <v>2690.0457086034194</v>
      </c>
      <c r="CB95" s="100">
        <v>6.0473736111688465</v>
      </c>
      <c r="CC95" s="100">
        <v>1988.3764433523168</v>
      </c>
      <c r="CD95" s="100">
        <v>7.1307575352915373</v>
      </c>
      <c r="CE95" s="100">
        <v>2344.5930776038576</v>
      </c>
      <c r="CF95" s="100">
        <v>6.7782041523867297E-4</v>
      </c>
      <c r="CG95" s="100">
        <v>0.22286735253047568</v>
      </c>
      <c r="CH95" s="100">
        <v>7.3579680972697501</v>
      </c>
      <c r="CI95" s="100">
        <v>2419.299910382294</v>
      </c>
      <c r="CJ95" s="100">
        <v>7.4796149318634768</v>
      </c>
      <c r="CK95" s="100">
        <v>2459.2973895967111</v>
      </c>
      <c r="CL95" s="100">
        <v>5.5248054211192441</v>
      </c>
      <c r="CM95" s="100">
        <v>1816.5560224640076</v>
      </c>
      <c r="CN95" s="100">
        <v>0.51208839255469396</v>
      </c>
      <c r="CO95" s="100">
        <v>168.37466347198338</v>
      </c>
      <c r="CP95" s="100">
        <v>8.2764808168437849</v>
      </c>
      <c r="CQ95" s="100">
        <v>2721.3068925782368</v>
      </c>
      <c r="CR95" s="100">
        <v>10.295396281474366</v>
      </c>
      <c r="CS95" s="100">
        <v>3385.1262973487715</v>
      </c>
      <c r="CT95" s="100">
        <v>7.8974833460926517</v>
      </c>
      <c r="CU95" s="100">
        <v>2596.692524195264</v>
      </c>
    </row>
    <row r="96" spans="2:99">
      <c r="C96" s="99" t="s">
        <v>262</v>
      </c>
      <c r="D96" s="100">
        <v>7</v>
      </c>
      <c r="E96" s="100">
        <v>4863.5999999999995</v>
      </c>
      <c r="F96" s="100">
        <v>2.5300905757822645</v>
      </c>
      <c r="G96" s="100">
        <v>1757.9069320535173</v>
      </c>
      <c r="H96" s="100">
        <v>7.6572459579367358</v>
      </c>
      <c r="I96" s="100">
        <v>5320.2544915744438</v>
      </c>
      <c r="J96" s="100">
        <v>3.6461791594856163</v>
      </c>
      <c r="K96" s="100">
        <v>2533.3652800106061</v>
      </c>
      <c r="L96" s="100">
        <v>9.3548116470575344</v>
      </c>
      <c r="M96" s="100">
        <v>6499.7231323755741</v>
      </c>
      <c r="N96" s="100">
        <v>4.2780361748561875</v>
      </c>
      <c r="O96" s="100">
        <v>2972.3795342900789</v>
      </c>
      <c r="P96" s="100">
        <v>9.9891101141867846</v>
      </c>
      <c r="Q96" s="100">
        <v>6940.4337073369779</v>
      </c>
      <c r="R96" s="100">
        <v>2.7931413855934153</v>
      </c>
      <c r="S96" s="100">
        <v>1940.6746347103049</v>
      </c>
      <c r="T96" s="100">
        <v>5.5695388056578023</v>
      </c>
      <c r="U96" s="100">
        <v>3869.7155621710408</v>
      </c>
      <c r="V96" s="100">
        <v>6.135680950894546</v>
      </c>
      <c r="W96" s="100">
        <v>4263.0711246815299</v>
      </c>
      <c r="X96" s="100">
        <v>6.8159616723857308</v>
      </c>
      <c r="Y96" s="100">
        <v>4735.7301699736054</v>
      </c>
      <c r="Z96" s="100">
        <v>8.1275791954618928</v>
      </c>
      <c r="AA96" s="100">
        <v>5647.0420250069228</v>
      </c>
      <c r="AB96" s="100">
        <v>6.0658627192098677</v>
      </c>
      <c r="AC96" s="100">
        <v>4214.5614173070162</v>
      </c>
      <c r="AD96" s="100">
        <v>6.6151335266089912</v>
      </c>
      <c r="AE96" s="100">
        <v>4596.1947742879265</v>
      </c>
      <c r="AF96" s="100">
        <v>0.5023003936963979</v>
      </c>
      <c r="AG96" s="100">
        <v>348.99831354025724</v>
      </c>
      <c r="AH96" s="100">
        <v>6.6493738204639738</v>
      </c>
      <c r="AI96" s="100">
        <v>4619.9849304583686</v>
      </c>
      <c r="AJ96" s="100">
        <v>10.099940511600259</v>
      </c>
      <c r="AK96" s="100">
        <v>7017.43866745986</v>
      </c>
      <c r="AL96" s="100">
        <v>7</v>
      </c>
      <c r="AM96" s="100">
        <v>4863.5999999999995</v>
      </c>
      <c r="AN96" s="100">
        <v>0.76001152194453292</v>
      </c>
      <c r="AO96" s="100">
        <v>528.05600544706147</v>
      </c>
      <c r="AP96" s="100">
        <v>6.5966031568699028</v>
      </c>
      <c r="AQ96" s="100">
        <v>4583.3198733932086</v>
      </c>
      <c r="AR96" s="100">
        <v>6.4989455996933971</v>
      </c>
      <c r="AS96" s="100">
        <v>4515.4674026669718</v>
      </c>
      <c r="AT96" s="100">
        <v>7.2376557934332677</v>
      </c>
      <c r="AU96" s="100">
        <v>5028.7232452774342</v>
      </c>
      <c r="AV96" s="100">
        <v>0.41062608548348678</v>
      </c>
      <c r="AW96" s="100">
        <v>285.3030041939266</v>
      </c>
      <c r="AX96" s="100">
        <v>7.3103167325893592</v>
      </c>
      <c r="AY96" s="100">
        <v>5079.2080658030864</v>
      </c>
      <c r="AZ96" s="100">
        <v>2.2254419397203447</v>
      </c>
      <c r="BA96" s="100">
        <v>1546.2370597176953</v>
      </c>
      <c r="BB96" s="100">
        <v>13</v>
      </c>
      <c r="BC96" s="100">
        <v>9032.4</v>
      </c>
      <c r="BD96" s="100">
        <v>7.460605869914974</v>
      </c>
      <c r="BE96" s="100">
        <v>5183.6289584169235</v>
      </c>
      <c r="BF96" s="100">
        <v>5.5791898477235184</v>
      </c>
      <c r="BG96" s="100">
        <v>3876.4211061983005</v>
      </c>
      <c r="BH96" s="100">
        <v>6.1007014207911467</v>
      </c>
      <c r="BI96" s="100">
        <v>4238.7673471656881</v>
      </c>
      <c r="BJ96" s="100">
        <v>6.6132267805609182</v>
      </c>
      <c r="BK96" s="100">
        <v>4594.8699671337254</v>
      </c>
      <c r="BL96" s="100">
        <v>7.1522696920064632</v>
      </c>
      <c r="BM96" s="100">
        <v>4969.3969820060902</v>
      </c>
      <c r="BN96" s="100">
        <v>6.2838122389704036</v>
      </c>
      <c r="BO96" s="100">
        <v>4365.9927436366361</v>
      </c>
      <c r="BP96" s="100">
        <v>0.47997346003025654</v>
      </c>
      <c r="BQ96" s="100">
        <v>333.48556002902222</v>
      </c>
      <c r="BR96" s="100">
        <v>7.2664721239635801</v>
      </c>
      <c r="BS96" s="100">
        <v>5048.7448317298949</v>
      </c>
      <c r="BT96" s="100">
        <v>8.5142455946469848</v>
      </c>
      <c r="BU96" s="100">
        <v>5915.6978391607245</v>
      </c>
      <c r="BV96" s="100">
        <v>4.6913621685197766</v>
      </c>
      <c r="BW96" s="100">
        <v>3259.5584346875407</v>
      </c>
      <c r="BX96" s="100">
        <v>6.6777947984335526</v>
      </c>
      <c r="BY96" s="100">
        <v>4639.7318259516323</v>
      </c>
      <c r="BZ96" s="100">
        <v>7.363263800921767</v>
      </c>
      <c r="CA96" s="100">
        <v>5115.9956888804436</v>
      </c>
      <c r="CB96" s="100">
        <v>6.9112841270501102</v>
      </c>
      <c r="CC96" s="100">
        <v>4801.9602114744166</v>
      </c>
      <c r="CD96" s="100">
        <v>7.1307575352915373</v>
      </c>
      <c r="CE96" s="100">
        <v>4954.4503355205597</v>
      </c>
      <c r="CF96" s="100">
        <v>5.7354035135580024E-4</v>
      </c>
      <c r="CG96" s="100">
        <v>0.39849583612201001</v>
      </c>
      <c r="CH96" s="100">
        <v>7.3507195280356701</v>
      </c>
      <c r="CI96" s="100">
        <v>5107.2799280791833</v>
      </c>
      <c r="CJ96" s="100">
        <v>7.4796149318634768</v>
      </c>
      <c r="CK96" s="100">
        <v>5196.8364546587436</v>
      </c>
      <c r="CL96" s="100">
        <v>5.4705128300477526</v>
      </c>
      <c r="CM96" s="100">
        <v>3800.9123143171782</v>
      </c>
      <c r="CN96" s="100">
        <v>0.46150111334322791</v>
      </c>
      <c r="CO96" s="100">
        <v>320.65097355087471</v>
      </c>
      <c r="CP96" s="100">
        <v>8.2764808168437849</v>
      </c>
      <c r="CQ96" s="100">
        <v>5750.4988715430618</v>
      </c>
      <c r="CR96" s="100">
        <v>10.295396281474366</v>
      </c>
      <c r="CS96" s="100">
        <v>7153.2413363683891</v>
      </c>
      <c r="CT96" s="100">
        <v>6.7692714395079872</v>
      </c>
      <c r="CU96" s="100">
        <v>4703.2897961701492</v>
      </c>
    </row>
    <row r="97" spans="2:99">
      <c r="C97" s="99" t="s">
        <v>263</v>
      </c>
      <c r="D97" s="100">
        <v>7</v>
      </c>
      <c r="E97" s="100">
        <v>2746.7999999999997</v>
      </c>
      <c r="F97" s="100">
        <v>2.8925687633710142</v>
      </c>
      <c r="G97" s="100">
        <v>1135.043982746786</v>
      </c>
      <c r="H97" s="100">
        <v>7.6572459579367358</v>
      </c>
      <c r="I97" s="100">
        <v>3004.7033138943748</v>
      </c>
      <c r="J97" s="100">
        <v>3.6461791594856163</v>
      </c>
      <c r="K97" s="100">
        <v>1430.7607021821557</v>
      </c>
      <c r="L97" s="100">
        <v>10.524163102939726</v>
      </c>
      <c r="M97" s="100">
        <v>4129.6816015935483</v>
      </c>
      <c r="N97" s="100">
        <v>3.9385300188170391</v>
      </c>
      <c r="O97" s="100">
        <v>1545.479179383806</v>
      </c>
      <c r="P97" s="100">
        <v>10.989110114186785</v>
      </c>
      <c r="Q97" s="100">
        <v>4312.1268088068937</v>
      </c>
      <c r="R97" s="100">
        <v>3.0952006268314043</v>
      </c>
      <c r="S97" s="100">
        <v>1214.5567259686429</v>
      </c>
      <c r="T97" s="100">
        <v>5.1748890350053873</v>
      </c>
      <c r="U97" s="100">
        <v>2030.6264573361138</v>
      </c>
      <c r="V97" s="100">
        <v>6.838551669063456</v>
      </c>
      <c r="W97" s="100">
        <v>2683.4476749404998</v>
      </c>
      <c r="X97" s="100">
        <v>6.9344756347080931</v>
      </c>
      <c r="Y97" s="100">
        <v>2721.0882390594556</v>
      </c>
      <c r="Z97" s="100">
        <v>7.314821275915703</v>
      </c>
      <c r="AA97" s="100">
        <v>2870.3358686693218</v>
      </c>
      <c r="AB97" s="100">
        <v>6.5884952883486552</v>
      </c>
      <c r="AC97" s="100">
        <v>2585.325551148012</v>
      </c>
      <c r="AD97" s="100">
        <v>6.6090020575662951</v>
      </c>
      <c r="AE97" s="100">
        <v>2593.3724073890139</v>
      </c>
      <c r="AF97" s="100">
        <v>0.60182298477147222</v>
      </c>
      <c r="AG97" s="100">
        <v>236.1553392243257</v>
      </c>
      <c r="AH97" s="100">
        <v>6.6493738204639738</v>
      </c>
      <c r="AI97" s="100">
        <v>2609.2142871500632</v>
      </c>
      <c r="AJ97" s="100">
        <v>10</v>
      </c>
      <c r="AK97" s="100">
        <v>3924</v>
      </c>
      <c r="AL97" s="100">
        <v>7</v>
      </c>
      <c r="AM97" s="100">
        <v>2746.7999999999997</v>
      </c>
      <c r="AN97" s="100">
        <v>0.85501296218759959</v>
      </c>
      <c r="AO97" s="100">
        <v>335.50708636241404</v>
      </c>
      <c r="AP97" s="100">
        <v>6.5966031568699028</v>
      </c>
      <c r="AQ97" s="100">
        <v>2588.5070787557497</v>
      </c>
      <c r="AR97" s="100">
        <v>6.3815553086819454</v>
      </c>
      <c r="AS97" s="100">
        <v>2504.122303126795</v>
      </c>
      <c r="AT97" s="100">
        <v>8.0609218763600961</v>
      </c>
      <c r="AU97" s="100">
        <v>3163.1057442837014</v>
      </c>
      <c r="AV97" s="100">
        <v>0.4617077411361824</v>
      </c>
      <c r="AW97" s="100">
        <v>181.17411762183795</v>
      </c>
      <c r="AX97" s="100">
        <v>7.3103167325893592</v>
      </c>
      <c r="AY97" s="100">
        <v>2868.5682858680643</v>
      </c>
      <c r="AZ97" s="100">
        <v>2.5433622168232515</v>
      </c>
      <c r="BA97" s="100">
        <v>998.01533388144378</v>
      </c>
      <c r="BB97" s="100">
        <v>12</v>
      </c>
      <c r="BC97" s="100">
        <v>4708.7999999999993</v>
      </c>
      <c r="BD97" s="100">
        <v>7.460605869914974</v>
      </c>
      <c r="BE97" s="100">
        <v>2927.5417433546354</v>
      </c>
      <c r="BF97" s="100">
        <v>6.3762169688268786</v>
      </c>
      <c r="BG97" s="100">
        <v>2502.0275385676669</v>
      </c>
      <c r="BH97" s="100">
        <v>6.1007014207911467</v>
      </c>
      <c r="BI97" s="100">
        <v>2393.9152375184458</v>
      </c>
      <c r="BJ97" s="100">
        <v>6.6132267805609182</v>
      </c>
      <c r="BK97" s="100">
        <v>2595.0301886921043</v>
      </c>
      <c r="BL97" s="100">
        <v>8.4526823632803652</v>
      </c>
      <c r="BM97" s="100">
        <v>3316.832559351215</v>
      </c>
      <c r="BN97" s="100">
        <v>7.0692887688417043</v>
      </c>
      <c r="BO97" s="100">
        <v>2773.9889128934847</v>
      </c>
      <c r="BP97" s="100">
        <v>0.47997346003025654</v>
      </c>
      <c r="BQ97" s="100">
        <v>188.34158571587267</v>
      </c>
      <c r="BR97" s="100">
        <v>7.2664721239635801</v>
      </c>
      <c r="BS97" s="100">
        <v>2851.3636614433085</v>
      </c>
      <c r="BT97" s="100">
        <v>8.5142455946469848</v>
      </c>
      <c r="BU97" s="100">
        <v>3340.9899713394766</v>
      </c>
      <c r="BV97" s="100">
        <v>5.4732558632730726</v>
      </c>
      <c r="BW97" s="100">
        <v>2147.7056007483534</v>
      </c>
      <c r="BX97" s="100">
        <v>7.3455742782769082</v>
      </c>
      <c r="BY97" s="100">
        <v>2882.4033467958584</v>
      </c>
      <c r="BZ97" s="100">
        <v>8.1814042232464086</v>
      </c>
      <c r="CA97" s="100">
        <v>3210.3830172018907</v>
      </c>
      <c r="CB97" s="100">
        <v>6.0473736111688465</v>
      </c>
      <c r="CC97" s="100">
        <v>2372.9894050226553</v>
      </c>
      <c r="CD97" s="100">
        <v>6.4825068502650334</v>
      </c>
      <c r="CE97" s="100">
        <v>2543.7356880439988</v>
      </c>
      <c r="CF97" s="100">
        <v>6.2568038329723671E-4</v>
      </c>
      <c r="CG97" s="100">
        <v>0.24551698240583567</v>
      </c>
      <c r="CH97" s="100">
        <v>7.3543438126527105</v>
      </c>
      <c r="CI97" s="100">
        <v>2885.8445120849233</v>
      </c>
      <c r="CJ97" s="100">
        <v>6.8189413168565194</v>
      </c>
      <c r="CK97" s="100">
        <v>2675.7525727344982</v>
      </c>
      <c r="CL97" s="100">
        <v>4.8342047434793392</v>
      </c>
      <c r="CM97" s="100">
        <v>1896.9419413412925</v>
      </c>
      <c r="CN97" s="100">
        <v>0.46150111334322791</v>
      </c>
      <c r="CO97" s="100">
        <v>181.09303687588263</v>
      </c>
      <c r="CP97" s="100">
        <v>9.2764808168437849</v>
      </c>
      <c r="CQ97" s="100">
        <v>3640.0910725295012</v>
      </c>
      <c r="CR97" s="100">
        <v>9.5034427213609529</v>
      </c>
      <c r="CS97" s="100">
        <v>3729.1509238620379</v>
      </c>
      <c r="CT97" s="100">
        <v>7.333377392800319</v>
      </c>
      <c r="CU97" s="100">
        <v>2877.617288934845</v>
      </c>
    </row>
    <row r="98" spans="2:99">
      <c r="C98" s="99" t="s">
        <v>264</v>
      </c>
      <c r="D98" s="100">
        <v>7</v>
      </c>
      <c r="E98" s="100">
        <v>3679.2000000000003</v>
      </c>
      <c r="F98" s="100">
        <v>2.6515213664234296</v>
      </c>
      <c r="G98" s="100">
        <v>1393.6396301921548</v>
      </c>
      <c r="H98" s="100">
        <v>6.9026911619578684</v>
      </c>
      <c r="I98" s="100">
        <v>3628.0544747250556</v>
      </c>
      <c r="J98" s="100">
        <v>3.3276813101715135</v>
      </c>
      <c r="K98" s="100">
        <v>1749.0292966261475</v>
      </c>
      <c r="L98" s="100">
        <v>9.5241631029397258</v>
      </c>
      <c r="M98" s="100">
        <v>5005.9001269051205</v>
      </c>
      <c r="N98" s="100">
        <v>3.9228406109411624</v>
      </c>
      <c r="O98" s="100">
        <v>2061.8450251106751</v>
      </c>
      <c r="P98" s="100">
        <v>10.130411559070611</v>
      </c>
      <c r="Q98" s="100">
        <v>5324.5443154475133</v>
      </c>
      <c r="R98" s="100">
        <v>2.7838153587869763</v>
      </c>
      <c r="S98" s="100">
        <v>1463.1733525784348</v>
      </c>
      <c r="T98" s="100">
        <v>5.1792223753452582</v>
      </c>
      <c r="U98" s="100">
        <v>2722.1992804814677</v>
      </c>
      <c r="V98" s="100">
        <v>6.2211334851517543</v>
      </c>
      <c r="W98" s="100">
        <v>3269.8277597957622</v>
      </c>
      <c r="X98" s="100">
        <v>7.6203648222660307</v>
      </c>
      <c r="Y98" s="100">
        <v>4005.2637505830257</v>
      </c>
      <c r="Z98" s="100">
        <v>6.502063356369514</v>
      </c>
      <c r="AA98" s="100">
        <v>3417.4845001078165</v>
      </c>
      <c r="AB98" s="100">
        <v>7.1828209941695897</v>
      </c>
      <c r="AC98" s="100">
        <v>3775.2907145355366</v>
      </c>
      <c r="AD98" s="100">
        <v>6.6090020575662951</v>
      </c>
      <c r="AE98" s="100">
        <v>3473.6914814568449</v>
      </c>
      <c r="AF98" s="100">
        <v>0.55206168923393517</v>
      </c>
      <c r="AG98" s="100">
        <v>290.16362386135631</v>
      </c>
      <c r="AH98" s="100">
        <v>7.2936472878178611</v>
      </c>
      <c r="AI98" s="100">
        <v>3833.5410144770681</v>
      </c>
      <c r="AJ98" s="100">
        <v>9.0999405116002592</v>
      </c>
      <c r="AK98" s="100">
        <v>4782.9287328970968</v>
      </c>
      <c r="AL98" s="100">
        <v>8</v>
      </c>
      <c r="AM98" s="100">
        <v>4204.8</v>
      </c>
      <c r="AN98" s="100">
        <v>0.76001152194453292</v>
      </c>
      <c r="AO98" s="100">
        <v>399.46205593404653</v>
      </c>
      <c r="AP98" s="100">
        <v>6.5966031568699028</v>
      </c>
      <c r="AQ98" s="100">
        <v>3467.1746192508213</v>
      </c>
      <c r="AR98" s="100">
        <v>5.8723855480523621</v>
      </c>
      <c r="AS98" s="100">
        <v>3086.5258440563216</v>
      </c>
      <c r="AT98" s="100">
        <v>7.9704668731023673</v>
      </c>
      <c r="AU98" s="100">
        <v>4189.2773885026045</v>
      </c>
      <c r="AV98" s="100">
        <v>0.46121453107070204</v>
      </c>
      <c r="AW98" s="100">
        <v>242.41435753076101</v>
      </c>
      <c r="AX98" s="100">
        <v>7.2715271410156896</v>
      </c>
      <c r="AY98" s="100">
        <v>3821.9146653178468</v>
      </c>
      <c r="AZ98" s="100">
        <v>2.6578646612994348</v>
      </c>
      <c r="BA98" s="100">
        <v>1396.973665978983</v>
      </c>
      <c r="BB98" s="100">
        <v>13.803178137993394</v>
      </c>
      <c r="BC98" s="100">
        <v>7254.9504293293276</v>
      </c>
      <c r="BD98" s="100">
        <v>7.460605869914974</v>
      </c>
      <c r="BE98" s="100">
        <v>3921.2944452273105</v>
      </c>
      <c r="BF98" s="100">
        <v>6.3762169688268786</v>
      </c>
      <c r="BG98" s="100">
        <v>3351.3396388154074</v>
      </c>
      <c r="BH98" s="100">
        <v>6.1007014207911467</v>
      </c>
      <c r="BI98" s="100">
        <v>3206.528666767827</v>
      </c>
      <c r="BJ98" s="100">
        <v>5.668480097623644</v>
      </c>
      <c r="BK98" s="100">
        <v>2979.3531393109874</v>
      </c>
      <c r="BL98" s="100">
        <v>8.4526823632803652</v>
      </c>
      <c r="BM98" s="100">
        <v>4442.7298501401601</v>
      </c>
      <c r="BN98" s="100">
        <v>7.0692887688417043</v>
      </c>
      <c r="BO98" s="100">
        <v>3715.6181769032</v>
      </c>
      <c r="BP98" s="100">
        <v>0.47997346003025654</v>
      </c>
      <c r="BQ98" s="100">
        <v>252.27405059190284</v>
      </c>
      <c r="BR98" s="100">
        <v>8.2664721239635792</v>
      </c>
      <c r="BS98" s="100">
        <v>4344.8577483552572</v>
      </c>
      <c r="BT98" s="100">
        <v>9.4602728829410943</v>
      </c>
      <c r="BU98" s="100">
        <v>4972.3194272738392</v>
      </c>
      <c r="BV98" s="100">
        <v>5.4732558632730726</v>
      </c>
      <c r="BW98" s="100">
        <v>2876.7432817363269</v>
      </c>
      <c r="BX98" s="100">
        <v>7.3455742782769082</v>
      </c>
      <c r="BY98" s="100">
        <v>3860.8338406623429</v>
      </c>
      <c r="BZ98" s="100">
        <v>8.1814042232464086</v>
      </c>
      <c r="CA98" s="100">
        <v>4300.1460597383129</v>
      </c>
      <c r="CB98" s="100">
        <v>6.0473736111688465</v>
      </c>
      <c r="CC98" s="100">
        <v>3178.4995700303457</v>
      </c>
      <c r="CD98" s="100">
        <v>7.1307575352915373</v>
      </c>
      <c r="CE98" s="100">
        <v>3747.926160549232</v>
      </c>
      <c r="CF98" s="100">
        <v>6.2568038329723671E-4</v>
      </c>
      <c r="CG98" s="100">
        <v>0.32885760946102766</v>
      </c>
      <c r="CH98" s="100">
        <v>6.6265204290832216</v>
      </c>
      <c r="CI98" s="100">
        <v>3482.8991375261412</v>
      </c>
      <c r="CJ98" s="100">
        <v>7.4796149318634768</v>
      </c>
      <c r="CK98" s="100">
        <v>3931.2856081874434</v>
      </c>
      <c r="CL98" s="100">
        <v>6.1611135076876593</v>
      </c>
      <c r="CM98" s="100">
        <v>3238.2812596406338</v>
      </c>
      <c r="CN98" s="100">
        <v>0.51113214633315041</v>
      </c>
      <c r="CO98" s="100">
        <v>268.65105611270388</v>
      </c>
      <c r="CP98" s="100">
        <v>8.322560952984416</v>
      </c>
      <c r="CQ98" s="100">
        <v>4374.3380368886092</v>
      </c>
      <c r="CR98" s="100">
        <v>10.295396281474366</v>
      </c>
      <c r="CS98" s="100">
        <v>5411.2602855429268</v>
      </c>
      <c r="CT98" s="100">
        <v>6.7692714395079872</v>
      </c>
      <c r="CU98" s="100">
        <v>3557.9290686053982</v>
      </c>
    </row>
    <row r="99" spans="2:99">
      <c r="C99" s="99" t="s">
        <v>265</v>
      </c>
      <c r="D99" s="100">
        <v>5</v>
      </c>
      <c r="E99" s="100">
        <v>21042</v>
      </c>
      <c r="F99" s="100">
        <v>1.9283791755806763</v>
      </c>
      <c r="G99" s="100">
        <v>8115.3909225137177</v>
      </c>
      <c r="H99" s="100">
        <v>5.6169775662962467</v>
      </c>
      <c r="I99" s="100">
        <v>23638.488390001123</v>
      </c>
      <c r="J99" s="100">
        <v>2.6589738744254219</v>
      </c>
      <c r="K99" s="100">
        <v>11190.025653131945</v>
      </c>
      <c r="L99" s="100">
        <v>8.1854601911753431</v>
      </c>
      <c r="M99" s="100">
        <v>34447.690668542309</v>
      </c>
      <c r="N99" s="100">
        <v>2.8572539191960846</v>
      </c>
      <c r="O99" s="100">
        <v>12024.467393544801</v>
      </c>
      <c r="P99" s="100">
        <v>7.8478086693029576</v>
      </c>
      <c r="Q99" s="100">
        <v>33026.718003894566</v>
      </c>
      <c r="R99" s="100">
        <v>2.4724300907425474</v>
      </c>
      <c r="S99" s="100">
        <v>10404.974793880936</v>
      </c>
      <c r="T99" s="100">
        <v>4.0034425680020593</v>
      </c>
      <c r="U99" s="100">
        <v>16848.087703179866</v>
      </c>
      <c r="V99" s="100">
        <v>4.6444869802995141</v>
      </c>
      <c r="W99" s="100">
        <v>19545.859007892475</v>
      </c>
      <c r="X99" s="100">
        <v>4.9701274479804045</v>
      </c>
      <c r="Y99" s="100">
        <v>20916.284352080733</v>
      </c>
      <c r="Z99" s="100">
        <v>5.6893054368233242</v>
      </c>
      <c r="AA99" s="100">
        <v>23942.873000327276</v>
      </c>
      <c r="AB99" s="100">
        <v>5.2564576033424952</v>
      </c>
      <c r="AC99" s="100">
        <v>22121.276177906555</v>
      </c>
      <c r="AD99" s="100">
        <v>4.7207157554044965</v>
      </c>
      <c r="AE99" s="100">
        <v>19866.660185044282</v>
      </c>
      <c r="AF99" s="100">
        <v>0.40210816857546267</v>
      </c>
      <c r="AG99" s="100">
        <v>1692.2320166329769</v>
      </c>
      <c r="AH99" s="100">
        <v>5.3313070076240416</v>
      </c>
      <c r="AI99" s="100">
        <v>22436.272410885016</v>
      </c>
      <c r="AJ99" s="100">
        <v>7</v>
      </c>
      <c r="AK99" s="100">
        <v>29458.799999999996</v>
      </c>
      <c r="AL99" s="100">
        <v>6</v>
      </c>
      <c r="AM99" s="100">
        <v>25250.399999999998</v>
      </c>
      <c r="AN99" s="100">
        <v>0.47500720121533307</v>
      </c>
      <c r="AO99" s="100">
        <v>1999.0203055946076</v>
      </c>
      <c r="AP99" s="100">
        <v>4.7240088608986808</v>
      </c>
      <c r="AQ99" s="100">
        <v>19880.518890206007</v>
      </c>
      <c r="AR99" s="100">
        <v>4.776264332365515</v>
      </c>
      <c r="AS99" s="100">
        <v>20100.430816327033</v>
      </c>
      <c r="AT99" s="100">
        <v>5.3105875641991558</v>
      </c>
      <c r="AU99" s="100">
        <v>22349.076705175725</v>
      </c>
      <c r="AV99" s="100">
        <v>0.35905121976531074</v>
      </c>
      <c r="AW99" s="100">
        <v>1511.0311532603337</v>
      </c>
      <c r="AX99" s="100">
        <v>5.2327375494420192</v>
      </c>
      <c r="AY99" s="100">
        <v>22021.452703071791</v>
      </c>
      <c r="AZ99" s="100">
        <v>1.6812033410954794</v>
      </c>
      <c r="BA99" s="100">
        <v>7075.1761406662154</v>
      </c>
      <c r="BB99" s="100">
        <v>9.7139361226607939</v>
      </c>
      <c r="BC99" s="100">
        <v>40880.128778605678</v>
      </c>
      <c r="BD99" s="100">
        <v>5.5954544024362312</v>
      </c>
      <c r="BE99" s="100">
        <v>23547.910307212635</v>
      </c>
      <c r="BF99" s="100">
        <v>4.7821627266201592</v>
      </c>
      <c r="BG99" s="100">
        <v>20125.253618708277</v>
      </c>
      <c r="BH99" s="100">
        <v>4.5755260655933601</v>
      </c>
      <c r="BI99" s="100">
        <v>19255.643894443096</v>
      </c>
      <c r="BJ99" s="100">
        <v>4.7237334146863699</v>
      </c>
      <c r="BK99" s="100">
        <v>19879.359702366117</v>
      </c>
      <c r="BL99" s="100">
        <v>5.8518570207325604</v>
      </c>
      <c r="BM99" s="100">
        <v>24626.955086050904</v>
      </c>
      <c r="BN99" s="100">
        <v>4.7128591792278023</v>
      </c>
      <c r="BO99" s="100">
        <v>19833.596569862282</v>
      </c>
      <c r="BP99" s="100">
        <v>0.36173290421981741</v>
      </c>
      <c r="BQ99" s="100">
        <v>1522.3167541186795</v>
      </c>
      <c r="BR99" s="100">
        <v>5.222060103302983</v>
      </c>
      <c r="BS99" s="100">
        <v>21976.517738740273</v>
      </c>
      <c r="BT99" s="100">
        <v>6.6221910180587651</v>
      </c>
      <c r="BU99" s="100">
        <v>27868.828680398503</v>
      </c>
      <c r="BV99" s="100">
        <v>3.9094684737664807</v>
      </c>
      <c r="BW99" s="100">
        <v>16452.607124998856</v>
      </c>
      <c r="BX99" s="100">
        <v>5.3422358387468423</v>
      </c>
      <c r="BY99" s="100">
        <v>22482.265303782209</v>
      </c>
      <c r="BZ99" s="100">
        <v>5.7269829562724857</v>
      </c>
      <c r="CA99" s="100">
        <v>24101.435073177126</v>
      </c>
      <c r="CB99" s="100">
        <v>4.3195525794063192</v>
      </c>
      <c r="CC99" s="100">
        <v>18178.405075173552</v>
      </c>
      <c r="CD99" s="100">
        <v>5.1860054802120272</v>
      </c>
      <c r="CE99" s="100">
        <v>21824.785462924294</v>
      </c>
      <c r="CF99" s="100">
        <v>4.6926028747292751E-4</v>
      </c>
      <c r="CG99" s="100">
        <v>1.9748349938010679</v>
      </c>
      <c r="CH99" s="100">
        <v>5.1527522388590477</v>
      </c>
      <c r="CI99" s="100">
        <v>21684.842522014413</v>
      </c>
      <c r="CJ99" s="100">
        <v>6.122900174051737</v>
      </c>
      <c r="CK99" s="100">
        <v>25767.613092479329</v>
      </c>
      <c r="CL99" s="100">
        <v>3.4530033881995279</v>
      </c>
      <c r="CM99" s="100">
        <v>14531.619458898893</v>
      </c>
      <c r="CN99" s="100">
        <v>0.35937030869875214</v>
      </c>
      <c r="CO99" s="100">
        <v>1512.3740071278285</v>
      </c>
      <c r="CP99" s="100">
        <v>7.2304006807031538</v>
      </c>
      <c r="CQ99" s="100">
        <v>30428.41822467115</v>
      </c>
      <c r="CR99" s="100">
        <v>7.1275820410207142</v>
      </c>
      <c r="CS99" s="100">
        <v>29995.716261431571</v>
      </c>
      <c r="CT99" s="100">
        <v>5.0769535796309899</v>
      </c>
      <c r="CU99" s="100">
        <v>21365.851444519056</v>
      </c>
    </row>
    <row r="100" spans="2:99">
      <c r="C100" s="99" t="s">
        <v>266</v>
      </c>
      <c r="D100" s="100">
        <v>7</v>
      </c>
      <c r="E100" s="100">
        <v>2268</v>
      </c>
      <c r="F100" s="100">
        <v>2.6515213664234296</v>
      </c>
      <c r="G100" s="100">
        <v>859.09292272119114</v>
      </c>
      <c r="H100" s="100">
        <v>7.1260871582539824</v>
      </c>
      <c r="I100" s="100">
        <v>2308.8522392742902</v>
      </c>
      <c r="J100" s="100">
        <v>3.6303232909266732</v>
      </c>
      <c r="K100" s="100">
        <v>1176.224746260242</v>
      </c>
      <c r="L100" s="100">
        <v>10.354811647057534</v>
      </c>
      <c r="M100" s="100">
        <v>3354.958973646641</v>
      </c>
      <c r="N100" s="100">
        <v>3.9385300188170391</v>
      </c>
      <c r="O100" s="100">
        <v>1276.0837260967207</v>
      </c>
      <c r="P100" s="100">
        <v>9.9891101141867846</v>
      </c>
      <c r="Q100" s="100">
        <v>3236.471676996518</v>
      </c>
      <c r="R100" s="100">
        <v>3.0952006268314043</v>
      </c>
      <c r="S100" s="100">
        <v>1002.845003093375</v>
      </c>
      <c r="T100" s="100">
        <v>5.1792223753452582</v>
      </c>
      <c r="U100" s="100">
        <v>1678.0680496118637</v>
      </c>
      <c r="V100" s="100">
        <v>6.2211334851517543</v>
      </c>
      <c r="W100" s="100">
        <v>2015.6472491891684</v>
      </c>
      <c r="X100" s="100">
        <v>7.6203648222660307</v>
      </c>
      <c r="Y100" s="100">
        <v>2468.9982024141941</v>
      </c>
      <c r="Z100" s="100">
        <v>8.1275791954618928</v>
      </c>
      <c r="AA100" s="100">
        <v>2633.3356593296535</v>
      </c>
      <c r="AB100" s="100">
        <v>6.6601884250308023</v>
      </c>
      <c r="AC100" s="100">
        <v>2157.9010497099798</v>
      </c>
      <c r="AD100" s="100">
        <v>7.5000433508533408</v>
      </c>
      <c r="AE100" s="100">
        <v>2430.0140456764825</v>
      </c>
      <c r="AF100" s="100">
        <v>0.50297002774225874</v>
      </c>
      <c r="AG100" s="100">
        <v>162.96228898849182</v>
      </c>
      <c r="AH100" s="100">
        <v>6.6788936985961307</v>
      </c>
      <c r="AI100" s="100">
        <v>2163.9615583451464</v>
      </c>
      <c r="AJ100" s="100">
        <v>9</v>
      </c>
      <c r="AK100" s="100">
        <v>2916</v>
      </c>
      <c r="AL100" s="100">
        <v>7</v>
      </c>
      <c r="AM100" s="100">
        <v>2268</v>
      </c>
      <c r="AN100" s="100">
        <v>0.85501296218759959</v>
      </c>
      <c r="AO100" s="100">
        <v>277.02419974878228</v>
      </c>
      <c r="AP100" s="100">
        <v>5.6754902101896114</v>
      </c>
      <c r="AQ100" s="100">
        <v>1838.858828101434</v>
      </c>
      <c r="AR100" s="100">
        <v>6.6163358907048506</v>
      </c>
      <c r="AS100" s="100">
        <v>2143.6928285883714</v>
      </c>
      <c r="AT100" s="100">
        <v>7.2621923083174416</v>
      </c>
      <c r="AU100" s="100">
        <v>2352.950307894851</v>
      </c>
      <c r="AV100" s="100">
        <v>0.4617077411361824</v>
      </c>
      <c r="AW100" s="100">
        <v>149.59330812812311</v>
      </c>
      <c r="AX100" s="100">
        <v>7.2715271410156896</v>
      </c>
      <c r="AY100" s="100">
        <v>2355.9747936890835</v>
      </c>
      <c r="AZ100" s="100">
        <v>2.5433622168232515</v>
      </c>
      <c r="BA100" s="100">
        <v>824.04935825073346</v>
      </c>
      <c r="BB100" s="100">
        <v>13</v>
      </c>
      <c r="BC100" s="100">
        <v>4212</v>
      </c>
      <c r="BD100" s="100">
        <v>6.5280301361756026</v>
      </c>
      <c r="BE100" s="100">
        <v>2115.0817641208951</v>
      </c>
      <c r="BF100" s="100">
        <v>7.1732440899302388</v>
      </c>
      <c r="BG100" s="100">
        <v>2324.1310851373973</v>
      </c>
      <c r="BH100" s="100">
        <v>6.8632890983900401</v>
      </c>
      <c r="BI100" s="100">
        <v>2223.7056678783729</v>
      </c>
      <c r="BJ100" s="100">
        <v>5.668480097623644</v>
      </c>
      <c r="BK100" s="100">
        <v>1836.5875516300607</v>
      </c>
      <c r="BL100" s="100">
        <v>8.4526823632803652</v>
      </c>
      <c r="BM100" s="100">
        <v>2738.6690857028384</v>
      </c>
      <c r="BN100" s="100">
        <v>6.2838122389704036</v>
      </c>
      <c r="BO100" s="100">
        <v>2035.9551654264108</v>
      </c>
      <c r="BP100" s="100">
        <v>0.42202172158978701</v>
      </c>
      <c r="BQ100" s="100">
        <v>136.73503779509099</v>
      </c>
      <c r="BR100" s="100">
        <v>7.2664721239635801</v>
      </c>
      <c r="BS100" s="100">
        <v>2354.3369681641998</v>
      </c>
      <c r="BT100" s="100">
        <v>8.5142455946469848</v>
      </c>
      <c r="BU100" s="100">
        <v>2758.6155726656229</v>
      </c>
      <c r="BV100" s="100">
        <v>5.4732558632730726</v>
      </c>
      <c r="BW100" s="100">
        <v>1773.3348997004755</v>
      </c>
      <c r="BX100" s="100">
        <v>6.6777947984335526</v>
      </c>
      <c r="BY100" s="100">
        <v>2163.6055146924709</v>
      </c>
      <c r="BZ100" s="100">
        <v>7.363263800921767</v>
      </c>
      <c r="CA100" s="100">
        <v>2385.6974714986527</v>
      </c>
      <c r="CB100" s="100">
        <v>6.0473736111688465</v>
      </c>
      <c r="CC100" s="100">
        <v>1959.3490500187063</v>
      </c>
      <c r="CD100" s="100">
        <v>7.1307575352915373</v>
      </c>
      <c r="CE100" s="100">
        <v>2310.3654414344583</v>
      </c>
      <c r="CF100" s="100">
        <v>6.2568038329723671E-4</v>
      </c>
      <c r="CG100" s="100">
        <v>0.2027204441883047</v>
      </c>
      <c r="CH100" s="100">
        <v>7.3543438126527105</v>
      </c>
      <c r="CI100" s="100">
        <v>2382.8073952994782</v>
      </c>
      <c r="CJ100" s="100">
        <v>8.1402885468704334</v>
      </c>
      <c r="CK100" s="100">
        <v>2637.4534891860203</v>
      </c>
      <c r="CL100" s="100">
        <v>6.8517141853275643</v>
      </c>
      <c r="CM100" s="100">
        <v>2219.9553960461308</v>
      </c>
      <c r="CN100" s="100">
        <v>0.51208839255469396</v>
      </c>
      <c r="CO100" s="100">
        <v>165.91663918772085</v>
      </c>
      <c r="CP100" s="100">
        <v>8.2764808168437849</v>
      </c>
      <c r="CQ100" s="100">
        <v>2681.5797846573864</v>
      </c>
      <c r="CR100" s="100">
        <v>11.087349841587779</v>
      </c>
      <c r="CS100" s="100">
        <v>3592.3013486744403</v>
      </c>
      <c r="CT100" s="100">
        <v>6.7692714395079872</v>
      </c>
      <c r="CU100" s="100">
        <v>2193.2439464005879</v>
      </c>
    </row>
    <row r="101" spans="2:99">
      <c r="C101" s="99" t="s">
        <v>267</v>
      </c>
      <c r="D101" s="100">
        <v>7</v>
      </c>
      <c r="E101" s="100">
        <v>5065.2</v>
      </c>
      <c r="F101" s="100">
        <v>2.542052236412907</v>
      </c>
      <c r="G101" s="100">
        <v>1839.4289982683795</v>
      </c>
      <c r="H101" s="100">
        <v>7.0143891601059245</v>
      </c>
      <c r="I101" s="100">
        <v>5075.6119962526473</v>
      </c>
      <c r="J101" s="100">
        <v>3.6303232909266732</v>
      </c>
      <c r="K101" s="100">
        <v>2626.9019333145407</v>
      </c>
      <c r="L101" s="100">
        <v>10.185460191175343</v>
      </c>
      <c r="M101" s="100">
        <v>7370.1989943344788</v>
      </c>
      <c r="N101" s="100">
        <v>3.9228406109411624</v>
      </c>
      <c r="O101" s="100">
        <v>2838.5674660770251</v>
      </c>
      <c r="P101" s="100">
        <v>9.9891101141867846</v>
      </c>
      <c r="Q101" s="100">
        <v>7228.1200786255577</v>
      </c>
      <c r="R101" s="100">
        <v>3.0858746000249653</v>
      </c>
      <c r="S101" s="100">
        <v>2232.938860578065</v>
      </c>
      <c r="T101" s="100">
        <v>5.0891023193454696</v>
      </c>
      <c r="U101" s="100">
        <v>3682.474438278382</v>
      </c>
      <c r="V101" s="100">
        <v>6.2211334851517543</v>
      </c>
      <c r="W101" s="100">
        <v>4501.6121898558094</v>
      </c>
      <c r="X101" s="100">
        <v>7.6203648222660307</v>
      </c>
      <c r="Y101" s="100">
        <v>5514.0959853917002</v>
      </c>
      <c r="Z101" s="100">
        <v>7.314821275915703</v>
      </c>
      <c r="AA101" s="100">
        <v>5293.0046752526032</v>
      </c>
      <c r="AB101" s="100">
        <v>7.1225120228585235</v>
      </c>
      <c r="AC101" s="100">
        <v>5153.8496997404282</v>
      </c>
      <c r="AD101" s="100">
        <v>7.5061748198960361</v>
      </c>
      <c r="AE101" s="100">
        <v>5431.468099676772</v>
      </c>
      <c r="AF101" s="100">
        <v>0.50297002774225874</v>
      </c>
      <c r="AG101" s="100">
        <v>363.94911207429845</v>
      </c>
      <c r="AH101" s="100">
        <v>6.6493738204639738</v>
      </c>
      <c r="AI101" s="100">
        <v>4811.4868964877314</v>
      </c>
      <c r="AJ101" s="100">
        <v>9</v>
      </c>
      <c r="AK101" s="100">
        <v>6512.4000000000005</v>
      </c>
      <c r="AL101" s="100">
        <v>7</v>
      </c>
      <c r="AM101" s="100">
        <v>5065.2</v>
      </c>
      <c r="AN101" s="100">
        <v>0.76001152194453292</v>
      </c>
      <c r="AO101" s="100">
        <v>549.94433727906403</v>
      </c>
      <c r="AP101" s="100">
        <v>5.6693403598105716</v>
      </c>
      <c r="AQ101" s="100">
        <v>4102.3346843589297</v>
      </c>
      <c r="AR101" s="100">
        <v>6.4989455996933971</v>
      </c>
      <c r="AS101" s="100">
        <v>4702.6370359381426</v>
      </c>
      <c r="AT101" s="100">
        <v>7.8800118698446369</v>
      </c>
      <c r="AU101" s="100">
        <v>5701.9765890195795</v>
      </c>
      <c r="AV101" s="100">
        <v>0.41111929554896709</v>
      </c>
      <c r="AW101" s="100">
        <v>297.48592225923261</v>
      </c>
      <c r="AX101" s="100">
        <v>7.2715271410156896</v>
      </c>
      <c r="AY101" s="100">
        <v>5261.6770392389535</v>
      </c>
      <c r="AZ101" s="100">
        <v>2.2254419397203447</v>
      </c>
      <c r="BA101" s="100">
        <v>1610.3297875816415</v>
      </c>
      <c r="BB101" s="100">
        <v>11</v>
      </c>
      <c r="BC101" s="100">
        <v>7959.6</v>
      </c>
      <c r="BD101" s="100">
        <v>6.5280301361756026</v>
      </c>
      <c r="BE101" s="100">
        <v>4723.6826065366658</v>
      </c>
      <c r="BF101" s="100">
        <v>5.5791898477235184</v>
      </c>
      <c r="BG101" s="100">
        <v>4037.101773812738</v>
      </c>
      <c r="BH101" s="100">
        <v>5.3381137431922534</v>
      </c>
      <c r="BI101" s="100">
        <v>3862.6591045739146</v>
      </c>
      <c r="BJ101" s="100">
        <v>6.7222282883609372</v>
      </c>
      <c r="BK101" s="100">
        <v>4864.2043894579747</v>
      </c>
      <c r="BL101" s="100">
        <v>7.8024760276434142</v>
      </c>
      <c r="BM101" s="100">
        <v>5645.871653602775</v>
      </c>
      <c r="BN101" s="100">
        <v>7.0692887688417043</v>
      </c>
      <c r="BO101" s="100">
        <v>5115.3373531338575</v>
      </c>
      <c r="BP101" s="100">
        <v>0.47997346003025654</v>
      </c>
      <c r="BQ101" s="100">
        <v>347.30879567789367</v>
      </c>
      <c r="BR101" s="100">
        <v>7.2664721239635801</v>
      </c>
      <c r="BS101" s="100">
        <v>5258.019228900047</v>
      </c>
      <c r="BT101" s="100">
        <v>8.5142455946469848</v>
      </c>
      <c r="BU101" s="100">
        <v>6160.9081122865582</v>
      </c>
      <c r="BV101" s="100">
        <v>5.4732558632730726</v>
      </c>
      <c r="BW101" s="100">
        <v>3960.4479426643952</v>
      </c>
      <c r="BX101" s="100">
        <v>6.6777947984335526</v>
      </c>
      <c r="BY101" s="100">
        <v>4832.0523161465189</v>
      </c>
      <c r="BZ101" s="100">
        <v>7.363263800921767</v>
      </c>
      <c r="CA101" s="100">
        <v>5328.0576863469905</v>
      </c>
      <c r="CB101" s="100">
        <v>6.9112841270501102</v>
      </c>
      <c r="CC101" s="100">
        <v>5001.0051943334602</v>
      </c>
      <c r="CD101" s="100">
        <v>7.1307575352915373</v>
      </c>
      <c r="CE101" s="100">
        <v>5159.8161525369569</v>
      </c>
      <c r="CF101" s="100">
        <v>6.2568038329723671E-4</v>
      </c>
      <c r="CG101" s="100">
        <v>0.45274232535388048</v>
      </c>
      <c r="CH101" s="100">
        <v>6.6265204290832216</v>
      </c>
      <c r="CI101" s="100">
        <v>4794.9501824846193</v>
      </c>
      <c r="CJ101" s="100">
        <v>7.4796149318634768</v>
      </c>
      <c r="CK101" s="100">
        <v>5412.2493646964122</v>
      </c>
      <c r="CL101" s="100">
        <v>6.1611135076876593</v>
      </c>
      <c r="CM101" s="100">
        <v>4458.1817341627902</v>
      </c>
      <c r="CN101" s="100">
        <v>0.51161026944392229</v>
      </c>
      <c r="CO101" s="100">
        <v>370.20119096962219</v>
      </c>
      <c r="CP101" s="100">
        <v>8.322560952984416</v>
      </c>
      <c r="CQ101" s="100">
        <v>6022.2051055795237</v>
      </c>
      <c r="CR101" s="100">
        <v>9.5034427213609529</v>
      </c>
      <c r="CS101" s="100">
        <v>6876.6911531767855</v>
      </c>
      <c r="CT101" s="100">
        <v>7.8974833460926517</v>
      </c>
      <c r="CU101" s="100">
        <v>5714.618949232643</v>
      </c>
    </row>
    <row r="102" spans="2:99">
      <c r="C102" s="99" t="s">
        <v>268</v>
      </c>
      <c r="D102" s="100">
        <v>6</v>
      </c>
      <c r="E102" s="100">
        <v>3189.6000000000004</v>
      </c>
      <c r="F102" s="100">
        <v>2.7950612939911337</v>
      </c>
      <c r="G102" s="100">
        <v>1485.8545838856867</v>
      </c>
      <c r="H102" s="100">
        <v>6.9026911619578684</v>
      </c>
      <c r="I102" s="100">
        <v>3669.4706216968029</v>
      </c>
      <c r="J102" s="100">
        <v>3.3118254416125708</v>
      </c>
      <c r="K102" s="100">
        <v>1760.5664047612427</v>
      </c>
      <c r="L102" s="100">
        <v>10.524163102939726</v>
      </c>
      <c r="M102" s="100">
        <v>5594.6451055227581</v>
      </c>
      <c r="N102" s="100">
        <v>3.9228406109411624</v>
      </c>
      <c r="O102" s="100">
        <v>2085.3820687763218</v>
      </c>
      <c r="P102" s="100">
        <v>9.1304115590706107</v>
      </c>
      <c r="Q102" s="100">
        <v>4853.7267848019364</v>
      </c>
      <c r="R102" s="100">
        <v>2.7185331711419027</v>
      </c>
      <c r="S102" s="100">
        <v>1445.1722337790357</v>
      </c>
      <c r="T102" s="100">
        <v>5.1748890350053873</v>
      </c>
      <c r="U102" s="100">
        <v>2750.971011008864</v>
      </c>
      <c r="V102" s="100">
        <v>6.9240042033206652</v>
      </c>
      <c r="W102" s="100">
        <v>3680.8006344852656</v>
      </c>
      <c r="X102" s="100">
        <v>7.738878784588394</v>
      </c>
      <c r="Y102" s="100">
        <v>4113.9879618871901</v>
      </c>
      <c r="Z102" s="100">
        <v>7.314821275915703</v>
      </c>
      <c r="AA102" s="100">
        <v>3888.5589902767879</v>
      </c>
      <c r="AB102" s="100">
        <v>6.5884952883486552</v>
      </c>
      <c r="AC102" s="100">
        <v>3502.4440952861451</v>
      </c>
      <c r="AD102" s="100">
        <v>6.6090020575662951</v>
      </c>
      <c r="AE102" s="100">
        <v>3513.3454938022428</v>
      </c>
      <c r="AF102" s="100">
        <v>0.55273132327979591</v>
      </c>
      <c r="AG102" s="100">
        <v>293.83197145553953</v>
      </c>
      <c r="AH102" s="100">
        <v>6.6788936985961307</v>
      </c>
      <c r="AI102" s="100">
        <v>3550.4998901737031</v>
      </c>
      <c r="AJ102" s="100">
        <v>10.099940511600259</v>
      </c>
      <c r="AK102" s="100">
        <v>5369.1283759666976</v>
      </c>
      <c r="AL102" s="100">
        <v>7</v>
      </c>
      <c r="AM102" s="100">
        <v>3721.2000000000003</v>
      </c>
      <c r="AN102" s="100">
        <v>0.76001152194453292</v>
      </c>
      <c r="AO102" s="100">
        <v>404.02212506571374</v>
      </c>
      <c r="AP102" s="100">
        <v>5.6688989208671083</v>
      </c>
      <c r="AQ102" s="100">
        <v>3013.5866663329548</v>
      </c>
      <c r="AR102" s="100">
        <v>6.3815553086819454</v>
      </c>
      <c r="AS102" s="100">
        <v>3392.4348020953225</v>
      </c>
      <c r="AT102" s="100">
        <v>7.2621923083174416</v>
      </c>
      <c r="AU102" s="100">
        <v>3860.581431101552</v>
      </c>
      <c r="AV102" s="100">
        <v>0.51180297665791741</v>
      </c>
      <c r="AW102" s="100">
        <v>272.0744623913489</v>
      </c>
      <c r="AX102" s="100">
        <v>7.2715271410156896</v>
      </c>
      <c r="AY102" s="100">
        <v>3865.5438281639408</v>
      </c>
      <c r="AZ102" s="100">
        <v>2.5433622168232515</v>
      </c>
      <c r="BA102" s="100">
        <v>1352.0513544632406</v>
      </c>
      <c r="BB102" s="100">
        <v>12</v>
      </c>
      <c r="BC102" s="100">
        <v>6379.2000000000007</v>
      </c>
      <c r="BD102" s="100">
        <v>6.5280301361756026</v>
      </c>
      <c r="BE102" s="100">
        <v>3470.3008203909503</v>
      </c>
      <c r="BF102" s="100">
        <v>5.5791898477235184</v>
      </c>
      <c r="BG102" s="100">
        <v>2965.8973230498227</v>
      </c>
      <c r="BH102" s="100">
        <v>6.8632890983900401</v>
      </c>
      <c r="BI102" s="100">
        <v>3648.5244847041454</v>
      </c>
      <c r="BJ102" s="100">
        <v>5.668480097623644</v>
      </c>
      <c r="BK102" s="100">
        <v>3013.3640198967291</v>
      </c>
      <c r="BL102" s="100">
        <v>7.8024760276434142</v>
      </c>
      <c r="BM102" s="100">
        <v>4147.7962562952389</v>
      </c>
      <c r="BN102" s="100">
        <v>6.2838122389704036</v>
      </c>
      <c r="BO102" s="100">
        <v>3340.4745862366667</v>
      </c>
      <c r="BP102" s="100">
        <v>0.42202172158978701</v>
      </c>
      <c r="BQ102" s="100">
        <v>224.34674719713078</v>
      </c>
      <c r="BR102" s="100">
        <v>7.2664721239635801</v>
      </c>
      <c r="BS102" s="100">
        <v>3862.8565810990394</v>
      </c>
      <c r="BT102" s="100">
        <v>8.5142455946469848</v>
      </c>
      <c r="BU102" s="100">
        <v>4526.1729581143372</v>
      </c>
      <c r="BV102" s="100">
        <v>4.6913621685197766</v>
      </c>
      <c r="BW102" s="100">
        <v>2493.9281287851131</v>
      </c>
      <c r="BX102" s="100">
        <v>6.6777947984335526</v>
      </c>
      <c r="BY102" s="100">
        <v>3549.9157148472768</v>
      </c>
      <c r="BZ102" s="100">
        <v>8.1814042232464086</v>
      </c>
      <c r="CA102" s="100">
        <v>4349.2344850777909</v>
      </c>
      <c r="CB102" s="100">
        <v>6.0473736111688465</v>
      </c>
      <c r="CC102" s="100">
        <v>3214.7838116973589</v>
      </c>
      <c r="CD102" s="100">
        <v>6.4825068502650334</v>
      </c>
      <c r="CE102" s="100">
        <v>3446.1006416008918</v>
      </c>
      <c r="CF102" s="100">
        <v>5.7354035135580024E-4</v>
      </c>
      <c r="CG102" s="100">
        <v>0.30489405078074344</v>
      </c>
      <c r="CH102" s="100">
        <v>6.6265204290832216</v>
      </c>
      <c r="CI102" s="100">
        <v>3522.6582601006407</v>
      </c>
      <c r="CJ102" s="100">
        <v>7.444247404065651</v>
      </c>
      <c r="CK102" s="100">
        <v>3957.3619200013004</v>
      </c>
      <c r="CL102" s="100">
        <v>4.8342047434793392</v>
      </c>
      <c r="CM102" s="100">
        <v>2569.8632416336168</v>
      </c>
      <c r="CN102" s="100">
        <v>0.51208839255469396</v>
      </c>
      <c r="CO102" s="100">
        <v>272.22618948207531</v>
      </c>
      <c r="CP102" s="100">
        <v>9.2764808168437849</v>
      </c>
      <c r="CQ102" s="100">
        <v>4931.3772022341564</v>
      </c>
      <c r="CR102" s="100">
        <v>9.5034427213609529</v>
      </c>
      <c r="CS102" s="100">
        <v>5052.0301506754831</v>
      </c>
      <c r="CT102" s="100">
        <v>7.333377392800319</v>
      </c>
      <c r="CU102" s="100">
        <v>3898.4234220126496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2.542052236412907</v>
      </c>
      <c r="G103" s="100">
        <v>1497.7771776944846</v>
      </c>
      <c r="H103" s="100">
        <v>7.7689439560847937</v>
      </c>
      <c r="I103" s="100">
        <v>4577.4617789251597</v>
      </c>
      <c r="J103" s="100">
        <v>3.3276813101715135</v>
      </c>
      <c r="K103" s="100">
        <v>1960.6698279530556</v>
      </c>
      <c r="L103" s="100">
        <v>10.524163102939726</v>
      </c>
      <c r="M103" s="100">
        <v>6200.8369002520858</v>
      </c>
      <c r="N103" s="100">
        <v>3.9385300188170391</v>
      </c>
      <c r="O103" s="100">
        <v>2320.5818870869994</v>
      </c>
      <c r="P103" s="100">
        <v>9.1304115590706107</v>
      </c>
      <c r="Q103" s="100">
        <v>5379.6384906044032</v>
      </c>
      <c r="R103" s="100">
        <v>2.7744893319805368</v>
      </c>
      <c r="S103" s="100">
        <v>1634.7291144029321</v>
      </c>
      <c r="T103" s="100">
        <v>4.6857858680133155</v>
      </c>
      <c r="U103" s="100">
        <v>2760.8650334334452</v>
      </c>
      <c r="V103" s="100">
        <v>6.8442643287301008</v>
      </c>
      <c r="W103" s="100">
        <v>4032.6405424877748</v>
      </c>
      <c r="X103" s="100">
        <v>7.6203648222660307</v>
      </c>
      <c r="Y103" s="100">
        <v>4489.9189532791452</v>
      </c>
      <c r="Z103" s="100">
        <v>8.1275791954618928</v>
      </c>
      <c r="AA103" s="100">
        <v>4788.7696619661465</v>
      </c>
      <c r="AB103" s="100">
        <v>6.0281928301565406</v>
      </c>
      <c r="AC103" s="100">
        <v>3551.8112155282333</v>
      </c>
      <c r="AD103" s="100">
        <v>6.6151335266089912</v>
      </c>
      <c r="AE103" s="100">
        <v>3897.6366738780171</v>
      </c>
      <c r="AF103" s="100">
        <v>0.55273132327979591</v>
      </c>
      <c r="AG103" s="100">
        <v>325.6692956764557</v>
      </c>
      <c r="AH103" s="100">
        <v>7.3231671659500179</v>
      </c>
      <c r="AI103" s="100">
        <v>4314.8100941777502</v>
      </c>
      <c r="AJ103" s="100">
        <v>10</v>
      </c>
      <c r="AK103" s="100">
        <v>5891.9999999999991</v>
      </c>
      <c r="AL103" s="100">
        <v>8</v>
      </c>
      <c r="AM103" s="100">
        <v>4713.5999999999995</v>
      </c>
      <c r="AN103" s="100">
        <v>0.76001152194453292</v>
      </c>
      <c r="AO103" s="100">
        <v>447.79878872971875</v>
      </c>
      <c r="AP103" s="100">
        <v>5.6640430924890071</v>
      </c>
      <c r="AQ103" s="100">
        <v>3337.2541900945225</v>
      </c>
      <c r="AR103" s="100">
        <v>6.3815553086819454</v>
      </c>
      <c r="AS103" s="100">
        <v>3760.0123878754016</v>
      </c>
      <c r="AT103" s="100">
        <v>7.3281107966909964</v>
      </c>
      <c r="AU103" s="100">
        <v>4317.7228814103346</v>
      </c>
      <c r="AV103" s="100">
        <v>0.51278939678887803</v>
      </c>
      <c r="AW103" s="100">
        <v>302.13551258800692</v>
      </c>
      <c r="AX103" s="100">
        <v>7.2715271410156896</v>
      </c>
      <c r="AY103" s="100">
        <v>4284.3837914864434</v>
      </c>
      <c r="AZ103" s="100">
        <v>2.5433622168232515</v>
      </c>
      <c r="BA103" s="100">
        <v>1498.5490181522596</v>
      </c>
      <c r="BB103" s="100">
        <v>13.892420153325993</v>
      </c>
      <c r="BC103" s="100">
        <v>8185.4139543396741</v>
      </c>
      <c r="BD103" s="100">
        <v>6.5280301361756026</v>
      </c>
      <c r="BE103" s="100">
        <v>3846.3153562346647</v>
      </c>
      <c r="BF103" s="100">
        <v>5.5791898477235184</v>
      </c>
      <c r="BG103" s="100">
        <v>3287.2586582786967</v>
      </c>
      <c r="BH103" s="100">
        <v>5.3381137431922534</v>
      </c>
      <c r="BI103" s="100">
        <v>3145.2166174888753</v>
      </c>
      <c r="BJ103" s="100">
        <v>5.668480097623644</v>
      </c>
      <c r="BK103" s="100">
        <v>3339.8684735198508</v>
      </c>
      <c r="BL103" s="100">
        <v>8.4526823632803652</v>
      </c>
      <c r="BM103" s="100">
        <v>4980.3204484447906</v>
      </c>
      <c r="BN103" s="100">
        <v>7.0692887688417043</v>
      </c>
      <c r="BO103" s="100">
        <v>4165.2249426015314</v>
      </c>
      <c r="BP103" s="100">
        <v>0.42202172158978701</v>
      </c>
      <c r="BQ103" s="100">
        <v>248.65519836070249</v>
      </c>
      <c r="BR103" s="100">
        <v>7.2664721239635801</v>
      </c>
      <c r="BS103" s="100">
        <v>4281.4053754393408</v>
      </c>
      <c r="BT103" s="100">
        <v>7.5682183063528745</v>
      </c>
      <c r="BU103" s="100">
        <v>4459.1942261031136</v>
      </c>
      <c r="BV103" s="100">
        <v>5.4732558632730726</v>
      </c>
      <c r="BW103" s="100">
        <v>3224.8423546404938</v>
      </c>
      <c r="BX103" s="100">
        <v>7.3455742782769082</v>
      </c>
      <c r="BY103" s="100">
        <v>4328.0123647607543</v>
      </c>
      <c r="BZ103" s="100">
        <v>8.1814042232464086</v>
      </c>
      <c r="CA103" s="100">
        <v>4820.4833683367833</v>
      </c>
      <c r="CB103" s="100">
        <v>6.0473736111688465</v>
      </c>
      <c r="CC103" s="100">
        <v>3563.112531700684</v>
      </c>
      <c r="CD103" s="100">
        <v>6.4825068502650334</v>
      </c>
      <c r="CE103" s="100">
        <v>3819.4930361761571</v>
      </c>
      <c r="CF103" s="100">
        <v>6.7782041523867297E-4</v>
      </c>
      <c r="CG103" s="100">
        <v>0.39937178865862605</v>
      </c>
      <c r="CH103" s="100">
        <v>8.0894157654562768</v>
      </c>
      <c r="CI103" s="100">
        <v>4766.2837690068382</v>
      </c>
      <c r="CJ103" s="100">
        <v>7.444247404065651</v>
      </c>
      <c r="CK103" s="100">
        <v>4386.1505704754809</v>
      </c>
      <c r="CL103" s="100">
        <v>4.8342047434793392</v>
      </c>
      <c r="CM103" s="100">
        <v>2848.3134348580261</v>
      </c>
      <c r="CN103" s="100">
        <v>0.46054486712168441</v>
      </c>
      <c r="CO103" s="100">
        <v>271.3530357080964</v>
      </c>
      <c r="CP103" s="100">
        <v>9.2764808168437849</v>
      </c>
      <c r="CQ103" s="100">
        <v>5465.7024972843574</v>
      </c>
      <c r="CR103" s="100">
        <v>9.5034427213609529</v>
      </c>
      <c r="CS103" s="100">
        <v>5599.4284514258725</v>
      </c>
      <c r="CT103" s="100">
        <v>6.7692714395079872</v>
      </c>
      <c r="CU103" s="100">
        <v>3988.4547321581053</v>
      </c>
    </row>
    <row r="104" spans="2:99">
      <c r="C104" s="99" t="s">
        <v>270</v>
      </c>
      <c r="D104" s="100">
        <v>7</v>
      </c>
      <c r="E104" s="100">
        <v>4426.8</v>
      </c>
      <c r="F104" s="100">
        <v>3.0121853696774341</v>
      </c>
      <c r="G104" s="100">
        <v>1904.9060277840092</v>
      </c>
      <c r="H104" s="100">
        <v>7.6572459579367358</v>
      </c>
      <c r="I104" s="100">
        <v>4842.4423437991918</v>
      </c>
      <c r="J104" s="100">
        <v>3.3276813101715135</v>
      </c>
      <c r="K104" s="100">
        <v>2104.4256605524652</v>
      </c>
      <c r="L104" s="100">
        <v>9.1854601911753431</v>
      </c>
      <c r="M104" s="100">
        <v>5808.8850248992867</v>
      </c>
      <c r="N104" s="100">
        <v>4.0740738724697847</v>
      </c>
      <c r="O104" s="100">
        <v>2576.4443169498918</v>
      </c>
      <c r="P104" s="100">
        <v>9.9891101141867846</v>
      </c>
      <c r="Q104" s="100">
        <v>6317.1132362117223</v>
      </c>
      <c r="R104" s="100">
        <v>3.0858746000249653</v>
      </c>
      <c r="S104" s="100">
        <v>1951.5070970557879</v>
      </c>
      <c r="T104" s="100">
        <v>5.1792223753452582</v>
      </c>
      <c r="U104" s="100">
        <v>3275.3402301683413</v>
      </c>
      <c r="V104" s="100">
        <v>6.2268461448184</v>
      </c>
      <c r="W104" s="100">
        <v>3937.857501983156</v>
      </c>
      <c r="X104" s="100">
        <v>7.6203648222660307</v>
      </c>
      <c r="Y104" s="100">
        <v>4819.1187136010376</v>
      </c>
      <c r="Z104" s="100">
        <v>7.314821275915703</v>
      </c>
      <c r="AA104" s="100">
        <v>4625.8929748890905</v>
      </c>
      <c r="AB104" s="100">
        <v>7.1828209941695897</v>
      </c>
      <c r="AC104" s="100">
        <v>4542.415996712848</v>
      </c>
      <c r="AD104" s="100">
        <v>6.6156909328855997</v>
      </c>
      <c r="AE104" s="100">
        <v>4183.7629459568534</v>
      </c>
      <c r="AF104" s="100">
        <v>0.50297002774225874</v>
      </c>
      <c r="AG104" s="100">
        <v>318.07824554420444</v>
      </c>
      <c r="AH104" s="100">
        <v>7.2936472878178611</v>
      </c>
      <c r="AI104" s="100">
        <v>4612.502544816015</v>
      </c>
      <c r="AJ104" s="100">
        <v>10.099940511600259</v>
      </c>
      <c r="AK104" s="100">
        <v>6387.2023795360037</v>
      </c>
      <c r="AL104" s="100">
        <v>8</v>
      </c>
      <c r="AM104" s="100">
        <v>5059.2</v>
      </c>
      <c r="AN104" s="100">
        <v>0.76001152194453292</v>
      </c>
      <c r="AO104" s="100">
        <v>480.6312864777226</v>
      </c>
      <c r="AP104" s="100">
        <v>5.6807874775111769</v>
      </c>
      <c r="AQ104" s="100">
        <v>3592.5300007780679</v>
      </c>
      <c r="AR104" s="100">
        <v>5.7549952570409095</v>
      </c>
      <c r="AS104" s="100">
        <v>3639.4590005526711</v>
      </c>
      <c r="AT104" s="100">
        <v>6.776209723537356</v>
      </c>
      <c r="AU104" s="100">
        <v>4285.2750291650236</v>
      </c>
      <c r="AV104" s="100">
        <v>0.46121453107070204</v>
      </c>
      <c r="AW104" s="100">
        <v>291.67206944911197</v>
      </c>
      <c r="AX104" s="100">
        <v>6.3103167325893592</v>
      </c>
      <c r="AY104" s="100">
        <v>3990.6443016895105</v>
      </c>
      <c r="AZ104" s="100">
        <v>2.5433622168232515</v>
      </c>
      <c r="BA104" s="100">
        <v>1608.4222659190241</v>
      </c>
      <c r="BB104" s="100">
        <v>13.892420153325993</v>
      </c>
      <c r="BC104" s="100">
        <v>8785.5665049633571</v>
      </c>
      <c r="BD104" s="100">
        <v>6.5280301361756026</v>
      </c>
      <c r="BE104" s="100">
        <v>4128.3262581174513</v>
      </c>
      <c r="BF104" s="100">
        <v>5.5791898477235184</v>
      </c>
      <c r="BG104" s="100">
        <v>3528.279659700353</v>
      </c>
      <c r="BH104" s="100">
        <v>6.8632890983900401</v>
      </c>
      <c r="BI104" s="100">
        <v>4340.3440258218616</v>
      </c>
      <c r="BJ104" s="100">
        <v>6.6132267805609182</v>
      </c>
      <c r="BK104" s="100">
        <v>4182.2046160267246</v>
      </c>
      <c r="BL104" s="100">
        <v>8.4526823632803652</v>
      </c>
      <c r="BM104" s="100">
        <v>5345.4763265385027</v>
      </c>
      <c r="BN104" s="100">
        <v>7.0692887688417043</v>
      </c>
      <c r="BO104" s="100">
        <v>4470.6182174154937</v>
      </c>
      <c r="BP104" s="100">
        <v>0.42202172158978701</v>
      </c>
      <c r="BQ104" s="100">
        <v>266.88653673338132</v>
      </c>
      <c r="BR104" s="100">
        <v>6.2664721239635801</v>
      </c>
      <c r="BS104" s="100">
        <v>3962.9169711945679</v>
      </c>
      <c r="BT104" s="100">
        <v>9.4602728829410943</v>
      </c>
      <c r="BU104" s="100">
        <v>5982.6765711719481</v>
      </c>
      <c r="BV104" s="100">
        <v>4.6913621685197766</v>
      </c>
      <c r="BW104" s="100">
        <v>2966.8174353719064</v>
      </c>
      <c r="BX104" s="100">
        <v>6.6777947984335526</v>
      </c>
      <c r="BY104" s="100">
        <v>4223.0374305293781</v>
      </c>
      <c r="BZ104" s="100">
        <v>7.363263800921767</v>
      </c>
      <c r="CA104" s="100">
        <v>4656.5280277029251</v>
      </c>
      <c r="CB104" s="100">
        <v>6.9112841270501102</v>
      </c>
      <c r="CC104" s="100">
        <v>4370.6960819464894</v>
      </c>
      <c r="CD104" s="100">
        <v>6.4825068502650334</v>
      </c>
      <c r="CE104" s="100">
        <v>4099.5373321076067</v>
      </c>
      <c r="CF104" s="100">
        <v>6.2568038329723671E-4</v>
      </c>
      <c r="CG104" s="100">
        <v>0.39568027439717246</v>
      </c>
      <c r="CH104" s="100">
        <v>7.3507195280356701</v>
      </c>
      <c r="CI104" s="100">
        <v>4648.595029529758</v>
      </c>
      <c r="CJ104" s="100">
        <v>8.1402885468704334</v>
      </c>
      <c r="CK104" s="100">
        <v>5147.9184770408619</v>
      </c>
      <c r="CL104" s="100">
        <v>6.1611135076876593</v>
      </c>
      <c r="CM104" s="100">
        <v>3896.2881822616755</v>
      </c>
      <c r="CN104" s="100">
        <v>0.51208839255469396</v>
      </c>
      <c r="CO104" s="100">
        <v>323.84469945158844</v>
      </c>
      <c r="CP104" s="100">
        <v>9.2764808168437849</v>
      </c>
      <c r="CQ104" s="100">
        <v>5866.4464685720095</v>
      </c>
      <c r="CR104" s="100">
        <v>10.295396281474366</v>
      </c>
      <c r="CS104" s="100">
        <v>6510.8086084043889</v>
      </c>
      <c r="CT104" s="100">
        <v>7.333377392800319</v>
      </c>
      <c r="CU104" s="100">
        <v>4637.6278632069216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3.0361086909387183</v>
      </c>
      <c r="G105" s="100">
        <v>1690.5053191146783</v>
      </c>
      <c r="H105" s="100">
        <v>7.0143891601059245</v>
      </c>
      <c r="I105" s="100">
        <v>3905.6118843469785</v>
      </c>
      <c r="J105" s="100">
        <v>3.3276813101715135</v>
      </c>
      <c r="K105" s="100">
        <v>1852.8529535034986</v>
      </c>
      <c r="L105" s="100">
        <v>10.185460191175343</v>
      </c>
      <c r="M105" s="100">
        <v>5671.2642344464302</v>
      </c>
      <c r="N105" s="100">
        <v>3.7345677164306363</v>
      </c>
      <c r="O105" s="100">
        <v>2079.4073045085784</v>
      </c>
      <c r="P105" s="100">
        <v>9.9891101141867846</v>
      </c>
      <c r="Q105" s="100">
        <v>5561.9365115792016</v>
      </c>
      <c r="R105" s="100">
        <v>3.0952006268314043</v>
      </c>
      <c r="S105" s="100">
        <v>1723.4077090197259</v>
      </c>
      <c r="T105" s="100">
        <v>5.1705556946655173</v>
      </c>
      <c r="U105" s="100">
        <v>2878.96541078976</v>
      </c>
      <c r="V105" s="100">
        <v>6.135680950894546</v>
      </c>
      <c r="W105" s="100">
        <v>3416.3471534580831</v>
      </c>
      <c r="X105" s="100">
        <v>6.8159616723857308</v>
      </c>
      <c r="Y105" s="100">
        <v>3795.1274591843744</v>
      </c>
      <c r="Z105" s="100">
        <v>8.1275791954618928</v>
      </c>
      <c r="AA105" s="100">
        <v>4525.4360960331815</v>
      </c>
      <c r="AB105" s="100">
        <v>7.2545141308517369</v>
      </c>
      <c r="AC105" s="100">
        <v>4039.3134680582466</v>
      </c>
      <c r="AD105" s="100">
        <v>6.6090020575662951</v>
      </c>
      <c r="AE105" s="100">
        <v>3679.8923456529128</v>
      </c>
      <c r="AF105" s="100">
        <v>0.5023003936963979</v>
      </c>
      <c r="AG105" s="100">
        <v>279.68085921015432</v>
      </c>
      <c r="AH105" s="100">
        <v>7.2936472878178611</v>
      </c>
      <c r="AI105" s="100">
        <v>4061.1028098569845</v>
      </c>
      <c r="AJ105" s="100">
        <v>10</v>
      </c>
      <c r="AK105" s="100">
        <v>5568</v>
      </c>
      <c r="AL105" s="100">
        <v>7</v>
      </c>
      <c r="AM105" s="100">
        <v>3897.5999999999995</v>
      </c>
      <c r="AN105" s="100">
        <v>0.76001152194453292</v>
      </c>
      <c r="AO105" s="100">
        <v>423.17441541871591</v>
      </c>
      <c r="AP105" s="100">
        <v>6.6019004241914683</v>
      </c>
      <c r="AQ105" s="100">
        <v>3675.9381561898094</v>
      </c>
      <c r="AR105" s="100">
        <v>6.6163358907048506</v>
      </c>
      <c r="AS105" s="100">
        <v>3683.9758239444604</v>
      </c>
      <c r="AT105" s="100">
        <v>8.0006185408549442</v>
      </c>
      <c r="AU105" s="100">
        <v>4454.744403548033</v>
      </c>
      <c r="AV105" s="100">
        <v>0.46220095120166271</v>
      </c>
      <c r="AW105" s="100">
        <v>257.3534896290858</v>
      </c>
      <c r="AX105" s="100">
        <v>8.3103167325893601</v>
      </c>
      <c r="AY105" s="100">
        <v>4627.1843567057549</v>
      </c>
      <c r="AZ105" s="100">
        <v>2.5433622168232515</v>
      </c>
      <c r="BA105" s="100">
        <v>1416.1440823271862</v>
      </c>
      <c r="BB105" s="100">
        <v>13.803178137993394</v>
      </c>
      <c r="BC105" s="100">
        <v>7685.6095872347205</v>
      </c>
      <c r="BD105" s="100">
        <v>7.460605869914974</v>
      </c>
      <c r="BE105" s="100">
        <v>4154.0653483686574</v>
      </c>
      <c r="BF105" s="100">
        <v>5.5791898477235184</v>
      </c>
      <c r="BG105" s="100">
        <v>3106.4929072124546</v>
      </c>
      <c r="BH105" s="100">
        <v>6.1007014207911467</v>
      </c>
      <c r="BI105" s="100">
        <v>3396.8705510965101</v>
      </c>
      <c r="BJ105" s="100">
        <v>6.6132267805609182</v>
      </c>
      <c r="BK105" s="100">
        <v>3682.2446714163189</v>
      </c>
      <c r="BL105" s="100">
        <v>8.4526823632803652</v>
      </c>
      <c r="BM105" s="100">
        <v>4706.4535398745065</v>
      </c>
      <c r="BN105" s="100">
        <v>6.2838122389704036</v>
      </c>
      <c r="BO105" s="100">
        <v>3498.8266546587206</v>
      </c>
      <c r="BP105" s="100">
        <v>0.47997346003025654</v>
      </c>
      <c r="BQ105" s="100">
        <v>267.24922254484682</v>
      </c>
      <c r="BR105" s="100">
        <v>7.2664721239635801</v>
      </c>
      <c r="BS105" s="100">
        <v>4045.971678622921</v>
      </c>
      <c r="BT105" s="100">
        <v>9.4602728829410943</v>
      </c>
      <c r="BU105" s="100">
        <v>5267.4799412216007</v>
      </c>
      <c r="BV105" s="100">
        <v>5.4732558632730726</v>
      </c>
      <c r="BW105" s="100">
        <v>3047.5088646704467</v>
      </c>
      <c r="BX105" s="100">
        <v>7.3455742782769082</v>
      </c>
      <c r="BY105" s="100">
        <v>4090.0157581445824</v>
      </c>
      <c r="BZ105" s="100">
        <v>7.363263800921767</v>
      </c>
      <c r="CA105" s="100">
        <v>4099.86528435324</v>
      </c>
      <c r="CB105" s="100">
        <v>6.9112841270501102</v>
      </c>
      <c r="CC105" s="100">
        <v>3848.203001941501</v>
      </c>
      <c r="CD105" s="100">
        <v>6.4825068502650334</v>
      </c>
      <c r="CE105" s="100">
        <v>3609.4598142275704</v>
      </c>
      <c r="CF105" s="100">
        <v>6.7782041523867297E-4</v>
      </c>
      <c r="CG105" s="100">
        <v>0.37741040720489305</v>
      </c>
      <c r="CH105" s="100">
        <v>7.3543438126527105</v>
      </c>
      <c r="CI105" s="100">
        <v>4094.898634885029</v>
      </c>
      <c r="CJ105" s="100">
        <v>8.1402885468704334</v>
      </c>
      <c r="CK105" s="100">
        <v>4532.5126628974567</v>
      </c>
      <c r="CL105" s="100">
        <v>6.21540609875915</v>
      </c>
      <c r="CM105" s="100">
        <v>3460.7381157890945</v>
      </c>
      <c r="CN105" s="100">
        <v>0.56267567176616018</v>
      </c>
      <c r="CO105" s="100">
        <v>313.29781403939796</v>
      </c>
      <c r="CP105" s="100">
        <v>8.2764808168437849</v>
      </c>
      <c r="CQ105" s="100">
        <v>4608.3445188186188</v>
      </c>
      <c r="CR105" s="100">
        <v>9.5034427213609529</v>
      </c>
      <c r="CS105" s="100">
        <v>5291.5169072537783</v>
      </c>
      <c r="CT105" s="100">
        <v>7.8974833460926517</v>
      </c>
      <c r="CU105" s="100">
        <v>4397.318727104388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304.9196228473777</v>
      </c>
      <c r="E109" s="100">
        <f>SUM(L$6:L$19)+SUM(N$6:N$19)+SUM(P$6:P$19)+SUM(R$6:R$19)</f>
        <v>309.70014588930428</v>
      </c>
      <c r="F109" s="100">
        <f>SUM(T$6:T$19)+SUM(V$6:V$19)+SUM(X$6:X$19)+SUM(Z$6:Z$19)</f>
        <v>317.86316056512118</v>
      </c>
      <c r="G109" s="100">
        <f>SUM(AB$6:AB$19)+SUM(AD$6:AD$19)+SUM(AF$6:AF$19)+SUM(AH$6:AH$19)</f>
        <v>283.26233218649043</v>
      </c>
      <c r="H109" s="100">
        <f>SUM(AJ$6:AJ$19)+SUM(AL$6:AL$19)+SUM(AN$6:AN$19)+SUM(AP$6:AP$19)</f>
        <v>231.76194702870669</v>
      </c>
      <c r="I109" s="100">
        <f>SUM(AR$6:AR$19)+SUM(AT$6:AT$19)+SUM(AV$6:AV$19)+SUM(AX$6:AX$19)</f>
        <v>320.01286442469814</v>
      </c>
      <c r="J109" s="100">
        <f>SUM(AZ$6:AZ$19)+SUM(BB$6:BB$19)+SUM(BD$6:BD$19)+SUM(BF$6:BF$19)</f>
        <v>238.71076535771709</v>
      </c>
      <c r="K109" s="100">
        <f>SUM(BH$6:BH$19)+SUM(BJ$6:BJ$19)+SUM(BL$6:BL$19)+SUM(BN$6:BN$19)</f>
        <v>281.28884381286366</v>
      </c>
      <c r="L109" s="100">
        <f>SUM(BP$6:BP$19)+SUM(BR$6:BR$19)+SUM(BT$6:BT$19)+SUM(BV$6:BV$19)</f>
        <v>385.43900867072557</v>
      </c>
      <c r="M109" s="100">
        <f>SUM(BX$6:BX$19)+SUM(BZ$6:BZ$19)+SUM(CB$6:CB$19)+SUM(CD$6:CD$19)</f>
        <v>256.95247123292972</v>
      </c>
      <c r="N109" s="100">
        <f>SUM(CF$6:CF$19)+SUM(CH$6:CH$19)+SUM(CJ$6:CJ$19)+SUM(CL$6:CL$19)</f>
        <v>311.28980399557815</v>
      </c>
      <c r="O109" s="100">
        <f>SUM(CN$6:CN$19)+SUM(CP$6:CP$19)+SUM(CR$6:CR$19)+SUM(CT$6:CT$19)</f>
        <v>299.64105366724016</v>
      </c>
    </row>
    <row r="110" spans="2:99">
      <c r="C110" s="99" t="s">
        <v>127</v>
      </c>
      <c r="D110" s="100">
        <f>SUM(D$20:D$36)+SUM(F$20:F$36)+SUM(H$20:H$36)+SUM(J$20:J$36)</f>
        <v>410.94220234675868</v>
      </c>
      <c r="E110" s="100">
        <f>SUM(L$20:L$36)+SUM(N$20:N$36)+SUM(P$20:P$36)+SUM(R$20:R$36)</f>
        <v>434.21461593113565</v>
      </c>
      <c r="F110" s="100">
        <f>SUM(T$20:T$36)+SUM(V$20:V$36)+SUM(X$20:X$36)+SUM(Z$20:Z$36)</f>
        <v>387.43372832131678</v>
      </c>
      <c r="G110" s="100">
        <f>SUM(AB$20:AB$36)+SUM(AD$20:AD$36)+SUM(AF$20:AF$36)+SUM(AH$20:AH$36)</f>
        <v>456.72476944076345</v>
      </c>
      <c r="H110" s="100">
        <f>SUM(AJ$20:AJ$36)+SUM(AL$20:AL$36)+SUM(AN$20:AN$36)+SUM(AP$20:AP$36)</f>
        <v>398.05107201735171</v>
      </c>
      <c r="I110" s="100">
        <f>SUM(AR$20:AR$36)+SUM(AT$20:AT$36)+SUM(AV$20:AV$36)+SUM(AX$20:AX$36)</f>
        <v>481.01648343481924</v>
      </c>
      <c r="J110" s="100">
        <f>SUM(AZ$20:AZ$36)+SUM(BB$20:BB$36)+SUM(BD$20:BD$36)+SUM(BF$20:BF$36)</f>
        <v>370.17371617859396</v>
      </c>
      <c r="K110" s="100">
        <f>SUM(BH$20:BH$36)+SUM(BJ$20:BJ$36)+SUM(BL$20:BL$36)+SUM(BN$20:BN$36)</f>
        <v>439.53514331247078</v>
      </c>
      <c r="L110" s="100">
        <f>SUM(BP$20:BP$36)+SUM(BR$20:BR$36)+SUM(BT$20:BT$36)+SUM(BV$20:BV$36)</f>
        <v>538.83705084028531</v>
      </c>
      <c r="M110" s="100">
        <f>SUM(BX$20:BX$36)+SUM(BZ$20:BZ$36)+SUM(CB$20:CB$36)+SUM(CD$20:CD$36)</f>
        <v>373.71777124406799</v>
      </c>
      <c r="N110" s="100">
        <f>SUM(CF$20:CF$36)+SUM(CH$20:CH$36)+SUM(CJ$20:CJ$36)+SUM(CL$20:CL$36)</f>
        <v>494.9934970738932</v>
      </c>
      <c r="O110" s="100">
        <f>SUM(CN$20:CN$36)+SUM(CP$20:CP$36)+SUM(CR$20:CR$36)+SUM(CT$20:CT$36)</f>
        <v>453.71379233480076</v>
      </c>
    </row>
    <row r="111" spans="2:99">
      <c r="C111" s="99" t="s">
        <v>128</v>
      </c>
      <c r="D111" s="100">
        <f>SUM(D$37:D$48)+SUM(F$37:F$48)+SUM(H$37:H$48)+SUM(J$37:J$48)</f>
        <v>488.53213278275609</v>
      </c>
      <c r="E111" s="100">
        <f>SUM(L$37:L$48)+SUM(N$37:N$48)+SUM(P$37:P$48)+SUM(R$37:R$48)</f>
        <v>539.38083016955716</v>
      </c>
      <c r="F111" s="100">
        <f>SUM(T$37:T$48)+SUM(V$37:V$48)+SUM(X$37:X$48)+SUM(Z$37:Z$48)</f>
        <v>508.75405746469136</v>
      </c>
      <c r="G111" s="100">
        <f>SUM(AB$37:AB$48)+SUM(AD$37:AD$48)+SUM(AF$37:AF$48)+SUM(AH$37:AH$48)</f>
        <v>539.63752592444791</v>
      </c>
      <c r="H111" s="100">
        <f>SUM(AJ$37:AJ$48)+SUM(AL$37:AL$48)+SUM(AN$37:AN$48)+SUM(AP$37:AP$48)</f>
        <v>443.66853951119157</v>
      </c>
      <c r="I111" s="100">
        <f>SUM(AR$37:AR$48)+SUM(AT$37:AT$48)+SUM(AV$37:AV$48)+SUM(AX$37:AX$48)</f>
        <v>476.01975473702441</v>
      </c>
      <c r="J111" s="100">
        <f>SUM(AZ$37:AZ$48)+SUM(BB$37:BB$48)+SUM(BD$37:BD$48)+SUM(BF$37:BF$48)</f>
        <v>469.68856381080684</v>
      </c>
      <c r="K111" s="100">
        <f>SUM(BH$37:BH$48)+SUM(BJ$37:BJ$48)+SUM(BL$37:BL$48)+SUM(BN$37:BN$48)</f>
        <v>554.1467839671318</v>
      </c>
      <c r="L111" s="100">
        <f>SUM(BP$37:BP$48)+SUM(BR$37:BR$48)+SUM(BT$37:BT$48)+SUM(BV$37:BV$48)</f>
        <v>577.9939507668571</v>
      </c>
      <c r="M111" s="100">
        <f>SUM(BX$37:BX$48)+SUM(BZ$37:BZ$48)+SUM(CB$37:CB$48)+SUM(CD$37:CD$48)</f>
        <v>379.06436240878998</v>
      </c>
      <c r="N111" s="100">
        <f>SUM(CF$37:CF$48)+SUM(CH$37:CH$48)+SUM(CJ$37:CJ$48)+SUM(CL$37:CL$48)</f>
        <v>561.14484048046108</v>
      </c>
      <c r="O111" s="100">
        <f>SUM(CN$37:CN$48)+SUM(CP$37:CP$48)+SUM(CR$37:CR$48)+SUM(CT$37:CT$48)</f>
        <v>468.89967339510895</v>
      </c>
    </row>
    <row r="112" spans="2:99">
      <c r="C112" s="99" t="s">
        <v>129</v>
      </c>
      <c r="D112" s="100">
        <f>SUM(D$49:D$70)+SUM(F$49:F$70)+SUM(H$49:H$70)+SUM(J$49:J$70)</f>
        <v>458.35458911201493</v>
      </c>
      <c r="E112" s="100">
        <f>SUM(L$49:L$70)+SUM(N$49:N$70)+SUM(P$49:P$70)+SUM(R$49:R$70)</f>
        <v>668.87091365171784</v>
      </c>
      <c r="F112" s="100">
        <f>SUM(T$49:T$70)+SUM(V$49:V$70)+SUM(X$49:X$70)+SUM(Z$49:Z$70)</f>
        <v>560.93974195224632</v>
      </c>
      <c r="G112" s="100">
        <f>SUM(AB$49:AB$70)+SUM(AD$49:AD$70)+SUM(AF$49:AF$70)+SUM(AH$49:AH$70)</f>
        <v>579.76321849395845</v>
      </c>
      <c r="H112" s="100">
        <f>SUM(AJ$49:AJ$70)+SUM(AL$49:AL$70)+SUM(AN$49:AN$70)+SUM(AP$49:AP$70)</f>
        <v>367.92305184345179</v>
      </c>
      <c r="I112" s="100">
        <f>SUM(AR$49:AR$70)+SUM(AT$49:AT$70)+SUM(AV$49:AV$70)+SUM(AX$49:AX$70)</f>
        <v>503.04451068379791</v>
      </c>
      <c r="J112" s="100">
        <f>SUM(AZ$49:AZ$70)+SUM(BB$49:BB$70)+SUM(BD$49:BD$70)+SUM(BF$49:BF$70)</f>
        <v>428.25243597240751</v>
      </c>
      <c r="K112" s="100">
        <f>SUM(BH$49:BH$70)+SUM(BJ$49:BJ$70)+SUM(BL$49:BL$70)+SUM(BN$49:BN$70)</f>
        <v>525.80059179917896</v>
      </c>
      <c r="L112" s="100">
        <f>SUM(BP$49:BP$70)+SUM(BR$49:BR$70)+SUM(BT$49:BT$70)+SUM(BV$49:BV$70)</f>
        <v>697.85480267408161</v>
      </c>
      <c r="M112" s="100">
        <f>SUM(BX$49:BX$70)+SUM(BZ$49:BZ$70)+SUM(CB$49:CB$70)+SUM(CD$49:CD$70)</f>
        <v>363.87693710978124</v>
      </c>
      <c r="N112" s="100">
        <f>SUM(CF$49:CF$70)+SUM(CH$49:CH$70)+SUM(CJ$49:CJ$70)+SUM(CL$49:CL$70)</f>
        <v>429.75906112319808</v>
      </c>
      <c r="O112" s="100">
        <f>SUM(CN$49:CN$70)+SUM(CP$49:CP$70)+SUM(CR$49:CR$70)+SUM(CT$49:CT$70)</f>
        <v>476.76489591449149</v>
      </c>
    </row>
    <row r="113" spans="2:15">
      <c r="C113" s="99" t="s">
        <v>130</v>
      </c>
      <c r="D113" s="100">
        <f>SUM(D$71:D$86)+SUM(F$71:F$86)+SUM(H$71:H$86)+SUM(J$71:J$86)</f>
        <v>257.85515837241195</v>
      </c>
      <c r="E113" s="100">
        <f>SUM(L$71:L$86)+SUM(N$71:N$86)+SUM(P$71:P$86)+SUM(R$71:R$86)</f>
        <v>422.92628502460923</v>
      </c>
      <c r="F113" s="100">
        <f>SUM(T$71:T$86)+SUM(V$71:V$86)+SUM(X$71:X$86)+SUM(Z$71:Z$86)</f>
        <v>349.96572325482038</v>
      </c>
      <c r="G113" s="100">
        <f>SUM(AB$71:AB$86)+SUM(AD$71:AD$86)+SUM(AF$71:AF$86)+SUM(AH$71:AH$86)</f>
        <v>445.25337259462606</v>
      </c>
      <c r="H113" s="100">
        <f>SUM(AJ$71:AJ$86)+SUM(AL$71:AL$86)+SUM(AN$71:AN$86)+SUM(AP$71:AP$86)</f>
        <v>331.94819129012546</v>
      </c>
      <c r="I113" s="100">
        <f>SUM(AR$71:AR$86)+SUM(AT$71:AT$86)+SUM(AV$71:AV$86)+SUM(AX$71:AX$86)</f>
        <v>452.16998445086631</v>
      </c>
      <c r="J113" s="100">
        <f>SUM(AZ$71:AZ$86)+SUM(BB$71:BB$86)+SUM(BD$71:BD$86)+SUM(BF$71:BF$86)</f>
        <v>340.14788849810634</v>
      </c>
      <c r="K113" s="100">
        <f>SUM(BH$71:BH$86)+SUM(BJ$71:BJ$86)+SUM(BL$71:BL$86)+SUM(BN$71:BN$86)</f>
        <v>431.61539257767242</v>
      </c>
      <c r="L113" s="100">
        <f>SUM(BP$71:BP$86)+SUM(BR$71:BR$86)+SUM(BT$71:BT$86)+SUM(BV$71:BV$86)</f>
        <v>386.68832682300018</v>
      </c>
      <c r="M113" s="100">
        <f>SUM(BX$71:BX$86)+SUM(BZ$71:BZ$86)+SUM(CB$71:CB$86)+SUM(CD$71:CD$86)</f>
        <v>330.42494494868401</v>
      </c>
      <c r="N113" s="100">
        <f>SUM(CF$71:CF$86)+SUM(CH$71:CH$86)+SUM(CJ$71:CJ$86)+SUM(CL$71:CL$86)</f>
        <v>374.3634223232994</v>
      </c>
      <c r="O113" s="100">
        <f>SUM(CN$71:CN$86)+SUM(CP$71:CP$86)+SUM(CR$71:CR$86)+SUM(CT$71:CT$86)</f>
        <v>490.29288262857654</v>
      </c>
    </row>
    <row r="114" spans="2:15">
      <c r="C114" s="99" t="s">
        <v>131</v>
      </c>
      <c r="D114" s="100">
        <f>SUM(D$87:D$94)+SUM(F$87:F$94)+SUM(H$87:H$94)+SUM(J$87:J$94)</f>
        <v>111.48111216789346</v>
      </c>
      <c r="E114" s="100">
        <f>SUM(L$87:L$94)+SUM(N$87:N$94)+SUM(P$87:P$94)+SUM(R$87:R$94)</f>
        <v>129.73040833620593</v>
      </c>
      <c r="F114" s="100">
        <f>SUM(T$87:T$94)+SUM(V$87:V$94)+SUM(X$87:X$94)+SUM(Z$87:Z$94)</f>
        <v>129.71250063049948</v>
      </c>
      <c r="G114" s="100">
        <f>SUM(AB$87:AB$94)+SUM(AD$87:AD$94)+SUM(AF$87:AF$94)+SUM(AH$87:AH$94)</f>
        <v>114.22417410351164</v>
      </c>
      <c r="H114" s="100">
        <f>SUM(AJ$87:AJ$94)+SUM(AL$87:AL$94)+SUM(AN$87:AN$94)+SUM(AP$87:AP$94)</f>
        <v>136.48301096875079</v>
      </c>
      <c r="I114" s="100">
        <f>SUM(AR$87:AR$94)+SUM(AT$87:AT$94)+SUM(AV$87:AV$94)+SUM(AX$87:AX$94)</f>
        <v>141.58378319469722</v>
      </c>
      <c r="J114" s="100">
        <f>SUM(AZ$87:AZ$94)+SUM(BB$87:BB$94)+SUM(BD$87:BD$94)+SUM(BF$87:BF$94)</f>
        <v>161.67091563563864</v>
      </c>
      <c r="K114" s="100">
        <f>SUM(BH$87:BH$94)+SUM(BJ$87:BJ$94)+SUM(BL$87:BL$94)+SUM(BN$87:BN$94)</f>
        <v>150.63038279461193</v>
      </c>
      <c r="L114" s="100">
        <f>SUM(BP$87:BP$94)+SUM(BR$87:BR$94)+SUM(BT$87:BT$94)+SUM(BV$87:BV$94)</f>
        <v>166.46527879735746</v>
      </c>
      <c r="M114" s="100">
        <f>SUM(BX$87:BX$94)+SUM(BZ$87:BZ$94)+SUM(CB$87:CB$94)+SUM(CD$87:CD$94)</f>
        <v>152.63823094228707</v>
      </c>
      <c r="N114" s="100">
        <f>SUM(CF$87:CF$94)+SUM(CH$87:CH$94)+SUM(CJ$87:CJ$94)+SUM(CL$87:CL$94)</f>
        <v>120.59094990870493</v>
      </c>
      <c r="O114" s="100">
        <f>SUM(CN$87:CN$94)+SUM(CP$87:CP$94)+SUM(CR$87:CR$94)+SUM(CT$87:CT$94)</f>
        <v>129.22490585706066</v>
      </c>
    </row>
    <row r="115" spans="2:15">
      <c r="C115" s="99" t="s">
        <v>132</v>
      </c>
      <c r="D115" s="100">
        <f>SUM(D$95:D$105)+SUM(F$95:F$105)+SUM(H$95:H$105)+SUM(J$95:J$105)</f>
        <v>220.83686194962235</v>
      </c>
      <c r="E115" s="100">
        <f>SUM(L$95:L$105)+SUM(N$95:N$105)+SUM(P$95:P$105)+SUM(R$95:R$105)</f>
        <v>291.60226146543812</v>
      </c>
      <c r="F115" s="100">
        <f>SUM(T$95:T$105)+SUM(V$95:V$105)+SUM(X$95:X$105)+SUM(Z$95:Z$105)</f>
        <v>285.7099418664381</v>
      </c>
      <c r="G115" s="100">
        <f>SUM(AB$95:AB$105)+SUM(AD$95:AD$105)+SUM(AF$95:AF$105)+SUM(AH$95:AH$105)</f>
        <v>226.58422647113431</v>
      </c>
      <c r="H115" s="100">
        <f>SUM(AJ$95:AJ$105)+SUM(AL$95:AL$105)+SUM(AN$95:AN$105)+SUM(AP$95:AP$105)</f>
        <v>258.825334151927</v>
      </c>
      <c r="I115" s="100">
        <f>SUM(AR$95:AR$105)+SUM(AT$95:AT$105)+SUM(AV$95:AV$105)+SUM(AX$95:AX$105)</f>
        <v>231.6859690089741</v>
      </c>
      <c r="J115" s="100">
        <f>SUM(AZ$95:AZ$105)+SUM(BB$95:BB$105)+SUM(BD$95:BD$105)+SUM(BF$95:BF$105)</f>
        <v>304.14616059541368</v>
      </c>
      <c r="K115" s="100">
        <f>SUM(BH$95:BH$105)+SUM(BJ$95:BJ$105)+SUM(BL$95:BL$105)+SUM(BN$95:BN$105)</f>
        <v>293.04526036723632</v>
      </c>
      <c r="L115" s="100">
        <f>SUM(BP$95:BP$105)+SUM(BR$95:BR$105)+SUM(BT$95:BT$105)+SUM(BV$95:BV$105)</f>
        <v>233.71785382427706</v>
      </c>
      <c r="M115" s="100">
        <f>SUM(BX$95:BX$105)+SUM(BZ$95:BZ$105)+SUM(CB$95:CB$105)+SUM(CD$95:CD$105)</f>
        <v>300.41066246202723</v>
      </c>
      <c r="N115" s="100">
        <f>SUM(CF$95:CF$105)+SUM(CH$95:CH$105)+SUM(CJ$95:CJ$105)+SUM(CL$95:CL$105)</f>
        <v>219.92200443107561</v>
      </c>
      <c r="O115" s="100">
        <f>SUM(CN$95:CN$105)+SUM(CP$95:CP$105)+SUM(CR$95:CR$105)+SUM(CT$95:CT$105)</f>
        <v>284.22441035134375</v>
      </c>
    </row>
    <row r="116" spans="2:15">
      <c r="C116" s="99" t="s">
        <v>278</v>
      </c>
      <c r="D116" s="100">
        <f t="shared" ref="D116:O116" si="0">SUM(D$109:D$115)</f>
        <v>2252.9216795788352</v>
      </c>
      <c r="E116" s="100">
        <f t="shared" si="0"/>
        <v>2796.4254604679682</v>
      </c>
      <c r="F116" s="100">
        <f t="shared" si="0"/>
        <v>2540.3788540551336</v>
      </c>
      <c r="G116" s="100">
        <f t="shared" si="0"/>
        <v>2645.4496192149322</v>
      </c>
      <c r="H116" s="100">
        <f t="shared" si="0"/>
        <v>2168.6611468115048</v>
      </c>
      <c r="I116" s="100">
        <f t="shared" si="0"/>
        <v>2605.5333499348776</v>
      </c>
      <c r="J116" s="100">
        <f t="shared" si="0"/>
        <v>2312.7904460486843</v>
      </c>
      <c r="K116" s="100">
        <f t="shared" si="0"/>
        <v>2676.0623986311666</v>
      </c>
      <c r="L116" s="100">
        <f t="shared" si="0"/>
        <v>2986.9962723965846</v>
      </c>
      <c r="M116" s="100">
        <f t="shared" si="0"/>
        <v>2157.0853803485675</v>
      </c>
      <c r="N116" s="100">
        <f t="shared" si="0"/>
        <v>2512.0635793362103</v>
      </c>
      <c r="O116" s="100">
        <f t="shared" si="0"/>
        <v>2602.7616141486224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1646565.9633758396</v>
      </c>
      <c r="E120" s="100">
        <f>E109*pricing!E33*2000</f>
        <v>1672380.7878022434</v>
      </c>
      <c r="F120" s="100">
        <f>F109*pricing!F33*2000</f>
        <v>1716461.0670516544</v>
      </c>
      <c r="G120" s="100">
        <f>G109*pricing!G33*2000</f>
        <v>1529616.5938070484</v>
      </c>
      <c r="H120" s="100">
        <f>H109*pricing!H33*2000</f>
        <v>1251514.5139550162</v>
      </c>
      <c r="I120" s="100">
        <f>I109*pricing!I33*2000</f>
        <v>1728069.46789337</v>
      </c>
      <c r="J120" s="100">
        <f>J109*pricing!J33*2000</f>
        <v>1289038.1329316725</v>
      </c>
      <c r="K120" s="100">
        <f>K109*pricing!K33*2000</f>
        <v>1518959.7565894639</v>
      </c>
      <c r="L120" s="100">
        <f>L109*pricing!L33*2000</f>
        <v>2081370.6468219184</v>
      </c>
      <c r="M120" s="100">
        <f>M109*pricing!M33*2000</f>
        <v>1387543.3446578206</v>
      </c>
      <c r="N120" s="100">
        <f>N109*pricing!N33*2000</f>
        <v>1680964.9415761221</v>
      </c>
      <c r="O120" s="100">
        <f>O109*pricing!O33*2000</f>
        <v>1618061.6898030969</v>
      </c>
    </row>
    <row r="121" spans="2:15">
      <c r="C121" s="99" t="s">
        <v>127</v>
      </c>
      <c r="D121" s="100">
        <f>D110*pricing!D34*2000</f>
        <v>1972522.5712644414</v>
      </c>
      <c r="E121" s="100">
        <f>E110*pricing!E34*2000</f>
        <v>2084230.1564694513</v>
      </c>
      <c r="F121" s="100">
        <f>F110*pricing!F34*2000</f>
        <v>1859681.8959423203</v>
      </c>
      <c r="G121" s="100">
        <f>G110*pricing!G34*2000</f>
        <v>2192278.8933156645</v>
      </c>
      <c r="H121" s="100">
        <f>H110*pricing!H34*2000</f>
        <v>1910645.1456832881</v>
      </c>
      <c r="I121" s="100">
        <f>I110*pricing!I34*2000</f>
        <v>2308879.1204871321</v>
      </c>
      <c r="J121" s="100">
        <f>J110*pricing!J34*2000</f>
        <v>1776833.8376572509</v>
      </c>
      <c r="K121" s="100">
        <f>K110*pricing!K34*2000</f>
        <v>2109768.6878998596</v>
      </c>
      <c r="L121" s="100">
        <f>L110*pricing!L34*2000</f>
        <v>2586417.8440333693</v>
      </c>
      <c r="M121" s="100">
        <f>M110*pricing!M34*2000</f>
        <v>1793845.3019715264</v>
      </c>
      <c r="N121" s="100">
        <f>N110*pricing!N34*2000</f>
        <v>2375968.7859546873</v>
      </c>
      <c r="O121" s="100">
        <f>O110*pricing!O34*2000</f>
        <v>2177826.2032070435</v>
      </c>
    </row>
    <row r="122" spans="2:15">
      <c r="C122" s="99" t="s">
        <v>128</v>
      </c>
      <c r="D122" s="100">
        <f>D111*pricing!D35*2000</f>
        <v>2247247.8108006781</v>
      </c>
      <c r="E122" s="100">
        <f>E111*pricing!E35*2000</f>
        <v>2481151.8187799631</v>
      </c>
      <c r="F122" s="100">
        <f>F111*pricing!F35*2000</f>
        <v>2340268.6643375801</v>
      </c>
      <c r="G122" s="100">
        <f>G111*pricing!G35*2000</f>
        <v>2482332.6192524601</v>
      </c>
      <c r="H122" s="100">
        <f>H111*pricing!H35*2000</f>
        <v>2040875.2817514809</v>
      </c>
      <c r="I122" s="100">
        <f>I111*pricing!I35*2000</f>
        <v>2189690.8717903122</v>
      </c>
      <c r="J122" s="100">
        <f>J111*pricing!J35*2000</f>
        <v>2160567.3935297113</v>
      </c>
      <c r="K122" s="100">
        <f>K111*pricing!K35*2000</f>
        <v>2549075.2062488059</v>
      </c>
      <c r="L122" s="100">
        <f>L111*pricing!L35*2000</f>
        <v>2658772.173527542</v>
      </c>
      <c r="M122" s="100">
        <f>M111*pricing!M35*2000</f>
        <v>1743696.0670804337</v>
      </c>
      <c r="N122" s="100">
        <f>N111*pricing!N35*2000</f>
        <v>2581266.2662101206</v>
      </c>
      <c r="O122" s="100">
        <f>O111*pricing!O35*2000</f>
        <v>2156938.4976175013</v>
      </c>
    </row>
    <row r="123" spans="2:15">
      <c r="C123" s="99" t="s">
        <v>129</v>
      </c>
      <c r="D123" s="100">
        <f>D112*pricing!D36*2000</f>
        <v>2291772.9455600749</v>
      </c>
      <c r="E123" s="100">
        <f>E112*pricing!E36*2000</f>
        <v>3344354.5682585891</v>
      </c>
      <c r="F123" s="100">
        <f>F112*pricing!F36*2000</f>
        <v>2804698.7097612317</v>
      </c>
      <c r="G123" s="100">
        <f>G112*pricing!G36*2000</f>
        <v>2898816.0924697923</v>
      </c>
      <c r="H123" s="100">
        <f>H112*pricing!H36*2000</f>
        <v>1839615.2592172588</v>
      </c>
      <c r="I123" s="100">
        <f>I112*pricing!I36*2000</f>
        <v>2515222.5534189898</v>
      </c>
      <c r="J123" s="100">
        <f>J112*pricing!J36*2000</f>
        <v>2141262.1798620378</v>
      </c>
      <c r="K123" s="100">
        <f>K112*pricing!K36*2000</f>
        <v>2629002.958995895</v>
      </c>
      <c r="L123" s="100">
        <f>L112*pricing!L36*2000</f>
        <v>3489274.0133704082</v>
      </c>
      <c r="M123" s="100">
        <f>M112*pricing!M36*2000</f>
        <v>1819384.6855489062</v>
      </c>
      <c r="N123" s="100">
        <f>N112*pricing!N36*2000</f>
        <v>2148795.3056159904</v>
      </c>
      <c r="O123" s="100">
        <f>O112*pricing!O36*2000</f>
        <v>2383824.4795724577</v>
      </c>
    </row>
    <row r="124" spans="2:15">
      <c r="C124" s="99" t="s">
        <v>130</v>
      </c>
      <c r="D124" s="100">
        <f>D113*pricing!D37*2000</f>
        <v>1340846.8235365422</v>
      </c>
      <c r="E124" s="100">
        <f>E113*pricing!E37*2000</f>
        <v>2199216.6821279679</v>
      </c>
      <c r="F124" s="100">
        <f>F113*pricing!F37*2000</f>
        <v>1819821.760925066</v>
      </c>
      <c r="G124" s="100">
        <f>G113*pricing!G37*2000</f>
        <v>2315317.5374920554</v>
      </c>
      <c r="H124" s="100">
        <f>H113*pricing!H37*2000</f>
        <v>1726130.5947086525</v>
      </c>
      <c r="I124" s="100">
        <f>I113*pricing!I37*2000</f>
        <v>2351283.9191445052</v>
      </c>
      <c r="J124" s="100">
        <f>J113*pricing!J37*2000</f>
        <v>1768769.020190153</v>
      </c>
      <c r="K124" s="100">
        <f>K113*pricing!K37*2000</f>
        <v>2244400.0414038966</v>
      </c>
      <c r="L124" s="100">
        <f>L113*pricing!L37*2000</f>
        <v>2010779.299479601</v>
      </c>
      <c r="M124" s="100">
        <f>M113*pricing!M37*2000</f>
        <v>1718209.7137331569</v>
      </c>
      <c r="N124" s="100">
        <f>N113*pricing!N37*2000</f>
        <v>1946689.7960811572</v>
      </c>
      <c r="O124" s="100">
        <f>O113*pricing!O37*2000</f>
        <v>2549522.9896685984</v>
      </c>
    </row>
    <row r="125" spans="2:15">
      <c r="C125" s="99" t="s">
        <v>131</v>
      </c>
      <c r="D125" s="100">
        <f>D114*pricing!D38*2000</f>
        <v>624294.2281402034</v>
      </c>
      <c r="E125" s="100">
        <f>E114*pricing!E38*2000</f>
        <v>726490.28668275313</v>
      </c>
      <c r="F125" s="100">
        <f>F114*pricing!F38*2000</f>
        <v>726390.00353079697</v>
      </c>
      <c r="G125" s="100">
        <f>G114*pricing!G38*2000</f>
        <v>639655.37497966515</v>
      </c>
      <c r="H125" s="100">
        <f>H114*pricing!H38*2000</f>
        <v>764304.86142500432</v>
      </c>
      <c r="I125" s="100">
        <f>I114*pricing!I38*2000</f>
        <v>792869.18589030439</v>
      </c>
      <c r="J125" s="100">
        <f>J114*pricing!J38*2000</f>
        <v>905357.1275595763</v>
      </c>
      <c r="K125" s="100">
        <f>K114*pricing!K38*2000</f>
        <v>843530.14364982676</v>
      </c>
      <c r="L125" s="100">
        <f>L114*pricing!L38*2000</f>
        <v>932205.56126520166</v>
      </c>
      <c r="M125" s="100">
        <f>M114*pricing!M38*2000</f>
        <v>854774.09327680757</v>
      </c>
      <c r="N125" s="100">
        <f>N114*pricing!N38*2000</f>
        <v>675309.31948874751</v>
      </c>
      <c r="O125" s="100">
        <f>O114*pricing!O38*2000</f>
        <v>723659.47279953968</v>
      </c>
    </row>
    <row r="126" spans="2:15">
      <c r="C126" s="99" t="s">
        <v>132</v>
      </c>
      <c r="D126" s="100">
        <f>D115*pricing!D39*2000</f>
        <v>1148351.6821380362</v>
      </c>
      <c r="E126" s="100">
        <f>E115*pricing!E39*2000</f>
        <v>1516331.7596202784</v>
      </c>
      <c r="F126" s="100">
        <f>F115*pricing!F39*2000</f>
        <v>1485691.6977054782</v>
      </c>
      <c r="G126" s="100">
        <f>G115*pricing!G39*2000</f>
        <v>1178237.9776498985</v>
      </c>
      <c r="H126" s="100">
        <f>H115*pricing!H39*2000</f>
        <v>1345891.7375900205</v>
      </c>
      <c r="I126" s="100">
        <f>I115*pricing!I39*2000</f>
        <v>1204767.0388466653</v>
      </c>
      <c r="J126" s="100">
        <f>J115*pricing!J39*2000</f>
        <v>1581560.0350961511</v>
      </c>
      <c r="K126" s="100">
        <f>K115*pricing!K39*2000</f>
        <v>1523835.3539096289</v>
      </c>
      <c r="L126" s="100">
        <f>L115*pricing!L39*2000</f>
        <v>1215332.8398862407</v>
      </c>
      <c r="M126" s="100">
        <f>M115*pricing!M39*2000</f>
        <v>1562135.4448025418</v>
      </c>
      <c r="N126" s="100">
        <f>N115*pricing!N39*2000</f>
        <v>1143594.4230415933</v>
      </c>
      <c r="O126" s="100">
        <f>O115*pricing!O39*2000</f>
        <v>1477966.9338269876</v>
      </c>
    </row>
    <row r="127" spans="2:15">
      <c r="C127" s="99" t="s">
        <v>278</v>
      </c>
      <c r="D127" s="100">
        <f>SUM(D$120:D$126)</f>
        <v>11271602.024815818</v>
      </c>
      <c r="E127" s="100">
        <f t="shared" ref="E127:O127" si="1">SUM(E$120:E$126)</f>
        <v>14024156.059741246</v>
      </c>
      <c r="F127" s="100">
        <f t="shared" si="1"/>
        <v>12753013.799254127</v>
      </c>
      <c r="G127" s="100">
        <f t="shared" si="1"/>
        <v>13236255.088966586</v>
      </c>
      <c r="H127" s="100">
        <f t="shared" si="1"/>
        <v>10878977.394330721</v>
      </c>
      <c r="I127" s="100">
        <f t="shared" si="1"/>
        <v>13090782.157471281</v>
      </c>
      <c r="J127" s="100">
        <f t="shared" si="1"/>
        <v>11623387.726826554</v>
      </c>
      <c r="K127" s="100">
        <f t="shared" si="1"/>
        <v>13418572.148697378</v>
      </c>
      <c r="L127" s="100">
        <f t="shared" si="1"/>
        <v>14974152.378384283</v>
      </c>
      <c r="M127" s="100">
        <f t="shared" si="1"/>
        <v>10879588.651071193</v>
      </c>
      <c r="N127" s="100">
        <f t="shared" si="1"/>
        <v>12552588.837968417</v>
      </c>
      <c r="O127" s="100">
        <f t="shared" si="1"/>
        <v>13087800.266495224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153374.5045986234</v>
      </c>
      <c r="E131" s="106">
        <f>SUM(M$6:M$19)+SUM(O$6:O$19)+SUM(Q$6:Q$19)+SUM(S$6:S$19)</f>
        <v>155001.42215505717</v>
      </c>
      <c r="F131" s="106">
        <f>SUM(U$6:U$19)+SUM(W$6:W$19)+SUM(Y$6:Y$19)+SUM(AA$6:AA$19)</f>
        <v>159722.05273535888</v>
      </c>
      <c r="G131" s="106">
        <f>SUM(AC$6:AC$19)+SUM(AE$6:AE$19)+SUM(AG$6:AG$19)+SUM(AI$6:AI$19)</f>
        <v>142996.03181710959</v>
      </c>
      <c r="H131" s="106">
        <f>SUM(AK$6:AK$19)+SUM(AM$6:AM$19)+SUM(AO$6:AO$19)+SUM(AQ$6:AQ$19)</f>
        <v>117184.84073587063</v>
      </c>
      <c r="I131" s="106">
        <f>SUM(AS$6:AS$19)+SUM(AU$6:AU$19)+SUM(AW$6:AW$19)+SUM(AY$6:AY$19)</f>
        <v>160828.07906480177</v>
      </c>
      <c r="J131" s="106">
        <f>SUM(BA$6:BA$19)+SUM(BC$6:BC$19)+SUM(BE$6:BE$19)+SUM(BG$6:BG$19)</f>
        <v>119980.33133730498</v>
      </c>
      <c r="K131" s="106">
        <f>SUM(BI$6:BI$19)+SUM(BK$6:BK$19)+SUM(BM$6:BM$19)+SUM(BO$6:BO$19)</f>
        <v>141765.74753502131</v>
      </c>
      <c r="L131" s="106">
        <f>SUM(BQ$6:BQ$19)+SUM(BS$6:BS$19)+SUM(BU$6:BU$19)+SUM(BW$6:BW$19)</f>
        <v>195046.71017513526</v>
      </c>
      <c r="M131" s="106">
        <f>SUM(BY$6:BY$19)+SUM(CA$6:CA$19)+SUM(CC$6:CC$19)+SUM(CE$6:CE$19)</f>
        <v>129498.0283859512</v>
      </c>
      <c r="N131" s="106">
        <f>SUM(CG$6:CG$19)+SUM(CI$6:CI$19)+SUM(CK$6:CK$19)+SUM(CM$6:CM$19)</f>
        <v>156177.84759271058</v>
      </c>
      <c r="O131" s="106">
        <f>SUM(CO$6:CO$19)+SUM(CQ$6:CQ$19)+SUM(CS$6:CS$19)+SUM(CU$6:CU$19)</f>
        <v>151447.86196437731</v>
      </c>
    </row>
    <row r="132" spans="2:15">
      <c r="C132" s="105" t="s">
        <v>127</v>
      </c>
      <c r="D132" s="106">
        <f>SUM(E$20:E$36)+SUM(G$20:G$36)+SUM(I$20:I$36)+SUM(K$20:K$36)</f>
        <v>175543.60190755987</v>
      </c>
      <c r="E132" s="106">
        <f>SUM(M$20:M$36)+SUM(O$20:O$36)+SUM(Q$20:Q$36)+SUM(S$20:S$36)</f>
        <v>185573.8764778378</v>
      </c>
      <c r="F132" s="106">
        <f>SUM(U$20:U$36)+SUM(W$20:W$36)+SUM(Y$20:Y$36)+SUM(AA$20:AA$36)</f>
        <v>164373.76265414193</v>
      </c>
      <c r="G132" s="106">
        <f>SUM(AC$20:AC$36)+SUM(AE$20:AE$36)+SUM(AG$20:AG$36)+SUM(AI$20:AI$36)</f>
        <v>194884.38105587754</v>
      </c>
      <c r="H132" s="106">
        <f>SUM(AK$20:AK$36)+SUM(AM$20:AM$36)+SUM(AO$20:AO$36)+SUM(AQ$20:AQ$36)</f>
        <v>171360.92621362422</v>
      </c>
      <c r="I132" s="106">
        <f>SUM(AS$20:AS$36)+SUM(AU$20:AU$36)+SUM(AW$20:AW$36)+SUM(AY$20:AY$36)</f>
        <v>206642.27688173286</v>
      </c>
      <c r="J132" s="106">
        <f>SUM(BA$20:BA$36)+SUM(BC$20:BC$36)+SUM(BE$20:BE$36)+SUM(BG$20:BG$36)</f>
        <v>157898.98548764555</v>
      </c>
      <c r="K132" s="106">
        <f>SUM(BI$20:BI$36)+SUM(BK$20:BK$36)+SUM(BM$20:BM$36)+SUM(BO$20:BO$36)</f>
        <v>186515.32386606888</v>
      </c>
      <c r="L132" s="106">
        <f>SUM(BQ$20:BQ$36)+SUM(BS$20:BS$36)+SUM(BU$20:BU$36)+SUM(BW$20:BW$36)</f>
        <v>231164.64602993871</v>
      </c>
      <c r="M132" s="106">
        <f>SUM(BY$20:BY$36)+SUM(CA$20:CA$36)+SUM(CC$20:CC$36)+SUM(CE$20:CE$36)</f>
        <v>159939.85462554402</v>
      </c>
      <c r="N132" s="106">
        <f>SUM(CG$20:CG$36)+SUM(CI$20:CI$36)+SUM(CK$20:CK$36)+SUM(CM$20:CM$36)</f>
        <v>211125.86031668022</v>
      </c>
      <c r="O132" s="106">
        <f>SUM(CO$20:CO$36)+SUM(CQ$20:CQ$36)+SUM(CS$20:CS$36)+SUM(CU$20:CU$36)</f>
        <v>193397.47457324906</v>
      </c>
    </row>
    <row r="133" spans="2:15">
      <c r="C133" s="105" t="s">
        <v>128</v>
      </c>
      <c r="D133" s="106">
        <f>SUM(E$37:E$48)+SUM(G$37:G$48)+SUM(I$37:I$48)+SUM(K$37:K$48)</f>
        <v>510956.90267724113</v>
      </c>
      <c r="E133" s="106">
        <f>SUM(M$37:M$48)+SUM(O$37:O$48)+SUM(Q$37:Q$48)+SUM(S$37:S$48)</f>
        <v>565107.3362013516</v>
      </c>
      <c r="F133" s="106">
        <f>SUM(U$37:U$48)+SUM(W$37:W$48)+SUM(Y$37:Y$48)+SUM(AA$37:AA$48)</f>
        <v>531025.52425350016</v>
      </c>
      <c r="G133" s="106">
        <f>SUM(AC$37:AC$48)+SUM(AE$37:AE$48)+SUM(AG$37:AG$48)+SUM(AI$37:AI$48)</f>
        <v>562963.9919631104</v>
      </c>
      <c r="H133" s="106">
        <f>SUM(AK$37:AK$48)+SUM(AM$37:AM$48)+SUM(AO$37:AO$48)+SUM(AQ$37:AQ$48)</f>
        <v>464535.02222115151</v>
      </c>
      <c r="I133" s="106">
        <f>SUM(AS$37:AS$48)+SUM(AU$37:AU$48)+SUM(AW$37:AW$48)+SUM(AY$37:AY$48)</f>
        <v>501725.1994826619</v>
      </c>
      <c r="J133" s="106">
        <f>SUM(BA$37:BA$48)+SUM(BC$37:BC$48)+SUM(BE$37:BE$48)+SUM(BG$37:BG$48)</f>
        <v>490924.50367516256</v>
      </c>
      <c r="K133" s="106">
        <f>SUM(BI$37:BI$48)+SUM(BK$37:BK$48)+SUM(BM$37:BM$48)+SUM(BO$37:BO$48)</f>
        <v>581178.23282849113</v>
      </c>
      <c r="L133" s="106">
        <f>SUM(BQ$37:BQ$48)+SUM(BS$37:BS$48)+SUM(BU$37:BU$48)+SUM(BW$37:BW$48)</f>
        <v>604695.79618823784</v>
      </c>
      <c r="M133" s="106">
        <f>SUM(BY$37:BY$48)+SUM(CA$37:CA$48)+SUM(CC$37:CC$48)+SUM(CE$37:CE$48)</f>
        <v>399180.70003413764</v>
      </c>
      <c r="N133" s="106">
        <f>SUM(CG$37:CG$48)+SUM(CI$37:CI$48)+SUM(CK$37:CK$48)+SUM(CM$37:CM$48)</f>
        <v>587636.50543213193</v>
      </c>
      <c r="O133" s="106">
        <f>SUM(CO$37:CO$48)+SUM(CQ$37:CQ$48)+SUM(CS$37:CS$48)+SUM(CU$37:CU$48)</f>
        <v>490555.0252331564</v>
      </c>
    </row>
    <row r="134" spans="2:15">
      <c r="C134" s="105" t="s">
        <v>129</v>
      </c>
      <c r="D134" s="106">
        <f>SUM(E$49:E$70)+SUM(G$49:G$70)+SUM(I$49:I$70)+SUM(K$49:K$70)</f>
        <v>376678.57844207541</v>
      </c>
      <c r="E134" s="106">
        <f>SUM(M$49:M$70)+SUM(O$49:O$70)+SUM(Q$49:Q$70)+SUM(S$49:S$70)</f>
        <v>557599.88484720816</v>
      </c>
      <c r="F134" s="106">
        <f>SUM(U$49:U$70)+SUM(W$49:W$70)+SUM(Y$49:Y$70)+SUM(AA$49:AA$70)</f>
        <v>465391.02533188334</v>
      </c>
      <c r="G134" s="106">
        <f>SUM(AC$49:AC$70)+SUM(AE$49:AE$70)+SUM(AG$49:AG$70)+SUM(AI$49:AI$70)</f>
        <v>480670.19041401631</v>
      </c>
      <c r="H134" s="106">
        <f>SUM(AK$49:AK$70)+SUM(AM$49:AM$70)+SUM(AO$49:AO$70)+SUM(AQ$49:AQ$70)</f>
        <v>312128.42839957878</v>
      </c>
      <c r="I134" s="106">
        <f>SUM(AS$49:AS$70)+SUM(AU$49:AU$70)+SUM(AW$49:AW$70)+SUM(AY$49:AY$70)</f>
        <v>424668.32410851476</v>
      </c>
      <c r="J134" s="106">
        <f>SUM(BA$49:BA$70)+SUM(BC$49:BC$70)+SUM(BE$49:BE$70)+SUM(BG$49:BG$70)</f>
        <v>366292.07118952123</v>
      </c>
      <c r="K134" s="106">
        <f>SUM(BI$49:BI$70)+SUM(BK$49:BK$70)+SUM(BM$49:BM$70)+SUM(BO$49:BO$70)</f>
        <v>450434.81429993466</v>
      </c>
      <c r="L134" s="106">
        <f>SUM(BQ$49:BQ$70)+SUM(BS$49:BS$70)+SUM(BU$49:BU$70)+SUM(BW$49:BW$70)</f>
        <v>582443.90532142681</v>
      </c>
      <c r="M134" s="106">
        <f>SUM(BY$49:BY$70)+SUM(CA$49:CA$70)+SUM(CC$49:CC$70)+SUM(CE$49:CE$70)</f>
        <v>317936.62232675159</v>
      </c>
      <c r="N134" s="106">
        <f>SUM(CG$49:CG$70)+SUM(CI$49:CI$70)+SUM(CK$49:CK$70)+SUM(CM$49:CM$70)</f>
        <v>358562.17382454372</v>
      </c>
      <c r="O134" s="106">
        <f>SUM(CO$49:CO$70)+SUM(CQ$49:CQ$70)+SUM(CS$49:CS$70)+SUM(CU$49:CU$70)</f>
        <v>403833.8946357026</v>
      </c>
    </row>
    <row r="135" spans="2:15">
      <c r="C135" s="105" t="s">
        <v>130</v>
      </c>
      <c r="D135" s="106">
        <f>SUM(E$71:E$86)+SUM(G$71:G$86)+SUM(I$71:I$86)+SUM(K$71:K$86)</f>
        <v>143923.85767532355</v>
      </c>
      <c r="E135" s="106">
        <f>SUM(M$71:M$86)+SUM(O$71:O$86)+SUM(Q$71:Q$86)+SUM(S$71:S$86)</f>
        <v>235332.48477227677</v>
      </c>
      <c r="F135" s="106">
        <f>SUM(U$71:U$86)+SUM(W$71:W$86)+SUM(Y$71:Y$86)+SUM(AA$71:AA$86)</f>
        <v>195440.72734668397</v>
      </c>
      <c r="G135" s="106">
        <f>SUM(AC$71:AC$86)+SUM(AE$71:AE$86)+SUM(AG$71:AG$86)+SUM(AI$71:AI$86)</f>
        <v>249667.03836195444</v>
      </c>
      <c r="H135" s="106">
        <f>SUM(AK$71:AK$86)+SUM(AM$71:AM$86)+SUM(AO$71:AO$86)+SUM(AQ$71:AQ$86)</f>
        <v>185759.85046020357</v>
      </c>
      <c r="I135" s="106">
        <f>SUM(AS$71:AS$86)+SUM(AU$71:AU$86)+SUM(AW$71:AW$86)+SUM(AY$71:AY$86)</f>
        <v>253713.30033025146</v>
      </c>
      <c r="J135" s="106">
        <f>SUM(BA$71:BA$86)+SUM(BC$71:BC$86)+SUM(BE$71:BE$86)+SUM(BG$71:BG$86)</f>
        <v>189277.06695351083</v>
      </c>
      <c r="K135" s="106">
        <f>SUM(BI$71:BI$86)+SUM(BK$71:BK$86)+SUM(BM$71:BM$86)+SUM(BO$71:BO$86)</f>
        <v>238402.2133087345</v>
      </c>
      <c r="L135" s="106">
        <f>SUM(BQ$71:BQ$86)+SUM(BS$71:BS$86)+SUM(BU$71:BU$86)+SUM(BW$71:BW$86)</f>
        <v>215179.42081311019</v>
      </c>
      <c r="M135" s="106">
        <f>SUM(BY$71:BY$86)+SUM(CA$71:CA$86)+SUM(CC$71:CC$86)+SUM(CE$71:CE$86)</f>
        <v>184459.33728124265</v>
      </c>
      <c r="N135" s="106">
        <f>SUM(CG$71:CG$86)+SUM(CI$71:CI$86)+SUM(CK$71:CK$86)+SUM(CM$71:CM$86)</f>
        <v>207919.7546150402</v>
      </c>
      <c r="O135" s="106">
        <f>SUM(CO$71:CO$86)+SUM(CQ$71:CQ$86)+SUM(CS$71:CS$86)+SUM(CU$71:CU$86)</f>
        <v>273983.05044326739</v>
      </c>
    </row>
    <row r="136" spans="2:15">
      <c r="C136" s="105" t="s">
        <v>131</v>
      </c>
      <c r="D136" s="106">
        <f>SUM(E$87:E$94)+SUM(G$87:G$94)+SUM(I$87:I$94)+SUM(K$87:K$94)</f>
        <v>112024.2831710678</v>
      </c>
      <c r="E136" s="106">
        <f>SUM(M$87:M$94)+SUM(O$87:O$94)+SUM(Q$87:Q$94)+SUM(S$87:S$94)</f>
        <v>130009.30667185543</v>
      </c>
      <c r="F136" s="106">
        <f>SUM(U$87:U$94)+SUM(W$87:W$94)+SUM(Y$87:Y$94)+SUM(AA$87:AA$94)</f>
        <v>129498.74182950161</v>
      </c>
      <c r="G136" s="106">
        <f>SUM(AC$87:AC$94)+SUM(AE$87:AE$94)+SUM(AG$87:AG$94)+SUM(AI$87:AI$94)</f>
        <v>114629.539880219</v>
      </c>
      <c r="H136" s="106">
        <f>SUM(AK$87:AK$94)+SUM(AM$87:AM$94)+SUM(AO$87:AO$94)+SUM(AQ$87:AQ$94)</f>
        <v>136828.21714160196</v>
      </c>
      <c r="I136" s="106">
        <f>SUM(AS$87:AS$94)+SUM(AU$87:AU$94)+SUM(AW$87:AW$94)+SUM(AY$87:AY$94)</f>
        <v>141955.96114678663</v>
      </c>
      <c r="J136" s="106">
        <f>SUM(BA$87:BA$94)+SUM(BC$87:BC$94)+SUM(BE$87:BE$94)+SUM(BG$87:BG$94)</f>
        <v>162276.84284902812</v>
      </c>
      <c r="K136" s="106">
        <f>SUM(BI$87:BI$94)+SUM(BK$87:BK$94)+SUM(BM$87:BM$94)+SUM(BO$87:BO$94)</f>
        <v>150655.93166318384</v>
      </c>
      <c r="L136" s="106">
        <f>SUM(BQ$87:BQ$94)+SUM(BS$87:BS$94)+SUM(BU$87:BU$94)+SUM(BW$87:BW$94)</f>
        <v>167025.30147649127</v>
      </c>
      <c r="M136" s="106">
        <f>SUM(BY$87:BY$94)+SUM(CA$87:CA$94)+SUM(CC$87:CC$94)+SUM(CE$87:CE$94)</f>
        <v>153121.94197955634</v>
      </c>
      <c r="N136" s="106">
        <f>SUM(CG$87:CG$94)+SUM(CI$87:CI$94)+SUM(CK$87:CK$94)+SUM(CM$87:CM$94)</f>
        <v>120751.65407853734</v>
      </c>
      <c r="O136" s="106">
        <f>SUM(CO$87:CO$94)+SUM(CQ$87:CQ$94)+SUM(CS$87:CS$94)+SUM(CU$87:CU$94)</f>
        <v>129651.15662895415</v>
      </c>
    </row>
    <row r="137" spans="2:15">
      <c r="C137" s="105" t="s">
        <v>132</v>
      </c>
      <c r="D137" s="106">
        <f>SUM(E$95:E$105)+SUM(G$95:G$105)+SUM(I$95:I$105)+SUM(K$95:K$105)</f>
        <v>173094.34882079909</v>
      </c>
      <c r="E137" s="106">
        <f>SUM(M$95:M$105)+SUM(O$95:O$105)+SUM(Q$95:Q$105)+SUM(S$95:S$105)</f>
        <v>232381.57884017847</v>
      </c>
      <c r="F137" s="106">
        <f>SUM(U$95:U$105)+SUM(W$95:W$105)+SUM(Y$95:Y$105)+SUM(AA$95:AA$105)</f>
        <v>222116.18309828622</v>
      </c>
      <c r="G137" s="106">
        <f>SUM(AC$95:AC$105)+SUM(AE$95:AE$105)+SUM(AG$95:AG$105)+SUM(AI$95:AI$105)</f>
        <v>177746.83360838681</v>
      </c>
      <c r="H137" s="106">
        <f>SUM(AK$95:AK$105)+SUM(AM$95:AM$105)+SUM(AO$95:AO$105)+SUM(AQ$95:AQ$105)</f>
        <v>203909.6655721869</v>
      </c>
      <c r="I137" s="106">
        <f>SUM(AS$95:AS$105)+SUM(AU$95:AU$105)+SUM(AW$95:AW$105)+SUM(AY$95:AY$105)</f>
        <v>180259.32091169176</v>
      </c>
      <c r="J137" s="106">
        <f>SUM(BA$95:BA$105)+SUM(BC$95:BC$105)+SUM(BE$95:BE$105)+SUM(BG$95:BG$105)</f>
        <v>240649.55748596898</v>
      </c>
      <c r="K137" s="106">
        <f>SUM(BI$95:BI$105)+SUM(BK$95:BK$105)+SUM(BM$95:BM$105)+SUM(BO$95:BO$105)</f>
        <v>228025.89294310875</v>
      </c>
      <c r="L137" s="106">
        <f>SUM(BQ$95:BQ$105)+SUM(BS$95:BS$105)+SUM(BU$95:BU$105)+SUM(BW$95:BW$105)</f>
        <v>182688.9116315174</v>
      </c>
      <c r="M137" s="106">
        <f>SUM(BY$95:BY$105)+SUM(CA$95:CA$105)+SUM(CC$95:CC$105)+SUM(CE$95:CE$105)</f>
        <v>234862.61362934514</v>
      </c>
      <c r="N137" s="106">
        <f>SUM(CG$95:CG$105)+SUM(CI$95:CI$105)+SUM(CK$95:CK$105)+SUM(CM$95:CM$105)</f>
        <v>170637.74537682583</v>
      </c>
      <c r="O137" s="106">
        <f>SUM(CO$95:CO$105)+SUM(CQ$95:CQ$105)+SUM(CS$95:CS$105)+SUM(CU$95:CU$105)</f>
        <v>223186.63146803886</v>
      </c>
    </row>
    <row r="138" spans="2:15">
      <c r="C138" s="105" t="s">
        <v>278</v>
      </c>
      <c r="D138" s="100">
        <f t="shared" ref="D138:O138" si="2">SUM(D$131:D$137)</f>
        <v>1645596.0772926901</v>
      </c>
      <c r="E138" s="100">
        <f t="shared" si="2"/>
        <v>2061005.8899657654</v>
      </c>
      <c r="F138" s="100">
        <f t="shared" si="2"/>
        <v>1867568.017249356</v>
      </c>
      <c r="G138" s="100">
        <f t="shared" si="2"/>
        <v>1923558.0071006741</v>
      </c>
      <c r="H138" s="100">
        <f t="shared" si="2"/>
        <v>1591706.9507442177</v>
      </c>
      <c r="I138" s="100">
        <f t="shared" si="2"/>
        <v>1869792.4619264412</v>
      </c>
      <c r="J138" s="100">
        <f t="shared" si="2"/>
        <v>1727299.3589781423</v>
      </c>
      <c r="K138" s="100">
        <f t="shared" si="2"/>
        <v>1976978.1564445428</v>
      </c>
      <c r="L138" s="100">
        <f t="shared" si="2"/>
        <v>2178244.6916358578</v>
      </c>
      <c r="M138" s="100">
        <f t="shared" si="2"/>
        <v>1578999.0982625284</v>
      </c>
      <c r="N138" s="100">
        <f t="shared" si="2"/>
        <v>1812811.54123647</v>
      </c>
      <c r="O138" s="100">
        <f t="shared" si="2"/>
        <v>1866055.0949467458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2015-01-12T21:04:20Z</dcterms:modified>
</cp:coreProperties>
</file>