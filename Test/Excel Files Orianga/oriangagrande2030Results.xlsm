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17" codeName="{7A2D7E96-6E34-419A-AE5F-296B3A7E7977}"/>
  <workbookPr codeName="ThisWorkbook" autoCompressPictures="0"/>
  <bookViews>
    <workbookView xWindow="0" yWindow="40" windowWidth="23540" windowHeight="17440" firstSheet="1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5" sheetId="18" r:id="rId8"/>
    <sheet name="P07" sheetId="17" r:id="rId9"/>
    <sheet name="S15" sheetId="16" r:id="rId10"/>
    <sheet name="S48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16" i="20" l="1"/>
  <c r="S15" i="20"/>
  <c r="T19" i="20"/>
  <c r="S14" i="20"/>
  <c r="S8" i="20"/>
  <c r="H40" i="20"/>
  <c r="H39" i="20"/>
  <c r="S39" i="20"/>
  <c r="H38" i="20"/>
  <c r="H35" i="20"/>
  <c r="S42" i="20"/>
  <c r="T43" i="20"/>
  <c r="H34" i="20"/>
  <c r="H33" i="20"/>
  <c r="S36" i="20"/>
  <c r="H30" i="20"/>
  <c r="H29" i="20"/>
  <c r="H28" i="20"/>
  <c r="S40" i="20"/>
  <c r="H27" i="20"/>
  <c r="S37" i="20"/>
  <c r="H24" i="20"/>
  <c r="H23" i="20"/>
  <c r="H15" i="20"/>
  <c r="H14" i="20"/>
  <c r="H13" i="20"/>
  <c r="H8" i="20"/>
  <c r="H7" i="20"/>
  <c r="AZ170" i="14"/>
  <c r="AZ121" i="14"/>
  <c r="AZ108" i="14"/>
  <c r="AZ99" i="14"/>
  <c r="AZ92" i="14"/>
  <c r="AZ170" i="15"/>
  <c r="AZ121" i="15"/>
  <c r="AZ108" i="15"/>
  <c r="AZ99" i="15"/>
  <c r="AZ92" i="15"/>
  <c r="BA14" i="15"/>
  <c r="AZ170" i="16"/>
  <c r="AZ121" i="16"/>
  <c r="AZ108" i="16"/>
  <c r="AZ99" i="16"/>
  <c r="AZ92" i="16"/>
  <c r="AZ42" i="17"/>
  <c r="AZ43" i="17"/>
  <c r="AZ53" i="17"/>
  <c r="AZ54" i="17"/>
  <c r="AZ64" i="17"/>
  <c r="AZ65" i="17"/>
  <c r="AZ42" i="18"/>
  <c r="AZ43" i="18"/>
  <c r="AZ53" i="18"/>
  <c r="AZ54" i="18"/>
  <c r="AZ64" i="18"/>
  <c r="AZ65" i="18"/>
  <c r="T25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H10" i="2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S10" i="20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H9" i="20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F127" i="11"/>
  <c r="S9" i="20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S7" i="20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S31" i="20"/>
  <c r="T32" i="20"/>
  <c r="E138" i="13"/>
  <c r="F138" i="13"/>
  <c r="G138" i="13"/>
  <c r="H138" i="13"/>
  <c r="I138" i="13"/>
  <c r="J138" i="13"/>
  <c r="K138" i="13"/>
  <c r="L138" i="13"/>
  <c r="M138" i="13"/>
  <c r="N138" i="13"/>
  <c r="O138" i="13"/>
  <c r="AZ14" i="14"/>
  <c r="AY259" i="14"/>
  <c r="AY181" i="14"/>
  <c r="AY179" i="14"/>
  <c r="AY177" i="14"/>
  <c r="AY175" i="14"/>
  <c r="AY260" i="14"/>
  <c r="AX259" i="14"/>
  <c r="AY14" i="14"/>
  <c r="AX181" i="14"/>
  <c r="AX179" i="14"/>
  <c r="AX177" i="14"/>
  <c r="AX175" i="14"/>
  <c r="AW259" i="14"/>
  <c r="AX14" i="14"/>
  <c r="AW181" i="14"/>
  <c r="AW179" i="14"/>
  <c r="AW260" i="14"/>
  <c r="AW177" i="14"/>
  <c r="AW175" i="14"/>
  <c r="AW14" i="14"/>
  <c r="AV259" i="14"/>
  <c r="AV181" i="14"/>
  <c r="AV179" i="14"/>
  <c r="AV177" i="14"/>
  <c r="AV175" i="14"/>
  <c r="AV260" i="14"/>
  <c r="AV14" i="14"/>
  <c r="AU259" i="14"/>
  <c r="AU181" i="14"/>
  <c r="AU179" i="14"/>
  <c r="AU177" i="14"/>
  <c r="AU175" i="14"/>
  <c r="AU260" i="14"/>
  <c r="AT259" i="14"/>
  <c r="AU14" i="14"/>
  <c r="AT181" i="14"/>
  <c r="AT179" i="14"/>
  <c r="AT177" i="14"/>
  <c r="AT175" i="14"/>
  <c r="AS259" i="14"/>
  <c r="AT14" i="14"/>
  <c r="AS181" i="14"/>
  <c r="AS179" i="14"/>
  <c r="AS260" i="14"/>
  <c r="AS177" i="14"/>
  <c r="AS175" i="14"/>
  <c r="AS14" i="14"/>
  <c r="AR259" i="14"/>
  <c r="AR181" i="14"/>
  <c r="AR179" i="14"/>
  <c r="AR177" i="14"/>
  <c r="AR175" i="14"/>
  <c r="AR260" i="14"/>
  <c r="AR14" i="14"/>
  <c r="AQ259" i="14"/>
  <c r="AQ181" i="14"/>
  <c r="AQ179" i="14"/>
  <c r="AQ177" i="14"/>
  <c r="AQ175" i="14"/>
  <c r="AQ260" i="14"/>
  <c r="AP259" i="14"/>
  <c r="AQ14" i="14"/>
  <c r="AP181" i="14"/>
  <c r="AP179" i="14"/>
  <c r="AP260" i="14"/>
  <c r="AP177" i="14"/>
  <c r="AP175" i="14"/>
  <c r="AO259" i="14"/>
  <c r="AP14" i="14"/>
  <c r="AO181" i="14"/>
  <c r="AO179" i="14"/>
  <c r="AO260" i="14"/>
  <c r="AO177" i="14"/>
  <c r="AO175" i="14"/>
  <c r="AN259" i="14"/>
  <c r="AO14" i="14"/>
  <c r="AN181" i="14"/>
  <c r="AN179" i="14"/>
  <c r="AN177" i="14"/>
  <c r="AN175" i="14"/>
  <c r="AN14" i="14"/>
  <c r="AM259" i="14"/>
  <c r="AM181" i="14"/>
  <c r="AM179" i="14"/>
  <c r="AM177" i="14"/>
  <c r="AM175" i="14"/>
  <c r="AL259" i="14"/>
  <c r="AM14" i="14"/>
  <c r="AL181" i="14"/>
  <c r="AL179" i="14"/>
  <c r="AL260" i="14"/>
  <c r="AL177" i="14"/>
  <c r="AL175" i="14"/>
  <c r="AK259" i="14"/>
  <c r="AL14" i="14"/>
  <c r="AK181" i="14"/>
  <c r="AK179" i="14"/>
  <c r="AK177" i="14"/>
  <c r="AK260" i="14"/>
  <c r="AK175" i="14"/>
  <c r="AJ259" i="14"/>
  <c r="AK14" i="14"/>
  <c r="AJ181" i="14"/>
  <c r="AJ179" i="14"/>
  <c r="AJ177" i="14"/>
  <c r="AJ175" i="14"/>
  <c r="AJ14" i="14"/>
  <c r="AI259" i="14"/>
  <c r="AI181" i="14"/>
  <c r="AI179" i="14"/>
  <c r="AI177" i="14"/>
  <c r="AI175" i="14"/>
  <c r="AH259" i="14"/>
  <c r="AI14" i="14"/>
  <c r="AH181" i="14"/>
  <c r="AH179" i="14"/>
  <c r="AH260" i="14"/>
  <c r="AH177" i="14"/>
  <c r="AH175" i="14"/>
  <c r="AG259" i="14"/>
  <c r="AH14" i="14"/>
  <c r="AG181" i="14"/>
  <c r="AG179" i="14"/>
  <c r="AG177" i="14"/>
  <c r="AG260" i="14"/>
  <c r="AG175" i="14"/>
  <c r="AG14" i="14"/>
  <c r="AF259" i="14"/>
  <c r="AF181" i="14"/>
  <c r="AF179" i="14"/>
  <c r="AF177" i="14"/>
  <c r="AF175" i="14"/>
  <c r="AF260" i="14"/>
  <c r="AF14" i="14"/>
  <c r="AE259" i="14"/>
  <c r="AE181" i="14"/>
  <c r="AE179" i="14"/>
  <c r="AE177" i="14"/>
  <c r="AE175" i="14"/>
  <c r="AE260" i="14"/>
  <c r="AD259" i="14"/>
  <c r="AE14" i="14"/>
  <c r="AD181" i="14"/>
  <c r="AD179" i="14"/>
  <c r="AD260" i="14"/>
  <c r="AD177" i="14"/>
  <c r="AD175" i="14"/>
  <c r="AC259" i="14"/>
  <c r="AD14" i="14"/>
  <c r="AC181" i="14"/>
  <c r="AC179" i="14"/>
  <c r="AC177" i="14"/>
  <c r="AC260" i="14"/>
  <c r="AC175" i="14"/>
  <c r="AC14" i="14"/>
  <c r="AB259" i="14"/>
  <c r="AB181" i="14"/>
  <c r="AB179" i="14"/>
  <c r="AB177" i="14"/>
  <c r="AB175" i="14"/>
  <c r="AB260" i="14"/>
  <c r="AB14" i="14"/>
  <c r="AA259" i="14"/>
  <c r="AA181" i="14"/>
  <c r="AA179" i="14"/>
  <c r="AA177" i="14"/>
  <c r="AA175" i="14"/>
  <c r="AA260" i="14"/>
  <c r="Z259" i="14"/>
  <c r="AA14" i="14"/>
  <c r="Z181" i="14"/>
  <c r="Z179" i="14"/>
  <c r="Z260" i="14"/>
  <c r="Z177" i="14"/>
  <c r="Z175" i="14"/>
  <c r="Y259" i="14"/>
  <c r="Z14" i="14"/>
  <c r="Y181" i="14"/>
  <c r="Y179" i="14"/>
  <c r="Y260" i="14"/>
  <c r="Y177" i="14"/>
  <c r="Y175" i="14"/>
  <c r="Y14" i="14"/>
  <c r="X259" i="14"/>
  <c r="X181" i="14"/>
  <c r="X179" i="14"/>
  <c r="X177" i="14"/>
  <c r="X175" i="14"/>
  <c r="X260" i="14"/>
  <c r="X14" i="14"/>
  <c r="W259" i="14"/>
  <c r="W181" i="14"/>
  <c r="W179" i="14"/>
  <c r="W177" i="14"/>
  <c r="W175" i="14"/>
  <c r="V259" i="14"/>
  <c r="W14" i="14"/>
  <c r="V181" i="14"/>
  <c r="V179" i="14"/>
  <c r="V260" i="14"/>
  <c r="V177" i="14"/>
  <c r="V175" i="14"/>
  <c r="U259" i="14"/>
  <c r="V14" i="14"/>
  <c r="U181" i="14"/>
  <c r="U179" i="14"/>
  <c r="U177" i="14"/>
  <c r="U260" i="14"/>
  <c r="U175" i="14"/>
  <c r="T259" i="14"/>
  <c r="U14" i="14"/>
  <c r="T181" i="14"/>
  <c r="T179" i="14"/>
  <c r="T177" i="14"/>
  <c r="T175" i="14"/>
  <c r="T14" i="14"/>
  <c r="S259" i="14"/>
  <c r="S181" i="14"/>
  <c r="S179" i="14"/>
  <c r="S177" i="14"/>
  <c r="S175" i="14"/>
  <c r="R259" i="14"/>
  <c r="S14" i="14"/>
  <c r="R181" i="14"/>
  <c r="R179" i="14"/>
  <c r="R260" i="14"/>
  <c r="R177" i="14"/>
  <c r="R175" i="14"/>
  <c r="Q259" i="14"/>
  <c r="R14" i="14"/>
  <c r="Q181" i="14"/>
  <c r="Q179" i="14"/>
  <c r="Q177" i="14"/>
  <c r="Q260" i="14"/>
  <c r="Q175" i="14"/>
  <c r="Q14" i="14"/>
  <c r="P259" i="14"/>
  <c r="P181" i="14"/>
  <c r="P179" i="14"/>
  <c r="P177" i="14"/>
  <c r="P175" i="14"/>
  <c r="P260" i="14"/>
  <c r="P14" i="14"/>
  <c r="O259" i="14"/>
  <c r="O181" i="14"/>
  <c r="O179" i="14"/>
  <c r="O177" i="14"/>
  <c r="O175" i="14"/>
  <c r="N259" i="14"/>
  <c r="O14" i="14"/>
  <c r="N181" i="14"/>
  <c r="N179" i="14"/>
  <c r="N260" i="14"/>
  <c r="N177" i="14"/>
  <c r="N175" i="14"/>
  <c r="M259" i="14"/>
  <c r="N14" i="14"/>
  <c r="M181" i="14"/>
  <c r="M179" i="14"/>
  <c r="M177" i="14"/>
  <c r="M260" i="14"/>
  <c r="M175" i="14"/>
  <c r="M14" i="14"/>
  <c r="L259" i="14"/>
  <c r="L181" i="14"/>
  <c r="L179" i="14"/>
  <c r="L177" i="14"/>
  <c r="L175" i="14"/>
  <c r="L260" i="14"/>
  <c r="L14" i="14"/>
  <c r="K259" i="14"/>
  <c r="K181" i="14"/>
  <c r="K179" i="14"/>
  <c r="K177" i="14"/>
  <c r="K175" i="14"/>
  <c r="K260" i="14"/>
  <c r="J259" i="14"/>
  <c r="K14" i="14"/>
  <c r="J181" i="14"/>
  <c r="J179" i="14"/>
  <c r="J177" i="14"/>
  <c r="J175" i="14"/>
  <c r="I259" i="14"/>
  <c r="J14" i="14"/>
  <c r="I181" i="14"/>
  <c r="I179" i="14"/>
  <c r="I260" i="14"/>
  <c r="I177" i="14"/>
  <c r="I175" i="14"/>
  <c r="I14" i="14"/>
  <c r="H259" i="14"/>
  <c r="H181" i="14"/>
  <c r="H179" i="14"/>
  <c r="H177" i="14"/>
  <c r="H175" i="14"/>
  <c r="H260" i="14"/>
  <c r="H14" i="14"/>
  <c r="G259" i="14"/>
  <c r="G181" i="14"/>
  <c r="G179" i="14"/>
  <c r="G177" i="14"/>
  <c r="G175" i="14"/>
  <c r="F259" i="14"/>
  <c r="G14" i="14"/>
  <c r="F181" i="14"/>
  <c r="F179" i="14"/>
  <c r="F260" i="14"/>
  <c r="F177" i="14"/>
  <c r="F175" i="14"/>
  <c r="E259" i="14"/>
  <c r="F14" i="14"/>
  <c r="E181" i="14"/>
  <c r="E179" i="14"/>
  <c r="E177" i="14"/>
  <c r="E260" i="14"/>
  <c r="E175" i="14"/>
  <c r="D259" i="14"/>
  <c r="E14" i="14"/>
  <c r="BA14" i="14"/>
  <c r="D181" i="14"/>
  <c r="D179" i="14"/>
  <c r="D177" i="14"/>
  <c r="D175" i="14"/>
  <c r="AZ14" i="15"/>
  <c r="AY259" i="15"/>
  <c r="AY181" i="15"/>
  <c r="AY179" i="15"/>
  <c r="AY177" i="15"/>
  <c r="AY175" i="15"/>
  <c r="AY260" i="15"/>
  <c r="AX259" i="15"/>
  <c r="AY14" i="15"/>
  <c r="AX181" i="15"/>
  <c r="AX179" i="15"/>
  <c r="AX177" i="15"/>
  <c r="AX175" i="15"/>
  <c r="AW259" i="15"/>
  <c r="AX14" i="15"/>
  <c r="AW181" i="15"/>
  <c r="AW179" i="15"/>
  <c r="AW260" i="15"/>
  <c r="AW177" i="15"/>
  <c r="AW175" i="15"/>
  <c r="AW14" i="15"/>
  <c r="AV259" i="15"/>
  <c r="AV181" i="15"/>
  <c r="AV179" i="15"/>
  <c r="AV177" i="15"/>
  <c r="AV175" i="15"/>
  <c r="AV260" i="15"/>
  <c r="AV14" i="15"/>
  <c r="AU259" i="15"/>
  <c r="AU181" i="15"/>
  <c r="AU179" i="15"/>
  <c r="AU177" i="15"/>
  <c r="AU175" i="15"/>
  <c r="AU260" i="15"/>
  <c r="AT259" i="15"/>
  <c r="AU14" i="15"/>
  <c r="AT181" i="15"/>
  <c r="AT179" i="15"/>
  <c r="AT260" i="15"/>
  <c r="AT177" i="15"/>
  <c r="AT175" i="15"/>
  <c r="AS259" i="15"/>
  <c r="AT14" i="15"/>
  <c r="AS181" i="15"/>
  <c r="AS179" i="15"/>
  <c r="AS260" i="15"/>
  <c r="AS177" i="15"/>
  <c r="AS175" i="15"/>
  <c r="AR259" i="15"/>
  <c r="AS14" i="15"/>
  <c r="AR181" i="15"/>
  <c r="AR179" i="15"/>
  <c r="AR177" i="15"/>
  <c r="AR175" i="15"/>
  <c r="AR14" i="15"/>
  <c r="AQ259" i="15"/>
  <c r="AQ181" i="15"/>
  <c r="AQ179" i="15"/>
  <c r="AQ177" i="15"/>
  <c r="AQ175" i="15"/>
  <c r="AQ260" i="15"/>
  <c r="AP259" i="15"/>
  <c r="AQ14" i="15"/>
  <c r="AP181" i="15"/>
  <c r="AP179" i="15"/>
  <c r="AP177" i="15"/>
  <c r="AP175" i="15"/>
  <c r="AO259" i="15"/>
  <c r="AP14" i="15"/>
  <c r="AO181" i="15"/>
  <c r="AO179" i="15"/>
  <c r="AO260" i="15"/>
  <c r="AO177" i="15"/>
  <c r="AO175" i="15"/>
  <c r="AO14" i="15"/>
  <c r="AN259" i="15"/>
  <c r="AN181" i="15"/>
  <c r="AN179" i="15"/>
  <c r="AN177" i="15"/>
  <c r="AN175" i="15"/>
  <c r="AN14" i="15"/>
  <c r="AM259" i="15"/>
  <c r="AM181" i="15"/>
  <c r="AM179" i="15"/>
  <c r="AM177" i="15"/>
  <c r="AM175" i="15"/>
  <c r="AL259" i="15"/>
  <c r="AM14" i="15"/>
  <c r="AL181" i="15"/>
  <c r="AL179" i="15"/>
  <c r="AL260" i="15"/>
  <c r="AL177" i="15"/>
  <c r="AL175" i="15"/>
  <c r="AK259" i="15"/>
  <c r="AL14" i="15"/>
  <c r="AK181" i="15"/>
  <c r="AK179" i="15"/>
  <c r="AK177" i="15"/>
  <c r="AK260" i="15"/>
  <c r="AK175" i="15"/>
  <c r="AJ259" i="15"/>
  <c r="AK14" i="15"/>
  <c r="AJ181" i="15"/>
  <c r="AJ179" i="15"/>
  <c r="AJ177" i="15"/>
  <c r="AJ175" i="15"/>
  <c r="AJ14" i="15"/>
  <c r="AI259" i="15"/>
  <c r="AI181" i="15"/>
  <c r="AI179" i="15"/>
  <c r="AI177" i="15"/>
  <c r="AI175" i="15"/>
  <c r="AI260" i="15"/>
  <c r="AH259" i="15"/>
  <c r="AI14" i="15"/>
  <c r="AH181" i="15"/>
  <c r="AH179" i="15"/>
  <c r="AH260" i="15"/>
  <c r="AH177" i="15"/>
  <c r="AH175" i="15"/>
  <c r="AG259" i="15"/>
  <c r="AH14" i="15"/>
  <c r="AG181" i="15"/>
  <c r="AG179" i="15"/>
  <c r="AG260" i="15"/>
  <c r="AG177" i="15"/>
  <c r="AG175" i="15"/>
  <c r="AG14" i="15"/>
  <c r="AF259" i="15"/>
  <c r="AF181" i="15"/>
  <c r="AF179" i="15"/>
  <c r="AF177" i="15"/>
  <c r="AF175" i="15"/>
  <c r="AF260" i="15"/>
  <c r="AF14" i="15"/>
  <c r="AE259" i="15"/>
  <c r="AE181" i="15"/>
  <c r="AE179" i="15"/>
  <c r="AE177" i="15"/>
  <c r="AE175" i="15"/>
  <c r="AE260" i="15"/>
  <c r="AD259" i="15"/>
  <c r="AE14" i="15"/>
  <c r="AD181" i="15"/>
  <c r="AD179" i="15"/>
  <c r="AD260" i="15"/>
  <c r="AD177" i="15"/>
  <c r="AD175" i="15"/>
  <c r="AC259" i="15"/>
  <c r="AD14" i="15"/>
  <c r="AC181" i="15"/>
  <c r="AC179" i="15"/>
  <c r="AC260" i="15"/>
  <c r="AC177" i="15"/>
  <c r="AC175" i="15"/>
  <c r="AB259" i="15"/>
  <c r="AC14" i="15"/>
  <c r="AB181" i="15"/>
  <c r="AB179" i="15"/>
  <c r="AB177" i="15"/>
  <c r="AB175" i="15"/>
  <c r="AB14" i="15"/>
  <c r="AA259" i="15"/>
  <c r="AA181" i="15"/>
  <c r="AA179" i="15"/>
  <c r="AA177" i="15"/>
  <c r="AA175" i="15"/>
  <c r="AA260" i="15"/>
  <c r="Z259" i="15"/>
  <c r="AA14" i="15"/>
  <c r="Z181" i="15"/>
  <c r="Z179" i="15"/>
  <c r="Z177" i="15"/>
  <c r="Z175" i="15"/>
  <c r="Y259" i="15"/>
  <c r="Z14" i="15"/>
  <c r="Y181" i="15"/>
  <c r="Y179" i="15"/>
  <c r="Y260" i="15"/>
  <c r="Y177" i="15"/>
  <c r="Y175" i="15"/>
  <c r="X259" i="15"/>
  <c r="Y14" i="15"/>
  <c r="X181" i="15"/>
  <c r="X179" i="15"/>
  <c r="X177" i="15"/>
  <c r="X175" i="15"/>
  <c r="X14" i="15"/>
  <c r="W259" i="15"/>
  <c r="W181" i="15"/>
  <c r="W179" i="15"/>
  <c r="W177" i="15"/>
  <c r="W175" i="15"/>
  <c r="V259" i="15"/>
  <c r="W14" i="15"/>
  <c r="V181" i="15"/>
  <c r="V179" i="15"/>
  <c r="V260" i="15"/>
  <c r="V177" i="15"/>
  <c r="V175" i="15"/>
  <c r="U259" i="15"/>
  <c r="V14" i="15"/>
  <c r="U181" i="15"/>
  <c r="U179" i="15"/>
  <c r="U177" i="15"/>
  <c r="U260" i="15"/>
  <c r="U175" i="15"/>
  <c r="T259" i="15"/>
  <c r="U14" i="15"/>
  <c r="T181" i="15"/>
  <c r="T179" i="15"/>
  <c r="T177" i="15"/>
  <c r="T175" i="15"/>
  <c r="T14" i="15"/>
  <c r="S259" i="15"/>
  <c r="S181" i="15"/>
  <c r="S179" i="15"/>
  <c r="S177" i="15"/>
  <c r="S175" i="15"/>
  <c r="R259" i="15"/>
  <c r="S14" i="15"/>
  <c r="R181" i="15"/>
  <c r="R179" i="15"/>
  <c r="R260" i="15"/>
  <c r="R177" i="15"/>
  <c r="R175" i="15"/>
  <c r="Q259" i="15"/>
  <c r="R14" i="15"/>
  <c r="Q181" i="15"/>
  <c r="Q179" i="15"/>
  <c r="Q177" i="15"/>
  <c r="Q260" i="15"/>
  <c r="Q175" i="15"/>
  <c r="Q14" i="15"/>
  <c r="P259" i="15"/>
  <c r="P181" i="15"/>
  <c r="P179" i="15"/>
  <c r="P177" i="15"/>
  <c r="P175" i="15"/>
  <c r="P260" i="15"/>
  <c r="P14" i="15"/>
  <c r="O259" i="15"/>
  <c r="O181" i="15"/>
  <c r="O179" i="15"/>
  <c r="O177" i="15"/>
  <c r="O175" i="15"/>
  <c r="N259" i="15"/>
  <c r="O14" i="15"/>
  <c r="N181" i="15"/>
  <c r="N179" i="15"/>
  <c r="N260" i="15"/>
  <c r="N177" i="15"/>
  <c r="N175" i="15"/>
  <c r="M259" i="15"/>
  <c r="N14" i="15"/>
  <c r="M181" i="15"/>
  <c r="M179" i="15"/>
  <c r="M177" i="15"/>
  <c r="M260" i="15"/>
  <c r="M175" i="15"/>
  <c r="L259" i="15"/>
  <c r="M14" i="15"/>
  <c r="L181" i="15"/>
  <c r="L179" i="15"/>
  <c r="L177" i="15"/>
  <c r="L175" i="15"/>
  <c r="L14" i="15"/>
  <c r="K259" i="15"/>
  <c r="K181" i="15"/>
  <c r="K179" i="15"/>
  <c r="K177" i="15"/>
  <c r="K175" i="15"/>
  <c r="K260" i="15"/>
  <c r="J259" i="15"/>
  <c r="K14" i="15"/>
  <c r="J181" i="15"/>
  <c r="J179" i="15"/>
  <c r="J260" i="15"/>
  <c r="J177" i="15"/>
  <c r="J175" i="15"/>
  <c r="I259" i="15"/>
  <c r="J14" i="15"/>
  <c r="I181" i="15"/>
  <c r="I179" i="15"/>
  <c r="I260" i="15"/>
  <c r="I177" i="15"/>
  <c r="I175" i="15"/>
  <c r="H259" i="15"/>
  <c r="I14" i="15"/>
  <c r="H181" i="15"/>
  <c r="H179" i="15"/>
  <c r="H177" i="15"/>
  <c r="H175" i="15"/>
  <c r="H14" i="15"/>
  <c r="G259" i="15"/>
  <c r="G181" i="15"/>
  <c r="G179" i="15"/>
  <c r="G177" i="15"/>
  <c r="G175" i="15"/>
  <c r="F259" i="15"/>
  <c r="G14" i="15"/>
  <c r="F181" i="15"/>
  <c r="F179" i="15"/>
  <c r="F260" i="15"/>
  <c r="F177" i="15"/>
  <c r="F175" i="15"/>
  <c r="E259" i="15"/>
  <c r="F14" i="15"/>
  <c r="E181" i="15"/>
  <c r="E179" i="15"/>
  <c r="E177" i="15"/>
  <c r="E260" i="15"/>
  <c r="E175" i="15"/>
  <c r="D259" i="15"/>
  <c r="E14" i="15"/>
  <c r="D181" i="15"/>
  <c r="D179" i="15"/>
  <c r="D177" i="15"/>
  <c r="D175" i="15"/>
  <c r="AZ14" i="16"/>
  <c r="AY259" i="16"/>
  <c r="AY181" i="16"/>
  <c r="AY179" i="16"/>
  <c r="AY177" i="16"/>
  <c r="AY175" i="16"/>
  <c r="AY260" i="16"/>
  <c r="AX259" i="16"/>
  <c r="AY14" i="16"/>
  <c r="AX181" i="16"/>
  <c r="AX179" i="16"/>
  <c r="AX177" i="16"/>
  <c r="AX175" i="16"/>
  <c r="AW259" i="16"/>
  <c r="AX14" i="16"/>
  <c r="AW181" i="16"/>
  <c r="AW179" i="16"/>
  <c r="AW260" i="16"/>
  <c r="AW177" i="16"/>
  <c r="AW175" i="16"/>
  <c r="AW14" i="16"/>
  <c r="AV259" i="16"/>
  <c r="AV181" i="16"/>
  <c r="AV179" i="16"/>
  <c r="AV177" i="16"/>
  <c r="AV175" i="16"/>
  <c r="AV260" i="16"/>
  <c r="AV14" i="16"/>
  <c r="AU259" i="16"/>
  <c r="AU181" i="16"/>
  <c r="AU179" i="16"/>
  <c r="AU177" i="16"/>
  <c r="AU175" i="16"/>
  <c r="AU260" i="16"/>
  <c r="AT259" i="16"/>
  <c r="AU14" i="16"/>
  <c r="AT181" i="16"/>
  <c r="AT179" i="16"/>
  <c r="AT177" i="16"/>
  <c r="AT175" i="16"/>
  <c r="AS259" i="16"/>
  <c r="AT14" i="16"/>
  <c r="AS181" i="16"/>
  <c r="AS179" i="16"/>
  <c r="AS260" i="16"/>
  <c r="AS177" i="16"/>
  <c r="AS175" i="16"/>
  <c r="AS14" i="16"/>
  <c r="AR259" i="16"/>
  <c r="AR181" i="16"/>
  <c r="AR179" i="16"/>
  <c r="AR177" i="16"/>
  <c r="AR175" i="16"/>
  <c r="AR260" i="16"/>
  <c r="AR14" i="16"/>
  <c r="AQ259" i="16"/>
  <c r="AQ181" i="16"/>
  <c r="AQ179" i="16"/>
  <c r="AQ177" i="16"/>
  <c r="AQ175" i="16"/>
  <c r="AQ260" i="16"/>
  <c r="AP259" i="16"/>
  <c r="AQ14" i="16"/>
  <c r="AP181" i="16"/>
  <c r="AP179" i="16"/>
  <c r="AP260" i="16"/>
  <c r="AP177" i="16"/>
  <c r="AP175" i="16"/>
  <c r="AO259" i="16"/>
  <c r="AP14" i="16"/>
  <c r="AO181" i="16"/>
  <c r="AO179" i="16"/>
  <c r="AO260" i="16"/>
  <c r="AO177" i="16"/>
  <c r="AO175" i="16"/>
  <c r="AO14" i="16"/>
  <c r="AN259" i="16"/>
  <c r="AN181" i="16"/>
  <c r="AN179" i="16"/>
  <c r="AN177" i="16"/>
  <c r="AN175" i="16"/>
  <c r="AN260" i="16"/>
  <c r="AN14" i="16"/>
  <c r="AM259" i="16"/>
  <c r="AM181" i="16"/>
  <c r="AM179" i="16"/>
  <c r="AM177" i="16"/>
  <c r="AM175" i="16"/>
  <c r="AL259" i="16"/>
  <c r="AM14" i="16"/>
  <c r="AL181" i="16"/>
  <c r="AL179" i="16"/>
  <c r="AL260" i="16"/>
  <c r="AL177" i="16"/>
  <c r="AL175" i="16"/>
  <c r="AK259" i="16"/>
  <c r="AL14" i="16"/>
  <c r="AK181" i="16"/>
  <c r="AK179" i="16"/>
  <c r="AK177" i="16"/>
  <c r="AK260" i="16"/>
  <c r="AK175" i="16"/>
  <c r="AJ259" i="16"/>
  <c r="AK14" i="16"/>
  <c r="AJ181" i="16"/>
  <c r="AJ179" i="16"/>
  <c r="AJ177" i="16"/>
  <c r="AJ175" i="16"/>
  <c r="AJ14" i="16"/>
  <c r="AI259" i="16"/>
  <c r="AI181" i="16"/>
  <c r="AI179" i="16"/>
  <c r="AI177" i="16"/>
  <c r="AI175" i="16"/>
  <c r="AI260" i="16"/>
  <c r="AH259" i="16"/>
  <c r="AI14" i="16"/>
  <c r="AH181" i="16"/>
  <c r="AH179" i="16"/>
  <c r="AH177" i="16"/>
  <c r="AH175" i="16"/>
  <c r="AG259" i="16"/>
  <c r="AH14" i="16"/>
  <c r="AG181" i="16"/>
  <c r="AG179" i="16"/>
  <c r="AG260" i="16"/>
  <c r="AG177" i="16"/>
  <c r="AG175" i="16"/>
  <c r="AG14" i="16"/>
  <c r="AF259" i="16"/>
  <c r="AF181" i="16"/>
  <c r="AF179" i="16"/>
  <c r="AF177" i="16"/>
  <c r="AF175" i="16"/>
  <c r="AF260" i="16"/>
  <c r="AF14" i="16"/>
  <c r="AE259" i="16"/>
  <c r="AE181" i="16"/>
  <c r="AE179" i="16"/>
  <c r="AE177" i="16"/>
  <c r="AE175" i="16"/>
  <c r="AE260" i="16"/>
  <c r="AD259" i="16"/>
  <c r="AE14" i="16"/>
  <c r="AD181" i="16"/>
  <c r="AD179" i="16"/>
  <c r="AD177" i="16"/>
  <c r="AD175" i="16"/>
  <c r="AC259" i="16"/>
  <c r="AD14" i="16"/>
  <c r="AC181" i="16"/>
  <c r="AC179" i="16"/>
  <c r="AC260" i="16"/>
  <c r="AC177" i="16"/>
  <c r="AC175" i="16"/>
  <c r="AB259" i="16"/>
  <c r="AC14" i="16"/>
  <c r="AB181" i="16"/>
  <c r="AB179" i="16"/>
  <c r="AB177" i="16"/>
  <c r="AB175" i="16"/>
  <c r="AB14" i="16"/>
  <c r="AA259" i="16"/>
  <c r="AA181" i="16"/>
  <c r="AA179" i="16"/>
  <c r="AA177" i="16"/>
  <c r="AA175" i="16"/>
  <c r="AA260" i="16"/>
  <c r="Z259" i="16"/>
  <c r="AA14" i="16"/>
  <c r="Z181" i="16"/>
  <c r="Z179" i="16"/>
  <c r="Z177" i="16"/>
  <c r="Z175" i="16"/>
  <c r="Y259" i="16"/>
  <c r="Z14" i="16"/>
  <c r="Y181" i="16"/>
  <c r="Y179" i="16"/>
  <c r="Y260" i="16"/>
  <c r="Y177" i="16"/>
  <c r="Y175" i="16"/>
  <c r="X259" i="16"/>
  <c r="Y14" i="16"/>
  <c r="X181" i="16"/>
  <c r="X179" i="16"/>
  <c r="X177" i="16"/>
  <c r="X175" i="16"/>
  <c r="X14" i="16"/>
  <c r="W259" i="16"/>
  <c r="W181" i="16"/>
  <c r="W179" i="16"/>
  <c r="W177" i="16"/>
  <c r="W175" i="16"/>
  <c r="V259" i="16"/>
  <c r="W14" i="16"/>
  <c r="V181" i="16"/>
  <c r="V179" i="16"/>
  <c r="V260" i="16"/>
  <c r="V177" i="16"/>
  <c r="V175" i="16"/>
  <c r="U259" i="16"/>
  <c r="V14" i="16"/>
  <c r="U181" i="16"/>
  <c r="U179" i="16"/>
  <c r="U177" i="16"/>
  <c r="U260" i="16"/>
  <c r="U175" i="16"/>
  <c r="T259" i="16"/>
  <c r="U14" i="16"/>
  <c r="T181" i="16"/>
  <c r="T179" i="16"/>
  <c r="T177" i="16"/>
  <c r="T175" i="16"/>
  <c r="T14" i="16"/>
  <c r="S259" i="16"/>
  <c r="S181" i="16"/>
  <c r="S179" i="16"/>
  <c r="S177" i="16"/>
  <c r="S175" i="16"/>
  <c r="S260" i="16"/>
  <c r="R259" i="16"/>
  <c r="S14" i="16"/>
  <c r="R181" i="16"/>
  <c r="R179" i="16"/>
  <c r="R260" i="16"/>
  <c r="R177" i="16"/>
  <c r="R175" i="16"/>
  <c r="Q259" i="16"/>
  <c r="R14" i="16"/>
  <c r="Q181" i="16"/>
  <c r="Q179" i="16"/>
  <c r="Q260" i="16"/>
  <c r="Q177" i="16"/>
  <c r="Q175" i="16"/>
  <c r="Q14" i="16"/>
  <c r="P259" i="16"/>
  <c r="P181" i="16"/>
  <c r="P179" i="16"/>
  <c r="P177" i="16"/>
  <c r="P175" i="16"/>
  <c r="P260" i="16"/>
  <c r="P14" i="16"/>
  <c r="O259" i="16"/>
  <c r="O181" i="16"/>
  <c r="O179" i="16"/>
  <c r="O177" i="16"/>
  <c r="O175" i="16"/>
  <c r="O260" i="16"/>
  <c r="N259" i="16"/>
  <c r="O14" i="16"/>
  <c r="N181" i="16"/>
  <c r="N179" i="16"/>
  <c r="N260" i="16"/>
  <c r="N177" i="16"/>
  <c r="N175" i="16"/>
  <c r="M259" i="16"/>
  <c r="N14" i="16"/>
  <c r="M181" i="16"/>
  <c r="M179" i="16"/>
  <c r="M260" i="16"/>
  <c r="M177" i="16"/>
  <c r="M175" i="16"/>
  <c r="L259" i="16"/>
  <c r="M14" i="16"/>
  <c r="L181" i="16"/>
  <c r="L179" i="16"/>
  <c r="L177" i="16"/>
  <c r="L175" i="16"/>
  <c r="L14" i="16"/>
  <c r="K259" i="16"/>
  <c r="K181" i="16"/>
  <c r="K179" i="16"/>
  <c r="K177" i="16"/>
  <c r="K175" i="16"/>
  <c r="K260" i="16"/>
  <c r="J259" i="16"/>
  <c r="K14" i="16"/>
  <c r="J181" i="16"/>
  <c r="J179" i="16"/>
  <c r="J177" i="16"/>
  <c r="J175" i="16"/>
  <c r="I259" i="16"/>
  <c r="J14" i="16"/>
  <c r="I181" i="16"/>
  <c r="I179" i="16"/>
  <c r="I260" i="16"/>
  <c r="I177" i="16"/>
  <c r="I175" i="16"/>
  <c r="H259" i="16"/>
  <c r="I14" i="16"/>
  <c r="H181" i="16"/>
  <c r="H179" i="16"/>
  <c r="H177" i="16"/>
  <c r="H175" i="16"/>
  <c r="H14" i="16"/>
  <c r="G259" i="16"/>
  <c r="G181" i="16"/>
  <c r="G179" i="16"/>
  <c r="G177" i="16"/>
  <c r="G175" i="16"/>
  <c r="F259" i="16"/>
  <c r="G14" i="16"/>
  <c r="F181" i="16"/>
  <c r="F179" i="16"/>
  <c r="F260" i="16"/>
  <c r="F177" i="16"/>
  <c r="F175" i="16"/>
  <c r="F14" i="16"/>
  <c r="E259" i="16"/>
  <c r="E181" i="16"/>
  <c r="E179" i="16"/>
  <c r="E177" i="16"/>
  <c r="E175" i="16"/>
  <c r="E260" i="16"/>
  <c r="D259" i="16"/>
  <c r="E14" i="16"/>
  <c r="D181" i="16"/>
  <c r="D179" i="16"/>
  <c r="D177" i="16"/>
  <c r="D175" i="16"/>
  <c r="AY16" i="17"/>
  <c r="AY21" i="17"/>
  <c r="AY33" i="17"/>
  <c r="AY22" i="17"/>
  <c r="AY24" i="17"/>
  <c r="AY23" i="17"/>
  <c r="AY29" i="17"/>
  <c r="AY34" i="17"/>
  <c r="AY40" i="17"/>
  <c r="AY35" i="17"/>
  <c r="AY39" i="17"/>
  <c r="AY45" i="17"/>
  <c r="AY51" i="17"/>
  <c r="AY56" i="17"/>
  <c r="AY62" i="17"/>
  <c r="AX14" i="17"/>
  <c r="AY15" i="17"/>
  <c r="AX15" i="17"/>
  <c r="AX16" i="17"/>
  <c r="AX17" i="17"/>
  <c r="AX29" i="17"/>
  <c r="AW14" i="17"/>
  <c r="AW15" i="17"/>
  <c r="AW16" i="17"/>
  <c r="AW10" i="17"/>
  <c r="AW13" i="17"/>
  <c r="AW17" i="17"/>
  <c r="AW29" i="17"/>
  <c r="AV14" i="17"/>
  <c r="AV10" i="17"/>
  <c r="AV15" i="17"/>
  <c r="AV16" i="17"/>
  <c r="AV13" i="17"/>
  <c r="AV17" i="17"/>
  <c r="AV29" i="17"/>
  <c r="AU14" i="17"/>
  <c r="AU10" i="17"/>
  <c r="AU13" i="17"/>
  <c r="AU15" i="17"/>
  <c r="AU16" i="17"/>
  <c r="AU17" i="17"/>
  <c r="AU29" i="17"/>
  <c r="AT14" i="17"/>
  <c r="AT15" i="17"/>
  <c r="AT16" i="17"/>
  <c r="AT10" i="17"/>
  <c r="AT13" i="17"/>
  <c r="AT17" i="17"/>
  <c r="AT29" i="17"/>
  <c r="AS14" i="17"/>
  <c r="AS15" i="17"/>
  <c r="AS16" i="17"/>
  <c r="AS10" i="17"/>
  <c r="AS13" i="17"/>
  <c r="AS17" i="17"/>
  <c r="AS29" i="17"/>
  <c r="AR14" i="17"/>
  <c r="AR15" i="17"/>
  <c r="AR16" i="17"/>
  <c r="AR10" i="17"/>
  <c r="AR13" i="17"/>
  <c r="AS21" i="17"/>
  <c r="AR17" i="17"/>
  <c r="AR29" i="17"/>
  <c r="AQ14" i="17"/>
  <c r="AQ10" i="17"/>
  <c r="AQ13" i="17"/>
  <c r="AQ15" i="17"/>
  <c r="AQ16" i="17"/>
  <c r="AQ17" i="17"/>
  <c r="AQ29" i="17"/>
  <c r="AP14" i="17"/>
  <c r="AP15" i="17"/>
  <c r="AP16" i="17"/>
  <c r="AP10" i="17"/>
  <c r="AP13" i="17"/>
  <c r="AP17" i="17"/>
  <c r="AP29" i="17"/>
  <c r="AO14" i="17"/>
  <c r="AO15" i="17"/>
  <c r="AO16" i="17"/>
  <c r="AO10" i="17"/>
  <c r="AO13" i="17"/>
  <c r="AO17" i="17"/>
  <c r="AO29" i="17"/>
  <c r="AN14" i="17"/>
  <c r="AN10" i="17"/>
  <c r="AN13" i="17"/>
  <c r="AN15" i="17"/>
  <c r="AN16" i="17"/>
  <c r="AN17" i="17"/>
  <c r="AN29" i="17"/>
  <c r="AM14" i="17"/>
  <c r="AM10" i="17"/>
  <c r="AM13" i="17"/>
  <c r="AM15" i="17"/>
  <c r="AM16" i="17"/>
  <c r="AM17" i="17"/>
  <c r="AM29" i="17"/>
  <c r="AL14" i="17"/>
  <c r="AL15" i="17"/>
  <c r="AL16" i="17"/>
  <c r="AL10" i="17"/>
  <c r="AL13" i="17"/>
  <c r="AL17" i="17"/>
  <c r="AL29" i="17"/>
  <c r="AK14" i="17"/>
  <c r="AK15" i="17"/>
  <c r="AK16" i="17"/>
  <c r="AK10" i="17"/>
  <c r="AK13" i="17"/>
  <c r="AK17" i="17"/>
  <c r="AK29" i="17"/>
  <c r="AJ14" i="17"/>
  <c r="AJ10" i="17"/>
  <c r="AJ15" i="17"/>
  <c r="AJ16" i="17"/>
  <c r="AJ13" i="17"/>
  <c r="AK21" i="17"/>
  <c r="AJ17" i="17"/>
  <c r="AJ29" i="17"/>
  <c r="AI14" i="17"/>
  <c r="AI10" i="17"/>
  <c r="AI13" i="17"/>
  <c r="AI15" i="17"/>
  <c r="AI16" i="17"/>
  <c r="AI17" i="17"/>
  <c r="AI29" i="17"/>
  <c r="AH14" i="17"/>
  <c r="AH15" i="17"/>
  <c r="AH16" i="17"/>
  <c r="AH10" i="17"/>
  <c r="AH13" i="17"/>
  <c r="AH17" i="17"/>
  <c r="AH29" i="17"/>
  <c r="AG14" i="17"/>
  <c r="AG10" i="17"/>
  <c r="AG13" i="17"/>
  <c r="AG15" i="17"/>
  <c r="AG16" i="17"/>
  <c r="AG17" i="17"/>
  <c r="AG29" i="17"/>
  <c r="AF14" i="17"/>
  <c r="AF15" i="17"/>
  <c r="AF16" i="17"/>
  <c r="AF10" i="17"/>
  <c r="AF13" i="17"/>
  <c r="AF17" i="17"/>
  <c r="AF29" i="17"/>
  <c r="AE14" i="17"/>
  <c r="AE15" i="17"/>
  <c r="AE16" i="17"/>
  <c r="AE17" i="17"/>
  <c r="AE29" i="17"/>
  <c r="AD14" i="17"/>
  <c r="AD15" i="17"/>
  <c r="AD16" i="17"/>
  <c r="AD10" i="17"/>
  <c r="AD13" i="17"/>
  <c r="AD17" i="17"/>
  <c r="AD29" i="17"/>
  <c r="AC14" i="17"/>
  <c r="AC15" i="17"/>
  <c r="AC16" i="17"/>
  <c r="AC10" i="17"/>
  <c r="AC13" i="17"/>
  <c r="AC17" i="17"/>
  <c r="AC29" i="17"/>
  <c r="AB14" i="17"/>
  <c r="AB15" i="17"/>
  <c r="AB16" i="17"/>
  <c r="AB10" i="17"/>
  <c r="AB13" i="17"/>
  <c r="AC21" i="17"/>
  <c r="AB17" i="17"/>
  <c r="AB29" i="17"/>
  <c r="AA14" i="17"/>
  <c r="AA15" i="17"/>
  <c r="AA16" i="17"/>
  <c r="AA17" i="17"/>
  <c r="AA29" i="17"/>
  <c r="Z14" i="17"/>
  <c r="Z15" i="17"/>
  <c r="Z16" i="17"/>
  <c r="Z10" i="17"/>
  <c r="Z13" i="17"/>
  <c r="AA21" i="17"/>
  <c r="Z17" i="17"/>
  <c r="Z29" i="17"/>
  <c r="Y14" i="17"/>
  <c r="Y15" i="17"/>
  <c r="Y10" i="17"/>
  <c r="Y13" i="17"/>
  <c r="Y16" i="17"/>
  <c r="Y17" i="17"/>
  <c r="Y29" i="17"/>
  <c r="X14" i="17"/>
  <c r="X15" i="17"/>
  <c r="X16" i="17"/>
  <c r="X10" i="17"/>
  <c r="X13" i="17"/>
  <c r="X17" i="17"/>
  <c r="X29" i="17"/>
  <c r="W14" i="17"/>
  <c r="W15" i="17"/>
  <c r="W10" i="17"/>
  <c r="W13" i="17"/>
  <c r="W16" i="17"/>
  <c r="W17" i="17"/>
  <c r="W29" i="17"/>
  <c r="V14" i="17"/>
  <c r="V15" i="17"/>
  <c r="V16" i="17"/>
  <c r="V10" i="17"/>
  <c r="V13" i="17"/>
  <c r="W21" i="17"/>
  <c r="V17" i="17"/>
  <c r="V29" i="17"/>
  <c r="U14" i="17"/>
  <c r="U15" i="17"/>
  <c r="U16" i="17"/>
  <c r="U17" i="17"/>
  <c r="U29" i="17"/>
  <c r="T16" i="17"/>
  <c r="T21" i="17"/>
  <c r="T22" i="17"/>
  <c r="T29" i="17"/>
  <c r="T44" i="17"/>
  <c r="T55" i="17"/>
  <c r="T61" i="17"/>
  <c r="S14" i="17"/>
  <c r="T15" i="17"/>
  <c r="S15" i="17"/>
  <c r="S16" i="17"/>
  <c r="S17" i="17"/>
  <c r="S29" i="17"/>
  <c r="R14" i="17"/>
  <c r="R15" i="17"/>
  <c r="R16" i="17"/>
  <c r="R10" i="17"/>
  <c r="R13" i="17"/>
  <c r="S21" i="17"/>
  <c r="R17" i="17"/>
  <c r="R29" i="17"/>
  <c r="Q16" i="17"/>
  <c r="Q21" i="17"/>
  <c r="Q22" i="17"/>
  <c r="Q29" i="17"/>
  <c r="Q44" i="17"/>
  <c r="Q55" i="17"/>
  <c r="Q61" i="17"/>
  <c r="P14" i="17"/>
  <c r="Q15" i="17"/>
  <c r="P15" i="17"/>
  <c r="P16" i="17"/>
  <c r="P17" i="17"/>
  <c r="P29" i="17"/>
  <c r="O14" i="17"/>
  <c r="O15" i="17"/>
  <c r="O16" i="17"/>
  <c r="O10" i="17"/>
  <c r="O13" i="17"/>
  <c r="P22" i="17"/>
  <c r="O17" i="17"/>
  <c r="O21" i="17"/>
  <c r="O29" i="17"/>
  <c r="N14" i="17"/>
  <c r="N15" i="17"/>
  <c r="N16" i="17"/>
  <c r="N10" i="17"/>
  <c r="N13" i="17"/>
  <c r="N17" i="17"/>
  <c r="N29" i="17"/>
  <c r="M14" i="17"/>
  <c r="M15" i="17"/>
  <c r="M16" i="17"/>
  <c r="M10" i="17"/>
  <c r="M13" i="17"/>
  <c r="M17" i="17"/>
  <c r="M29" i="17"/>
  <c r="L14" i="17"/>
  <c r="L15" i="17"/>
  <c r="L16" i="17"/>
  <c r="L10" i="17"/>
  <c r="L13" i="17"/>
  <c r="M21" i="17"/>
  <c r="M44" i="17"/>
  <c r="L17" i="17"/>
  <c r="L29" i="17"/>
  <c r="K14" i="17"/>
  <c r="K15" i="17"/>
  <c r="K16" i="17"/>
  <c r="K10" i="17"/>
  <c r="K13" i="17"/>
  <c r="K17" i="17"/>
  <c r="K21" i="17"/>
  <c r="K29" i="17"/>
  <c r="J14" i="17"/>
  <c r="J15" i="17"/>
  <c r="J16" i="17"/>
  <c r="J10" i="17"/>
  <c r="J13" i="17"/>
  <c r="J17" i="17"/>
  <c r="J29" i="17"/>
  <c r="I14" i="17"/>
  <c r="I15" i="17"/>
  <c r="I16" i="17"/>
  <c r="I10" i="17"/>
  <c r="I13" i="17"/>
  <c r="I17" i="17"/>
  <c r="I29" i="17"/>
  <c r="H14" i="17"/>
  <c r="H10" i="17"/>
  <c r="H15" i="17"/>
  <c r="H16" i="17"/>
  <c r="H13" i="17"/>
  <c r="I21" i="17"/>
  <c r="I33" i="17"/>
  <c r="H17" i="17"/>
  <c r="H29" i="17"/>
  <c r="G14" i="17"/>
  <c r="G15" i="17"/>
  <c r="G16" i="17"/>
  <c r="G10" i="17"/>
  <c r="G13" i="17"/>
  <c r="G17" i="17"/>
  <c r="G29" i="17"/>
  <c r="F14" i="17"/>
  <c r="F15" i="17"/>
  <c r="F16" i="17"/>
  <c r="F10" i="17"/>
  <c r="F13" i="17"/>
  <c r="F17" i="17"/>
  <c r="F29" i="17"/>
  <c r="E14" i="17"/>
  <c r="E15" i="17"/>
  <c r="E16" i="17"/>
  <c r="E10" i="17"/>
  <c r="E13" i="17"/>
  <c r="E17" i="17"/>
  <c r="E29" i="17"/>
  <c r="D14" i="17"/>
  <c r="D10" i="17"/>
  <c r="D15" i="17"/>
  <c r="D16" i="17"/>
  <c r="D13" i="17"/>
  <c r="E21" i="17"/>
  <c r="E33" i="17"/>
  <c r="D17" i="17"/>
  <c r="D27" i="17"/>
  <c r="D29" i="17"/>
  <c r="AY14" i="18"/>
  <c r="AY15" i="18"/>
  <c r="AY16" i="18"/>
  <c r="AY10" i="18"/>
  <c r="AY13" i="18"/>
  <c r="AY17" i="18"/>
  <c r="AY29" i="18"/>
  <c r="AX14" i="18"/>
  <c r="AX15" i="18"/>
  <c r="AX16" i="18"/>
  <c r="AX10" i="18"/>
  <c r="AX13" i="18"/>
  <c r="AX17" i="18"/>
  <c r="AX29" i="18"/>
  <c r="AW14" i="18"/>
  <c r="AW15" i="18"/>
  <c r="AW16" i="18"/>
  <c r="AW10" i="18"/>
  <c r="AW13" i="18"/>
  <c r="AW17" i="18"/>
  <c r="AW29" i="18"/>
  <c r="AV14" i="18"/>
  <c r="AV10" i="18"/>
  <c r="AV15" i="18"/>
  <c r="AV16" i="18"/>
  <c r="AV13" i="18"/>
  <c r="AW21" i="18"/>
  <c r="AW33" i="18"/>
  <c r="AV17" i="18"/>
  <c r="AV29" i="18"/>
  <c r="AU14" i="18"/>
  <c r="AU10" i="18"/>
  <c r="AU15" i="18"/>
  <c r="AU16" i="18"/>
  <c r="AU13" i="18"/>
  <c r="AU17" i="18"/>
  <c r="AU29" i="18"/>
  <c r="AT17" i="18"/>
  <c r="AT21" i="18"/>
  <c r="AT55" i="18"/>
  <c r="AT61" i="18"/>
  <c r="AT22" i="18"/>
  <c r="AT23" i="18"/>
  <c r="AT24" i="18"/>
  <c r="AT29" i="18"/>
  <c r="AT33" i="18"/>
  <c r="AT35" i="18"/>
  <c r="AT34" i="18"/>
  <c r="AT40" i="18"/>
  <c r="AT44" i="18"/>
  <c r="AT45" i="18"/>
  <c r="AT46" i="18"/>
  <c r="AT50" i="18"/>
  <c r="AT51" i="18"/>
  <c r="AT56" i="18"/>
  <c r="AT62" i="18"/>
  <c r="AS14" i="18"/>
  <c r="AS15" i="18"/>
  <c r="AT16" i="18"/>
  <c r="AS16" i="18"/>
  <c r="AS17" i="18"/>
  <c r="AS29" i="18"/>
  <c r="AR14" i="18"/>
  <c r="AR15" i="18"/>
  <c r="AR16" i="18"/>
  <c r="AR17" i="18"/>
  <c r="AR29" i="18"/>
  <c r="AQ14" i="18"/>
  <c r="AQ15" i="18"/>
  <c r="AQ16" i="18"/>
  <c r="AQ17" i="18"/>
  <c r="AQ29" i="18"/>
  <c r="AP14" i="18"/>
  <c r="AP15" i="18"/>
  <c r="AP16" i="18"/>
  <c r="AP17" i="18"/>
  <c r="AP29" i="18"/>
  <c r="AO14" i="18"/>
  <c r="AO15" i="18"/>
  <c r="AO16" i="18"/>
  <c r="AO17" i="18"/>
  <c r="AO29" i="18"/>
  <c r="AN14" i="18"/>
  <c r="AN15" i="18"/>
  <c r="AN16" i="18"/>
  <c r="AN17" i="18"/>
  <c r="AN29" i="18"/>
  <c r="AM14" i="18"/>
  <c r="AM15" i="18"/>
  <c r="AM16" i="18"/>
  <c r="AM17" i="18"/>
  <c r="AM29" i="18"/>
  <c r="AL14" i="18"/>
  <c r="AL15" i="18"/>
  <c r="AL16" i="18"/>
  <c r="AL17" i="18"/>
  <c r="AL29" i="18"/>
  <c r="AK14" i="18"/>
  <c r="AK15" i="18"/>
  <c r="AK16" i="18"/>
  <c r="AK17" i="18"/>
  <c r="AK29" i="18"/>
  <c r="AJ14" i="18"/>
  <c r="AJ15" i="18"/>
  <c r="AJ16" i="18"/>
  <c r="AJ17" i="18"/>
  <c r="AJ29" i="18"/>
  <c r="AI14" i="18"/>
  <c r="AI15" i="18"/>
  <c r="AI16" i="18"/>
  <c r="AI17" i="18"/>
  <c r="AI29" i="18"/>
  <c r="AH14" i="18"/>
  <c r="AH15" i="18"/>
  <c r="AH16" i="18"/>
  <c r="AH17" i="18"/>
  <c r="AH29" i="18"/>
  <c r="AG14" i="18"/>
  <c r="AG15" i="18"/>
  <c r="AG16" i="18"/>
  <c r="AG17" i="18"/>
  <c r="AG29" i="18"/>
  <c r="AF14" i="18"/>
  <c r="AF15" i="18"/>
  <c r="AF16" i="18"/>
  <c r="AF17" i="18"/>
  <c r="AF29" i="18"/>
  <c r="AE14" i="18"/>
  <c r="AE15" i="18"/>
  <c r="AE16" i="18"/>
  <c r="AE17" i="18"/>
  <c r="AE29" i="18"/>
  <c r="AD14" i="18"/>
  <c r="AD15" i="18"/>
  <c r="AD16" i="18"/>
  <c r="AD17" i="18"/>
  <c r="AD29" i="18"/>
  <c r="AC14" i="18"/>
  <c r="AC15" i="18"/>
  <c r="AC16" i="18"/>
  <c r="AC17" i="18"/>
  <c r="AC29" i="18"/>
  <c r="AB14" i="18"/>
  <c r="AB15" i="18"/>
  <c r="AB16" i="18"/>
  <c r="AB17" i="18"/>
  <c r="AB29" i="18"/>
  <c r="AA14" i="18"/>
  <c r="AA15" i="18"/>
  <c r="AA16" i="18"/>
  <c r="AA17" i="18"/>
  <c r="AA29" i="18"/>
  <c r="Z14" i="18"/>
  <c r="Z15" i="18"/>
  <c r="Z16" i="18"/>
  <c r="Z17" i="18"/>
  <c r="Z29" i="18"/>
  <c r="Y14" i="18"/>
  <c r="Y15" i="18"/>
  <c r="Y16" i="18"/>
  <c r="Y17" i="18"/>
  <c r="Y29" i="18"/>
  <c r="X14" i="18"/>
  <c r="X15" i="18"/>
  <c r="X16" i="18"/>
  <c r="X17" i="18"/>
  <c r="X29" i="18"/>
  <c r="W14" i="18"/>
  <c r="W15" i="18"/>
  <c r="W16" i="18"/>
  <c r="W17" i="18"/>
  <c r="W29" i="18"/>
  <c r="V14" i="18"/>
  <c r="V15" i="18"/>
  <c r="V16" i="18"/>
  <c r="V17" i="18"/>
  <c r="V29" i="18"/>
  <c r="U14" i="18"/>
  <c r="U15" i="18"/>
  <c r="U16" i="18"/>
  <c r="U17" i="18"/>
  <c r="U29" i="18"/>
  <c r="T14" i="18"/>
  <c r="T15" i="18"/>
  <c r="T16" i="18"/>
  <c r="T17" i="18"/>
  <c r="T29" i="18"/>
  <c r="S14" i="18"/>
  <c r="S15" i="18"/>
  <c r="S16" i="18"/>
  <c r="S17" i="18"/>
  <c r="S29" i="18"/>
  <c r="R14" i="18"/>
  <c r="R15" i="18"/>
  <c r="R16" i="18"/>
  <c r="R17" i="18"/>
  <c r="R29" i="18"/>
  <c r="Q14" i="18"/>
  <c r="Q15" i="18"/>
  <c r="Q16" i="18"/>
  <c r="Q17" i="18"/>
  <c r="Q29" i="18"/>
  <c r="P14" i="18"/>
  <c r="P15" i="18"/>
  <c r="P16" i="18"/>
  <c r="P17" i="18"/>
  <c r="P29" i="18"/>
  <c r="O14" i="18"/>
  <c r="O15" i="18"/>
  <c r="O16" i="18"/>
  <c r="O17" i="18"/>
  <c r="O29" i="18"/>
  <c r="N14" i="18"/>
  <c r="N15" i="18"/>
  <c r="N16" i="18"/>
  <c r="N17" i="18"/>
  <c r="N29" i="18"/>
  <c r="M14" i="18"/>
  <c r="M15" i="18"/>
  <c r="M10" i="18"/>
  <c r="M13" i="18"/>
  <c r="M16" i="18"/>
  <c r="M17" i="18"/>
  <c r="M29" i="18"/>
  <c r="L14" i="18"/>
  <c r="L15" i="18"/>
  <c r="L10" i="18"/>
  <c r="L13" i="18"/>
  <c r="L16" i="18"/>
  <c r="L17" i="18"/>
  <c r="L29" i="18"/>
  <c r="K14" i="18"/>
  <c r="K15" i="18"/>
  <c r="K10" i="18"/>
  <c r="K13" i="18"/>
  <c r="K16" i="18"/>
  <c r="K17" i="18"/>
  <c r="K29" i="18"/>
  <c r="J14" i="18"/>
  <c r="J15" i="18"/>
  <c r="J16" i="18"/>
  <c r="J17" i="18"/>
  <c r="J29" i="18"/>
  <c r="I14" i="18"/>
  <c r="I15" i="18"/>
  <c r="I16" i="18"/>
  <c r="I17" i="18"/>
  <c r="I29" i="18"/>
  <c r="H14" i="18"/>
  <c r="H15" i="18"/>
  <c r="H10" i="18"/>
  <c r="H13" i="18"/>
  <c r="H16" i="18"/>
  <c r="H17" i="18"/>
  <c r="H29" i="18"/>
  <c r="G14" i="18"/>
  <c r="G15" i="18"/>
  <c r="G10" i="18"/>
  <c r="G13" i="18"/>
  <c r="G16" i="18"/>
  <c r="G17" i="18"/>
  <c r="G29" i="18"/>
  <c r="F14" i="18"/>
  <c r="F15" i="18"/>
  <c r="F16" i="18"/>
  <c r="F17" i="18"/>
  <c r="F29" i="18"/>
  <c r="E14" i="18"/>
  <c r="E15" i="18"/>
  <c r="E16" i="18"/>
  <c r="E17" i="18"/>
  <c r="E29" i="18"/>
  <c r="D14" i="18"/>
  <c r="D15" i="18"/>
  <c r="D10" i="18"/>
  <c r="D16" i="18"/>
  <c r="D17" i="18"/>
  <c r="D21" i="18"/>
  <c r="D27" i="18"/>
  <c r="D30" i="18"/>
  <c r="D29" i="18"/>
  <c r="B21" i="17"/>
  <c r="D21" i="17"/>
  <c r="B21" i="18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/>
  <c r="D19" i="19"/>
  <c r="D28" i="19"/>
  <c r="E19" i="19"/>
  <c r="E28" i="19"/>
  <c r="F19" i="19"/>
  <c r="F28" i="19"/>
  <c r="G19" i="19"/>
  <c r="G28" i="19"/>
  <c r="H19" i="19"/>
  <c r="H28" i="19"/>
  <c r="I19" i="19"/>
  <c r="I28" i="19"/>
  <c r="J19" i="19"/>
  <c r="J28" i="19"/>
  <c r="K19" i="19"/>
  <c r="K28" i="19"/>
  <c r="L19" i="19"/>
  <c r="L28" i="19"/>
  <c r="M19" i="19"/>
  <c r="M28" i="19"/>
  <c r="N19" i="19"/>
  <c r="N28" i="19"/>
  <c r="C20" i="19"/>
  <c r="C29" i="19"/>
  <c r="D20" i="19"/>
  <c r="D29" i="19"/>
  <c r="E20" i="19"/>
  <c r="E29" i="19"/>
  <c r="F20" i="19"/>
  <c r="F29" i="19"/>
  <c r="G20" i="19"/>
  <c r="G29" i="19"/>
  <c r="H20" i="19"/>
  <c r="H29" i="19"/>
  <c r="I20" i="19"/>
  <c r="I29" i="19"/>
  <c r="J20" i="19"/>
  <c r="J29" i="19"/>
  <c r="K20" i="19"/>
  <c r="K29" i="19"/>
  <c r="L20" i="19"/>
  <c r="L29" i="19"/>
  <c r="M20" i="19"/>
  <c r="M29" i="19"/>
  <c r="N20" i="19"/>
  <c r="N29" i="19"/>
  <c r="C21" i="19"/>
  <c r="C30" i="19"/>
  <c r="D21" i="19"/>
  <c r="D30" i="19"/>
  <c r="E21" i="19"/>
  <c r="E30" i="19"/>
  <c r="F21" i="19"/>
  <c r="F30" i="19"/>
  <c r="G21" i="19"/>
  <c r="G30" i="19"/>
  <c r="H21" i="19"/>
  <c r="H30" i="19"/>
  <c r="I21" i="19"/>
  <c r="I30" i="19"/>
  <c r="J21" i="19"/>
  <c r="J30" i="19"/>
  <c r="K21" i="19"/>
  <c r="K30" i="19"/>
  <c r="L21" i="19"/>
  <c r="L30" i="19"/>
  <c r="M21" i="19"/>
  <c r="M30" i="19"/>
  <c r="N21" i="19"/>
  <c r="N30" i="19"/>
  <c r="C22" i="19"/>
  <c r="C31" i="19"/>
  <c r="D22" i="19"/>
  <c r="D31" i="19"/>
  <c r="E22" i="19"/>
  <c r="E31" i="19"/>
  <c r="F22" i="19"/>
  <c r="F31" i="19"/>
  <c r="G22" i="19"/>
  <c r="G31" i="19"/>
  <c r="H22" i="19"/>
  <c r="H31" i="19"/>
  <c r="I22" i="19"/>
  <c r="I31" i="19"/>
  <c r="J22" i="19"/>
  <c r="J31" i="19"/>
  <c r="K22" i="19"/>
  <c r="K31" i="19"/>
  <c r="L22" i="19"/>
  <c r="L31" i="19"/>
  <c r="M22" i="19"/>
  <c r="M31" i="19"/>
  <c r="N22" i="19"/>
  <c r="N31" i="19"/>
  <c r="C23" i="19"/>
  <c r="C32" i="19"/>
  <c r="D23" i="19"/>
  <c r="D32" i="19"/>
  <c r="E23" i="19"/>
  <c r="E32" i="19"/>
  <c r="F23" i="19"/>
  <c r="F32" i="19"/>
  <c r="G23" i="19"/>
  <c r="G32" i="19"/>
  <c r="H23" i="19"/>
  <c r="H32" i="19"/>
  <c r="I23" i="19"/>
  <c r="I32" i="19"/>
  <c r="J23" i="19"/>
  <c r="J32" i="19"/>
  <c r="K23" i="19"/>
  <c r="K32" i="19"/>
  <c r="L23" i="19"/>
  <c r="L32" i="19"/>
  <c r="M23" i="19"/>
  <c r="M32" i="19"/>
  <c r="N23" i="19"/>
  <c r="N32" i="19"/>
  <c r="C24" i="19"/>
  <c r="C33" i="19"/>
  <c r="D24" i="19"/>
  <c r="D33" i="19"/>
  <c r="E24" i="19"/>
  <c r="E33" i="19"/>
  <c r="F24" i="19"/>
  <c r="F33" i="19"/>
  <c r="G24" i="19"/>
  <c r="G33" i="19"/>
  <c r="H24" i="19"/>
  <c r="H33" i="19"/>
  <c r="I24" i="19"/>
  <c r="I33" i="19"/>
  <c r="J24" i="19"/>
  <c r="J33" i="19"/>
  <c r="K24" i="19"/>
  <c r="K33" i="19"/>
  <c r="L24" i="19"/>
  <c r="L33" i="19"/>
  <c r="M24" i="19"/>
  <c r="M33" i="19"/>
  <c r="N24" i="19"/>
  <c r="N33" i="19"/>
  <c r="B22" i="17"/>
  <c r="D55" i="18"/>
  <c r="D33" i="18"/>
  <c r="D23" i="18"/>
  <c r="H21" i="18"/>
  <c r="F10" i="18"/>
  <c r="F13" i="18"/>
  <c r="J10" i="18"/>
  <c r="J13" i="18"/>
  <c r="AX21" i="18"/>
  <c r="F21" i="17"/>
  <c r="F22" i="17"/>
  <c r="L22" i="17"/>
  <c r="S23" i="17"/>
  <c r="S33" i="17"/>
  <c r="S44" i="17"/>
  <c r="S55" i="17"/>
  <c r="AO21" i="17"/>
  <c r="AO22" i="17"/>
  <c r="E27" i="18"/>
  <c r="E10" i="18"/>
  <c r="E13" i="18"/>
  <c r="I10" i="18"/>
  <c r="I13" i="18"/>
  <c r="N21" i="18"/>
  <c r="M50" i="17"/>
  <c r="W23" i="17"/>
  <c r="W33" i="17"/>
  <c r="W55" i="17"/>
  <c r="W44" i="17"/>
  <c r="AK33" i="17"/>
  <c r="AK23" i="17"/>
  <c r="AK55" i="17"/>
  <c r="AK44" i="17"/>
  <c r="D44" i="18"/>
  <c r="L21" i="18"/>
  <c r="J21" i="17"/>
  <c r="J22" i="17"/>
  <c r="P56" i="17"/>
  <c r="P62" i="17"/>
  <c r="P24" i="17"/>
  <c r="P45" i="17"/>
  <c r="P51" i="17"/>
  <c r="P34" i="17"/>
  <c r="P40" i="17"/>
  <c r="D22" i="17"/>
  <c r="S22" i="17"/>
  <c r="AS22" i="17"/>
  <c r="D13" i="18"/>
  <c r="I22" i="18"/>
  <c r="I21" i="18"/>
  <c r="M22" i="18"/>
  <c r="M21" i="18"/>
  <c r="AS33" i="17"/>
  <c r="AS23" i="17"/>
  <c r="AS55" i="17"/>
  <c r="AS44" i="17"/>
  <c r="AV21" i="18"/>
  <c r="AW39" i="18"/>
  <c r="E39" i="17"/>
  <c r="I39" i="17"/>
  <c r="K23" i="17"/>
  <c r="K33" i="17"/>
  <c r="K55" i="17"/>
  <c r="K44" i="17"/>
  <c r="N21" i="17"/>
  <c r="N22" i="17"/>
  <c r="O23" i="17"/>
  <c r="O33" i="17"/>
  <c r="O55" i="17"/>
  <c r="O44" i="17"/>
  <c r="T50" i="17"/>
  <c r="T56" i="17"/>
  <c r="T62" i="17"/>
  <c r="T24" i="17"/>
  <c r="T45" i="17"/>
  <c r="T51" i="17"/>
  <c r="T34" i="17"/>
  <c r="T40" i="17"/>
  <c r="AI22" i="17"/>
  <c r="AZ17" i="18"/>
  <c r="AW55" i="18"/>
  <c r="AY21" i="18"/>
  <c r="G22" i="17"/>
  <c r="I55" i="17"/>
  <c r="M55" i="17"/>
  <c r="Q17" i="17"/>
  <c r="P10" i="17"/>
  <c r="P13" i="17"/>
  <c r="Q14" i="17"/>
  <c r="Q10" i="17"/>
  <c r="Q13" i="17"/>
  <c r="W22" i="17"/>
  <c r="AA23" i="17"/>
  <c r="AA44" i="17"/>
  <c r="AA55" i="17"/>
  <c r="AR21" i="17"/>
  <c r="AR22" i="17"/>
  <c r="AY17" i="17"/>
  <c r="AX10" i="17"/>
  <c r="AX13" i="17"/>
  <c r="AY14" i="17"/>
  <c r="AY10" i="17"/>
  <c r="AY13" i="17"/>
  <c r="D33" i="17"/>
  <c r="D44" i="17"/>
  <c r="D55" i="17"/>
  <c r="N10" i="18"/>
  <c r="N13" i="18"/>
  <c r="O10" i="18"/>
  <c r="O13" i="18"/>
  <c r="P10" i="18"/>
  <c r="P13" i="18"/>
  <c r="Q10" i="18"/>
  <c r="Q13" i="18"/>
  <c r="R10" i="18"/>
  <c r="R13" i="18"/>
  <c r="S10" i="18"/>
  <c r="S13" i="18"/>
  <c r="T10" i="18"/>
  <c r="T13" i="18"/>
  <c r="U10" i="18"/>
  <c r="U13" i="18"/>
  <c r="V10" i="18"/>
  <c r="V13" i="18"/>
  <c r="W10" i="18"/>
  <c r="W13" i="18"/>
  <c r="X10" i="18"/>
  <c r="X13" i="18"/>
  <c r="Y10" i="18"/>
  <c r="Y13" i="18"/>
  <c r="Z10" i="18"/>
  <c r="Z13" i="18"/>
  <c r="AA10" i="18"/>
  <c r="AA13" i="18"/>
  <c r="AB10" i="18"/>
  <c r="AB13" i="18"/>
  <c r="AC10" i="18"/>
  <c r="AC13" i="18"/>
  <c r="AD10" i="18"/>
  <c r="AD13" i="18"/>
  <c r="AE10" i="18"/>
  <c r="AE13" i="18"/>
  <c r="AF10" i="18"/>
  <c r="AF13" i="18"/>
  <c r="AG10" i="18"/>
  <c r="AG13" i="18"/>
  <c r="AH10" i="18"/>
  <c r="AH13" i="18"/>
  <c r="AI10" i="18"/>
  <c r="AI13" i="18"/>
  <c r="AJ10" i="18"/>
  <c r="AJ13" i="18"/>
  <c r="AK10" i="18"/>
  <c r="AK13" i="18"/>
  <c r="AL10" i="18"/>
  <c r="AL13" i="18"/>
  <c r="AM10" i="18"/>
  <c r="AM13" i="18"/>
  <c r="AN10" i="18"/>
  <c r="AN13" i="18"/>
  <c r="AO10" i="18"/>
  <c r="AO13" i="18"/>
  <c r="AP10" i="18"/>
  <c r="AP13" i="18"/>
  <c r="AQ10" i="18"/>
  <c r="AQ13" i="18"/>
  <c r="AR10" i="18"/>
  <c r="AR13" i="18"/>
  <c r="AS10" i="18"/>
  <c r="AS13" i="18"/>
  <c r="AT14" i="18"/>
  <c r="AT15" i="18"/>
  <c r="D23" i="17"/>
  <c r="M22" i="17"/>
  <c r="Q50" i="17"/>
  <c r="Q56" i="17"/>
  <c r="Q62" i="17"/>
  <c r="Q24" i="17"/>
  <c r="Q45" i="17"/>
  <c r="Q51" i="17"/>
  <c r="Q34" i="17"/>
  <c r="Q40" i="17"/>
  <c r="U10" i="17"/>
  <c r="U13" i="17"/>
  <c r="AE22" i="17"/>
  <c r="AE21" i="17"/>
  <c r="AH21" i="17"/>
  <c r="AH22" i="17"/>
  <c r="AI21" i="17"/>
  <c r="AJ21" i="17"/>
  <c r="AJ22" i="17"/>
  <c r="AK22" i="17"/>
  <c r="AX22" i="17"/>
  <c r="AX21" i="17"/>
  <c r="AW22" i="18"/>
  <c r="E22" i="17"/>
  <c r="I22" i="17"/>
  <c r="Y22" i="17"/>
  <c r="AC33" i="17"/>
  <c r="AC23" i="17"/>
  <c r="AC55" i="17"/>
  <c r="AC44" i="17"/>
  <c r="AP22" i="17"/>
  <c r="AP21" i="17"/>
  <c r="E27" i="17"/>
  <c r="D30" i="17"/>
  <c r="E55" i="17"/>
  <c r="G21" i="17"/>
  <c r="M23" i="17"/>
  <c r="M33" i="17"/>
  <c r="Q57" i="17"/>
  <c r="X21" i="17"/>
  <c r="X22" i="17"/>
  <c r="Y21" i="17"/>
  <c r="AD22" i="17"/>
  <c r="AD21" i="17"/>
  <c r="AT57" i="18"/>
  <c r="AT39" i="18"/>
  <c r="AW44" i="18"/>
  <c r="AW23" i="18"/>
  <c r="E44" i="17"/>
  <c r="E23" i="17"/>
  <c r="H21" i="17"/>
  <c r="H22" i="17"/>
  <c r="I44" i="17"/>
  <c r="I23" i="17"/>
  <c r="K22" i="17"/>
  <c r="L21" i="17"/>
  <c r="O22" i="17"/>
  <c r="P21" i="17"/>
  <c r="T17" i="17"/>
  <c r="S10" i="17"/>
  <c r="S13" i="17"/>
  <c r="T14" i="17"/>
  <c r="T10" i="17"/>
  <c r="T13" i="17"/>
  <c r="AA33" i="17"/>
  <c r="AC22" i="17"/>
  <c r="AQ21" i="17"/>
  <c r="AQ22" i="17"/>
  <c r="AW21" i="17"/>
  <c r="AW22" i="17"/>
  <c r="AT260" i="16"/>
  <c r="Q23" i="17"/>
  <c r="Q33" i="17"/>
  <c r="T23" i="17"/>
  <c r="T33" i="17"/>
  <c r="AA22" i="17"/>
  <c r="AA10" i="17"/>
  <c r="AA13" i="17"/>
  <c r="X260" i="16"/>
  <c r="AB260" i="16"/>
  <c r="AX260" i="15"/>
  <c r="AT260" i="14"/>
  <c r="Z21" i="17"/>
  <c r="Z22" i="17"/>
  <c r="AG21" i="17"/>
  <c r="AG22" i="17"/>
  <c r="AL22" i="17"/>
  <c r="AL21" i="17"/>
  <c r="AM21" i="17"/>
  <c r="AM22" i="17"/>
  <c r="AN21" i="17"/>
  <c r="AN22" i="17"/>
  <c r="AT22" i="17"/>
  <c r="AT21" i="17"/>
  <c r="AU21" i="17"/>
  <c r="AU22" i="17"/>
  <c r="AV21" i="17"/>
  <c r="AV22" i="17"/>
  <c r="AX260" i="16"/>
  <c r="AZ17" i="17"/>
  <c r="AH260" i="16"/>
  <c r="AN260" i="15"/>
  <c r="AR260" i="15"/>
  <c r="J260" i="14"/>
  <c r="O260" i="14"/>
  <c r="S260" i="14"/>
  <c r="AI260" i="14"/>
  <c r="AE10" i="17"/>
  <c r="AE13" i="17"/>
  <c r="AZ259" i="16"/>
  <c r="AD260" i="16"/>
  <c r="AX260" i="14"/>
  <c r="T11" i="20"/>
  <c r="T45" i="20"/>
  <c r="AY55" i="17"/>
  <c r="AY44" i="17"/>
  <c r="J260" i="16"/>
  <c r="H260" i="15"/>
  <c r="L260" i="15"/>
  <c r="O260" i="15"/>
  <c r="S260" i="15"/>
  <c r="Z260" i="15"/>
  <c r="AZ259" i="14"/>
  <c r="BA14" i="16"/>
  <c r="H260" i="16"/>
  <c r="L260" i="16"/>
  <c r="Z260" i="16"/>
  <c r="AZ259" i="15"/>
  <c r="X260" i="15"/>
  <c r="AB260" i="15"/>
  <c r="AP260" i="15"/>
  <c r="D260" i="16"/>
  <c r="G260" i="16"/>
  <c r="T260" i="16"/>
  <c r="W260" i="16"/>
  <c r="AJ260" i="16"/>
  <c r="AM260" i="16"/>
  <c r="D260" i="15"/>
  <c r="G260" i="15"/>
  <c r="T260" i="15"/>
  <c r="W260" i="15"/>
  <c r="AJ260" i="15"/>
  <c r="AM260" i="15"/>
  <c r="D260" i="14"/>
  <c r="G260" i="14"/>
  <c r="T260" i="14"/>
  <c r="W260" i="14"/>
  <c r="AJ260" i="14"/>
  <c r="AM260" i="14"/>
  <c r="AN260" i="14"/>
  <c r="B22" i="18"/>
  <c r="D22" i="18"/>
  <c r="AZ260" i="14"/>
  <c r="AZ260" i="16"/>
  <c r="AY50" i="17"/>
  <c r="AY46" i="17"/>
  <c r="AV24" i="17"/>
  <c r="AV34" i="17"/>
  <c r="AV40" i="17"/>
  <c r="AV56" i="17"/>
  <c r="AV62" i="17"/>
  <c r="AV45" i="17"/>
  <c r="AV51" i="17"/>
  <c r="AT33" i="17"/>
  <c r="AT44" i="17"/>
  <c r="AT55" i="17"/>
  <c r="AT23" i="17"/>
  <c r="AM24" i="17"/>
  <c r="AM45" i="17"/>
  <c r="AM51" i="17"/>
  <c r="AM56" i="17"/>
  <c r="AM62" i="17"/>
  <c r="AM34" i="17"/>
  <c r="AM40" i="17"/>
  <c r="AG24" i="17"/>
  <c r="AG45" i="17"/>
  <c r="AG51" i="17"/>
  <c r="AG34" i="17"/>
  <c r="AG40" i="17"/>
  <c r="AG56" i="17"/>
  <c r="AG62" i="17"/>
  <c r="AB21" i="17"/>
  <c r="AB22" i="17"/>
  <c r="Q39" i="17"/>
  <c r="Q35" i="17"/>
  <c r="AW33" i="17"/>
  <c r="AW23" i="17"/>
  <c r="AW55" i="17"/>
  <c r="AW44" i="17"/>
  <c r="AA39" i="17"/>
  <c r="P23" i="17"/>
  <c r="P33" i="17"/>
  <c r="P44" i="17"/>
  <c r="P55" i="17"/>
  <c r="AW50" i="18"/>
  <c r="AD24" i="17"/>
  <c r="AD34" i="17"/>
  <c r="AD40" i="17"/>
  <c r="AD45" i="17"/>
  <c r="AD51" i="17"/>
  <c r="AD56" i="17"/>
  <c r="AD62" i="17"/>
  <c r="E57" i="17"/>
  <c r="E61" i="17"/>
  <c r="AP24" i="17"/>
  <c r="AP34" i="17"/>
  <c r="AP40" i="17"/>
  <c r="AP45" i="17"/>
  <c r="AP51" i="17"/>
  <c r="AP56" i="17"/>
  <c r="AP62" i="17"/>
  <c r="AC39" i="17"/>
  <c r="AW24" i="18"/>
  <c r="AW45" i="18"/>
  <c r="AW51" i="18"/>
  <c r="AW34" i="18"/>
  <c r="AW56" i="18"/>
  <c r="AW62" i="18"/>
  <c r="AJ24" i="17"/>
  <c r="AJ56" i="17"/>
  <c r="AJ62" i="17"/>
  <c r="AJ45" i="17"/>
  <c r="AJ51" i="17"/>
  <c r="AJ34" i="17"/>
  <c r="AJ40" i="17"/>
  <c r="AH33" i="17"/>
  <c r="AH23" i="17"/>
  <c r="AH44" i="17"/>
  <c r="AH55" i="17"/>
  <c r="AQ21" i="18"/>
  <c r="AQ22" i="18"/>
  <c r="AM21" i="18"/>
  <c r="AM22" i="18"/>
  <c r="AI21" i="18"/>
  <c r="AI22" i="18"/>
  <c r="AE21" i="18"/>
  <c r="AE22" i="18"/>
  <c r="AA21" i="18"/>
  <c r="AA22" i="18"/>
  <c r="W21" i="18"/>
  <c r="W22" i="18"/>
  <c r="S21" i="18"/>
  <c r="S22" i="18"/>
  <c r="O21" i="18"/>
  <c r="O22" i="18"/>
  <c r="AR33" i="17"/>
  <c r="AR55" i="17"/>
  <c r="AR44" i="17"/>
  <c r="AR23" i="17"/>
  <c r="W56" i="17"/>
  <c r="W62" i="17"/>
  <c r="W24" i="17"/>
  <c r="W34" i="17"/>
  <c r="W40" i="17"/>
  <c r="W45" i="17"/>
  <c r="W51" i="17"/>
  <c r="I57" i="17"/>
  <c r="I61" i="17"/>
  <c r="AW57" i="18"/>
  <c r="AW61" i="18"/>
  <c r="T46" i="17"/>
  <c r="K61" i="17"/>
  <c r="AS61" i="17"/>
  <c r="M45" i="18"/>
  <c r="M51" i="18"/>
  <c r="M56" i="18"/>
  <c r="M62" i="18"/>
  <c r="M24" i="18"/>
  <c r="M34" i="18"/>
  <c r="M40" i="18"/>
  <c r="AZ22" i="17"/>
  <c r="D24" i="17"/>
  <c r="D34" i="17"/>
  <c r="D40" i="17"/>
  <c r="D56" i="17"/>
  <c r="D62" i="17"/>
  <c r="D45" i="17"/>
  <c r="D51" i="17"/>
  <c r="D50" i="18"/>
  <c r="AK39" i="17"/>
  <c r="N44" i="18"/>
  <c r="N55" i="18"/>
  <c r="N33" i="18"/>
  <c r="N23" i="18"/>
  <c r="AO24" i="17"/>
  <c r="AO34" i="17"/>
  <c r="AO40" i="17"/>
  <c r="AO45" i="17"/>
  <c r="AO51" i="17"/>
  <c r="AO56" i="17"/>
  <c r="AO62" i="17"/>
  <c r="S39" i="17"/>
  <c r="S35" i="17"/>
  <c r="F33" i="17"/>
  <c r="F23" i="17"/>
  <c r="F44" i="17"/>
  <c r="F55" i="17"/>
  <c r="G22" i="18"/>
  <c r="G21" i="18"/>
  <c r="D45" i="18"/>
  <c r="D51" i="18"/>
  <c r="D24" i="18"/>
  <c r="D56" i="18"/>
  <c r="D62" i="18"/>
  <c r="D34" i="18"/>
  <c r="D40" i="18"/>
  <c r="AY57" i="17"/>
  <c r="AY61" i="17"/>
  <c r="AV33" i="17"/>
  <c r="AV55" i="17"/>
  <c r="AV23" i="17"/>
  <c r="AV44" i="17"/>
  <c r="AT24" i="17"/>
  <c r="AT34" i="17"/>
  <c r="AT40" i="17"/>
  <c r="AT45" i="17"/>
  <c r="AT51" i="17"/>
  <c r="AT56" i="17"/>
  <c r="AT62" i="17"/>
  <c r="AM33" i="17"/>
  <c r="AM44" i="17"/>
  <c r="AM55" i="17"/>
  <c r="AM23" i="17"/>
  <c r="AG33" i="17"/>
  <c r="AG55" i="17"/>
  <c r="AG44" i="17"/>
  <c r="AG23" i="17"/>
  <c r="AA56" i="17"/>
  <c r="AA62" i="17"/>
  <c r="AA24" i="17"/>
  <c r="AA34" i="17"/>
  <c r="AA40" i="17"/>
  <c r="AA45" i="17"/>
  <c r="AA51" i="17"/>
  <c r="AQ24" i="17"/>
  <c r="AQ45" i="17"/>
  <c r="AQ51" i="17"/>
  <c r="AQ34" i="17"/>
  <c r="AQ40" i="17"/>
  <c r="AQ56" i="17"/>
  <c r="AQ62" i="17"/>
  <c r="T57" i="17"/>
  <c r="O56" i="17"/>
  <c r="O62" i="17"/>
  <c r="O24" i="17"/>
  <c r="O34" i="17"/>
  <c r="O40" i="17"/>
  <c r="O45" i="17"/>
  <c r="O51" i="17"/>
  <c r="I50" i="17"/>
  <c r="I46" i="17"/>
  <c r="E50" i="17"/>
  <c r="Y23" i="17"/>
  <c r="Y44" i="17"/>
  <c r="Y33" i="17"/>
  <c r="Y55" i="17"/>
  <c r="M39" i="17"/>
  <c r="AC50" i="17"/>
  <c r="AC46" i="17"/>
  <c r="Y56" i="17"/>
  <c r="Y62" i="17"/>
  <c r="Y24" i="17"/>
  <c r="Y34" i="17"/>
  <c r="Y40" i="17"/>
  <c r="Y45" i="17"/>
  <c r="Y51" i="17"/>
  <c r="AX33" i="17"/>
  <c r="AX44" i="17"/>
  <c r="AX55" i="17"/>
  <c r="AX23" i="17"/>
  <c r="AJ33" i="17"/>
  <c r="AJ44" i="17"/>
  <c r="AJ23" i="17"/>
  <c r="AJ55" i="17"/>
  <c r="AE33" i="17"/>
  <c r="AE44" i="17"/>
  <c r="AE55" i="17"/>
  <c r="AE23" i="17"/>
  <c r="Q46" i="17"/>
  <c r="AT10" i="18"/>
  <c r="AT13" i="18"/>
  <c r="AP21" i="18"/>
  <c r="AP22" i="18"/>
  <c r="AL21" i="18"/>
  <c r="AL22" i="18"/>
  <c r="AH21" i="18"/>
  <c r="AH22" i="18"/>
  <c r="AD21" i="18"/>
  <c r="AD22" i="18"/>
  <c r="Z21" i="18"/>
  <c r="Z22" i="18"/>
  <c r="V21" i="18"/>
  <c r="V22" i="18"/>
  <c r="R21" i="18"/>
  <c r="R22" i="18"/>
  <c r="D57" i="17"/>
  <c r="D61" i="17"/>
  <c r="AA57" i="17"/>
  <c r="AA61" i="17"/>
  <c r="R22" i="17"/>
  <c r="R21" i="17"/>
  <c r="G24" i="17"/>
  <c r="G34" i="17"/>
  <c r="G40" i="17"/>
  <c r="G45" i="17"/>
  <c r="G51" i="17"/>
  <c r="G56" i="17"/>
  <c r="G62" i="17"/>
  <c r="O46" i="17"/>
  <c r="O50" i="17"/>
  <c r="N56" i="17"/>
  <c r="N62" i="17"/>
  <c r="N24" i="17"/>
  <c r="N34" i="17"/>
  <c r="N40" i="17"/>
  <c r="N45" i="17"/>
  <c r="N51" i="17"/>
  <c r="K39" i="17"/>
  <c r="AV22" i="18"/>
  <c r="I55" i="18"/>
  <c r="I23" i="18"/>
  <c r="I33" i="18"/>
  <c r="I44" i="18"/>
  <c r="J24" i="17"/>
  <c r="J34" i="17"/>
  <c r="J40" i="17"/>
  <c r="J45" i="17"/>
  <c r="J51" i="17"/>
  <c r="J56" i="17"/>
  <c r="J62" i="17"/>
  <c r="AK50" i="17"/>
  <c r="W46" i="17"/>
  <c r="W50" i="17"/>
  <c r="J22" i="18"/>
  <c r="J21" i="18"/>
  <c r="AO33" i="17"/>
  <c r="AO23" i="17"/>
  <c r="AO55" i="17"/>
  <c r="AO44" i="17"/>
  <c r="AX22" i="18"/>
  <c r="L22" i="18"/>
  <c r="D35" i="18"/>
  <c r="D39" i="18"/>
  <c r="AZ260" i="15"/>
  <c r="AF21" i="17"/>
  <c r="AF22" i="17"/>
  <c r="AU24" i="17"/>
  <c r="AU45" i="17"/>
  <c r="AU51" i="17"/>
  <c r="AU56" i="17"/>
  <c r="AU62" i="17"/>
  <c r="AU34" i="17"/>
  <c r="AU40" i="17"/>
  <c r="AN24" i="17"/>
  <c r="AN34" i="17"/>
  <c r="AN40" i="17"/>
  <c r="AN56" i="17"/>
  <c r="AN62" i="17"/>
  <c r="AN45" i="17"/>
  <c r="AN51" i="17"/>
  <c r="AL33" i="17"/>
  <c r="AL44" i="17"/>
  <c r="AL55" i="17"/>
  <c r="AL23" i="17"/>
  <c r="Z56" i="17"/>
  <c r="Z62" i="17"/>
  <c r="Z34" i="17"/>
  <c r="Z40" i="17"/>
  <c r="Z24" i="17"/>
  <c r="Z45" i="17"/>
  <c r="Z51" i="17"/>
  <c r="T39" i="17"/>
  <c r="T35" i="17"/>
  <c r="AQ33" i="17"/>
  <c r="AQ44" i="17"/>
  <c r="AQ55" i="17"/>
  <c r="AQ23" i="17"/>
  <c r="U21" i="17"/>
  <c r="U22" i="17"/>
  <c r="L23" i="17"/>
  <c r="L33" i="17"/>
  <c r="L44" i="17"/>
  <c r="L55" i="17"/>
  <c r="H24" i="17"/>
  <c r="H34" i="17"/>
  <c r="H40" i="17"/>
  <c r="H56" i="17"/>
  <c r="H62" i="17"/>
  <c r="H45" i="17"/>
  <c r="H51" i="17"/>
  <c r="AZ10" i="17"/>
  <c r="X56" i="17"/>
  <c r="X62" i="17"/>
  <c r="X34" i="17"/>
  <c r="X40" i="17"/>
  <c r="X24" i="17"/>
  <c r="X45" i="17"/>
  <c r="X51" i="17"/>
  <c r="F27" i="17"/>
  <c r="E30" i="17"/>
  <c r="AC57" i="17"/>
  <c r="AC61" i="17"/>
  <c r="I24" i="17"/>
  <c r="I45" i="17"/>
  <c r="I51" i="17"/>
  <c r="I34" i="17"/>
  <c r="I56" i="17"/>
  <c r="I62" i="17"/>
  <c r="AX24" i="17"/>
  <c r="AX34" i="17"/>
  <c r="AX40" i="17"/>
  <c r="AX45" i="17"/>
  <c r="AX51" i="17"/>
  <c r="AX56" i="17"/>
  <c r="AX62" i="17"/>
  <c r="AI33" i="17"/>
  <c r="AI44" i="17"/>
  <c r="AI55" i="17"/>
  <c r="AI23" i="17"/>
  <c r="AE24" i="17"/>
  <c r="AE45" i="17"/>
  <c r="AE51" i="17"/>
  <c r="AE34" i="17"/>
  <c r="AE40" i="17"/>
  <c r="AE56" i="17"/>
  <c r="AE62" i="17"/>
  <c r="M56" i="17"/>
  <c r="M62" i="17"/>
  <c r="M24" i="17"/>
  <c r="M45" i="17"/>
  <c r="M34" i="17"/>
  <c r="M40" i="17"/>
  <c r="AS21" i="18"/>
  <c r="AS22" i="18"/>
  <c r="AO21" i="18"/>
  <c r="AO22" i="18"/>
  <c r="AK21" i="18"/>
  <c r="AK22" i="18"/>
  <c r="AG21" i="18"/>
  <c r="AG22" i="18"/>
  <c r="AC21" i="18"/>
  <c r="AC22" i="18"/>
  <c r="Y21" i="18"/>
  <c r="Y22" i="18"/>
  <c r="U21" i="18"/>
  <c r="U22" i="18"/>
  <c r="Q21" i="18"/>
  <c r="Q22" i="18"/>
  <c r="D50" i="17"/>
  <c r="AA50" i="17"/>
  <c r="AY33" i="18"/>
  <c r="AY44" i="18"/>
  <c r="AY55" i="18"/>
  <c r="AY23" i="18"/>
  <c r="AI24" i="17"/>
  <c r="AI56" i="17"/>
  <c r="AI62" i="17"/>
  <c r="AI34" i="17"/>
  <c r="AI40" i="17"/>
  <c r="AI45" i="17"/>
  <c r="AI51" i="17"/>
  <c r="O57" i="17"/>
  <c r="O61" i="17"/>
  <c r="N23" i="17"/>
  <c r="N33" i="17"/>
  <c r="N55" i="17"/>
  <c r="N44" i="17"/>
  <c r="AV44" i="18"/>
  <c r="AV55" i="18"/>
  <c r="AV23" i="18"/>
  <c r="AV33" i="18"/>
  <c r="AS35" i="17"/>
  <c r="AS39" i="17"/>
  <c r="I45" i="18"/>
  <c r="I51" i="18"/>
  <c r="I24" i="18"/>
  <c r="I56" i="18"/>
  <c r="I62" i="18"/>
  <c r="I34" i="18"/>
  <c r="I40" i="18"/>
  <c r="AS24" i="17"/>
  <c r="AS34" i="17"/>
  <c r="AS40" i="17"/>
  <c r="AS45" i="17"/>
  <c r="AS51" i="17"/>
  <c r="AS56" i="17"/>
  <c r="AS62" i="17"/>
  <c r="J23" i="17"/>
  <c r="J33" i="17"/>
  <c r="J44" i="17"/>
  <c r="J55" i="17"/>
  <c r="AK57" i="17"/>
  <c r="AK61" i="17"/>
  <c r="W57" i="17"/>
  <c r="W61" i="17"/>
  <c r="F22" i="18"/>
  <c r="F21" i="18"/>
  <c r="S61" i="17"/>
  <c r="L56" i="17"/>
  <c r="L62" i="17"/>
  <c r="L24" i="17"/>
  <c r="L45" i="17"/>
  <c r="L51" i="17"/>
  <c r="L34" i="17"/>
  <c r="L40" i="17"/>
  <c r="AX33" i="18"/>
  <c r="AX23" i="18"/>
  <c r="AX55" i="18"/>
  <c r="AX44" i="18"/>
  <c r="H55" i="18"/>
  <c r="H33" i="18"/>
  <c r="H23" i="18"/>
  <c r="H44" i="18"/>
  <c r="D57" i="18"/>
  <c r="D61" i="18"/>
  <c r="AU33" i="17"/>
  <c r="AU44" i="17"/>
  <c r="AU55" i="17"/>
  <c r="AU23" i="17"/>
  <c r="AN33" i="17"/>
  <c r="AN55" i="17"/>
  <c r="AN23" i="17"/>
  <c r="AN44" i="17"/>
  <c r="AL24" i="17"/>
  <c r="AL34" i="17"/>
  <c r="AL40" i="17"/>
  <c r="AL45" i="17"/>
  <c r="AL51" i="17"/>
  <c r="AL56" i="17"/>
  <c r="AL62" i="17"/>
  <c r="Z23" i="17"/>
  <c r="Z33" i="17"/>
  <c r="Z44" i="17"/>
  <c r="Z55" i="17"/>
  <c r="AW24" i="17"/>
  <c r="AW34" i="17"/>
  <c r="AW40" i="17"/>
  <c r="AW45" i="17"/>
  <c r="AW51" i="17"/>
  <c r="AW56" i="17"/>
  <c r="AW62" i="17"/>
  <c r="AC24" i="17"/>
  <c r="AC56" i="17"/>
  <c r="AC62" i="17"/>
  <c r="AC34" i="17"/>
  <c r="AC40" i="17"/>
  <c r="AC45" i="17"/>
  <c r="AC51" i="17"/>
  <c r="K56" i="17"/>
  <c r="K62" i="17"/>
  <c r="K24" i="17"/>
  <c r="K34" i="17"/>
  <c r="K40" i="17"/>
  <c r="K45" i="17"/>
  <c r="K51" i="17"/>
  <c r="H33" i="17"/>
  <c r="H44" i="17"/>
  <c r="H55" i="17"/>
  <c r="H23" i="17"/>
  <c r="AD33" i="17"/>
  <c r="AD23" i="17"/>
  <c r="AD55" i="17"/>
  <c r="AD44" i="17"/>
  <c r="X23" i="17"/>
  <c r="X33" i="17"/>
  <c r="X44" i="17"/>
  <c r="X55" i="17"/>
  <c r="G33" i="17"/>
  <c r="G44" i="17"/>
  <c r="G55" i="17"/>
  <c r="G23" i="17"/>
  <c r="AP33" i="17"/>
  <c r="AP44" i="17"/>
  <c r="AP55" i="17"/>
  <c r="AP23" i="17"/>
  <c r="E24" i="17"/>
  <c r="E45" i="17"/>
  <c r="E51" i="17"/>
  <c r="E34" i="17"/>
  <c r="E56" i="17"/>
  <c r="E62" i="17"/>
  <c r="AK24" i="17"/>
  <c r="AK56" i="17"/>
  <c r="AK62" i="17"/>
  <c r="AK45" i="17"/>
  <c r="AK51" i="17"/>
  <c r="AK34" i="17"/>
  <c r="AK40" i="17"/>
  <c r="AH24" i="17"/>
  <c r="AH34" i="17"/>
  <c r="AH40" i="17"/>
  <c r="AH45" i="17"/>
  <c r="AH51" i="17"/>
  <c r="AH56" i="17"/>
  <c r="AH62" i="17"/>
  <c r="V21" i="17"/>
  <c r="V22" i="17"/>
  <c r="AR21" i="18"/>
  <c r="AR22" i="18"/>
  <c r="AN21" i="18"/>
  <c r="AN22" i="18"/>
  <c r="AJ21" i="18"/>
  <c r="AJ22" i="18"/>
  <c r="AF21" i="18"/>
  <c r="AF22" i="18"/>
  <c r="AB21" i="18"/>
  <c r="AB22" i="18"/>
  <c r="X21" i="18"/>
  <c r="X22" i="18"/>
  <c r="T21" i="18"/>
  <c r="T22" i="18"/>
  <c r="P21" i="18"/>
  <c r="P22" i="18"/>
  <c r="D39" i="17"/>
  <c r="D35" i="17"/>
  <c r="AR24" i="17"/>
  <c r="AR34" i="17"/>
  <c r="AR40" i="17"/>
  <c r="AR56" i="17"/>
  <c r="AR62" i="17"/>
  <c r="AR45" i="17"/>
  <c r="AR51" i="17"/>
  <c r="M61" i="17"/>
  <c r="AY22" i="18"/>
  <c r="O39" i="17"/>
  <c r="K46" i="17"/>
  <c r="K50" i="17"/>
  <c r="AS50" i="17"/>
  <c r="M55" i="18"/>
  <c r="M23" i="18"/>
  <c r="M33" i="18"/>
  <c r="M44" i="18"/>
  <c r="E22" i="18"/>
  <c r="E21" i="18"/>
  <c r="S56" i="17"/>
  <c r="S62" i="17"/>
  <c r="S24" i="17"/>
  <c r="S45" i="17"/>
  <c r="S51" i="17"/>
  <c r="S34" i="17"/>
  <c r="S40" i="17"/>
  <c r="L55" i="18"/>
  <c r="L23" i="18"/>
  <c r="L33" i="18"/>
  <c r="L44" i="18"/>
  <c r="W39" i="17"/>
  <c r="N22" i="18"/>
  <c r="E30" i="18"/>
  <c r="F27" i="18"/>
  <c r="S50" i="17"/>
  <c r="F24" i="17"/>
  <c r="F34" i="17"/>
  <c r="F40" i="17"/>
  <c r="F45" i="17"/>
  <c r="F51" i="17"/>
  <c r="F56" i="17"/>
  <c r="F62" i="17"/>
  <c r="K22" i="18"/>
  <c r="K21" i="18"/>
  <c r="H22" i="18"/>
  <c r="N34" i="18"/>
  <c r="N40" i="18"/>
  <c r="N45" i="18"/>
  <c r="N51" i="18"/>
  <c r="N24" i="18"/>
  <c r="N56" i="18"/>
  <c r="N62" i="18"/>
  <c r="E45" i="18"/>
  <c r="E51" i="18"/>
  <c r="E24" i="18"/>
  <c r="E56" i="18"/>
  <c r="E62" i="18"/>
  <c r="E34" i="18"/>
  <c r="E40" i="18"/>
  <c r="P34" i="18"/>
  <c r="P40" i="18"/>
  <c r="P45" i="18"/>
  <c r="P51" i="18"/>
  <c r="P24" i="18"/>
  <c r="P56" i="18"/>
  <c r="P62" i="18"/>
  <c r="AF34" i="18"/>
  <c r="AF40" i="18"/>
  <c r="AF45" i="18"/>
  <c r="AF51" i="18"/>
  <c r="AF24" i="18"/>
  <c r="AF56" i="18"/>
  <c r="AF62" i="18"/>
  <c r="AP57" i="17"/>
  <c r="AP61" i="17"/>
  <c r="X46" i="17"/>
  <c r="X50" i="17"/>
  <c r="H57" i="17"/>
  <c r="H61" i="17"/>
  <c r="Z46" i="17"/>
  <c r="Z50" i="17"/>
  <c r="H61" i="18"/>
  <c r="N57" i="17"/>
  <c r="N61" i="17"/>
  <c r="AY39" i="18"/>
  <c r="AC44" i="18"/>
  <c r="AC55" i="18"/>
  <c r="AC33" i="18"/>
  <c r="AC23" i="18"/>
  <c r="L39" i="17"/>
  <c r="L35" i="17"/>
  <c r="AL50" i="17"/>
  <c r="AL46" i="17"/>
  <c r="AX24" i="18"/>
  <c r="AX34" i="18"/>
  <c r="AX40" i="18"/>
  <c r="AX45" i="18"/>
  <c r="AX51" i="18"/>
  <c r="AX56" i="18"/>
  <c r="AX62" i="18"/>
  <c r="AO35" i="17"/>
  <c r="AO39" i="17"/>
  <c r="I35" i="18"/>
  <c r="I39" i="18"/>
  <c r="K35" i="17"/>
  <c r="R23" i="17"/>
  <c r="R33" i="17"/>
  <c r="R55" i="17"/>
  <c r="R44" i="17"/>
  <c r="V34" i="18"/>
  <c r="V40" i="18"/>
  <c r="V45" i="18"/>
  <c r="V51" i="18"/>
  <c r="V24" i="18"/>
  <c r="V56" i="18"/>
  <c r="V62" i="18"/>
  <c r="AD34" i="18"/>
  <c r="AD40" i="18"/>
  <c r="AD45" i="18"/>
  <c r="AD51" i="18"/>
  <c r="AD24" i="18"/>
  <c r="AD56" i="18"/>
  <c r="AD62" i="18"/>
  <c r="AU21" i="18"/>
  <c r="AU22" i="18"/>
  <c r="AE50" i="17"/>
  <c r="AE46" i="17"/>
  <c r="AJ50" i="17"/>
  <c r="AJ46" i="17"/>
  <c r="AX50" i="17"/>
  <c r="AX46" i="17"/>
  <c r="Y39" i="17"/>
  <c r="Y35" i="17"/>
  <c r="AV50" i="17"/>
  <c r="AV46" i="17"/>
  <c r="G55" i="18"/>
  <c r="G23" i="18"/>
  <c r="G33" i="18"/>
  <c r="G44" i="18"/>
  <c r="AR50" i="17"/>
  <c r="AR46" i="17"/>
  <c r="O44" i="18"/>
  <c r="O55" i="18"/>
  <c r="O23" i="18"/>
  <c r="O33" i="18"/>
  <c r="W44" i="18"/>
  <c r="W55" i="18"/>
  <c r="W23" i="18"/>
  <c r="W33" i="18"/>
  <c r="AE44" i="18"/>
  <c r="AE55" i="18"/>
  <c r="AE33" i="18"/>
  <c r="AE23" i="18"/>
  <c r="AM44" i="18"/>
  <c r="AM55" i="18"/>
  <c r="AM23" i="18"/>
  <c r="AM33" i="18"/>
  <c r="AH50" i="17"/>
  <c r="AH46" i="17"/>
  <c r="AW40" i="18"/>
  <c r="AW35" i="18"/>
  <c r="AC35" i="17"/>
  <c r="AW57" i="17"/>
  <c r="AW61" i="17"/>
  <c r="AT57" i="17"/>
  <c r="AT61" i="17"/>
  <c r="H45" i="18"/>
  <c r="H51" i="18"/>
  <c r="H56" i="18"/>
  <c r="H62" i="18"/>
  <c r="H24" i="18"/>
  <c r="H34" i="18"/>
  <c r="H40" i="18"/>
  <c r="S46" i="17"/>
  <c r="W35" i="17"/>
  <c r="M46" i="18"/>
  <c r="M50" i="18"/>
  <c r="AS46" i="17"/>
  <c r="O35" i="17"/>
  <c r="M57" i="17"/>
  <c r="P44" i="18"/>
  <c r="P55" i="18"/>
  <c r="P23" i="18"/>
  <c r="P33" i="18"/>
  <c r="X44" i="18"/>
  <c r="X55" i="18"/>
  <c r="X23" i="18"/>
  <c r="X33" i="18"/>
  <c r="AF44" i="18"/>
  <c r="AF55" i="18"/>
  <c r="AF23" i="18"/>
  <c r="AF33" i="18"/>
  <c r="AN44" i="18"/>
  <c r="AN55" i="18"/>
  <c r="AN23" i="18"/>
  <c r="AN33" i="18"/>
  <c r="V56" i="17"/>
  <c r="V62" i="17"/>
  <c r="V24" i="17"/>
  <c r="AZ24" i="17"/>
  <c r="V45" i="17"/>
  <c r="V51" i="17"/>
  <c r="V34" i="17"/>
  <c r="V40" i="17"/>
  <c r="AP50" i="17"/>
  <c r="AP46" i="17"/>
  <c r="G50" i="17"/>
  <c r="G46" i="17"/>
  <c r="X39" i="17"/>
  <c r="X35" i="17"/>
  <c r="H50" i="17"/>
  <c r="H46" i="17"/>
  <c r="Z39" i="17"/>
  <c r="Z35" i="17"/>
  <c r="AN57" i="17"/>
  <c r="AN61" i="17"/>
  <c r="AU50" i="17"/>
  <c r="AU46" i="17"/>
  <c r="H50" i="18"/>
  <c r="AX50" i="18"/>
  <c r="AX46" i="18"/>
  <c r="J57" i="17"/>
  <c r="J61" i="17"/>
  <c r="AV61" i="18"/>
  <c r="N39" i="17"/>
  <c r="N35" i="17"/>
  <c r="Q34" i="18"/>
  <c r="Q40" i="18"/>
  <c r="Q45" i="18"/>
  <c r="Q51" i="18"/>
  <c r="Q24" i="18"/>
  <c r="Q56" i="18"/>
  <c r="Q62" i="18"/>
  <c r="Y34" i="18"/>
  <c r="Y40" i="18"/>
  <c r="Y45" i="18"/>
  <c r="Y51" i="18"/>
  <c r="Y24" i="18"/>
  <c r="Y56" i="18"/>
  <c r="Y62" i="18"/>
  <c r="AG34" i="18"/>
  <c r="AG40" i="18"/>
  <c r="AG45" i="18"/>
  <c r="AG51" i="18"/>
  <c r="AG24" i="18"/>
  <c r="AG56" i="18"/>
  <c r="AG62" i="18"/>
  <c r="AO34" i="18"/>
  <c r="AO40" i="18"/>
  <c r="AO45" i="18"/>
  <c r="AO51" i="18"/>
  <c r="AO24" i="18"/>
  <c r="AO56" i="18"/>
  <c r="AO62" i="18"/>
  <c r="AQ57" i="17"/>
  <c r="AQ61" i="17"/>
  <c r="AL39" i="17"/>
  <c r="AL35" i="17"/>
  <c r="AO50" i="17"/>
  <c r="AO46" i="17"/>
  <c r="J55" i="18"/>
  <c r="J23" i="18"/>
  <c r="J33" i="18"/>
  <c r="J44" i="18"/>
  <c r="AK46" i="17"/>
  <c r="R56" i="17"/>
  <c r="R62" i="17"/>
  <c r="R24" i="17"/>
  <c r="R45" i="17"/>
  <c r="R51" i="17"/>
  <c r="R34" i="17"/>
  <c r="R40" i="17"/>
  <c r="V44" i="18"/>
  <c r="V55" i="18"/>
  <c r="V23" i="18"/>
  <c r="V33" i="18"/>
  <c r="AD44" i="18"/>
  <c r="AD55" i="18"/>
  <c r="AD23" i="18"/>
  <c r="AD33" i="18"/>
  <c r="AL44" i="18"/>
  <c r="AL55" i="18"/>
  <c r="AL33" i="18"/>
  <c r="AL23" i="18"/>
  <c r="AE35" i="17"/>
  <c r="AE39" i="17"/>
  <c r="AJ39" i="17"/>
  <c r="AJ35" i="17"/>
  <c r="AX39" i="17"/>
  <c r="AX35" i="17"/>
  <c r="M35" i="17"/>
  <c r="Y46" i="17"/>
  <c r="Y50" i="17"/>
  <c r="AG50" i="17"/>
  <c r="AG46" i="17"/>
  <c r="AM57" i="17"/>
  <c r="AM61" i="17"/>
  <c r="G45" i="18"/>
  <c r="G51" i="18"/>
  <c r="G24" i="18"/>
  <c r="G56" i="18"/>
  <c r="G62" i="18"/>
  <c r="G34" i="18"/>
  <c r="G40" i="18"/>
  <c r="F35" i="17"/>
  <c r="F39" i="17"/>
  <c r="N35" i="18"/>
  <c r="N39" i="18"/>
  <c r="AK35" i="17"/>
  <c r="AZ10" i="18"/>
  <c r="K57" i="17"/>
  <c r="AR57" i="17"/>
  <c r="AR61" i="17"/>
  <c r="S34" i="18"/>
  <c r="S40" i="18"/>
  <c r="S45" i="18"/>
  <c r="S51" i="18"/>
  <c r="S24" i="18"/>
  <c r="S56" i="18"/>
  <c r="S62" i="18"/>
  <c r="AA34" i="18"/>
  <c r="AA40" i="18"/>
  <c r="AA45" i="18"/>
  <c r="AA51" i="18"/>
  <c r="AA24" i="18"/>
  <c r="AA56" i="18"/>
  <c r="AA62" i="18"/>
  <c r="AI34" i="18"/>
  <c r="AI40" i="18"/>
  <c r="AI45" i="18"/>
  <c r="AI51" i="18"/>
  <c r="AI24" i="18"/>
  <c r="AI56" i="18"/>
  <c r="AI62" i="18"/>
  <c r="AQ34" i="18"/>
  <c r="AQ40" i="18"/>
  <c r="AQ45" i="18"/>
  <c r="AQ51" i="18"/>
  <c r="AQ24" i="18"/>
  <c r="AQ56" i="18"/>
  <c r="AQ62" i="18"/>
  <c r="P57" i="17"/>
  <c r="P61" i="17"/>
  <c r="AA35" i="17"/>
  <c r="AB24" i="17"/>
  <c r="AB56" i="17"/>
  <c r="AB62" i="17"/>
  <c r="AB45" i="17"/>
  <c r="AB51" i="17"/>
  <c r="AB34" i="17"/>
  <c r="AB40" i="17"/>
  <c r="AT50" i="17"/>
  <c r="AT46" i="17"/>
  <c r="L39" i="18"/>
  <c r="M57" i="18"/>
  <c r="M61" i="18"/>
  <c r="X34" i="18"/>
  <c r="X40" i="18"/>
  <c r="X45" i="18"/>
  <c r="X51" i="18"/>
  <c r="X24" i="18"/>
  <c r="X56" i="18"/>
  <c r="X62" i="18"/>
  <c r="AN34" i="18"/>
  <c r="AN40" i="18"/>
  <c r="AN45" i="18"/>
  <c r="AN51" i="18"/>
  <c r="AN24" i="18"/>
  <c r="AN56" i="18"/>
  <c r="AN62" i="18"/>
  <c r="E40" i="17"/>
  <c r="E35" i="17"/>
  <c r="G57" i="17"/>
  <c r="G61" i="17"/>
  <c r="AD57" i="17"/>
  <c r="AD61" i="17"/>
  <c r="AU57" i="17"/>
  <c r="AU61" i="17"/>
  <c r="AX39" i="18"/>
  <c r="F45" i="18"/>
  <c r="F51" i="18"/>
  <c r="F56" i="18"/>
  <c r="F62" i="18"/>
  <c r="F24" i="18"/>
  <c r="F34" i="18"/>
  <c r="F40" i="18"/>
  <c r="U44" i="18"/>
  <c r="U55" i="18"/>
  <c r="U23" i="18"/>
  <c r="U33" i="18"/>
  <c r="AK44" i="18"/>
  <c r="AK55" i="18"/>
  <c r="AK23" i="18"/>
  <c r="AK33" i="18"/>
  <c r="AS44" i="18"/>
  <c r="AS55" i="18"/>
  <c r="AS33" i="18"/>
  <c r="AS23" i="18"/>
  <c r="AI35" i="17"/>
  <c r="AI39" i="17"/>
  <c r="G27" i="17"/>
  <c r="F30" i="17"/>
  <c r="AL34" i="18"/>
  <c r="AL40" i="18"/>
  <c r="AL45" i="18"/>
  <c r="AL51" i="18"/>
  <c r="AL24" i="18"/>
  <c r="AL56" i="18"/>
  <c r="AL62" i="18"/>
  <c r="K55" i="18"/>
  <c r="K23" i="18"/>
  <c r="K33" i="18"/>
  <c r="K44" i="18"/>
  <c r="F30" i="18"/>
  <c r="G27" i="18"/>
  <c r="L61" i="18"/>
  <c r="M35" i="18"/>
  <c r="M39" i="18"/>
  <c r="T34" i="18"/>
  <c r="T40" i="18"/>
  <c r="T45" i="18"/>
  <c r="T51" i="18"/>
  <c r="T24" i="18"/>
  <c r="T56" i="18"/>
  <c r="T62" i="18"/>
  <c r="AB34" i="18"/>
  <c r="AB40" i="18"/>
  <c r="AB45" i="18"/>
  <c r="AB51" i="18"/>
  <c r="AB24" i="18"/>
  <c r="AB56" i="18"/>
  <c r="AB62" i="18"/>
  <c r="AJ34" i="18"/>
  <c r="AJ40" i="18"/>
  <c r="AJ45" i="18"/>
  <c r="AJ51" i="18"/>
  <c r="AJ24" i="18"/>
  <c r="AJ56" i="18"/>
  <c r="AJ62" i="18"/>
  <c r="AR34" i="18"/>
  <c r="AR40" i="18"/>
  <c r="AR45" i="18"/>
  <c r="AR51" i="18"/>
  <c r="AR24" i="18"/>
  <c r="AR56" i="18"/>
  <c r="AR62" i="18"/>
  <c r="V23" i="17"/>
  <c r="V33" i="17"/>
  <c r="V44" i="17"/>
  <c r="V55" i="17"/>
  <c r="AP39" i="17"/>
  <c r="AP35" i="17"/>
  <c r="G35" i="17"/>
  <c r="G39" i="17"/>
  <c r="AD35" i="17"/>
  <c r="AD39" i="17"/>
  <c r="H39" i="17"/>
  <c r="H35" i="17"/>
  <c r="AN35" i="17"/>
  <c r="AN39" i="17"/>
  <c r="AU39" i="17"/>
  <c r="AU35" i="17"/>
  <c r="AX61" i="18"/>
  <c r="S57" i="17"/>
  <c r="J50" i="17"/>
  <c r="J46" i="17"/>
  <c r="AV50" i="18"/>
  <c r="AY57" i="18"/>
  <c r="AY61" i="18"/>
  <c r="AA46" i="17"/>
  <c r="Q44" i="18"/>
  <c r="Q55" i="18"/>
  <c r="Q23" i="18"/>
  <c r="Q33" i="18"/>
  <c r="Y44" i="18"/>
  <c r="Y55" i="18"/>
  <c r="Y23" i="18"/>
  <c r="Y33" i="18"/>
  <c r="AG44" i="18"/>
  <c r="AG55" i="18"/>
  <c r="AG23" i="18"/>
  <c r="AG33" i="18"/>
  <c r="AO44" i="18"/>
  <c r="AO55" i="18"/>
  <c r="AO23" i="18"/>
  <c r="AO33" i="18"/>
  <c r="M51" i="17"/>
  <c r="M46" i="17"/>
  <c r="AI57" i="17"/>
  <c r="AI61" i="17"/>
  <c r="I40" i="17"/>
  <c r="I35" i="17"/>
  <c r="L57" i="17"/>
  <c r="L61" i="17"/>
  <c r="U24" i="17"/>
  <c r="U34" i="17"/>
  <c r="U40" i="17"/>
  <c r="U45" i="17"/>
  <c r="U51" i="17"/>
  <c r="U56" i="17"/>
  <c r="U62" i="17"/>
  <c r="AQ50" i="17"/>
  <c r="AQ46" i="17"/>
  <c r="AF24" i="17"/>
  <c r="AF34" i="17"/>
  <c r="AF40" i="17"/>
  <c r="AF45" i="17"/>
  <c r="AF51" i="17"/>
  <c r="AF56" i="17"/>
  <c r="AF62" i="17"/>
  <c r="AO57" i="17"/>
  <c r="AO61" i="17"/>
  <c r="J45" i="18"/>
  <c r="J51" i="18"/>
  <c r="J24" i="18"/>
  <c r="J56" i="18"/>
  <c r="J62" i="18"/>
  <c r="J34" i="18"/>
  <c r="J40" i="18"/>
  <c r="I57" i="18"/>
  <c r="I61" i="18"/>
  <c r="R34" i="18"/>
  <c r="R40" i="18"/>
  <c r="R45" i="18"/>
  <c r="R51" i="18"/>
  <c r="R24" i="18"/>
  <c r="R56" i="18"/>
  <c r="R62" i="18"/>
  <c r="Z34" i="18"/>
  <c r="Z40" i="18"/>
  <c r="Z45" i="18"/>
  <c r="Z51" i="18"/>
  <c r="Z24" i="18"/>
  <c r="Z56" i="18"/>
  <c r="Z62" i="18"/>
  <c r="AH34" i="18"/>
  <c r="AH40" i="18"/>
  <c r="AH45" i="18"/>
  <c r="AH51" i="18"/>
  <c r="AH24" i="18"/>
  <c r="AH56" i="18"/>
  <c r="AH62" i="18"/>
  <c r="AP34" i="18"/>
  <c r="AP40" i="18"/>
  <c r="AP45" i="18"/>
  <c r="AP51" i="18"/>
  <c r="AP24" i="18"/>
  <c r="AP56" i="18"/>
  <c r="AP62" i="18"/>
  <c r="AJ57" i="17"/>
  <c r="AJ61" i="17"/>
  <c r="AG57" i="17"/>
  <c r="AG61" i="17"/>
  <c r="AM50" i="17"/>
  <c r="AM46" i="17"/>
  <c r="AV57" i="17"/>
  <c r="AV61" i="17"/>
  <c r="AZ22" i="18"/>
  <c r="F57" i="17"/>
  <c r="F61" i="17"/>
  <c r="N61" i="18"/>
  <c r="AR35" i="17"/>
  <c r="AR39" i="17"/>
  <c r="S44" i="18"/>
  <c r="S55" i="18"/>
  <c r="S23" i="18"/>
  <c r="S33" i="18"/>
  <c r="AA44" i="18"/>
  <c r="AA55" i="18"/>
  <c r="AA23" i="18"/>
  <c r="AA33" i="18"/>
  <c r="AI44" i="18"/>
  <c r="AI55" i="18"/>
  <c r="AI23" i="18"/>
  <c r="AI33" i="18"/>
  <c r="AQ44" i="18"/>
  <c r="AQ55" i="18"/>
  <c r="AQ33" i="18"/>
  <c r="AQ23" i="18"/>
  <c r="AH39" i="17"/>
  <c r="AH35" i="17"/>
  <c r="P46" i="17"/>
  <c r="P50" i="17"/>
  <c r="AW35" i="17"/>
  <c r="AW39" i="17"/>
  <c r="AB33" i="17"/>
  <c r="AB44" i="17"/>
  <c r="AB55" i="17"/>
  <c r="AB23" i="17"/>
  <c r="AT39" i="17"/>
  <c r="AT35" i="17"/>
  <c r="K45" i="18"/>
  <c r="K51" i="18"/>
  <c r="K56" i="18"/>
  <c r="K62" i="18"/>
  <c r="K24" i="18"/>
  <c r="K34" i="18"/>
  <c r="K40" i="18"/>
  <c r="L50" i="18"/>
  <c r="E55" i="18"/>
  <c r="E23" i="18"/>
  <c r="E33" i="18"/>
  <c r="E44" i="18"/>
  <c r="AY24" i="18"/>
  <c r="AY34" i="18"/>
  <c r="AY40" i="18"/>
  <c r="AY45" i="18"/>
  <c r="AY51" i="18"/>
  <c r="AY56" i="18"/>
  <c r="AY62" i="18"/>
  <c r="T44" i="18"/>
  <c r="T55" i="18"/>
  <c r="T23" i="18"/>
  <c r="T33" i="18"/>
  <c r="AB44" i="18"/>
  <c r="AB55" i="18"/>
  <c r="AB23" i="18"/>
  <c r="AB33" i="18"/>
  <c r="AJ44" i="18"/>
  <c r="AJ55" i="18"/>
  <c r="AJ23" i="18"/>
  <c r="AJ33" i="18"/>
  <c r="AR44" i="18"/>
  <c r="AR55" i="18"/>
  <c r="AR23" i="18"/>
  <c r="AR33" i="18"/>
  <c r="X57" i="17"/>
  <c r="X61" i="17"/>
  <c r="AD50" i="17"/>
  <c r="AD46" i="17"/>
  <c r="Z57" i="17"/>
  <c r="Z61" i="17"/>
  <c r="AN50" i="17"/>
  <c r="AN46" i="17"/>
  <c r="H35" i="18"/>
  <c r="H39" i="18"/>
  <c r="F55" i="18"/>
  <c r="F23" i="18"/>
  <c r="F33" i="18"/>
  <c r="F44" i="18"/>
  <c r="J35" i="17"/>
  <c r="J39" i="17"/>
  <c r="AV35" i="18"/>
  <c r="AV39" i="18"/>
  <c r="N46" i="17"/>
  <c r="N50" i="17"/>
  <c r="AY50" i="18"/>
  <c r="D46" i="17"/>
  <c r="U34" i="18"/>
  <c r="U40" i="18"/>
  <c r="U45" i="18"/>
  <c r="U51" i="18"/>
  <c r="U24" i="18"/>
  <c r="U56" i="18"/>
  <c r="U62" i="18"/>
  <c r="AC34" i="18"/>
  <c r="AC40" i="18"/>
  <c r="AC45" i="18"/>
  <c r="AC51" i="18"/>
  <c r="AC24" i="18"/>
  <c r="AC56" i="18"/>
  <c r="AC62" i="18"/>
  <c r="AK34" i="18"/>
  <c r="AK40" i="18"/>
  <c r="AK45" i="18"/>
  <c r="AK51" i="18"/>
  <c r="AK24" i="18"/>
  <c r="AK56" i="18"/>
  <c r="AK62" i="18"/>
  <c r="AS34" i="18"/>
  <c r="AS40" i="18"/>
  <c r="AS45" i="18"/>
  <c r="AS51" i="18"/>
  <c r="AS24" i="18"/>
  <c r="AS56" i="18"/>
  <c r="AS62" i="18"/>
  <c r="AI50" i="17"/>
  <c r="AI46" i="17"/>
  <c r="L46" i="17"/>
  <c r="L50" i="17"/>
  <c r="U23" i="17"/>
  <c r="U33" i="17"/>
  <c r="U55" i="17"/>
  <c r="U44" i="17"/>
  <c r="AQ39" i="17"/>
  <c r="AQ35" i="17"/>
  <c r="AL57" i="17"/>
  <c r="AL61" i="17"/>
  <c r="AF33" i="17"/>
  <c r="AF23" i="17"/>
  <c r="AF55" i="17"/>
  <c r="AF44" i="17"/>
  <c r="L45" i="18"/>
  <c r="L51" i="18"/>
  <c r="L24" i="18"/>
  <c r="L56" i="18"/>
  <c r="L62" i="18"/>
  <c r="L34" i="18"/>
  <c r="L40" i="18"/>
  <c r="I46" i="18"/>
  <c r="I50" i="18"/>
  <c r="AV34" i="18"/>
  <c r="AV40" i="18"/>
  <c r="AV45" i="18"/>
  <c r="AV51" i="18"/>
  <c r="AV24" i="18"/>
  <c r="AV56" i="18"/>
  <c r="AV62" i="18"/>
  <c r="R44" i="18"/>
  <c r="R55" i="18"/>
  <c r="R33" i="18"/>
  <c r="R23" i="18"/>
  <c r="Z44" i="18"/>
  <c r="Z55" i="18"/>
  <c r="Z23" i="18"/>
  <c r="Z33" i="18"/>
  <c r="AH44" i="18"/>
  <c r="AH55" i="18"/>
  <c r="AH23" i="18"/>
  <c r="AH33" i="18"/>
  <c r="AP44" i="18"/>
  <c r="AP55" i="18"/>
  <c r="AP23" i="18"/>
  <c r="AP33" i="18"/>
  <c r="AE57" i="17"/>
  <c r="AE61" i="17"/>
  <c r="AX57" i="17"/>
  <c r="AX61" i="17"/>
  <c r="Y57" i="17"/>
  <c r="Y61" i="17"/>
  <c r="E46" i="17"/>
  <c r="AG35" i="17"/>
  <c r="AG39" i="17"/>
  <c r="AM39" i="17"/>
  <c r="AM35" i="17"/>
  <c r="AV35" i="17"/>
  <c r="AV39" i="17"/>
  <c r="F50" i="17"/>
  <c r="F46" i="17"/>
  <c r="N46" i="18"/>
  <c r="N50" i="18"/>
  <c r="D46" i="18"/>
  <c r="AS57" i="17"/>
  <c r="O34" i="18"/>
  <c r="O40" i="18"/>
  <c r="O45" i="18"/>
  <c r="O51" i="18"/>
  <c r="O24" i="18"/>
  <c r="O56" i="18"/>
  <c r="O62" i="18"/>
  <c r="W34" i="18"/>
  <c r="W40" i="18"/>
  <c r="W45" i="18"/>
  <c r="W51" i="18"/>
  <c r="W24" i="18"/>
  <c r="W56" i="18"/>
  <c r="W62" i="18"/>
  <c r="AE34" i="18"/>
  <c r="AE40" i="18"/>
  <c r="AE45" i="18"/>
  <c r="AE51" i="18"/>
  <c r="AE24" i="18"/>
  <c r="AE56" i="18"/>
  <c r="AE62" i="18"/>
  <c r="AM34" i="18"/>
  <c r="AM40" i="18"/>
  <c r="AM45" i="18"/>
  <c r="AM51" i="18"/>
  <c r="AM24" i="18"/>
  <c r="AM56" i="18"/>
  <c r="AM62" i="18"/>
  <c r="AH57" i="17"/>
  <c r="AH61" i="17"/>
  <c r="AW46" i="18"/>
  <c r="P39" i="17"/>
  <c r="P35" i="17"/>
  <c r="AW50" i="17"/>
  <c r="AW46" i="17"/>
  <c r="AZ21" i="17"/>
  <c r="Z35" i="18"/>
  <c r="Z39" i="18"/>
  <c r="F35" i="18"/>
  <c r="F39" i="18"/>
  <c r="AR50" i="18"/>
  <c r="AR46" i="18"/>
  <c r="AJ50" i="18"/>
  <c r="AJ46" i="18"/>
  <c r="AB46" i="18"/>
  <c r="AB50" i="18"/>
  <c r="T46" i="18"/>
  <c r="T50" i="18"/>
  <c r="AB57" i="17"/>
  <c r="AB61" i="17"/>
  <c r="AQ46" i="18"/>
  <c r="AQ50" i="18"/>
  <c r="AI50" i="18"/>
  <c r="AI46" i="18"/>
  <c r="AA50" i="18"/>
  <c r="AA46" i="18"/>
  <c r="S50" i="18"/>
  <c r="S46" i="18"/>
  <c r="AO61" i="18"/>
  <c r="AO57" i="18"/>
  <c r="AG61" i="18"/>
  <c r="AG57" i="18"/>
  <c r="Y61" i="18"/>
  <c r="Y57" i="18"/>
  <c r="Q61" i="18"/>
  <c r="Q57" i="18"/>
  <c r="V61" i="17"/>
  <c r="V57" i="17"/>
  <c r="G30" i="18"/>
  <c r="H27" i="18"/>
  <c r="AS61" i="18"/>
  <c r="AS57" i="18"/>
  <c r="AK61" i="18"/>
  <c r="AK57" i="18"/>
  <c r="U61" i="18"/>
  <c r="U57" i="18"/>
  <c r="AL35" i="18"/>
  <c r="AL39" i="18"/>
  <c r="J46" i="18"/>
  <c r="J50" i="18"/>
  <c r="AV57" i="18"/>
  <c r="AN61" i="18"/>
  <c r="AN57" i="18"/>
  <c r="AF61" i="18"/>
  <c r="AF57" i="18"/>
  <c r="X61" i="18"/>
  <c r="X57" i="18"/>
  <c r="P61" i="18"/>
  <c r="P57" i="18"/>
  <c r="AM61" i="18"/>
  <c r="AM57" i="18"/>
  <c r="AE61" i="18"/>
  <c r="AE57" i="18"/>
  <c r="W61" i="18"/>
  <c r="W57" i="18"/>
  <c r="O61" i="18"/>
  <c r="O57" i="18"/>
  <c r="G46" i="18"/>
  <c r="G50" i="18"/>
  <c r="AU44" i="18"/>
  <c r="AU55" i="18"/>
  <c r="AU23" i="18"/>
  <c r="AU33" i="18"/>
  <c r="AZ23" i="17"/>
  <c r="AC61" i="18"/>
  <c r="AC57" i="18"/>
  <c r="R35" i="18"/>
  <c r="R39" i="18"/>
  <c r="AF39" i="17"/>
  <c r="AF35" i="17"/>
  <c r="AR35" i="18"/>
  <c r="AR39" i="18"/>
  <c r="AJ35" i="18"/>
  <c r="AJ39" i="18"/>
  <c r="AB35" i="18"/>
  <c r="AB39" i="18"/>
  <c r="T35" i="18"/>
  <c r="T39" i="18"/>
  <c r="AZ21" i="18"/>
  <c r="E57" i="18"/>
  <c r="E61" i="18"/>
  <c r="AB46" i="17"/>
  <c r="AB50" i="17"/>
  <c r="AI35" i="18"/>
  <c r="AI39" i="18"/>
  <c r="AA35" i="18"/>
  <c r="AA39" i="18"/>
  <c r="S35" i="18"/>
  <c r="S39" i="18"/>
  <c r="AO46" i="18"/>
  <c r="AO50" i="18"/>
  <c r="AG46" i="18"/>
  <c r="AG50" i="18"/>
  <c r="Y50" i="18"/>
  <c r="Y46" i="18"/>
  <c r="Q50" i="18"/>
  <c r="Q46" i="18"/>
  <c r="V46" i="17"/>
  <c r="V50" i="17"/>
  <c r="K57" i="18"/>
  <c r="K61" i="18"/>
  <c r="AS46" i="18"/>
  <c r="AS50" i="18"/>
  <c r="AK50" i="18"/>
  <c r="AK46" i="18"/>
  <c r="U50" i="18"/>
  <c r="U46" i="18"/>
  <c r="AL61" i="18"/>
  <c r="AL57" i="18"/>
  <c r="AD61" i="18"/>
  <c r="AD57" i="18"/>
  <c r="V61" i="18"/>
  <c r="V57" i="18"/>
  <c r="J35" i="18"/>
  <c r="J39" i="18"/>
  <c r="AN46" i="18"/>
  <c r="AN50" i="18"/>
  <c r="AF50" i="18"/>
  <c r="AF46" i="18"/>
  <c r="X46" i="18"/>
  <c r="X50" i="18"/>
  <c r="P46" i="18"/>
  <c r="P50" i="18"/>
  <c r="AM50" i="18"/>
  <c r="AM46" i="18"/>
  <c r="AE46" i="18"/>
  <c r="AE50" i="18"/>
  <c r="W50" i="18"/>
  <c r="W46" i="18"/>
  <c r="O50" i="18"/>
  <c r="O46" i="18"/>
  <c r="G35" i="18"/>
  <c r="G39" i="18"/>
  <c r="R46" i="17"/>
  <c r="R50" i="17"/>
  <c r="AC46" i="18"/>
  <c r="AC50" i="18"/>
  <c r="AP35" i="18"/>
  <c r="AP39" i="18"/>
  <c r="AH35" i="18"/>
  <c r="AH39" i="18"/>
  <c r="U39" i="17"/>
  <c r="U35" i="17"/>
  <c r="AZ23" i="18"/>
  <c r="AP61" i="18"/>
  <c r="AP57" i="18"/>
  <c r="AH61" i="18"/>
  <c r="AH57" i="18"/>
  <c r="Z61" i="18"/>
  <c r="Z57" i="18"/>
  <c r="R61" i="18"/>
  <c r="R57" i="18"/>
  <c r="AF50" i="17"/>
  <c r="AF46" i="17"/>
  <c r="U46" i="17"/>
  <c r="U50" i="17"/>
  <c r="F57" i="18"/>
  <c r="F61" i="18"/>
  <c r="E46" i="18"/>
  <c r="E50" i="18"/>
  <c r="AB39" i="17"/>
  <c r="AB35" i="17"/>
  <c r="AQ35" i="18"/>
  <c r="AQ39" i="18"/>
  <c r="AO35" i="18"/>
  <c r="AO39" i="18"/>
  <c r="AG35" i="18"/>
  <c r="AG39" i="18"/>
  <c r="Y35" i="18"/>
  <c r="Y39" i="18"/>
  <c r="Q35" i="18"/>
  <c r="Q39" i="18"/>
  <c r="AV46" i="18"/>
  <c r="V39" i="17"/>
  <c r="V35" i="17"/>
  <c r="K50" i="18"/>
  <c r="K46" i="18"/>
  <c r="AK35" i="18"/>
  <c r="AK39" i="18"/>
  <c r="U35" i="18"/>
  <c r="U39" i="18"/>
  <c r="AL46" i="18"/>
  <c r="AL50" i="18"/>
  <c r="AD50" i="18"/>
  <c r="AD46" i="18"/>
  <c r="V50" i="18"/>
  <c r="V46" i="18"/>
  <c r="AN35" i="18"/>
  <c r="AN39" i="18"/>
  <c r="AF35" i="18"/>
  <c r="AF39" i="18"/>
  <c r="X35" i="18"/>
  <c r="X39" i="18"/>
  <c r="P35" i="18"/>
  <c r="P39" i="18"/>
  <c r="AM35" i="18"/>
  <c r="AM39" i="18"/>
  <c r="W35" i="18"/>
  <c r="W39" i="18"/>
  <c r="O35" i="18"/>
  <c r="O39" i="18"/>
  <c r="R57" i="17"/>
  <c r="R61" i="17"/>
  <c r="AP50" i="18"/>
  <c r="AP46" i="18"/>
  <c r="AH50" i="18"/>
  <c r="AH46" i="18"/>
  <c r="Z50" i="18"/>
  <c r="Z46" i="18"/>
  <c r="R46" i="18"/>
  <c r="R50" i="18"/>
  <c r="AF57" i="17"/>
  <c r="AF61" i="17"/>
  <c r="U57" i="17"/>
  <c r="U61" i="17"/>
  <c r="AY46" i="18"/>
  <c r="F46" i="18"/>
  <c r="F50" i="18"/>
  <c r="AR61" i="18"/>
  <c r="AR57" i="18"/>
  <c r="AJ61" i="18"/>
  <c r="AJ57" i="18"/>
  <c r="AB61" i="18"/>
  <c r="AB57" i="18"/>
  <c r="T61" i="18"/>
  <c r="T57" i="18"/>
  <c r="E35" i="18"/>
  <c r="E39" i="18"/>
  <c r="L46" i="18"/>
  <c r="AQ61" i="18"/>
  <c r="AQ57" i="18"/>
  <c r="AI61" i="18"/>
  <c r="AI57" i="18"/>
  <c r="AA61" i="18"/>
  <c r="AA57" i="18"/>
  <c r="S61" i="18"/>
  <c r="S57" i="18"/>
  <c r="N57" i="18"/>
  <c r="AX57" i="18"/>
  <c r="L57" i="18"/>
  <c r="K35" i="18"/>
  <c r="K39" i="18"/>
  <c r="G30" i="17"/>
  <c r="H27" i="17"/>
  <c r="AS35" i="18"/>
  <c r="AS39" i="18"/>
  <c r="AX35" i="18"/>
  <c r="L35" i="18"/>
  <c r="AD35" i="18"/>
  <c r="AD39" i="18"/>
  <c r="V35" i="18"/>
  <c r="V39" i="18"/>
  <c r="J57" i="18"/>
  <c r="J61" i="18"/>
  <c r="H46" i="18"/>
  <c r="AE35" i="18"/>
  <c r="AE39" i="18"/>
  <c r="G57" i="18"/>
  <c r="G61" i="18"/>
  <c r="AU34" i="18"/>
  <c r="AU40" i="18"/>
  <c r="AU45" i="18"/>
  <c r="AU51" i="18"/>
  <c r="AU24" i="18"/>
  <c r="AZ24" i="18"/>
  <c r="AU56" i="18"/>
  <c r="AU62" i="18"/>
  <c r="R39" i="17"/>
  <c r="R35" i="17"/>
  <c r="AC35" i="18"/>
  <c r="AC39" i="18"/>
  <c r="AY35" i="18"/>
  <c r="H57" i="18"/>
  <c r="AU35" i="18"/>
  <c r="AU39" i="18"/>
  <c r="H30" i="18"/>
  <c r="I27" i="18"/>
  <c r="I27" i="17"/>
  <c r="H30" i="17"/>
  <c r="AU61" i="18"/>
  <c r="AU57" i="18"/>
  <c r="AU46" i="18"/>
  <c r="AU50" i="18"/>
  <c r="J27" i="17"/>
  <c r="I30" i="17"/>
  <c r="I30" i="18"/>
  <c r="J27" i="18"/>
  <c r="J30" i="18"/>
  <c r="K27" i="18"/>
  <c r="J30" i="17"/>
  <c r="K27" i="17"/>
  <c r="K30" i="17"/>
  <c r="L27" i="17"/>
  <c r="K30" i="18"/>
  <c r="L27" i="18"/>
  <c r="L30" i="18"/>
  <c r="M27" i="18"/>
  <c r="L30" i="17"/>
  <c r="M27" i="17"/>
  <c r="M30" i="17"/>
  <c r="N27" i="17"/>
  <c r="N27" i="18"/>
  <c r="M30" i="18"/>
  <c r="O27" i="18"/>
  <c r="N30" i="18"/>
  <c r="N30" i="17"/>
  <c r="O27" i="17"/>
  <c r="O30" i="17"/>
  <c r="P27" i="17"/>
  <c r="P27" i="18"/>
  <c r="O30" i="18"/>
  <c r="Q27" i="18"/>
  <c r="P30" i="18"/>
  <c r="P30" i="17"/>
  <c r="Q27" i="17"/>
  <c r="Q30" i="17"/>
  <c r="R27" i="17"/>
  <c r="R27" i="18"/>
  <c r="Q30" i="18"/>
  <c r="R30" i="17"/>
  <c r="S27" i="17"/>
  <c r="S27" i="18"/>
  <c r="R30" i="18"/>
  <c r="T27" i="18"/>
  <c r="S30" i="18"/>
  <c r="S30" i="17"/>
  <c r="T27" i="17"/>
  <c r="T30" i="17"/>
  <c r="U27" i="17"/>
  <c r="U27" i="18"/>
  <c r="T30" i="18"/>
  <c r="V27" i="18"/>
  <c r="U30" i="18"/>
  <c r="U30" i="17"/>
  <c r="V27" i="17"/>
  <c r="V30" i="17"/>
  <c r="W27" i="17"/>
  <c r="W27" i="18"/>
  <c r="V30" i="18"/>
  <c r="W30" i="17"/>
  <c r="X27" i="17"/>
  <c r="X27" i="18"/>
  <c r="W30" i="18"/>
  <c r="Y27" i="18"/>
  <c r="X30" i="18"/>
  <c r="X30" i="17"/>
  <c r="Y27" i="17"/>
  <c r="Y30" i="17"/>
  <c r="Z27" i="17"/>
  <c r="Z27" i="18"/>
  <c r="Y30" i="18"/>
  <c r="Z30" i="17"/>
  <c r="AA27" i="17"/>
  <c r="AA27" i="18"/>
  <c r="Z30" i="18"/>
  <c r="AB27" i="18"/>
  <c r="AA30" i="18"/>
  <c r="AA30" i="17"/>
  <c r="AB27" i="17"/>
  <c r="AC27" i="17"/>
  <c r="AB30" i="17"/>
  <c r="AC27" i="18"/>
  <c r="AB30" i="18"/>
  <c r="AD27" i="18"/>
  <c r="AC30" i="18"/>
  <c r="AD27" i="17"/>
  <c r="AC30" i="17"/>
  <c r="AD30" i="17"/>
  <c r="AE27" i="17"/>
  <c r="AE27" i="18"/>
  <c r="AD30" i="18"/>
  <c r="AF27" i="18"/>
  <c r="AE30" i="18"/>
  <c r="AE30" i="17"/>
  <c r="AF27" i="17"/>
  <c r="AG27" i="17"/>
  <c r="AF30" i="17"/>
  <c r="AG27" i="18"/>
  <c r="AF30" i="18"/>
  <c r="AH27" i="18"/>
  <c r="AG30" i="18"/>
  <c r="AG30" i="17"/>
  <c r="AH27" i="17"/>
  <c r="AI27" i="17"/>
  <c r="AH30" i="17"/>
  <c r="AI27" i="18"/>
  <c r="AH30" i="18"/>
  <c r="AJ27" i="18"/>
  <c r="AI30" i="18"/>
  <c r="AI30" i="17"/>
  <c r="AJ27" i="17"/>
  <c r="AK27" i="17"/>
  <c r="AJ30" i="17"/>
  <c r="AK27" i="18"/>
  <c r="AJ30" i="18"/>
  <c r="AL27" i="18"/>
  <c r="AK30" i="18"/>
  <c r="AL27" i="17"/>
  <c r="AK30" i="17"/>
  <c r="AL30" i="17"/>
  <c r="AM27" i="17"/>
  <c r="AM27" i="18"/>
  <c r="AL30" i="18"/>
  <c r="AN27" i="18"/>
  <c r="AM30" i="18"/>
  <c r="AN27" i="17"/>
  <c r="AM30" i="17"/>
  <c r="AO27" i="17"/>
  <c r="AN30" i="17"/>
  <c r="AO27" i="18"/>
  <c r="AN30" i="18"/>
  <c r="AP27" i="18"/>
  <c r="AO30" i="18"/>
  <c r="AP27" i="17"/>
  <c r="AO30" i="17"/>
  <c r="AP30" i="17"/>
  <c r="AQ27" i="17"/>
  <c r="AQ27" i="18"/>
  <c r="AP30" i="18"/>
  <c r="AR27" i="18"/>
  <c r="AQ30" i="18"/>
  <c r="AR27" i="17"/>
  <c r="AQ30" i="17"/>
  <c r="AS27" i="17"/>
  <c r="AR30" i="17"/>
  <c r="AS27" i="18"/>
  <c r="AR30" i="18"/>
  <c r="AT27" i="18"/>
  <c r="AS30" i="18"/>
  <c r="AT27" i="17"/>
  <c r="AS30" i="17"/>
  <c r="AT30" i="17"/>
  <c r="AU27" i="17"/>
  <c r="AU27" i="18"/>
  <c r="AT30" i="18"/>
  <c r="AV27" i="17"/>
  <c r="AU30" i="17"/>
  <c r="AV27" i="18"/>
  <c r="AU30" i="18"/>
  <c r="AW27" i="18"/>
  <c r="AV30" i="18"/>
  <c r="AW27" i="17"/>
  <c r="AV30" i="17"/>
  <c r="AX27" i="17"/>
  <c r="AW30" i="17"/>
  <c r="AX27" i="18"/>
  <c r="AW30" i="18"/>
  <c r="AY27" i="18"/>
  <c r="AY30" i="18"/>
  <c r="AX30" i="18"/>
  <c r="AX30" i="17"/>
  <c r="AY27" i="17"/>
  <c r="AY30" i="17"/>
  <c r="AZ30" i="17"/>
  <c r="AZ30" i="18"/>
  <c r="G30" i="7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<sst xmlns="http://schemas.openxmlformats.org/spreadsheetml/2006/main" count="2631" uniqueCount="414">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</sst>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">
    <xf numFmtId="0" fontId="0" fillId="0" borderId="0"/>
    <xf numFmtId="0" fontId="4" fillId="0" borderId="0"/>
  </cellStyleXfs>
  <cellXfs count="20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7" fillId="0" borderId="0" xfId="1" applyFont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2:F12"/>
  <sheetViews>
    <sheetView showGridLines="0" workbookViewId="0"/>
  </sheetViews>
  <sheetFormatPr baseColWidth="10" defaultColWidth="8.83203125" defaultRowHeight="12" x14ac:dyDescent="0"/>
  <cols>
    <col min="1" max="1" width="4.6640625" customWidth="1" collapsed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201" t="s">
        <v>165</v>
      </c>
      <c r="E4" s="202"/>
      <c r="F4" s="203"/>
    </row>
    <row r="5" spans="2:6">
      <c r="B5" s="6"/>
      <c r="C5" s="7" t="s">
        <v>111</v>
      </c>
      <c r="D5" s="204">
        <v>2030</v>
      </c>
      <c r="E5" s="205"/>
      <c r="F5" s="206"/>
    </row>
    <row r="6" spans="2:6">
      <c r="B6" s="3"/>
      <c r="C6" s="3"/>
      <c r="D6" s="3"/>
      <c r="E6" s="3"/>
      <c r="F6" s="3"/>
    </row>
    <row r="8" spans="2:6">
      <c r="B8">
        <v>2</v>
      </c>
      <c r="C8" t="s">
        <v>337</v>
      </c>
      <c r="D8">
        <v>3</v>
      </c>
      <c r="E8" t="s">
        <v>338</v>
      </c>
    </row>
    <row r="10" spans="2:6">
      <c r="C10" t="s">
        <v>10</v>
      </c>
      <c r="E10" t="s">
        <v>22</v>
      </c>
    </row>
    <row r="11" spans="2:6">
      <c r="C11" t="s">
        <v>12</v>
      </c>
      <c r="E11" t="s">
        <v>46</v>
      </c>
    </row>
    <row r="12" spans="2:6">
      <c r="E12" t="s">
        <v>59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opLeftCell="A14" workbookViewId="0">
      <selection activeCell="C64" sqref="C64"/>
    </sheetView>
  </sheetViews>
  <sheetFormatPr baseColWidth="10" defaultColWidth="8.83203125" defaultRowHeight="12" x14ac:dyDescent="0"/>
  <cols>
    <col min="1" max="1" width="4.6640625" style="9" customWidth="1" collapsed="1"/>
    <col min="2" max="2" width="8" style="9" bestFit="1" customWidth="1" collapsed="1"/>
    <col min="3" max="3" width="15.6640625" style="9" bestFit="1" customWidth="1" collapsed="1"/>
    <col min="4" max="4" width="8.6640625" style="9" customWidth="1" collapsed="1"/>
    <col min="5" max="5" width="4.5" style="9" customWidth="1" collapsed="1"/>
    <col min="6" max="6" width="3.33203125" style="9" bestFit="1" customWidth="1" collapsed="1"/>
    <col min="7" max="7" width="8.6640625" style="9" customWidth="1" collapsed="1"/>
    <col min="8" max="8" width="9.5" style="9" customWidth="1" collapsed="1"/>
    <col min="9" max="16384" width="8.83203125" style="9" collapsed="1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0</v>
      </c>
      <c r="D39" s="14">
        <v>1300</v>
      </c>
      <c r="E39" s="15" t="s">
        <v>166</v>
      </c>
      <c r="F39" s="15" t="s">
        <v>6</v>
      </c>
      <c r="G39" s="15">
        <f t="shared" si="3"/>
        <v>1300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-250</v>
      </c>
      <c r="D63" s="15">
        <v>1500</v>
      </c>
      <c r="E63" s="15" t="s">
        <v>166</v>
      </c>
      <c r="F63" s="15" t="s">
        <v>6</v>
      </c>
      <c r="G63" s="15">
        <f t="shared" si="3"/>
        <v>1250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0</v>
      </c>
      <c r="D76" s="15">
        <v>5000</v>
      </c>
      <c r="E76" s="15" t="s">
        <v>166</v>
      </c>
      <c r="F76" s="15" t="s">
        <v>6</v>
      </c>
      <c r="G76" s="15">
        <f t="shared" si="5"/>
        <v>5000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/>
  </sheetViews>
  <sheetFormatPr baseColWidth="10" defaultColWidth="8.83203125" defaultRowHeight="12" x14ac:dyDescent="0"/>
  <cols>
    <col min="1" max="1" width="4.6640625" style="29" customWidth="1" collapsed="1"/>
    <col min="2" max="2" width="16.6640625" style="29" customWidth="1" collapsed="1"/>
    <col min="3" max="14" width="8.6640625" style="29" customWidth="1" collapsed="1"/>
    <col min="15" max="16384" width="8.83203125" style="29" collapsed="1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2679.6167421602881</v>
      </c>
      <c r="D6" s="87">
        <v>2679.6167421602881</v>
      </c>
      <c r="E6" s="87">
        <v>2679.6167421602881</v>
      </c>
      <c r="F6" s="87">
        <v>2679.6167421602881</v>
      </c>
      <c r="G6" s="87">
        <v>2679.6167421602881</v>
      </c>
      <c r="H6" s="87">
        <v>2679.6167421602881</v>
      </c>
      <c r="I6" s="87">
        <v>2679.6167421602881</v>
      </c>
      <c r="J6" s="87">
        <v>2679.6167421602881</v>
      </c>
      <c r="K6" s="87">
        <v>2679.6167421602881</v>
      </c>
      <c r="L6" s="87">
        <v>2679.6167421602881</v>
      </c>
      <c r="M6" s="87">
        <v>2679.6167421602881</v>
      </c>
      <c r="N6" s="87">
        <v>2679.6167421602881</v>
      </c>
    </row>
    <row r="7" spans="2:14">
      <c r="B7" s="36" t="s">
        <v>105</v>
      </c>
      <c r="C7" s="88">
        <v>2.6946691715297984E-20</v>
      </c>
      <c r="D7" s="89">
        <v>2.6946691715297984E-20</v>
      </c>
      <c r="E7" s="89">
        <v>2.6946691715297984E-20</v>
      </c>
      <c r="F7" s="89">
        <v>2.6946691715297984E-20</v>
      </c>
      <c r="G7" s="89">
        <v>2.6946691715297984E-20</v>
      </c>
      <c r="H7" s="89">
        <v>2.6946691715297984E-20</v>
      </c>
      <c r="I7" s="89">
        <v>2.6946691715297984E-20</v>
      </c>
      <c r="J7" s="89">
        <v>2.6946691715297984E-20</v>
      </c>
      <c r="K7" s="89">
        <v>2.6946691715297984E-20</v>
      </c>
      <c r="L7" s="89">
        <v>2.6946691715297984E-20</v>
      </c>
      <c r="M7" s="89">
        <v>2.6946691715297984E-20</v>
      </c>
      <c r="N7" s="89">
        <v>2.6946691715297984E-20</v>
      </c>
    </row>
    <row r="8" spans="2:14">
      <c r="B8" s="36" t="s">
        <v>106</v>
      </c>
      <c r="C8" s="88">
        <v>140</v>
      </c>
      <c r="D8" s="89">
        <v>140</v>
      </c>
      <c r="E8" s="89">
        <v>140</v>
      </c>
      <c r="F8" s="89">
        <v>140</v>
      </c>
      <c r="G8" s="89">
        <v>140</v>
      </c>
      <c r="H8" s="89">
        <v>140</v>
      </c>
      <c r="I8" s="89">
        <v>140</v>
      </c>
      <c r="J8" s="89">
        <v>140</v>
      </c>
      <c r="K8" s="89">
        <v>140</v>
      </c>
      <c r="L8" s="89">
        <v>140</v>
      </c>
      <c r="M8" s="89">
        <v>140</v>
      </c>
      <c r="N8" s="89">
        <v>140</v>
      </c>
    </row>
    <row r="9" spans="2:14">
      <c r="B9" s="36" t="s">
        <v>107</v>
      </c>
      <c r="C9" s="88">
        <v>790.00000000000341</v>
      </c>
      <c r="D9" s="89">
        <v>790.00000000000341</v>
      </c>
      <c r="E9" s="89">
        <v>790.00000000000341</v>
      </c>
      <c r="F9" s="89">
        <v>790.00000000000341</v>
      </c>
      <c r="G9" s="89">
        <v>790.00000000000341</v>
      </c>
      <c r="H9" s="89">
        <v>790.00000000000341</v>
      </c>
      <c r="I9" s="89">
        <v>790.00000000000341</v>
      </c>
      <c r="J9" s="89">
        <v>790.00000000000341</v>
      </c>
      <c r="K9" s="89">
        <v>790.00000000000341</v>
      </c>
      <c r="L9" s="89">
        <v>790.00000000000341</v>
      </c>
      <c r="M9" s="89">
        <v>790.00000000000341</v>
      </c>
      <c r="N9" s="89">
        <v>790.00000000000341</v>
      </c>
    </row>
    <row r="10" spans="2:14">
      <c r="B10" s="36" t="s">
        <v>108</v>
      </c>
      <c r="C10" s="88">
        <v>1.0746744760746714E-19</v>
      </c>
      <c r="D10" s="89">
        <v>1.0746744760746714E-19</v>
      </c>
      <c r="E10" s="89">
        <v>1.0746744760746714E-19</v>
      </c>
      <c r="F10" s="89">
        <v>1.0746744760746714E-19</v>
      </c>
      <c r="G10" s="89">
        <v>1.0746744760746714E-19</v>
      </c>
      <c r="H10" s="89">
        <v>1.0746744760746714E-19</v>
      </c>
      <c r="I10" s="89">
        <v>1.0746744760746714E-19</v>
      </c>
      <c r="J10" s="89">
        <v>1.0746744760746714E-19</v>
      </c>
      <c r="K10" s="89">
        <v>1.0746744760746714E-19</v>
      </c>
      <c r="L10" s="89">
        <v>1.0746744760746714E-19</v>
      </c>
      <c r="M10" s="89">
        <v>1.0746744760746714E-19</v>
      </c>
      <c r="N10" s="89">
        <v>1.0746744760746714E-19</v>
      </c>
    </row>
    <row r="11" spans="2:14">
      <c r="B11" s="37" t="s">
        <v>109</v>
      </c>
      <c r="C11" s="88">
        <v>5.4554198700622588E-20</v>
      </c>
      <c r="D11" s="89">
        <v>5.4554198700622588E-20</v>
      </c>
      <c r="E11" s="89">
        <v>5.4554198700622588E-20</v>
      </c>
      <c r="F11" s="89">
        <v>5.4554198700622588E-20</v>
      </c>
      <c r="G11" s="89">
        <v>5.4554198700622588E-20</v>
      </c>
      <c r="H11" s="89">
        <v>5.4554198700622588E-20</v>
      </c>
      <c r="I11" s="89">
        <v>5.4554198700622588E-20</v>
      </c>
      <c r="J11" s="89">
        <v>5.4554198700622588E-20</v>
      </c>
      <c r="K11" s="89">
        <v>5.4554198700622588E-20</v>
      </c>
      <c r="L11" s="89">
        <v>5.4554198700622588E-20</v>
      </c>
      <c r="M11" s="89">
        <v>5.4554198700622588E-20</v>
      </c>
      <c r="N11" s="89">
        <v>5.4554198700622588E-20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>
        <v>1.2</v>
      </c>
      <c r="D17" s="90">
        <v>0.55886618016646483</v>
      </c>
      <c r="E17" s="90">
        <v>1</v>
      </c>
      <c r="F17" s="90">
        <v>0.77596935883044693</v>
      </c>
      <c r="G17" s="90">
        <v>0.8</v>
      </c>
      <c r="H17" s="90">
        <v>0.99307253749442903</v>
      </c>
      <c r="I17" s="29" t="s">
        <v>110</v>
      </c>
    </row>
    <row r="18" spans="2:33">
      <c r="B18" s="36" t="s">
        <v>105</v>
      </c>
      <c r="C18" s="91">
        <v>1.2</v>
      </c>
      <c r="D18" s="91">
        <v>0.64165288552035715</v>
      </c>
      <c r="E18" s="91">
        <v>1</v>
      </c>
      <c r="F18" s="91">
        <v>0.76948780227961033</v>
      </c>
      <c r="G18" s="91">
        <v>0.8</v>
      </c>
      <c r="H18" s="91">
        <v>0.89732271903886363</v>
      </c>
      <c r="I18" s="29" t="s">
        <v>110</v>
      </c>
    </row>
    <row r="19" spans="2:33">
      <c r="B19" s="36" t="s">
        <v>106</v>
      </c>
      <c r="C19" s="91">
        <v>1.2</v>
      </c>
      <c r="D19" s="91">
        <v>0.68174480679423799</v>
      </c>
      <c r="E19" s="91">
        <v>1</v>
      </c>
      <c r="F19" s="91">
        <v>0.83872666613646207</v>
      </c>
      <c r="G19" s="91">
        <v>0.8</v>
      </c>
      <c r="H19" s="91">
        <v>0.99570852547868594</v>
      </c>
      <c r="I19" s="29" t="s">
        <v>110</v>
      </c>
    </row>
    <row r="20" spans="2:33">
      <c r="B20" s="36" t="s">
        <v>107</v>
      </c>
      <c r="C20" s="91">
        <v>1.2</v>
      </c>
      <c r="D20" s="91">
        <v>0.64680005114619743</v>
      </c>
      <c r="E20" s="91">
        <v>1</v>
      </c>
      <c r="F20" s="91">
        <v>0.81116938805414407</v>
      </c>
      <c r="G20" s="91">
        <v>0.8</v>
      </c>
      <c r="H20" s="91">
        <v>0.97553872496209071</v>
      </c>
    </row>
    <row r="21" spans="2:33">
      <c r="B21" s="36" t="s">
        <v>108</v>
      </c>
      <c r="C21" s="91">
        <v>1.2</v>
      </c>
      <c r="D21" s="91">
        <v>0.70343151210204879</v>
      </c>
      <c r="E21" s="91">
        <v>1</v>
      </c>
      <c r="F21" s="91">
        <v>0.73076628429457957</v>
      </c>
      <c r="G21" s="91">
        <v>0.8</v>
      </c>
      <c r="H21" s="91">
        <v>0.75810105648711024</v>
      </c>
    </row>
    <row r="22" spans="2:33">
      <c r="B22" s="37" t="s">
        <v>109</v>
      </c>
      <c r="C22" s="91">
        <v>1.2</v>
      </c>
      <c r="D22" s="91">
        <v>0.68296210515265365</v>
      </c>
      <c r="E22" s="91">
        <v>1</v>
      </c>
      <c r="F22" s="91">
        <v>0.74536140425912778</v>
      </c>
      <c r="G22" s="91">
        <v>0.8</v>
      </c>
      <c r="H22" s="91">
        <v>0.8077607033656018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2025</v>
      </c>
      <c r="E28" s="49"/>
      <c r="F28" s="45">
        <f>basic_info!$D$5-4</f>
        <v>2026</v>
      </c>
      <c r="G28" s="49"/>
      <c r="H28" s="45">
        <f>basic_info!$D$5-3</f>
        <v>2027</v>
      </c>
      <c r="I28" s="49"/>
      <c r="J28" s="45">
        <f>basic_info!$D$5-2</f>
        <v>2028</v>
      </c>
      <c r="K28" s="49"/>
      <c r="L28" s="45">
        <f>basic_info!$D$5-1</f>
        <v>2029</v>
      </c>
      <c r="N28" s="45">
        <f>basic_info!$D$5</f>
        <v>2030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2030</v>
      </c>
      <c r="D30" s="44">
        <v>0.69642607282102109</v>
      </c>
      <c r="E30" s="35">
        <v>0.69642607282102109</v>
      </c>
      <c r="F30" s="47">
        <v>0.68246257035314684</v>
      </c>
      <c r="G30" s="46">
        <v>0.68246257035314684</v>
      </c>
      <c r="H30" s="47">
        <v>0.69754554986117134</v>
      </c>
      <c r="I30" s="46">
        <v>0.69754554986117134</v>
      </c>
      <c r="J30" s="47">
        <v>0.79117891103596805</v>
      </c>
      <c r="K30" s="46">
        <v>0.79117891103596805</v>
      </c>
      <c r="L30" s="47">
        <v>0.73334909048531838</v>
      </c>
      <c r="M30" s="46">
        <v>0.73334909048531838</v>
      </c>
      <c r="N30" s="60"/>
      <c r="O30" s="71" t="s">
        <v>162</v>
      </c>
      <c r="P30" s="41">
        <f>M30+K30+I30+E30+G30</f>
        <v>3.6009621945566259</v>
      </c>
      <c r="Q30" s="70"/>
    </row>
    <row r="31" spans="2:33">
      <c r="B31" s="36"/>
      <c r="C31" s="47">
        <f>basic_info!$D$5+1</f>
        <v>2031</v>
      </c>
      <c r="D31" s="76"/>
      <c r="E31" s="75"/>
      <c r="F31" s="69">
        <v>0.68012294996082789</v>
      </c>
      <c r="G31" s="79">
        <v>0.68012294996082789</v>
      </c>
      <c r="H31" s="61">
        <v>0.70796417212980489</v>
      </c>
      <c r="I31" s="62">
        <v>0.70796417212980489</v>
      </c>
      <c r="J31" s="61">
        <v>0.76520281338787444</v>
      </c>
      <c r="K31" s="62">
        <v>0.76520281338787444</v>
      </c>
      <c r="L31" s="61">
        <v>0.7413359861182125</v>
      </c>
      <c r="M31" s="62">
        <v>0.7413359861182125</v>
      </c>
      <c r="N31" s="63">
        <v>0.81090191034329706</v>
      </c>
      <c r="O31" s="89">
        <v>0.81090191034329706</v>
      </c>
      <c r="P31" s="63">
        <f>O31+M31+K31+I31+G31</f>
        <v>3.7055278319400173</v>
      </c>
    </row>
    <row r="32" spans="2:33">
      <c r="B32" s="36"/>
      <c r="C32" s="47">
        <f>basic_info!$D$5+2</f>
        <v>2032</v>
      </c>
      <c r="D32" s="76"/>
      <c r="E32" s="75"/>
      <c r="F32" s="75"/>
      <c r="G32" s="75"/>
      <c r="H32" s="69">
        <v>0.66081657635867597</v>
      </c>
      <c r="I32" s="79">
        <v>0.66081657635867597</v>
      </c>
      <c r="J32" s="61">
        <v>0.72379884448625331</v>
      </c>
      <c r="K32" s="62">
        <v>0.72379884448625331</v>
      </c>
      <c r="L32" s="61">
        <v>0.69143952821589572</v>
      </c>
      <c r="M32" s="62">
        <v>0.69143952821589572</v>
      </c>
      <c r="N32" s="63">
        <v>0.79834376345265456</v>
      </c>
      <c r="O32" s="89">
        <v>0.79834376345265456</v>
      </c>
      <c r="P32" s="63">
        <f>O32+M32+K32+I32</f>
        <v>2.8743987125134796</v>
      </c>
    </row>
    <row r="33" spans="2:17">
      <c r="B33" s="36"/>
      <c r="C33" s="47">
        <f>basic_info!$D$5+3</f>
        <v>2033</v>
      </c>
      <c r="D33" s="76"/>
      <c r="E33" s="75"/>
      <c r="F33" s="75"/>
      <c r="G33" s="75"/>
      <c r="H33" s="75"/>
      <c r="I33" s="75"/>
      <c r="J33" s="69">
        <v>0.68604024631083016</v>
      </c>
      <c r="K33" s="79">
        <v>0.68604024631083016</v>
      </c>
      <c r="L33" s="61">
        <v>0.69892836613039744</v>
      </c>
      <c r="M33" s="62">
        <v>0.69892836613039744</v>
      </c>
      <c r="N33" s="63">
        <v>0.72958384051727887</v>
      </c>
      <c r="O33" s="89">
        <v>0.72958384051727887</v>
      </c>
      <c r="P33" s="63">
        <f>O33+M33+K33</f>
        <v>2.1145524529585065</v>
      </c>
    </row>
    <row r="34" spans="2:17">
      <c r="B34" s="36"/>
      <c r="C34" s="47">
        <f>basic_info!$D$5+4</f>
        <v>2034</v>
      </c>
      <c r="D34" s="76"/>
      <c r="E34" s="75"/>
      <c r="F34" s="75"/>
      <c r="G34" s="75"/>
      <c r="H34" s="75"/>
      <c r="I34" s="75"/>
      <c r="J34" s="75"/>
      <c r="K34" s="75"/>
      <c r="L34" s="69">
        <v>0.64970057869851594</v>
      </c>
      <c r="M34" s="79">
        <v>0.64970057869851594</v>
      </c>
      <c r="N34" s="63">
        <v>0.71232034054491844</v>
      </c>
      <c r="O34" s="89">
        <v>0.71232034054491844</v>
      </c>
      <c r="P34" s="63">
        <f>O34+M34</f>
        <v>1.3620209192434345</v>
      </c>
    </row>
    <row r="35" spans="2:17">
      <c r="B35" s="37"/>
      <c r="C35" s="72">
        <f>basic_info!$D$5+5</f>
        <v>2035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0.66346635976135726</v>
      </c>
      <c r="O35" s="89">
        <v>0.66346635976135726</v>
      </c>
      <c r="P35" s="65">
        <f>O35</f>
        <v>0.66346635976135726</v>
      </c>
    </row>
    <row r="36" spans="2:17">
      <c r="B36" s="41" t="s">
        <v>113</v>
      </c>
      <c r="C36" s="36">
        <f>basic_info!$D$5</f>
        <v>2030</v>
      </c>
      <c r="D36" s="44">
        <v>1.0409094843864442</v>
      </c>
      <c r="E36" s="35">
        <v>1.0409094843864442</v>
      </c>
      <c r="F36" s="73">
        <v>1.0839331764160476</v>
      </c>
      <c r="G36" s="74">
        <v>1.0839331764160476</v>
      </c>
      <c r="H36" s="73">
        <v>0.98900041593085708</v>
      </c>
      <c r="I36" s="74">
        <v>0.98900041593085708</v>
      </c>
      <c r="J36" s="73">
        <v>0.97228088435753113</v>
      </c>
      <c r="K36" s="74">
        <v>0.97228088435753113</v>
      </c>
      <c r="L36" s="66">
        <v>1.0958450964136017</v>
      </c>
      <c r="M36" s="67">
        <v>1.0958450964136017</v>
      </c>
      <c r="N36" s="68"/>
      <c r="O36" s="71" t="s">
        <v>162</v>
      </c>
      <c r="P36" s="41">
        <f>M36+K36+I36+E36+G36</f>
        <v>5.1819690575044817</v>
      </c>
      <c r="Q36" s="70"/>
    </row>
    <row r="37" spans="2:17">
      <c r="B37" s="36"/>
      <c r="C37" s="47">
        <f>basic_info!$D$5+1</f>
        <v>2031</v>
      </c>
      <c r="D37" s="76"/>
      <c r="E37" s="75"/>
      <c r="F37" s="69">
        <v>1.0482402778565885</v>
      </c>
      <c r="G37" s="79">
        <v>1.0482402778565885</v>
      </c>
      <c r="H37" s="61">
        <v>0.97045032301312806</v>
      </c>
      <c r="I37" s="62">
        <v>0.97045032301312806</v>
      </c>
      <c r="J37" s="61">
        <v>0.98789917790483717</v>
      </c>
      <c r="K37" s="62">
        <v>0.98789917790483717</v>
      </c>
      <c r="L37" s="61">
        <v>1.0512867234689989</v>
      </c>
      <c r="M37" s="62">
        <v>1.0512867234689989</v>
      </c>
      <c r="N37" s="61">
        <v>1.0713967576029952</v>
      </c>
      <c r="O37" s="89">
        <v>1.0713967576029952</v>
      </c>
      <c r="P37" s="63">
        <f>O37+M37+K37+I37+G37</f>
        <v>5.1292732598465474</v>
      </c>
    </row>
    <row r="38" spans="2:17">
      <c r="B38" s="36"/>
      <c r="C38" s="47">
        <f>basic_info!$D$5+2</f>
        <v>2032</v>
      </c>
      <c r="D38" s="76"/>
      <c r="E38" s="75"/>
      <c r="F38" s="75"/>
      <c r="G38" s="75"/>
      <c r="H38" s="69">
        <v>0.96112931388616563</v>
      </c>
      <c r="I38" s="79">
        <v>0.96112931388616563</v>
      </c>
      <c r="J38" s="61">
        <v>0.89988736013715631</v>
      </c>
      <c r="K38" s="62">
        <v>0.89988736013715631</v>
      </c>
      <c r="L38" s="61">
        <v>1.053586334277947</v>
      </c>
      <c r="M38" s="62">
        <v>1.053586334277947</v>
      </c>
      <c r="N38" s="61">
        <v>1.0072098965412106</v>
      </c>
      <c r="O38" s="89">
        <v>1.0072098965412106</v>
      </c>
      <c r="P38" s="63">
        <f>O38+M38+K38+I38</f>
        <v>3.9218129048424792</v>
      </c>
    </row>
    <row r="39" spans="2:17">
      <c r="B39" s="36"/>
      <c r="C39" s="47">
        <f>basic_info!$D$5+3</f>
        <v>2033</v>
      </c>
      <c r="D39" s="76"/>
      <c r="E39" s="75"/>
      <c r="F39" s="75"/>
      <c r="G39" s="75"/>
      <c r="H39" s="75"/>
      <c r="I39" s="75"/>
      <c r="J39" s="69">
        <v>0.86972962859272962</v>
      </c>
      <c r="K39" s="79">
        <v>0.86972962859272962</v>
      </c>
      <c r="L39" s="61">
        <v>1.0074343602156002</v>
      </c>
      <c r="M39" s="62">
        <v>1.0074343602156002</v>
      </c>
      <c r="N39" s="61">
        <v>0.97524463386379778</v>
      </c>
      <c r="O39" s="89">
        <v>0.97524463386379778</v>
      </c>
      <c r="P39" s="63">
        <f>O39+M39+K39</f>
        <v>2.8524086226721277</v>
      </c>
    </row>
    <row r="40" spans="2:17">
      <c r="B40" s="36"/>
      <c r="C40" s="47">
        <f>basic_info!$D$5+4</f>
        <v>2034</v>
      </c>
      <c r="D40" s="76"/>
      <c r="E40" s="75"/>
      <c r="F40" s="75"/>
      <c r="G40" s="75"/>
      <c r="H40" s="75"/>
      <c r="I40" s="75"/>
      <c r="J40" s="75"/>
      <c r="K40" s="75"/>
      <c r="L40" s="69">
        <v>0.9264638961553574</v>
      </c>
      <c r="M40" s="79">
        <v>0.9264638961553574</v>
      </c>
      <c r="N40" s="61">
        <v>0.9730984368342821</v>
      </c>
      <c r="O40" s="89">
        <v>0.9730984368342821</v>
      </c>
      <c r="P40" s="63">
        <f>O40+M40</f>
        <v>1.8995623329896394</v>
      </c>
    </row>
    <row r="41" spans="2:17">
      <c r="B41" s="37"/>
      <c r="C41" s="72">
        <f>basic_info!$D$5+5</f>
        <v>2035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0.8868314356505872</v>
      </c>
      <c r="O41" s="89">
        <v>0.8868314356505872</v>
      </c>
      <c r="P41" s="64">
        <f>O41</f>
        <v>0.8868314356505872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>
        <v>8.3333333333333321</v>
      </c>
      <c r="D47" s="92">
        <v>8.3333333333333321</v>
      </c>
      <c r="E47" s="92">
        <v>8.3333333333333321</v>
      </c>
      <c r="F47" s="92">
        <v>8.3333333333333321</v>
      </c>
      <c r="G47" s="92">
        <v>8.3333333333333321</v>
      </c>
      <c r="H47" s="92">
        <v>8.3333333333333321</v>
      </c>
      <c r="I47" s="92">
        <v>8.3333333333333321</v>
      </c>
      <c r="J47" s="92">
        <v>8.3333333333333321</v>
      </c>
      <c r="K47" s="92">
        <v>8.3333333333333321</v>
      </c>
      <c r="L47" s="92">
        <v>8.3333333333333321</v>
      </c>
      <c r="M47" s="92">
        <v>8.3333333333333321</v>
      </c>
      <c r="N47" s="92">
        <v>8.3333333333333321</v>
      </c>
      <c r="O47" s="33">
        <f>SUM(C47:N47)</f>
        <v>99.999999999999957</v>
      </c>
    </row>
    <row r="48" spans="2:17">
      <c r="B48" s="37" t="s">
        <v>113</v>
      </c>
      <c r="C48" s="92">
        <v>8.3333333333333321</v>
      </c>
      <c r="D48" s="92">
        <v>8.3333333333333321</v>
      </c>
      <c r="E48" s="92">
        <v>8.3333333333333321</v>
      </c>
      <c r="F48" s="92">
        <v>8.3333333333333321</v>
      </c>
      <c r="G48" s="92">
        <v>8.3333333333333321</v>
      </c>
      <c r="H48" s="92">
        <v>8.3333333333333321</v>
      </c>
      <c r="I48" s="92">
        <v>8.3333333333333321</v>
      </c>
      <c r="J48" s="92">
        <v>8.3333333333333321</v>
      </c>
      <c r="K48" s="92">
        <v>8.3333333333333321</v>
      </c>
      <c r="L48" s="92">
        <v>8.3333333333333321</v>
      </c>
      <c r="M48" s="92">
        <v>8.3333333333333321</v>
      </c>
      <c r="N48" s="92">
        <v>8.3333333333333321</v>
      </c>
      <c r="O48" s="33">
        <f>SUM(C48:N48)</f>
        <v>99.999999999999957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>
      <selection activeCell="B35" sqref="B35"/>
    </sheetView>
  </sheetViews>
  <sheetFormatPr baseColWidth="10" defaultColWidth="8.83203125" defaultRowHeight="12" x14ac:dyDescent="0"/>
  <cols>
    <col min="1" max="1" width="4.6640625" style="29" customWidth="1" collapsed="1"/>
    <col min="2" max="2" width="17.33203125" style="29" customWidth="1" collapsed="1"/>
    <col min="3" max="16384" width="8.83203125" style="29" collapsed="1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>
        <v>1.0471160179453765E-21</v>
      </c>
      <c r="D6" s="93">
        <v>60.756383138858489</v>
      </c>
      <c r="E6" s="93">
        <v>1.7150644158338667E-22</v>
      </c>
      <c r="F6" s="93">
        <v>1.3100591778370718E-22</v>
      </c>
      <c r="G6" s="93">
        <v>39.243616861141504</v>
      </c>
      <c r="H6" s="97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>
        <v>52.819257603337839</v>
      </c>
      <c r="D7" s="93">
        <v>38.792740548176681</v>
      </c>
      <c r="E7" s="93">
        <v>0</v>
      </c>
      <c r="F7" s="93">
        <v>8.3880018484854713</v>
      </c>
      <c r="G7" s="93">
        <v>0</v>
      </c>
      <c r="H7" s="97">
        <f>SUM($C$7:$G$7)</f>
        <v>99.999999999999986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>
        <v>5.8241494760290417E-21</v>
      </c>
      <c r="D8" s="93">
        <v>1.5122659344429053E-20</v>
      </c>
      <c r="E8" s="93">
        <v>100</v>
      </c>
      <c r="F8" s="93">
        <v>1.6099083949842781E-21</v>
      </c>
      <c r="G8" s="93">
        <v>2.22572923710483E-21</v>
      </c>
      <c r="H8" s="97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>
        <v>75.949367088607701</v>
      </c>
      <c r="D9" s="93">
        <v>3.1256505114006881E-21</v>
      </c>
      <c r="E9" s="93">
        <v>2.8314656323344865E-21</v>
      </c>
      <c r="F9" s="93">
        <v>24.050632911392302</v>
      </c>
      <c r="G9" s="93">
        <v>0</v>
      </c>
      <c r="H9" s="97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>
        <v>62.65630456388628</v>
      </c>
      <c r="D10" s="93">
        <v>21.605788977057635</v>
      </c>
      <c r="E10" s="93">
        <v>5.4764317837460714</v>
      </c>
      <c r="F10" s="93">
        <v>6.7746954989077333</v>
      </c>
      <c r="G10" s="93">
        <v>3.4867791764022904</v>
      </c>
      <c r="H10" s="97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>
        <v>1.2326931046741814</v>
      </c>
      <c r="D11" s="94">
        <v>77.681612837828496</v>
      </c>
      <c r="E11" s="94">
        <v>0</v>
      </c>
      <c r="F11" s="94">
        <v>0</v>
      </c>
      <c r="G11" s="94">
        <v>21.085694057497321</v>
      </c>
      <c r="H11" s="96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>
        <v>42.975159754170214</v>
      </c>
      <c r="D19" s="44">
        <f>100-$C$19</f>
        <v>57.024840245829786</v>
      </c>
      <c r="E19" s="94">
        <v>42.964521025206309</v>
      </c>
      <c r="F19" s="33">
        <f>100-$E$19</f>
        <v>57.035478974793691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>
        <v>14.334539086074356</v>
      </c>
      <c r="D27" s="93">
        <v>34.070440935164243</v>
      </c>
      <c r="E27" s="93">
        <v>28.826223559739947</v>
      </c>
      <c r="F27" s="93">
        <v>13.173588524476495</v>
      </c>
      <c r="G27" s="95">
        <v>11.083341153757656</v>
      </c>
      <c r="N27" s="50"/>
      <c r="O27" s="50"/>
      <c r="P27" s="50"/>
    </row>
    <row r="28" spans="2:16">
      <c r="B28" s="45" t="s">
        <v>46</v>
      </c>
      <c r="C28" s="93">
        <v>17.423399252861387</v>
      </c>
      <c r="D28" s="93">
        <v>65.929559064835743</v>
      </c>
      <c r="E28" s="93">
        <v>71.173776440260056</v>
      </c>
      <c r="F28" s="93">
        <v>0</v>
      </c>
      <c r="G28" s="95">
        <v>0</v>
      </c>
      <c r="N28" s="50"/>
      <c r="O28" s="50"/>
      <c r="P28" s="50"/>
    </row>
    <row r="29" spans="2:16">
      <c r="B29" s="45" t="s">
        <v>59</v>
      </c>
      <c r="C29" s="93">
        <v>68.242061661064255</v>
      </c>
      <c r="D29" s="93">
        <v>0</v>
      </c>
      <c r="E29" s="93">
        <v>0</v>
      </c>
      <c r="F29" s="93">
        <v>86.8264114755235</v>
      </c>
      <c r="G29" s="95">
        <v>88.916658846242356</v>
      </c>
      <c r="N29" s="50"/>
      <c r="O29" s="50"/>
      <c r="P29" s="50"/>
    </row>
    <row r="30" spans="2:16">
      <c r="B30" s="45" t="s">
        <v>150</v>
      </c>
      <c r="C30" s="98">
        <f>SUM($C$27:$C$29)</f>
        <v>100</v>
      </c>
      <c r="D30" s="98">
        <f>SUM($D$27:$D$29)</f>
        <v>99.999999999999986</v>
      </c>
      <c r="E30" s="98">
        <f>SUM($E$27:$E$29)</f>
        <v>100</v>
      </c>
      <c r="F30" s="98">
        <f>SUM($F$27:$F$29)</f>
        <v>100</v>
      </c>
      <c r="G30" s="96">
        <f>SUM($G$27:$G$29)</f>
        <v>100.00000000000001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>
        <v>35.503847016814774</v>
      </c>
      <c r="D37" s="93">
        <v>35.503847016814774</v>
      </c>
      <c r="E37" s="93">
        <v>35.503847016814774</v>
      </c>
      <c r="F37" s="93">
        <v>35.503847016814774</v>
      </c>
      <c r="G37" s="93">
        <v>35.503847016814774</v>
      </c>
      <c r="H37" s="93">
        <v>35.503847016814774</v>
      </c>
      <c r="I37" s="93">
        <v>35.503847016814774</v>
      </c>
      <c r="J37" s="93">
        <v>35.503847016814774</v>
      </c>
      <c r="K37" s="93">
        <v>35.503847016814774</v>
      </c>
      <c r="L37" s="93">
        <v>35.503847016814774</v>
      </c>
      <c r="M37" s="93">
        <v>35.503847016814774</v>
      </c>
      <c r="N37" s="95">
        <v>35.503847016814774</v>
      </c>
    </row>
    <row r="38" spans="2:14">
      <c r="B38" s="45" t="s">
        <v>46</v>
      </c>
      <c r="C38" s="93">
        <v>49.27338109917838</v>
      </c>
      <c r="D38" s="93">
        <v>49.27338109917838</v>
      </c>
      <c r="E38" s="93">
        <v>49.27338109917838</v>
      </c>
      <c r="F38" s="93">
        <v>49.27338109917838</v>
      </c>
      <c r="G38" s="93">
        <v>49.27338109917838</v>
      </c>
      <c r="H38" s="93">
        <v>49.27338109917838</v>
      </c>
      <c r="I38" s="93">
        <v>49.27338109917838</v>
      </c>
      <c r="J38" s="93">
        <v>49.27338109917838</v>
      </c>
      <c r="K38" s="93">
        <v>49.27338109917838</v>
      </c>
      <c r="L38" s="93">
        <v>49.27338109917838</v>
      </c>
      <c r="M38" s="93">
        <v>49.27338109917838</v>
      </c>
      <c r="N38" s="95">
        <v>49.27338109917838</v>
      </c>
    </row>
    <row r="39" spans="2:14">
      <c r="B39" s="45" t="s">
        <v>59</v>
      </c>
      <c r="C39" s="94">
        <v>44.782312709991722</v>
      </c>
      <c r="D39" s="94">
        <v>44.782312709991722</v>
      </c>
      <c r="E39" s="94">
        <v>44.782312709991722</v>
      </c>
      <c r="F39" s="94">
        <v>44.782312709991722</v>
      </c>
      <c r="G39" s="94">
        <v>44.782312709991722</v>
      </c>
      <c r="H39" s="94">
        <v>44.782312709991722</v>
      </c>
      <c r="I39" s="94">
        <v>44.782312709991722</v>
      </c>
      <c r="J39" s="94">
        <v>44.782312709991722</v>
      </c>
      <c r="K39" s="94">
        <v>44.782312709991722</v>
      </c>
      <c r="L39" s="94">
        <v>44.782312709991722</v>
      </c>
      <c r="M39" s="94">
        <v>44.782312709991722</v>
      </c>
      <c r="N39" s="89">
        <v>44.782312709991722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baseColWidth="10" defaultColWidth="8.83203125" defaultRowHeight="12" x14ac:dyDescent="0"/>
  <cols>
    <col min="1" max="2" width="4.6640625" style="29" customWidth="1" collapsed="1"/>
    <col min="3" max="3" width="12.6640625" style="29" customWidth="1" collapsed="1"/>
    <col min="4" max="15" width="8.6640625" style="29" customWidth="1" collapsed="1"/>
    <col min="16" max="16384" width="8.83203125" style="29" collapsed="1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>
        <v>1.7</v>
      </c>
      <c r="E6" s="89">
        <v>1.7</v>
      </c>
      <c r="F6" s="89">
        <v>1.7</v>
      </c>
      <c r="G6" s="89">
        <v>1.7</v>
      </c>
      <c r="H6" s="89">
        <v>1.7</v>
      </c>
      <c r="I6" s="89">
        <v>1.7</v>
      </c>
      <c r="J6" s="89">
        <v>1.7</v>
      </c>
      <c r="K6" s="89">
        <v>1.7</v>
      </c>
      <c r="L6" s="89">
        <v>1.7</v>
      </c>
      <c r="M6" s="89">
        <v>1.7</v>
      </c>
      <c r="N6" s="89">
        <v>1.7</v>
      </c>
      <c r="O6" s="89">
        <v>1.7</v>
      </c>
    </row>
    <row r="7" spans="2:15">
      <c r="C7" s="36" t="s">
        <v>127</v>
      </c>
      <c r="D7" s="89">
        <v>2</v>
      </c>
      <c r="E7" s="89">
        <v>2</v>
      </c>
      <c r="F7" s="89">
        <v>2</v>
      </c>
      <c r="G7" s="89">
        <v>2</v>
      </c>
      <c r="H7" s="89">
        <v>2</v>
      </c>
      <c r="I7" s="89">
        <v>2</v>
      </c>
      <c r="J7" s="89">
        <v>2</v>
      </c>
      <c r="K7" s="89">
        <v>2</v>
      </c>
      <c r="L7" s="89">
        <v>2</v>
      </c>
      <c r="M7" s="89">
        <v>2</v>
      </c>
      <c r="N7" s="89">
        <v>2</v>
      </c>
      <c r="O7" s="89">
        <v>2</v>
      </c>
    </row>
    <row r="8" spans="2:15">
      <c r="C8" s="36" t="s">
        <v>128</v>
      </c>
      <c r="D8" s="89">
        <v>2.25</v>
      </c>
      <c r="E8" s="89">
        <v>2.25</v>
      </c>
      <c r="F8" s="89">
        <v>2.25</v>
      </c>
      <c r="G8" s="89">
        <v>2.25</v>
      </c>
      <c r="H8" s="89">
        <v>2.25</v>
      </c>
      <c r="I8" s="89">
        <v>2.25</v>
      </c>
      <c r="J8" s="89">
        <v>2.25</v>
      </c>
      <c r="K8" s="89">
        <v>2.25</v>
      </c>
      <c r="L8" s="89">
        <v>2.25</v>
      </c>
      <c r="M8" s="89">
        <v>2.25</v>
      </c>
      <c r="N8" s="89">
        <v>2.25</v>
      </c>
      <c r="O8" s="89">
        <v>2.25</v>
      </c>
    </row>
    <row r="9" spans="2:15">
      <c r="C9" s="36" t="s">
        <v>129</v>
      </c>
      <c r="D9" s="89">
        <v>2.25</v>
      </c>
      <c r="E9" s="89">
        <v>2.25</v>
      </c>
      <c r="F9" s="89">
        <v>2.25</v>
      </c>
      <c r="G9" s="89">
        <v>2.25</v>
      </c>
      <c r="H9" s="89">
        <v>2.25</v>
      </c>
      <c r="I9" s="89">
        <v>2.25</v>
      </c>
      <c r="J9" s="89">
        <v>2.25</v>
      </c>
      <c r="K9" s="89">
        <v>2.25</v>
      </c>
      <c r="L9" s="89">
        <v>2.25</v>
      </c>
      <c r="M9" s="89">
        <v>2.25</v>
      </c>
      <c r="N9" s="89">
        <v>2.25</v>
      </c>
      <c r="O9" s="89">
        <v>2.25</v>
      </c>
    </row>
    <row r="10" spans="2:15">
      <c r="C10" s="36" t="s">
        <v>130</v>
      </c>
      <c r="D10" s="89">
        <v>2.5</v>
      </c>
      <c r="E10" s="89">
        <v>2.5</v>
      </c>
      <c r="F10" s="89">
        <v>2.5</v>
      </c>
      <c r="G10" s="89">
        <v>2.5</v>
      </c>
      <c r="H10" s="89">
        <v>2.5</v>
      </c>
      <c r="I10" s="89">
        <v>2.5</v>
      </c>
      <c r="J10" s="89">
        <v>2.5</v>
      </c>
      <c r="K10" s="89">
        <v>2.5</v>
      </c>
      <c r="L10" s="89">
        <v>2.5</v>
      </c>
      <c r="M10" s="89">
        <v>2.5</v>
      </c>
      <c r="N10" s="89">
        <v>2.5</v>
      </c>
      <c r="O10" s="89">
        <v>2.5</v>
      </c>
    </row>
    <row r="11" spans="2:15">
      <c r="C11" s="36" t="s">
        <v>131</v>
      </c>
      <c r="D11" s="89">
        <v>2.6</v>
      </c>
      <c r="E11" s="89">
        <v>2.6</v>
      </c>
      <c r="F11" s="89">
        <v>2.6</v>
      </c>
      <c r="G11" s="89">
        <v>2.6</v>
      </c>
      <c r="H11" s="89">
        <v>2.6</v>
      </c>
      <c r="I11" s="89">
        <v>2.6</v>
      </c>
      <c r="J11" s="89">
        <v>2.6</v>
      </c>
      <c r="K11" s="89">
        <v>2.6</v>
      </c>
      <c r="L11" s="89">
        <v>2.6</v>
      </c>
      <c r="M11" s="89">
        <v>2.6</v>
      </c>
      <c r="N11" s="89">
        <v>2.6</v>
      </c>
      <c r="O11" s="89">
        <v>2.6</v>
      </c>
    </row>
    <row r="12" spans="2:15">
      <c r="C12" s="37" t="s">
        <v>132</v>
      </c>
      <c r="D12" s="89">
        <v>2.7</v>
      </c>
      <c r="E12" s="89">
        <v>2.7</v>
      </c>
      <c r="F12" s="89">
        <v>2.7</v>
      </c>
      <c r="G12" s="89">
        <v>2.7</v>
      </c>
      <c r="H12" s="89">
        <v>2.7</v>
      </c>
      <c r="I12" s="89">
        <v>2.7</v>
      </c>
      <c r="J12" s="89">
        <v>2.7</v>
      </c>
      <c r="K12" s="89">
        <v>2.7</v>
      </c>
      <c r="L12" s="89">
        <v>2.7</v>
      </c>
      <c r="M12" s="89">
        <v>2.7</v>
      </c>
      <c r="N12" s="89">
        <v>2.7</v>
      </c>
      <c r="O12" s="89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>
        <v>3.5</v>
      </c>
      <c r="E15" s="89">
        <v>3.5</v>
      </c>
      <c r="F15" s="89">
        <v>3.5</v>
      </c>
      <c r="G15" s="89">
        <v>3.5</v>
      </c>
      <c r="H15" s="89">
        <v>3.5</v>
      </c>
      <c r="I15" s="89">
        <v>3.5</v>
      </c>
      <c r="J15" s="89">
        <v>3.5</v>
      </c>
      <c r="K15" s="89">
        <v>3.5</v>
      </c>
      <c r="L15" s="89">
        <v>3.5</v>
      </c>
      <c r="M15" s="89">
        <v>3.5</v>
      </c>
      <c r="N15" s="89">
        <v>3.5</v>
      </c>
      <c r="O15" s="89">
        <v>3.5</v>
      </c>
    </row>
    <row r="16" spans="2:15">
      <c r="C16" s="36" t="s">
        <v>127</v>
      </c>
      <c r="D16" s="89">
        <v>3.5</v>
      </c>
      <c r="E16" s="89">
        <v>3.5</v>
      </c>
      <c r="F16" s="89">
        <v>3.5</v>
      </c>
      <c r="G16" s="89">
        <v>3.5</v>
      </c>
      <c r="H16" s="89">
        <v>3.5</v>
      </c>
      <c r="I16" s="89">
        <v>3.5</v>
      </c>
      <c r="J16" s="89">
        <v>3.5</v>
      </c>
      <c r="K16" s="89">
        <v>3.5</v>
      </c>
      <c r="L16" s="89">
        <v>3.5</v>
      </c>
      <c r="M16" s="89">
        <v>3.5</v>
      </c>
      <c r="N16" s="89">
        <v>3.5</v>
      </c>
      <c r="O16" s="89">
        <v>3.5</v>
      </c>
    </row>
    <row r="17" spans="2:15">
      <c r="C17" s="36" t="s">
        <v>128</v>
      </c>
      <c r="D17" s="89">
        <v>3.5</v>
      </c>
      <c r="E17" s="89">
        <v>3.5</v>
      </c>
      <c r="F17" s="89">
        <v>3.5</v>
      </c>
      <c r="G17" s="89">
        <v>3.5</v>
      </c>
      <c r="H17" s="89">
        <v>3.5</v>
      </c>
      <c r="I17" s="89">
        <v>3.5</v>
      </c>
      <c r="J17" s="89">
        <v>3.5</v>
      </c>
      <c r="K17" s="89">
        <v>3.5</v>
      </c>
      <c r="L17" s="89">
        <v>3.5</v>
      </c>
      <c r="M17" s="89">
        <v>3.5</v>
      </c>
      <c r="N17" s="89">
        <v>3.5</v>
      </c>
      <c r="O17" s="89">
        <v>3.5</v>
      </c>
    </row>
    <row r="18" spans="2:15">
      <c r="C18" s="36" t="s">
        <v>129</v>
      </c>
      <c r="D18" s="89">
        <v>3.5</v>
      </c>
      <c r="E18" s="89">
        <v>3.5</v>
      </c>
      <c r="F18" s="89">
        <v>3.5</v>
      </c>
      <c r="G18" s="89">
        <v>3.5</v>
      </c>
      <c r="H18" s="89">
        <v>3.5</v>
      </c>
      <c r="I18" s="89">
        <v>3.5</v>
      </c>
      <c r="J18" s="89">
        <v>3.5</v>
      </c>
      <c r="K18" s="89">
        <v>3.5</v>
      </c>
      <c r="L18" s="89">
        <v>3.5</v>
      </c>
      <c r="M18" s="89">
        <v>3.5</v>
      </c>
      <c r="N18" s="89">
        <v>3.5</v>
      </c>
      <c r="O18" s="89">
        <v>3.5</v>
      </c>
    </row>
    <row r="19" spans="2:15">
      <c r="C19" s="36" t="s">
        <v>130</v>
      </c>
      <c r="D19" s="89">
        <v>3.5</v>
      </c>
      <c r="E19" s="89">
        <v>3.5</v>
      </c>
      <c r="F19" s="89">
        <v>3.5</v>
      </c>
      <c r="G19" s="89">
        <v>3.5</v>
      </c>
      <c r="H19" s="89">
        <v>3.5</v>
      </c>
      <c r="I19" s="89">
        <v>3.5</v>
      </c>
      <c r="J19" s="89">
        <v>3.5</v>
      </c>
      <c r="K19" s="89">
        <v>3.5</v>
      </c>
      <c r="L19" s="89">
        <v>3.5</v>
      </c>
      <c r="M19" s="89">
        <v>3.5</v>
      </c>
      <c r="N19" s="89">
        <v>3.5</v>
      </c>
      <c r="O19" s="89">
        <v>3.5</v>
      </c>
    </row>
    <row r="20" spans="2:15">
      <c r="C20" s="36" t="s">
        <v>131</v>
      </c>
      <c r="D20" s="89">
        <v>3.5</v>
      </c>
      <c r="E20" s="89">
        <v>3.5</v>
      </c>
      <c r="F20" s="89">
        <v>3.5</v>
      </c>
      <c r="G20" s="89">
        <v>3.5</v>
      </c>
      <c r="H20" s="89">
        <v>3.5</v>
      </c>
      <c r="I20" s="89">
        <v>3.5</v>
      </c>
      <c r="J20" s="89">
        <v>3.5</v>
      </c>
      <c r="K20" s="89">
        <v>3.5</v>
      </c>
      <c r="L20" s="89">
        <v>3.5</v>
      </c>
      <c r="M20" s="89">
        <v>3.5</v>
      </c>
      <c r="N20" s="89">
        <v>3.5</v>
      </c>
      <c r="O20" s="89">
        <v>3.5</v>
      </c>
    </row>
    <row r="21" spans="2:15">
      <c r="C21" s="37" t="s">
        <v>132</v>
      </c>
      <c r="D21" s="89">
        <v>3.5</v>
      </c>
      <c r="E21" s="89">
        <v>3.5</v>
      </c>
      <c r="F21" s="89">
        <v>3.5</v>
      </c>
      <c r="G21" s="89">
        <v>3.5</v>
      </c>
      <c r="H21" s="89">
        <v>3.5</v>
      </c>
      <c r="I21" s="89">
        <v>3.5</v>
      </c>
      <c r="J21" s="89">
        <v>3.5</v>
      </c>
      <c r="K21" s="89">
        <v>3.5</v>
      </c>
      <c r="L21" s="89">
        <v>3.5</v>
      </c>
      <c r="M21" s="89">
        <v>3.5</v>
      </c>
      <c r="N21" s="89">
        <v>3.5</v>
      </c>
      <c r="O21" s="89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>
        <v>3.8</v>
      </c>
      <c r="E24" s="89">
        <v>3.8</v>
      </c>
      <c r="F24" s="89">
        <v>3.8</v>
      </c>
      <c r="G24" s="89">
        <v>3.8</v>
      </c>
      <c r="H24" s="89">
        <v>3.8</v>
      </c>
      <c r="I24" s="89">
        <v>3.8</v>
      </c>
      <c r="J24" s="89">
        <v>3.8</v>
      </c>
      <c r="K24" s="89">
        <v>3.8</v>
      </c>
      <c r="L24" s="89">
        <v>3.8</v>
      </c>
      <c r="M24" s="89">
        <v>3.8</v>
      </c>
      <c r="N24" s="89">
        <v>3.8</v>
      </c>
      <c r="O24" s="89">
        <v>3.8</v>
      </c>
    </row>
    <row r="25" spans="2:15">
      <c r="C25" s="36" t="s">
        <v>127</v>
      </c>
      <c r="D25" s="89">
        <v>3.8</v>
      </c>
      <c r="E25" s="89">
        <v>3.8</v>
      </c>
      <c r="F25" s="89">
        <v>3.8</v>
      </c>
      <c r="G25" s="89">
        <v>3.8</v>
      </c>
      <c r="H25" s="89">
        <v>3.8</v>
      </c>
      <c r="I25" s="89">
        <v>3.8</v>
      </c>
      <c r="J25" s="89">
        <v>3.8</v>
      </c>
      <c r="K25" s="89">
        <v>3.8</v>
      </c>
      <c r="L25" s="89">
        <v>3.8</v>
      </c>
      <c r="M25" s="89">
        <v>3.8</v>
      </c>
      <c r="N25" s="89">
        <v>3.8</v>
      </c>
      <c r="O25" s="89">
        <v>3.8</v>
      </c>
    </row>
    <row r="26" spans="2:15">
      <c r="C26" s="36" t="s">
        <v>128</v>
      </c>
      <c r="D26" s="89">
        <v>3.8</v>
      </c>
      <c r="E26" s="89">
        <v>3.8</v>
      </c>
      <c r="F26" s="89">
        <v>3.8</v>
      </c>
      <c r="G26" s="89">
        <v>3.8</v>
      </c>
      <c r="H26" s="89">
        <v>3.8</v>
      </c>
      <c r="I26" s="89">
        <v>3.8</v>
      </c>
      <c r="J26" s="89">
        <v>3.8</v>
      </c>
      <c r="K26" s="89">
        <v>3.8</v>
      </c>
      <c r="L26" s="89">
        <v>3.8</v>
      </c>
      <c r="M26" s="89">
        <v>3.8</v>
      </c>
      <c r="N26" s="89">
        <v>3.8</v>
      </c>
      <c r="O26" s="89">
        <v>3.8</v>
      </c>
    </row>
    <row r="27" spans="2:15">
      <c r="C27" s="36" t="s">
        <v>129</v>
      </c>
      <c r="D27" s="89">
        <v>3.8</v>
      </c>
      <c r="E27" s="89">
        <v>3.8</v>
      </c>
      <c r="F27" s="89">
        <v>3.8</v>
      </c>
      <c r="G27" s="89">
        <v>3.8</v>
      </c>
      <c r="H27" s="89">
        <v>3.8</v>
      </c>
      <c r="I27" s="89">
        <v>3.8</v>
      </c>
      <c r="J27" s="89">
        <v>3.8</v>
      </c>
      <c r="K27" s="89">
        <v>3.8</v>
      </c>
      <c r="L27" s="89">
        <v>3.8</v>
      </c>
      <c r="M27" s="89">
        <v>3.8</v>
      </c>
      <c r="N27" s="89">
        <v>3.8</v>
      </c>
      <c r="O27" s="89">
        <v>3.8</v>
      </c>
    </row>
    <row r="28" spans="2:15">
      <c r="C28" s="36" t="s">
        <v>130</v>
      </c>
      <c r="D28" s="89">
        <v>3.8</v>
      </c>
      <c r="E28" s="89">
        <v>3.8</v>
      </c>
      <c r="F28" s="89">
        <v>3.8</v>
      </c>
      <c r="G28" s="89">
        <v>3.8</v>
      </c>
      <c r="H28" s="89">
        <v>3.8</v>
      </c>
      <c r="I28" s="89">
        <v>3.8</v>
      </c>
      <c r="J28" s="89">
        <v>3.8</v>
      </c>
      <c r="K28" s="89">
        <v>3.8</v>
      </c>
      <c r="L28" s="89">
        <v>3.8</v>
      </c>
      <c r="M28" s="89">
        <v>3.8</v>
      </c>
      <c r="N28" s="89">
        <v>3.8</v>
      </c>
      <c r="O28" s="89">
        <v>3.8</v>
      </c>
    </row>
    <row r="29" spans="2:15">
      <c r="C29" s="36" t="s">
        <v>131</v>
      </c>
      <c r="D29" s="89">
        <v>3.8</v>
      </c>
      <c r="E29" s="89">
        <v>3.8</v>
      </c>
      <c r="F29" s="89">
        <v>3.8</v>
      </c>
      <c r="G29" s="89">
        <v>3.8</v>
      </c>
      <c r="H29" s="89">
        <v>3.8</v>
      </c>
      <c r="I29" s="89">
        <v>3.8</v>
      </c>
      <c r="J29" s="89">
        <v>3.8</v>
      </c>
      <c r="K29" s="89">
        <v>3.8</v>
      </c>
      <c r="L29" s="89">
        <v>3.8</v>
      </c>
      <c r="M29" s="89">
        <v>3.8</v>
      </c>
      <c r="N29" s="89">
        <v>3.8</v>
      </c>
      <c r="O29" s="89">
        <v>3.8</v>
      </c>
    </row>
    <row r="30" spans="2:15">
      <c r="C30" s="37" t="s">
        <v>132</v>
      </c>
      <c r="D30" s="89">
        <v>3.8</v>
      </c>
      <c r="E30" s="89">
        <v>3.8</v>
      </c>
      <c r="F30" s="89">
        <v>3.8</v>
      </c>
      <c r="G30" s="89">
        <v>3.8</v>
      </c>
      <c r="H30" s="89">
        <v>3.8</v>
      </c>
      <c r="I30" s="89">
        <v>3.8</v>
      </c>
      <c r="J30" s="89">
        <v>3.8</v>
      </c>
      <c r="K30" s="89">
        <v>3.8</v>
      </c>
      <c r="L30" s="89">
        <v>3.8</v>
      </c>
      <c r="M30" s="89">
        <v>3.8</v>
      </c>
      <c r="N30" s="89">
        <v>3.8</v>
      </c>
      <c r="O30" s="89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>
        <v>2.7</v>
      </c>
      <c r="E33" s="89">
        <v>2.7</v>
      </c>
      <c r="F33" s="89">
        <v>2.7</v>
      </c>
      <c r="G33" s="89">
        <v>2.7</v>
      </c>
      <c r="H33" s="89">
        <v>2.7</v>
      </c>
      <c r="I33" s="89">
        <v>2.7</v>
      </c>
      <c r="J33" s="89">
        <v>2.7</v>
      </c>
      <c r="K33" s="89">
        <v>2.7</v>
      </c>
      <c r="L33" s="89">
        <v>2.7</v>
      </c>
      <c r="M33" s="89">
        <v>2.7</v>
      </c>
      <c r="N33" s="89">
        <v>2.7</v>
      </c>
      <c r="O33" s="89">
        <v>2.7</v>
      </c>
    </row>
    <row r="34" spans="3:15">
      <c r="C34" s="36" t="s">
        <v>127</v>
      </c>
      <c r="D34" s="89">
        <v>2.4</v>
      </c>
      <c r="E34" s="89">
        <v>2.4</v>
      </c>
      <c r="F34" s="89">
        <v>2.4</v>
      </c>
      <c r="G34" s="89">
        <v>2.4</v>
      </c>
      <c r="H34" s="89">
        <v>2.4</v>
      </c>
      <c r="I34" s="89">
        <v>2.4</v>
      </c>
      <c r="J34" s="89">
        <v>2.4</v>
      </c>
      <c r="K34" s="89">
        <v>2.4</v>
      </c>
      <c r="L34" s="89">
        <v>2.4</v>
      </c>
      <c r="M34" s="89">
        <v>2.4</v>
      </c>
      <c r="N34" s="89">
        <v>2.4</v>
      </c>
      <c r="O34" s="89">
        <v>2.4</v>
      </c>
    </row>
    <row r="35" spans="3:15">
      <c r="C35" s="36" t="s">
        <v>128</v>
      </c>
      <c r="D35" s="89">
        <v>2.2999999999999998</v>
      </c>
      <c r="E35" s="89">
        <v>2.2999999999999998</v>
      </c>
      <c r="F35" s="89">
        <v>2.2999999999999998</v>
      </c>
      <c r="G35" s="89">
        <v>2.2999999999999998</v>
      </c>
      <c r="H35" s="89">
        <v>2.2999999999999998</v>
      </c>
      <c r="I35" s="89">
        <v>2.2999999999999998</v>
      </c>
      <c r="J35" s="89">
        <v>2.2999999999999998</v>
      </c>
      <c r="K35" s="89">
        <v>2.2999999999999998</v>
      </c>
      <c r="L35" s="89">
        <v>2.2999999999999998</v>
      </c>
      <c r="M35" s="89">
        <v>2.2999999999999998</v>
      </c>
      <c r="N35" s="89">
        <v>2.2999999999999998</v>
      </c>
      <c r="O35" s="89">
        <v>2.2999999999999998</v>
      </c>
    </row>
    <row r="36" spans="3:15">
      <c r="C36" s="36" t="s">
        <v>129</v>
      </c>
      <c r="D36" s="89">
        <v>2.5</v>
      </c>
      <c r="E36" s="89">
        <v>2.5</v>
      </c>
      <c r="F36" s="89">
        <v>2.5</v>
      </c>
      <c r="G36" s="89">
        <v>2.5</v>
      </c>
      <c r="H36" s="89">
        <v>2.5</v>
      </c>
      <c r="I36" s="89">
        <v>2.5</v>
      </c>
      <c r="J36" s="89">
        <v>2.5</v>
      </c>
      <c r="K36" s="89">
        <v>2.5</v>
      </c>
      <c r="L36" s="89">
        <v>2.5</v>
      </c>
      <c r="M36" s="89">
        <v>2.5</v>
      </c>
      <c r="N36" s="89">
        <v>2.5</v>
      </c>
      <c r="O36" s="89">
        <v>2.5</v>
      </c>
    </row>
    <row r="37" spans="3:15">
      <c r="C37" s="36" t="s">
        <v>130</v>
      </c>
      <c r="D37" s="89">
        <v>2.6</v>
      </c>
      <c r="E37" s="89">
        <v>2.6</v>
      </c>
      <c r="F37" s="89">
        <v>2.6</v>
      </c>
      <c r="G37" s="89">
        <v>2.6</v>
      </c>
      <c r="H37" s="89">
        <v>2.6</v>
      </c>
      <c r="I37" s="89">
        <v>2.6</v>
      </c>
      <c r="J37" s="89">
        <v>2.6</v>
      </c>
      <c r="K37" s="89">
        <v>2.6</v>
      </c>
      <c r="L37" s="89">
        <v>2.6</v>
      </c>
      <c r="M37" s="89">
        <v>2.6</v>
      </c>
      <c r="N37" s="89">
        <v>2.6</v>
      </c>
      <c r="O37" s="89">
        <v>2.6</v>
      </c>
    </row>
    <row r="38" spans="3:15">
      <c r="C38" s="36" t="s">
        <v>131</v>
      </c>
      <c r="D38" s="89">
        <v>2.8</v>
      </c>
      <c r="E38" s="89">
        <v>2.8</v>
      </c>
      <c r="F38" s="89">
        <v>2.8</v>
      </c>
      <c r="G38" s="89">
        <v>2.8</v>
      </c>
      <c r="H38" s="89">
        <v>2.8</v>
      </c>
      <c r="I38" s="89">
        <v>2.8</v>
      </c>
      <c r="J38" s="89">
        <v>2.8</v>
      </c>
      <c r="K38" s="89">
        <v>2.8</v>
      </c>
      <c r="L38" s="89">
        <v>2.8</v>
      </c>
      <c r="M38" s="89">
        <v>2.8</v>
      </c>
      <c r="N38" s="89">
        <v>2.8</v>
      </c>
      <c r="O38" s="89">
        <v>2.8</v>
      </c>
    </row>
    <row r="39" spans="3:15">
      <c r="C39" s="37" t="s">
        <v>132</v>
      </c>
      <c r="D39" s="89">
        <v>2.6</v>
      </c>
      <c r="E39" s="89">
        <v>2.6</v>
      </c>
      <c r="F39" s="89">
        <v>2.6</v>
      </c>
      <c r="G39" s="89">
        <v>2.6</v>
      </c>
      <c r="H39" s="89">
        <v>2.6</v>
      </c>
      <c r="I39" s="89">
        <v>2.6</v>
      </c>
      <c r="J39" s="89">
        <v>2.6</v>
      </c>
      <c r="K39" s="89">
        <v>2.6</v>
      </c>
      <c r="L39" s="89">
        <v>2.6</v>
      </c>
      <c r="M39" s="89">
        <v>2.6</v>
      </c>
      <c r="N39" s="89">
        <v>2.6</v>
      </c>
      <c r="O39" s="89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baseColWidth="10" defaultColWidth="8.83203125" defaultRowHeight="12" x14ac:dyDescent="0"/>
  <cols>
    <col min="1" max="1" width="4.6640625" style="100" customWidth="1"/>
    <col min="2" max="6" width="8.83203125" style="100"/>
    <col min="7" max="7" width="2.6640625" style="100" customWidth="1"/>
    <col min="8" max="8" width="11.1640625" style="100" customWidth="1"/>
    <col min="9" max="10" width="8.83203125" style="100"/>
    <col min="11" max="12" width="4.6640625" style="100" customWidth="1"/>
    <col min="13" max="17" width="8.83203125" style="100"/>
    <col min="18" max="18" width="2.6640625" style="100" customWidth="1"/>
    <col min="19" max="19" width="14.6640625" style="100" customWidth="1"/>
    <col min="20" max="20" width="16.6640625" style="100" customWidth="1"/>
    <col min="21" max="21" width="4.6640625" style="100" customWidth="1"/>
    <col min="22" max="16384" width="8.83203125" style="100"/>
  </cols>
  <sheetData>
    <row r="1" spans="1:20">
      <c r="A1" s="179"/>
    </row>
    <row r="2" spans="1:20" ht="15">
      <c r="C2" s="207" t="s">
        <v>165</v>
      </c>
      <c r="D2" s="207"/>
      <c r="E2" s="207"/>
      <c r="F2" s="207"/>
      <c r="G2" s="207"/>
      <c r="H2" s="207"/>
    </row>
    <row r="3" spans="1:20" ht="15">
      <c r="C3" s="180" t="s">
        <v>413</v>
      </c>
      <c r="D3" s="180"/>
      <c r="E3" s="180"/>
      <c r="F3" s="180"/>
      <c r="G3" s="180"/>
    </row>
    <row r="5" spans="1:20" ht="15">
      <c r="A5" s="181" t="s">
        <v>352</v>
      </c>
      <c r="B5" s="182"/>
      <c r="G5" s="183"/>
      <c r="L5" s="181" t="s">
        <v>353</v>
      </c>
      <c r="M5" s="182"/>
      <c r="R5" s="183"/>
    </row>
    <row r="6" spans="1:20">
      <c r="A6" s="184" t="s">
        <v>354</v>
      </c>
      <c r="B6" s="182"/>
      <c r="G6" s="185"/>
      <c r="H6" s="110"/>
      <c r="L6" s="184" t="s">
        <v>355</v>
      </c>
      <c r="M6" s="182"/>
      <c r="S6" s="125"/>
    </row>
    <row r="7" spans="1:20">
      <c r="A7" s="182"/>
      <c r="B7" s="182" t="s">
        <v>356</v>
      </c>
      <c r="G7" s="185"/>
      <c r="H7" s="186">
        <f>SUM(ORA!$D$116:$O$116)</f>
        <v>65673.192713971162</v>
      </c>
      <c r="L7" s="182"/>
      <c r="M7" s="182" t="s">
        <v>356</v>
      </c>
      <c r="S7" s="187">
        <f>SUM(ORA!$D$127:$O$127)</f>
        <v>280645929.34604871</v>
      </c>
    </row>
    <row r="8" spans="1:20">
      <c r="A8" s="182"/>
      <c r="B8" s="182" t="s">
        <v>357</v>
      </c>
      <c r="G8" s="185"/>
      <c r="H8" s="188">
        <f>SUM(POJ!$D$116:$O$116)</f>
        <v>44846.759807276496</v>
      </c>
      <c r="L8" s="182"/>
      <c r="M8" s="182" t="s">
        <v>357</v>
      </c>
      <c r="S8" s="189">
        <f>SUM(POJ!$D$127:$O$127)</f>
        <v>313927318.65093547</v>
      </c>
    </row>
    <row r="9" spans="1:20">
      <c r="A9" s="182"/>
      <c r="B9" s="182" t="s">
        <v>358</v>
      </c>
      <c r="G9" s="185"/>
      <c r="H9" s="188">
        <f>SUM(ROJ!$D$116:$O$116)</f>
        <v>27891.752524588803</v>
      </c>
      <c r="L9" s="182"/>
      <c r="M9" s="182" t="s">
        <v>358</v>
      </c>
      <c r="S9" s="189">
        <f>SUM(ROJ!$D$127:$O$127)</f>
        <v>211977319.18687487</v>
      </c>
    </row>
    <row r="10" spans="1:20">
      <c r="A10" s="182"/>
      <c r="B10" s="182" t="s">
        <v>359</v>
      </c>
      <c r="G10" s="185"/>
      <c r="H10" s="190">
        <f>SUM(FCOJ!$D$116:$O$116)</f>
        <v>31511.833762967763</v>
      </c>
      <c r="L10" s="182"/>
      <c r="M10" s="182" t="s">
        <v>359</v>
      </c>
      <c r="S10" s="191">
        <f>SUM(FCOJ!$D$127:$O$127)</f>
        <v>158152797.65635136</v>
      </c>
    </row>
    <row r="11" spans="1:20">
      <c r="A11" s="182"/>
      <c r="B11" s="182"/>
      <c r="G11" s="185"/>
      <c r="M11" s="182" t="s">
        <v>360</v>
      </c>
      <c r="T11" s="192">
        <f>SUM($S$7:$S$10)</f>
        <v>964703364.84021044</v>
      </c>
    </row>
    <row r="12" spans="1:20">
      <c r="A12" s="184" t="s">
        <v>361</v>
      </c>
      <c r="B12" s="182"/>
      <c r="G12" s="185"/>
    </row>
    <row r="13" spans="1:20">
      <c r="A13" s="182"/>
      <c r="B13" s="182" t="s">
        <v>362</v>
      </c>
      <c r="G13" s="185"/>
      <c r="H13" s="193">
        <f>SUM(grove!$C$48:$AX$53)</f>
        <v>171005.91022996558</v>
      </c>
      <c r="L13" s="184" t="s">
        <v>363</v>
      </c>
      <c r="M13" s="182"/>
    </row>
    <row r="14" spans="1:20">
      <c r="A14" s="182"/>
      <c r="B14" s="182" t="s">
        <v>364</v>
      </c>
      <c r="G14" s="185"/>
      <c r="H14" s="186">
        <f>raw_materials!$P$30</f>
        <v>3.6009621945566259</v>
      </c>
      <c r="L14" s="182"/>
      <c r="M14" s="182" t="s">
        <v>365</v>
      </c>
      <c r="S14" s="187">
        <f>SUM(grove!$C$58:$AX$63)</f>
        <v>235652997.54539171</v>
      </c>
    </row>
    <row r="15" spans="1:20">
      <c r="A15" s="182"/>
      <c r="B15" s="182" t="s">
        <v>366</v>
      </c>
      <c r="G15" s="185"/>
      <c r="H15" s="190">
        <f>raw_materials!$P$36</f>
        <v>5.1819690575044817</v>
      </c>
      <c r="L15" s="182"/>
      <c r="M15" s="182" t="s">
        <v>367</v>
      </c>
      <c r="S15" s="189">
        <f>(raw_materials!D30*raw_materials!E30+raw_materials!F30*raw_materials!G30+raw_materials!H30*raw_materials!I30+raw_materials!J30*raw_materials!K30+raw_materials!L30*raw_materials!M30)*2000</f>
        <v>5202.1983735055237</v>
      </c>
    </row>
    <row r="16" spans="1:20">
      <c r="A16" s="182"/>
      <c r="B16" s="182" t="s">
        <v>368</v>
      </c>
      <c r="G16" s="185"/>
      <c r="H16" s="194">
        <v>44960.141220670623</v>
      </c>
      <c r="L16" s="182"/>
      <c r="M16" s="182" t="s">
        <v>369</v>
      </c>
      <c r="S16" s="189">
        <f>(raw_materials!D36*raw_materials!E36+raw_materials!F36*raw_materials!G36+raw_materials!H36*raw_materials!I36+raw_materials!J36*raw_materials!K36+raw_materials!L36*raw_materials!M36)*2000</f>
        <v>10765.464203506486</v>
      </c>
    </row>
    <row r="17" spans="1:21">
      <c r="A17" s="182"/>
      <c r="B17" s="182" t="s">
        <v>370</v>
      </c>
      <c r="G17" s="185"/>
      <c r="H17" s="195">
        <v>59677.772100487127</v>
      </c>
      <c r="L17" s="182"/>
      <c r="M17" s="182" t="s">
        <v>371</v>
      </c>
      <c r="S17" s="189">
        <v>32832561.506877884</v>
      </c>
    </row>
    <row r="18" spans="1:21">
      <c r="A18" s="182"/>
      <c r="B18" s="182" t="s">
        <v>372</v>
      </c>
      <c r="G18" s="185"/>
      <c r="H18" s="196">
        <v>27898.036189488743</v>
      </c>
      <c r="L18" s="182"/>
      <c r="M18" s="182" t="s">
        <v>373</v>
      </c>
      <c r="S18" s="191">
        <v>1643.9522817199816</v>
      </c>
    </row>
    <row r="19" spans="1:21">
      <c r="A19" s="182"/>
      <c r="B19" s="182" t="s">
        <v>374</v>
      </c>
      <c r="G19" s="185"/>
      <c r="H19" s="195">
        <v>605.7447812247101</v>
      </c>
      <c r="L19" s="182"/>
      <c r="M19" s="182" t="s">
        <v>375</v>
      </c>
      <c r="S19" s="197" t="s">
        <v>376</v>
      </c>
      <c r="T19" s="198">
        <f>SUM($S$14:$S$18)</f>
        <v>268503170.66712832</v>
      </c>
      <c r="U19" s="100" t="s">
        <v>377</v>
      </c>
    </row>
    <row r="20" spans="1:21">
      <c r="A20" s="182"/>
      <c r="B20" s="182" t="s">
        <v>378</v>
      </c>
      <c r="G20" s="185"/>
      <c r="H20" s="190">
        <v>54.133852743327907</v>
      </c>
      <c r="L20" s="182"/>
      <c r="M20" s="182"/>
    </row>
    <row r="21" spans="1:21">
      <c r="A21" s="182"/>
      <c r="B21" s="182"/>
      <c r="G21" s="185"/>
      <c r="L21" s="184" t="s">
        <v>379</v>
      </c>
      <c r="M21" s="182"/>
      <c r="S21" s="125"/>
    </row>
    <row r="22" spans="1:21">
      <c r="A22" s="184" t="s">
        <v>380</v>
      </c>
      <c r="B22" s="182"/>
      <c r="G22" s="185"/>
      <c r="L22" s="182"/>
      <c r="M22" s="182" t="s">
        <v>381</v>
      </c>
      <c r="S22" s="189">
        <v>89920282.441341355</v>
      </c>
    </row>
    <row r="23" spans="1:21">
      <c r="A23" s="182"/>
      <c r="B23" s="182" t="s">
        <v>382</v>
      </c>
      <c r="G23" s="185"/>
      <c r="H23" s="186">
        <f>SUM(raw_materials!$O$31:$O$35)</f>
        <v>3.7146162146195061</v>
      </c>
      <c r="L23" s="182"/>
      <c r="M23" s="182" t="s">
        <v>383</v>
      </c>
      <c r="S23" s="189">
        <v>59677772.100487143</v>
      </c>
    </row>
    <row r="24" spans="1:21">
      <c r="A24" s="182"/>
      <c r="B24" s="182" t="s">
        <v>384</v>
      </c>
      <c r="G24" s="185"/>
      <c r="H24" s="190">
        <f>SUM(raw_materials!$O$37:$O$41)</f>
        <v>4.9137811604928734</v>
      </c>
      <c r="L24" s="182"/>
      <c r="M24" s="182" t="s">
        <v>385</v>
      </c>
      <c r="S24" s="191">
        <v>18133723.523167685</v>
      </c>
    </row>
    <row r="25" spans="1:21">
      <c r="A25" s="182"/>
      <c r="B25" s="182"/>
      <c r="G25" s="185"/>
      <c r="L25" s="182"/>
      <c r="M25" s="182" t="s">
        <v>386</v>
      </c>
      <c r="S25" s="197" t="s">
        <v>376</v>
      </c>
      <c r="T25" s="198">
        <f>SUM($S$22:$S$24)</f>
        <v>167731778.06499618</v>
      </c>
      <c r="U25" s="100" t="s">
        <v>377</v>
      </c>
    </row>
    <row r="26" spans="1:21">
      <c r="A26" s="184" t="s">
        <v>387</v>
      </c>
      <c r="B26" s="182"/>
      <c r="G26" s="185"/>
      <c r="L26" s="182"/>
      <c r="M26" s="182"/>
    </row>
    <row r="27" spans="1:21">
      <c r="A27" s="182"/>
      <c r="B27" s="182" t="s">
        <v>388</v>
      </c>
      <c r="G27" s="185"/>
      <c r="H27" s="186">
        <f>SUMIF(facilities!$C$6:$C$15,"&gt;0",facilities!$C$6:$C$15)</f>
        <v>0</v>
      </c>
      <c r="L27" s="184" t="s">
        <v>389</v>
      </c>
      <c r="M27" s="182"/>
    </row>
    <row r="28" spans="1:21">
      <c r="A28" s="182"/>
      <c r="B28" s="182" t="s">
        <v>390</v>
      </c>
      <c r="G28" s="185"/>
      <c r="H28" s="188">
        <f>SUMIF(facilities!$C$36:$C$106,"&gt;0",facilities!$C$36:$C$106)</f>
        <v>0</v>
      </c>
      <c r="L28" s="182"/>
      <c r="M28" s="182" t="s">
        <v>391</v>
      </c>
      <c r="S28" s="187">
        <v>13030200</v>
      </c>
    </row>
    <row r="29" spans="1:21">
      <c r="A29" s="182"/>
      <c r="B29" s="182" t="s">
        <v>392</v>
      </c>
      <c r="G29" s="185"/>
      <c r="H29" s="188">
        <f>SUMIF(facilities!$C$6:$C$15,"&lt;0",facilities!$C$6:$C$15)</f>
        <v>0</v>
      </c>
      <c r="L29" s="182"/>
      <c r="M29" s="182" t="s">
        <v>393</v>
      </c>
      <c r="S29" s="189">
        <v>30193407.244362675</v>
      </c>
    </row>
    <row r="30" spans="1:21">
      <c r="A30" s="182"/>
      <c r="B30" s="182" t="s">
        <v>394</v>
      </c>
      <c r="G30" s="185"/>
      <c r="H30" s="190">
        <f>SUMIF(facilities!$C$36:$C$106,"&lt;0",facilities!$C$36:$C$106)</f>
        <v>-250</v>
      </c>
      <c r="L30" s="182"/>
      <c r="M30" s="182" t="s">
        <v>395</v>
      </c>
      <c r="S30" s="189">
        <v>2931413.2591585917</v>
      </c>
    </row>
    <row r="31" spans="1:21">
      <c r="L31" s="182"/>
      <c r="M31" s="182" t="s">
        <v>396</v>
      </c>
      <c r="S31" s="191">
        <f>SUM(ORA!D138:O138)+SUM(POJ!D138:O138)+SUM(ROJ!D138:O138)+SUM(FCOJ!D138:O138)</f>
        <v>115831856.07806644</v>
      </c>
    </row>
    <row r="32" spans="1:21">
      <c r="A32" s="184" t="s">
        <v>397</v>
      </c>
      <c r="B32" s="182"/>
      <c r="G32" s="185"/>
      <c r="L32" s="182"/>
      <c r="M32" s="182" t="s">
        <v>398</v>
      </c>
      <c r="S32" s="113" t="s">
        <v>376</v>
      </c>
      <c r="T32" s="198">
        <f>SUM($S$28:$S$31)</f>
        <v>161986876.5815877</v>
      </c>
      <c r="U32" s="100" t="s">
        <v>377</v>
      </c>
    </row>
    <row r="33" spans="1:21">
      <c r="A33" s="182"/>
      <c r="B33" s="182" t="s">
        <v>399</v>
      </c>
      <c r="G33" s="185"/>
      <c r="H33" s="186">
        <f>COUNTIF(facilities!$H$6:$H$15,"=new")</f>
        <v>0</v>
      </c>
      <c r="M33" s="182"/>
    </row>
    <row r="34" spans="1:21">
      <c r="A34" s="182"/>
      <c r="B34" s="182" t="s">
        <v>400</v>
      </c>
      <c r="G34" s="185"/>
      <c r="H34" s="188">
        <f>COUNTIF(facilities!$H$36:$H$106,"=new")</f>
        <v>0</v>
      </c>
      <c r="L34" s="184" t="s">
        <v>401</v>
      </c>
      <c r="M34" s="182"/>
    </row>
    <row r="35" spans="1:21">
      <c r="B35" s="182" t="s">
        <v>18</v>
      </c>
      <c r="H35" s="190">
        <f>SUMIF(facilities!$C$21:$C$30,"&gt;0",facilities!$C$21:$C$30)</f>
        <v>0</v>
      </c>
      <c r="L35" s="182"/>
      <c r="M35" s="182" t="s">
        <v>402</v>
      </c>
      <c r="S35" s="187">
        <v>26472500</v>
      </c>
    </row>
    <row r="36" spans="1:21">
      <c r="L36" s="182"/>
      <c r="M36" s="182" t="s">
        <v>403</v>
      </c>
      <c r="S36" s="189">
        <f>H33*12000000-H38*70/100*12000000</f>
        <v>0</v>
      </c>
    </row>
    <row r="37" spans="1:21">
      <c r="A37" s="184" t="s">
        <v>404</v>
      </c>
      <c r="L37" s="182"/>
      <c r="M37" s="182" t="s">
        <v>405</v>
      </c>
      <c r="S37" s="189">
        <f>H27*8000+H29*70/100*8000</f>
        <v>0</v>
      </c>
    </row>
    <row r="38" spans="1:21">
      <c r="B38" s="182" t="s">
        <v>399</v>
      </c>
      <c r="H38" s="186">
        <f>COUNTIF(facilities!$H$6:$H$15,"=sold")</f>
        <v>0</v>
      </c>
      <c r="L38" s="182"/>
      <c r="M38" s="182" t="s">
        <v>406</v>
      </c>
      <c r="S38" s="189">
        <v>27570000</v>
      </c>
    </row>
    <row r="39" spans="1:21">
      <c r="B39" s="182" t="s">
        <v>400</v>
      </c>
      <c r="H39" s="188">
        <f>COUNTIF(facilities!$H$36:$H$106,"=sold")</f>
        <v>0</v>
      </c>
      <c r="L39" s="182"/>
      <c r="M39" s="182" t="s">
        <v>407</v>
      </c>
      <c r="S39" s="189">
        <f>H34*9000000-H39*80/100*9000000</f>
        <v>0</v>
      </c>
    </row>
    <row r="40" spans="1:21">
      <c r="B40" s="182" t="s">
        <v>18</v>
      </c>
      <c r="H40" s="190">
        <f>-SUMIF(facilities!$C$21:$C$30,"&lt;0",facilities!$C$21:$C$30)</f>
        <v>0</v>
      </c>
      <c r="L40" s="182"/>
      <c r="M40" s="182" t="s">
        <v>408</v>
      </c>
      <c r="S40" s="189">
        <f>H28*6000+H30*80/100*6000</f>
        <v>-1200000</v>
      </c>
    </row>
    <row r="41" spans="1:21">
      <c r="L41" s="182"/>
      <c r="M41" s="182" t="s">
        <v>409</v>
      </c>
      <c r="S41" s="189">
        <v>9080</v>
      </c>
    </row>
    <row r="42" spans="1:21">
      <c r="L42" s="182"/>
      <c r="M42" s="182" t="s">
        <v>410</v>
      </c>
      <c r="S42" s="191">
        <f>H35*100000-H40*60/100*100000</f>
        <v>0</v>
      </c>
    </row>
    <row r="43" spans="1:21">
      <c r="L43" s="182"/>
      <c r="M43" s="182" t="s">
        <v>411</v>
      </c>
      <c r="S43" s="177" t="s">
        <v>376</v>
      </c>
      <c r="T43" s="198">
        <f>SUM($S$35:$S$42)</f>
        <v>52851580</v>
      </c>
      <c r="U43" s="100" t="s">
        <v>377</v>
      </c>
    </row>
    <row r="44" spans="1:21">
      <c r="L44" s="182"/>
      <c r="S44" s="110"/>
    </row>
    <row r="45" spans="1:21" ht="13" thickBot="1">
      <c r="L45" s="199" t="s">
        <v>412</v>
      </c>
      <c r="M45" s="182"/>
      <c r="T45" s="200">
        <f>$T$11-$T$19-$T$25-$T$32-$T$43</f>
        <v>313629959.5264982</v>
      </c>
    </row>
    <row r="46" spans="1:21" ht="13" thickTop="1">
      <c r="M46" s="182"/>
    </row>
    <row r="316" spans="1:1">
      <c r="A316" s="179"/>
    </row>
    <row r="317" spans="1:1">
      <c r="A317" s="179"/>
    </row>
    <row r="318" spans="1:1">
      <c r="A318" s="179"/>
    </row>
    <row r="319" spans="1:1">
      <c r="A319" s="179"/>
    </row>
    <row r="320" spans="1:1">
      <c r="A320" s="179"/>
    </row>
    <row r="321" spans="1:1">
      <c r="A321" s="179"/>
    </row>
    <row r="322" spans="1:1">
      <c r="A322" s="179"/>
    </row>
    <row r="323" spans="1:1">
      <c r="A323" s="179"/>
    </row>
    <row r="325" spans="1:1">
      <c r="A325" s="179"/>
    </row>
    <row r="326" spans="1:1">
      <c r="A326" s="179"/>
    </row>
    <row r="327" spans="1:1">
      <c r="A327" s="179"/>
    </row>
    <row r="328" spans="1:1">
      <c r="A328" s="179"/>
    </row>
    <row r="329" spans="1:1">
      <c r="A329" s="179"/>
    </row>
    <row r="330" spans="1:1">
      <c r="A330" s="179"/>
    </row>
    <row r="331" spans="1:1">
      <c r="A331" s="179"/>
    </row>
    <row r="332" spans="1:1">
      <c r="A332" s="179"/>
    </row>
    <row r="334" spans="1:1">
      <c r="A334" s="179"/>
    </row>
    <row r="335" spans="1:1">
      <c r="A335" s="179"/>
    </row>
    <row r="336" spans="1:1">
      <c r="A336" s="179"/>
    </row>
    <row r="337" spans="1:1">
      <c r="A337" s="179"/>
    </row>
    <row r="338" spans="1:1">
      <c r="A338" s="179"/>
    </row>
    <row r="339" spans="1:1">
      <c r="A339" s="179"/>
    </row>
    <row r="340" spans="1:1">
      <c r="A340" s="179"/>
    </row>
    <row r="341" spans="1:1">
      <c r="A341" s="179"/>
    </row>
    <row r="343" spans="1:1">
      <c r="A343" s="179"/>
    </row>
    <row r="344" spans="1:1">
      <c r="A344" s="179"/>
    </row>
    <row r="345" spans="1:1">
      <c r="A345" s="179"/>
    </row>
    <row r="346" spans="1:1">
      <c r="A346" s="179"/>
    </row>
    <row r="347" spans="1:1">
      <c r="A347" s="179"/>
    </row>
    <row r="348" spans="1:1">
      <c r="A348" s="179"/>
    </row>
    <row r="349" spans="1:1">
      <c r="A349" s="179"/>
    </row>
    <row r="350" spans="1:1">
      <c r="A350" s="179"/>
    </row>
  </sheetData>
  <mergeCells count="1">
    <mergeCell ref="C2:H2"/>
  </mergeCell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workbookViewId="0">
      <selection activeCell="C38" sqref="C38:AX43"/>
    </sheetView>
  </sheetViews>
  <sheetFormatPr baseColWidth="10" defaultColWidth="8.83203125" defaultRowHeight="12" x14ac:dyDescent="0"/>
  <cols>
    <col min="1" max="1" width="4.6640625" style="100" customWidth="1"/>
    <col min="2" max="2" width="15.6640625" style="100" customWidth="1"/>
    <col min="3" max="16384" width="8.83203125" style="100"/>
  </cols>
  <sheetData>
    <row r="2" spans="2:14">
      <c r="B2" s="102" t="s">
        <v>313</v>
      </c>
    </row>
    <row r="3" spans="2:14">
      <c r="B3" s="103" t="s">
        <v>314</v>
      </c>
    </row>
    <row r="4" spans="2:14">
      <c r="B4" s="170" t="s">
        <v>91</v>
      </c>
      <c r="C4" s="170" t="s">
        <v>92</v>
      </c>
      <c r="D4" s="170" t="s">
        <v>93</v>
      </c>
      <c r="E4" s="170" t="s">
        <v>94</v>
      </c>
      <c r="F4" s="170" t="s">
        <v>95</v>
      </c>
      <c r="G4" s="170" t="s">
        <v>96</v>
      </c>
      <c r="H4" s="170" t="s">
        <v>97</v>
      </c>
      <c r="I4" s="170" t="s">
        <v>98</v>
      </c>
      <c r="J4" s="170" t="s">
        <v>99</v>
      </c>
      <c r="K4" s="170" t="s">
        <v>100</v>
      </c>
      <c r="L4" s="170" t="s">
        <v>101</v>
      </c>
      <c r="M4" s="170" t="s">
        <v>102</v>
      </c>
      <c r="N4" s="170" t="s">
        <v>103</v>
      </c>
    </row>
    <row r="5" spans="2:14">
      <c r="B5" s="171" t="s">
        <v>104</v>
      </c>
      <c r="C5" s="100">
        <v>0.72272088610289353</v>
      </c>
      <c r="D5" s="100">
        <v>0.60214809911238498</v>
      </c>
      <c r="E5" s="100">
        <v>0.65957773902652361</v>
      </c>
      <c r="F5" s="100">
        <v>0.78649946716460906</v>
      </c>
      <c r="G5" s="100">
        <v>0.70514318273853704</v>
      </c>
      <c r="H5" s="100">
        <v>0.75857046849762855</v>
      </c>
      <c r="I5" s="100">
        <v>0.7598512291586299</v>
      </c>
      <c r="J5" s="100">
        <v>0.60239874189225606</v>
      </c>
      <c r="K5" s="100">
        <v>0.65919423826072931</v>
      </c>
      <c r="L5" s="100">
        <v>0.61915021494203459</v>
      </c>
      <c r="M5" s="100">
        <v>0.61391835799282624</v>
      </c>
      <c r="N5" s="100">
        <v>0.67510053558758165</v>
      </c>
    </row>
    <row r="6" spans="2:14">
      <c r="B6" s="171" t="s">
        <v>105</v>
      </c>
      <c r="C6" s="100">
        <v>0.95197899452187085</v>
      </c>
      <c r="D6" s="100">
        <v>0.6658880458353863</v>
      </c>
      <c r="E6" s="100">
        <v>0.66284754264204349</v>
      </c>
      <c r="F6" s="100">
        <v>0.69638801245706117</v>
      </c>
      <c r="G6" s="100">
        <v>0.69537382435402539</v>
      </c>
      <c r="H6" s="100">
        <v>0.79350375841048248</v>
      </c>
      <c r="I6" s="100">
        <v>0.71382097919008103</v>
      </c>
      <c r="J6" s="100">
        <v>0.6711469260460643</v>
      </c>
      <c r="K6" s="100">
        <v>0.69795282883132281</v>
      </c>
      <c r="L6" s="100">
        <v>0.72938995763462244</v>
      </c>
      <c r="M6" s="100">
        <v>0.62318768263539415</v>
      </c>
      <c r="N6" s="100">
        <v>0.711559907518452</v>
      </c>
    </row>
    <row r="7" spans="2:14">
      <c r="B7" s="171" t="s">
        <v>106</v>
      </c>
      <c r="C7" s="100">
        <v>0.85658449100772027</v>
      </c>
      <c r="D7" s="100">
        <v>0.71423593377205397</v>
      </c>
      <c r="E7" s="100">
        <v>0.76027267457567627</v>
      </c>
      <c r="F7" s="100">
        <v>0.96895695555815964</v>
      </c>
      <c r="G7" s="100">
        <v>0.77822065201314627</v>
      </c>
      <c r="H7" s="100">
        <v>0.70600325952888365</v>
      </c>
      <c r="I7" s="100">
        <v>0.68964285665804337</v>
      </c>
      <c r="J7" s="100">
        <v>0.71119169840890639</v>
      </c>
      <c r="K7" s="100">
        <v>0.67787989281242822</v>
      </c>
      <c r="L7" s="100">
        <v>0.70604711710445589</v>
      </c>
      <c r="M7" s="100">
        <v>0.79755781389215896</v>
      </c>
      <c r="N7" s="100">
        <v>0.72139649309136</v>
      </c>
    </row>
    <row r="8" spans="2:14">
      <c r="B8" s="171" t="s">
        <v>107</v>
      </c>
      <c r="C8" s="100">
        <v>0.72949940766919241</v>
      </c>
      <c r="D8" s="100">
        <v>0.71139898074602359</v>
      </c>
      <c r="E8" s="100">
        <v>0.72247812148273582</v>
      </c>
      <c r="F8" s="100">
        <v>0.73845347576388931</v>
      </c>
      <c r="G8" s="100">
        <v>0.68513178621842796</v>
      </c>
      <c r="H8" s="100">
        <v>0.719665085425928</v>
      </c>
      <c r="I8" s="100">
        <v>0.68696459535981236</v>
      </c>
      <c r="J8" s="100">
        <v>0.76424819571841041</v>
      </c>
      <c r="K8" s="100">
        <v>0.74718279574489754</v>
      </c>
      <c r="L8" s="100">
        <v>0.6815361637967996</v>
      </c>
      <c r="M8" s="100">
        <v>0.68093893176153297</v>
      </c>
      <c r="N8" s="100">
        <v>0.69050375005870679</v>
      </c>
    </row>
    <row r="9" spans="2:14">
      <c r="B9" s="171" t="s">
        <v>108</v>
      </c>
      <c r="C9" s="100">
        <v>2.0259100592136385</v>
      </c>
      <c r="D9" s="100">
        <v>2.0560728645324708</v>
      </c>
      <c r="E9" s="100">
        <v>2.0908713138103487</v>
      </c>
      <c r="F9" s="100">
        <v>2.1043653702735901</v>
      </c>
      <c r="G9" s="100">
        <v>2.0289649879932403</v>
      </c>
      <c r="H9" s="100">
        <v>2.1036707735061646</v>
      </c>
      <c r="I9" s="100">
        <v>2.1027895009517672</v>
      </c>
      <c r="J9" s="100">
        <v>2.0294750666618349</v>
      </c>
      <c r="K9" s="100">
        <v>2.0960431253910063</v>
      </c>
      <c r="L9" s="100">
        <v>2.1002146816253662</v>
      </c>
      <c r="M9" s="100">
        <v>2.0448228156566621</v>
      </c>
      <c r="N9" s="100">
        <v>2.0333800053596498</v>
      </c>
    </row>
    <row r="10" spans="2:14">
      <c r="B10" s="171" t="s">
        <v>109</v>
      </c>
      <c r="C10" s="100">
        <v>0.60931366086006167</v>
      </c>
      <c r="D10" s="100">
        <v>0.64044702053070068</v>
      </c>
      <c r="E10" s="100">
        <v>0.64899396300315859</v>
      </c>
      <c r="F10" s="100">
        <v>0.61126207113265996</v>
      </c>
      <c r="G10" s="100">
        <v>0.67948094010353088</v>
      </c>
      <c r="H10" s="100">
        <v>0.65350475311279299</v>
      </c>
      <c r="I10" s="100">
        <v>0.66414205431938178</v>
      </c>
      <c r="J10" s="100">
        <v>0.62785392999649048</v>
      </c>
      <c r="K10" s="100">
        <v>0.66859696507453925</v>
      </c>
      <c r="L10" s="100">
        <v>0.69448187351226809</v>
      </c>
      <c r="M10" s="100">
        <v>0.64123510718345644</v>
      </c>
      <c r="N10" s="100">
        <v>0.62150152921676638</v>
      </c>
    </row>
    <row r="11" spans="2:14">
      <c r="B11" s="172"/>
      <c r="C11" s="101"/>
      <c r="D11" s="101"/>
      <c r="E11" s="101"/>
      <c r="F11" s="101"/>
      <c r="G11" s="101"/>
    </row>
    <row r="12" spans="2:14">
      <c r="B12" s="104" t="s">
        <v>315</v>
      </c>
      <c r="C12" s="101"/>
      <c r="D12" s="101"/>
      <c r="E12" s="101"/>
      <c r="F12" s="101"/>
      <c r="G12" s="101"/>
    </row>
    <row r="13" spans="2:14">
      <c r="B13" s="171" t="s">
        <v>316</v>
      </c>
      <c r="C13" s="171" t="s">
        <v>92</v>
      </c>
      <c r="D13" s="171" t="s">
        <v>93</v>
      </c>
      <c r="E13" s="170" t="s">
        <v>94</v>
      </c>
      <c r="F13" s="170" t="s">
        <v>95</v>
      </c>
      <c r="G13" s="170" t="s">
        <v>96</v>
      </c>
      <c r="H13" s="170" t="s">
        <v>97</v>
      </c>
      <c r="I13" s="170" t="s">
        <v>98</v>
      </c>
      <c r="J13" s="170" t="s">
        <v>99</v>
      </c>
      <c r="K13" s="170" t="s">
        <v>100</v>
      </c>
      <c r="L13" s="170" t="s">
        <v>101</v>
      </c>
      <c r="M13" s="170" t="s">
        <v>102</v>
      </c>
      <c r="N13" s="170" t="s">
        <v>103</v>
      </c>
    </row>
    <row r="14" spans="2:14">
      <c r="B14" s="170" t="s">
        <v>317</v>
      </c>
      <c r="C14" s="101">
        <v>0.37399088357123988</v>
      </c>
      <c r="D14" s="101">
        <v>0.37537909045969553</v>
      </c>
      <c r="E14" s="101">
        <v>0.37676339118762248</v>
      </c>
      <c r="F14" s="101">
        <v>0.37813989058571379</v>
      </c>
      <c r="G14" s="101">
        <v>0.37950471543617942</v>
      </c>
      <c r="H14" s="100">
        <v>0.38085402537127305</v>
      </c>
      <c r="I14" s="100">
        <v>0.38218402367938531</v>
      </c>
      <c r="J14" s="100">
        <v>0.38349096798829668</v>
      </c>
      <c r="K14" s="100">
        <v>0.38477118079552874</v>
      </c>
      <c r="L14" s="100">
        <v>0.38602105981616425</v>
      </c>
      <c r="M14" s="100">
        <v>0.38723708811901919</v>
      </c>
      <c r="N14" s="100">
        <v>0.38841584402264379</v>
      </c>
    </row>
    <row r="15" spans="2:14">
      <c r="B15" s="170" t="s">
        <v>318</v>
      </c>
      <c r="C15" s="100">
        <v>1.0657699276795414</v>
      </c>
      <c r="D15" s="100">
        <v>1.0685956442947735</v>
      </c>
      <c r="E15" s="100">
        <v>1.0714134098597698</v>
      </c>
      <c r="F15" s="100">
        <v>1.0742152956970967</v>
      </c>
      <c r="G15" s="100">
        <v>1.0769934178119731</v>
      </c>
      <c r="H15" s="100">
        <v>1.0797399590763905</v>
      </c>
      <c r="I15" s="100">
        <v>1.082447191225083</v>
      </c>
      <c r="J15" s="100">
        <v>1.085107496601454</v>
      </c>
      <c r="K15" s="100">
        <v>1.0877133895922695</v>
      </c>
      <c r="L15" s="100">
        <v>1.0902575376908064</v>
      </c>
      <c r="M15" s="100">
        <v>1.0927327821291855</v>
      </c>
      <c r="N15" s="100">
        <v>1.0951321580218383</v>
      </c>
    </row>
    <row r="16" spans="2:14">
      <c r="B16" s="101"/>
    </row>
    <row r="17" spans="2:14">
      <c r="B17" s="103" t="s">
        <v>319</v>
      </c>
    </row>
    <row r="18" spans="2:14">
      <c r="B18" s="99" t="s">
        <v>91</v>
      </c>
      <c r="C18" s="99" t="s">
        <v>92</v>
      </c>
      <c r="D18" s="99" t="s">
        <v>93</v>
      </c>
      <c r="E18" s="99" t="s">
        <v>94</v>
      </c>
      <c r="F18" s="99" t="s">
        <v>95</v>
      </c>
      <c r="G18" s="99" t="s">
        <v>96</v>
      </c>
      <c r="H18" s="99" t="s">
        <v>97</v>
      </c>
      <c r="I18" s="99" t="s">
        <v>98</v>
      </c>
      <c r="J18" s="99" t="s">
        <v>99</v>
      </c>
      <c r="K18" s="99" t="s">
        <v>100</v>
      </c>
      <c r="L18" s="99" t="s">
        <v>101</v>
      </c>
      <c r="M18" s="99" t="s">
        <v>102</v>
      </c>
      <c r="N18" s="99" t="s">
        <v>103</v>
      </c>
    </row>
    <row r="19" spans="2:14">
      <c r="B19" s="173" t="s">
        <v>104</v>
      </c>
      <c r="C19" s="100">
        <f>C5</f>
        <v>0.72272088610289353</v>
      </c>
      <c r="D19" s="100">
        <f t="shared" ref="D19:N20" si="0">D5</f>
        <v>0.60214809911238498</v>
      </c>
      <c r="E19" s="100">
        <f t="shared" si="0"/>
        <v>0.65957773902652361</v>
      </c>
      <c r="F19" s="100">
        <f t="shared" si="0"/>
        <v>0.78649946716460906</v>
      </c>
      <c r="G19" s="100">
        <f t="shared" si="0"/>
        <v>0.70514318273853704</v>
      </c>
      <c r="H19" s="100">
        <f t="shared" si="0"/>
        <v>0.75857046849762855</v>
      </c>
      <c r="I19" s="100">
        <f t="shared" si="0"/>
        <v>0.7598512291586299</v>
      </c>
      <c r="J19" s="100">
        <f t="shared" si="0"/>
        <v>0.60239874189225606</v>
      </c>
      <c r="K19" s="100">
        <f t="shared" si="0"/>
        <v>0.65919423826072931</v>
      </c>
      <c r="L19" s="100">
        <f t="shared" si="0"/>
        <v>0.61915021494203459</v>
      </c>
      <c r="M19" s="100">
        <f t="shared" si="0"/>
        <v>0.61391835799282624</v>
      </c>
      <c r="N19" s="100">
        <f t="shared" si="0"/>
        <v>0.67510053558758165</v>
      </c>
    </row>
    <row r="20" spans="2:14">
      <c r="B20" s="173" t="s">
        <v>105</v>
      </c>
      <c r="C20" s="100">
        <f>C6</f>
        <v>0.95197899452187085</v>
      </c>
      <c r="D20" s="100">
        <f t="shared" si="0"/>
        <v>0.6658880458353863</v>
      </c>
      <c r="E20" s="100">
        <f t="shared" si="0"/>
        <v>0.66284754264204349</v>
      </c>
      <c r="F20" s="100">
        <f t="shared" si="0"/>
        <v>0.69638801245706117</v>
      </c>
      <c r="G20" s="100">
        <f t="shared" si="0"/>
        <v>0.69537382435402539</v>
      </c>
      <c r="H20" s="100">
        <f t="shared" si="0"/>
        <v>0.79350375841048248</v>
      </c>
      <c r="I20" s="100">
        <f t="shared" si="0"/>
        <v>0.71382097919008103</v>
      </c>
      <c r="J20" s="100">
        <f t="shared" si="0"/>
        <v>0.6711469260460643</v>
      </c>
      <c r="K20" s="100">
        <f t="shared" si="0"/>
        <v>0.69795282883132281</v>
      </c>
      <c r="L20" s="100">
        <f t="shared" si="0"/>
        <v>0.72938995763462244</v>
      </c>
      <c r="M20" s="100">
        <f t="shared" si="0"/>
        <v>0.62318768263539415</v>
      </c>
      <c r="N20" s="100">
        <f t="shared" si="0"/>
        <v>0.711559907518452</v>
      </c>
    </row>
    <row r="21" spans="2:14">
      <c r="B21" s="173" t="s">
        <v>106</v>
      </c>
      <c r="C21" s="100">
        <f t="shared" ref="C21:N22" si="1">C7</f>
        <v>0.85658449100772027</v>
      </c>
      <c r="D21" s="100">
        <f t="shared" si="1"/>
        <v>0.71423593377205397</v>
      </c>
      <c r="E21" s="100">
        <f t="shared" si="1"/>
        <v>0.76027267457567627</v>
      </c>
      <c r="F21" s="100">
        <f t="shared" si="1"/>
        <v>0.96895695555815964</v>
      </c>
      <c r="G21" s="100">
        <f t="shared" si="1"/>
        <v>0.77822065201314627</v>
      </c>
      <c r="H21" s="100">
        <f t="shared" si="1"/>
        <v>0.70600325952888365</v>
      </c>
      <c r="I21" s="100">
        <f t="shared" si="1"/>
        <v>0.68964285665804337</v>
      </c>
      <c r="J21" s="100">
        <f t="shared" si="1"/>
        <v>0.71119169840890639</v>
      </c>
      <c r="K21" s="100">
        <f t="shared" si="1"/>
        <v>0.67787989281242822</v>
      </c>
      <c r="L21" s="100">
        <f t="shared" si="1"/>
        <v>0.70604711710445589</v>
      </c>
      <c r="M21" s="100">
        <f t="shared" si="1"/>
        <v>0.79755781389215896</v>
      </c>
      <c r="N21" s="100">
        <f t="shared" si="1"/>
        <v>0.72139649309136</v>
      </c>
    </row>
    <row r="22" spans="2:14">
      <c r="B22" s="173" t="s">
        <v>107</v>
      </c>
      <c r="C22" s="100">
        <f t="shared" si="1"/>
        <v>0.72949940766919241</v>
      </c>
      <c r="D22" s="100">
        <f t="shared" si="1"/>
        <v>0.71139898074602359</v>
      </c>
      <c r="E22" s="100">
        <f t="shared" si="1"/>
        <v>0.72247812148273582</v>
      </c>
      <c r="F22" s="100">
        <f t="shared" si="1"/>
        <v>0.73845347576388931</v>
      </c>
      <c r="G22" s="100">
        <f t="shared" si="1"/>
        <v>0.68513178621842796</v>
      </c>
      <c r="H22" s="100">
        <f t="shared" si="1"/>
        <v>0.719665085425928</v>
      </c>
      <c r="I22" s="100">
        <f t="shared" si="1"/>
        <v>0.68696459535981236</v>
      </c>
      <c r="J22" s="100">
        <f t="shared" si="1"/>
        <v>0.76424819571841041</v>
      </c>
      <c r="K22" s="100">
        <f t="shared" si="1"/>
        <v>0.74718279574489754</v>
      </c>
      <c r="L22" s="100">
        <f t="shared" si="1"/>
        <v>0.6815361637967996</v>
      </c>
      <c r="M22" s="100">
        <f t="shared" si="1"/>
        <v>0.68093893176153297</v>
      </c>
      <c r="N22" s="100">
        <f t="shared" si="1"/>
        <v>0.69050375005870679</v>
      </c>
    </row>
    <row r="23" spans="2:14">
      <c r="B23" s="173" t="s">
        <v>108</v>
      </c>
      <c r="C23" s="100">
        <f>C9*C14</f>
        <v>0.75767189308117155</v>
      </c>
      <c r="D23" s="100">
        <f t="shared" ref="D23:N24" si="2">D9*D14</f>
        <v>0.77180676180705965</v>
      </c>
      <c r="E23" s="100">
        <f t="shared" si="2"/>
        <v>0.78776376672810655</v>
      </c>
      <c r="F23" s="100">
        <f t="shared" si="2"/>
        <v>0.79574449086762045</v>
      </c>
      <c r="G23" s="100">
        <f t="shared" si="2"/>
        <v>0.77000178039834588</v>
      </c>
      <c r="H23" s="100">
        <f t="shared" si="2"/>
        <v>0.80119148214572244</v>
      </c>
      <c r="I23" s="100">
        <f t="shared" si="2"/>
        <v>0.80365255242451306</v>
      </c>
      <c r="J23" s="100">
        <f t="shared" si="2"/>
        <v>0.77828535782225994</v>
      </c>
      <c r="K23" s="100">
        <f t="shared" si="2"/>
        <v>0.80649698835504802</v>
      </c>
      <c r="L23" s="100">
        <f t="shared" si="2"/>
        <v>0.81072709724249181</v>
      </c>
      <c r="M23" s="100">
        <f t="shared" si="2"/>
        <v>0.79183123285421986</v>
      </c>
      <c r="N23" s="100">
        <f t="shared" si="2"/>
        <v>0.78979701100053634</v>
      </c>
    </row>
    <row r="24" spans="2:14">
      <c r="B24" s="173" t="s">
        <v>109</v>
      </c>
      <c r="C24" s="100">
        <f>C10*C15</f>
        <v>0.64938817626898448</v>
      </c>
      <c r="D24" s="100">
        <f t="shared" si="2"/>
        <v>0.68437889654067208</v>
      </c>
      <c r="E24" s="100">
        <f t="shared" si="2"/>
        <v>0.69534083487961951</v>
      </c>
      <c r="F24" s="100">
        <f t="shared" si="2"/>
        <v>0.65662706649019009</v>
      </c>
      <c r="G24" s="100">
        <f t="shared" si="2"/>
        <v>0.73179650002019436</v>
      </c>
      <c r="H24" s="100">
        <f t="shared" si="2"/>
        <v>0.70561519538223383</v>
      </c>
      <c r="I24" s="100">
        <f t="shared" si="2"/>
        <v>0.71889870127247135</v>
      </c>
      <c r="J24" s="100">
        <f t="shared" si="2"/>
        <v>0.68128900620987631</v>
      </c>
      <c r="K24" s="100">
        <f t="shared" si="2"/>
        <v>0.7272418711523313</v>
      </c>
      <c r="L24" s="100">
        <f t="shared" si="2"/>
        <v>0.75716409738638346</v>
      </c>
      <c r="M24" s="100">
        <f t="shared" si="2"/>
        <v>0.70069862267148475</v>
      </c>
      <c r="N24" s="100">
        <f t="shared" si="2"/>
        <v>0.6806263109050299</v>
      </c>
    </row>
    <row r="25" spans="2:14">
      <c r="B25" s="172"/>
    </row>
    <row r="26" spans="2:14">
      <c r="B26" s="104" t="s">
        <v>320</v>
      </c>
    </row>
    <row r="27" spans="2:14">
      <c r="B27" s="99" t="s">
        <v>321</v>
      </c>
      <c r="C27" s="99" t="s">
        <v>92</v>
      </c>
      <c r="D27" s="99" t="s">
        <v>93</v>
      </c>
      <c r="E27" s="99" t="s">
        <v>94</v>
      </c>
      <c r="F27" s="99" t="s">
        <v>95</v>
      </c>
      <c r="G27" s="99" t="s">
        <v>96</v>
      </c>
      <c r="H27" s="99" t="s">
        <v>97</v>
      </c>
      <c r="I27" s="99" t="s">
        <v>98</v>
      </c>
      <c r="J27" s="99" t="s">
        <v>99</v>
      </c>
      <c r="K27" s="99" t="s">
        <v>100</v>
      </c>
      <c r="L27" s="99" t="s">
        <v>101</v>
      </c>
      <c r="M27" s="99" t="s">
        <v>102</v>
      </c>
      <c r="N27" s="99" t="s">
        <v>103</v>
      </c>
    </row>
    <row r="28" spans="2:14">
      <c r="B28" s="99" t="s">
        <v>104</v>
      </c>
      <c r="C28" s="100">
        <f>IF(C19&lt;=raw_materials!$D17,raw_materials!$C17,IF(C19&lt;=raw_materials!$F17,raw_materials!$E17,IF(C19&lt;=raw_materials!$H17,raw_materials!$G17,0)))</f>
        <v>1</v>
      </c>
      <c r="D28" s="100">
        <f>IF(D19&lt;=raw_materials!$D17,raw_materials!$C17,IF(D19&lt;=raw_materials!$F17,raw_materials!$E17,IF(D19&lt;=raw_materials!$H17,raw_materials!$G17,0)))</f>
        <v>1</v>
      </c>
      <c r="E28" s="100">
        <f>IF(E19&lt;=raw_materials!$D17,raw_materials!$C17,IF(E19&lt;=raw_materials!$F17,raw_materials!$E17,IF(E19&lt;=raw_materials!$H17,raw_materials!$G17,0)))</f>
        <v>1</v>
      </c>
      <c r="F28" s="100">
        <f>IF(F19&lt;=raw_materials!$D17,raw_materials!$C17,IF(F19&lt;=raw_materials!$F17,raw_materials!$E17,IF(F19&lt;=raw_materials!$H17,raw_materials!$G17,0)))</f>
        <v>0.8</v>
      </c>
      <c r="G28" s="100">
        <f>IF(G19&lt;=raw_materials!$D17,raw_materials!$C17,IF(G19&lt;=raw_materials!$F17,raw_materials!$E17,IF(G19&lt;=raw_materials!$H17,raw_materials!$G17,0)))</f>
        <v>1</v>
      </c>
      <c r="H28" s="100">
        <f>IF(H19&lt;=raw_materials!$D17,raw_materials!$C17,IF(H19&lt;=raw_materials!$F17,raw_materials!$E17,IF(H19&lt;=raw_materials!$H17,raw_materials!$G17,0)))</f>
        <v>1</v>
      </c>
      <c r="I28" s="100">
        <f>IF(I19&lt;=raw_materials!$D17,raw_materials!$C17,IF(I19&lt;=raw_materials!$F17,raw_materials!$E17,IF(I19&lt;=raw_materials!$H17,raw_materials!$G17,0)))</f>
        <v>1</v>
      </c>
      <c r="J28" s="100">
        <f>IF(J19&lt;=raw_materials!$D17,raw_materials!$C17,IF(J19&lt;=raw_materials!$F17,raw_materials!$E17,IF(J19&lt;=raw_materials!$H17,raw_materials!$G17,0)))</f>
        <v>1</v>
      </c>
      <c r="K28" s="100">
        <f>IF(K19&lt;=raw_materials!$D17,raw_materials!$C17,IF(K19&lt;=raw_materials!$F17,raw_materials!$E17,IF(K19&lt;=raw_materials!$H17,raw_materials!$G17,0)))</f>
        <v>1</v>
      </c>
      <c r="L28" s="100">
        <f>IF(L19&lt;=raw_materials!$D17,raw_materials!$C17,IF(L19&lt;=raw_materials!$F17,raw_materials!$E17,IF(L19&lt;=raw_materials!$H17,raw_materials!$G17,0)))</f>
        <v>1</v>
      </c>
      <c r="M28" s="100">
        <f>IF(M19&lt;=raw_materials!$D17,raw_materials!$C17,IF(M19&lt;=raw_materials!$F17,raw_materials!$E17,IF(M19&lt;=raw_materials!$H17,raw_materials!$G17,0)))</f>
        <v>1</v>
      </c>
      <c r="N28" s="100">
        <f>IF(N19&lt;=raw_materials!$D17,raw_materials!$C17,IF(N19&lt;=raw_materials!$F17,raw_materials!$E17,IF(N19&lt;=raw_materials!$H17,raw_materials!$G17,0)))</f>
        <v>1</v>
      </c>
    </row>
    <row r="29" spans="2:14">
      <c r="B29" s="99" t="s">
        <v>105</v>
      </c>
      <c r="C29" s="100">
        <f>IF(C20&lt;=raw_materials!$D18,raw_materials!$C18,IF(C20&lt;=raw_materials!$F18,raw_materials!$E18,IF(C20&lt;=raw_materials!$H18,raw_materials!$G18,0)))</f>
        <v>0</v>
      </c>
      <c r="D29" s="100">
        <f>IF(D20&lt;=raw_materials!$D18,raw_materials!$C18,IF(D20&lt;=raw_materials!$F18,raw_materials!$E18,IF(D20&lt;=raw_materials!$H18,raw_materials!$G18,0)))</f>
        <v>1</v>
      </c>
      <c r="E29" s="100">
        <f>IF(E20&lt;=raw_materials!$D18,raw_materials!$C18,IF(E20&lt;=raw_materials!$F18,raw_materials!$E18,IF(E20&lt;=raw_materials!$H18,raw_materials!$G18,0)))</f>
        <v>1</v>
      </c>
      <c r="F29" s="100">
        <f>IF(F20&lt;=raw_materials!$D18,raw_materials!$C18,IF(F20&lt;=raw_materials!$F18,raw_materials!$E18,IF(F20&lt;=raw_materials!$H18,raw_materials!$G18,0)))</f>
        <v>1</v>
      </c>
      <c r="G29" s="100">
        <f>IF(G20&lt;=raw_materials!$D18,raw_materials!$C18,IF(G20&lt;=raw_materials!$F18,raw_materials!$E18,IF(G20&lt;=raw_materials!$H18,raw_materials!$G18,0)))</f>
        <v>1</v>
      </c>
      <c r="H29" s="100">
        <f>IF(H20&lt;=raw_materials!$D18,raw_materials!$C18,IF(H20&lt;=raw_materials!$F18,raw_materials!$E18,IF(H20&lt;=raw_materials!$H18,raw_materials!$G18,0)))</f>
        <v>0.8</v>
      </c>
      <c r="I29" s="100">
        <f>IF(I20&lt;=raw_materials!$D18,raw_materials!$C18,IF(I20&lt;=raw_materials!$F18,raw_materials!$E18,IF(I20&lt;=raw_materials!$H18,raw_materials!$G18,0)))</f>
        <v>1</v>
      </c>
      <c r="J29" s="100">
        <f>IF(J20&lt;=raw_materials!$D18,raw_materials!$C18,IF(J20&lt;=raw_materials!$F18,raw_materials!$E18,IF(J20&lt;=raw_materials!$H18,raw_materials!$G18,0)))</f>
        <v>1</v>
      </c>
      <c r="K29" s="100">
        <f>IF(K20&lt;=raw_materials!$D18,raw_materials!$C18,IF(K20&lt;=raw_materials!$F18,raw_materials!$E18,IF(K20&lt;=raw_materials!$H18,raw_materials!$G18,0)))</f>
        <v>1</v>
      </c>
      <c r="L29" s="100">
        <f>IF(L20&lt;=raw_materials!$D18,raw_materials!$C18,IF(L20&lt;=raw_materials!$F18,raw_materials!$E18,IF(L20&lt;=raw_materials!$H18,raw_materials!$G18,0)))</f>
        <v>1</v>
      </c>
      <c r="M29" s="100">
        <f>IF(M20&lt;=raw_materials!$D18,raw_materials!$C18,IF(M20&lt;=raw_materials!$F18,raw_materials!$E18,IF(M20&lt;=raw_materials!$H18,raw_materials!$G18,0)))</f>
        <v>1.2</v>
      </c>
      <c r="N29" s="100">
        <f>IF(N20&lt;=raw_materials!$D18,raw_materials!$C18,IF(N20&lt;=raw_materials!$F18,raw_materials!$E18,IF(N20&lt;=raw_materials!$H18,raw_materials!$G18,0)))</f>
        <v>1</v>
      </c>
    </row>
    <row r="30" spans="2:14">
      <c r="B30" s="99" t="s">
        <v>106</v>
      </c>
      <c r="C30" s="100">
        <f>IF(C21&lt;=raw_materials!$D19,raw_materials!$C19,IF(C21&lt;=raw_materials!$F19,raw_materials!$E19,IF(C21&lt;=raw_materials!$H19,raw_materials!$G19,0)))</f>
        <v>0.8</v>
      </c>
      <c r="D30" s="100">
        <f>IF(D21&lt;=raw_materials!$D19,raw_materials!$C19,IF(D21&lt;=raw_materials!$F19,raw_materials!$E19,IF(D21&lt;=raw_materials!$H19,raw_materials!$G19,0)))</f>
        <v>1</v>
      </c>
      <c r="E30" s="100">
        <f>IF(E21&lt;=raw_materials!$D19,raw_materials!$C19,IF(E21&lt;=raw_materials!$F19,raw_materials!$E19,IF(E21&lt;=raw_materials!$H19,raw_materials!$G19,0)))</f>
        <v>1</v>
      </c>
      <c r="F30" s="100">
        <f>IF(F21&lt;=raw_materials!$D19,raw_materials!$C19,IF(F21&lt;=raw_materials!$F19,raw_materials!$E19,IF(F21&lt;=raw_materials!$H19,raw_materials!$G19,0)))</f>
        <v>0.8</v>
      </c>
      <c r="G30" s="100">
        <f>IF(G21&lt;=raw_materials!$D19,raw_materials!$C19,IF(G21&lt;=raw_materials!$F19,raw_materials!$E19,IF(G21&lt;=raw_materials!$H19,raw_materials!$G19,0)))</f>
        <v>1</v>
      </c>
      <c r="H30" s="100">
        <f>IF(H21&lt;=raw_materials!$D19,raw_materials!$C19,IF(H21&lt;=raw_materials!$F19,raw_materials!$E19,IF(H21&lt;=raw_materials!$H19,raw_materials!$G19,0)))</f>
        <v>1</v>
      </c>
      <c r="I30" s="100">
        <f>IF(I21&lt;=raw_materials!$D19,raw_materials!$C19,IF(I21&lt;=raw_materials!$F19,raw_materials!$E19,IF(I21&lt;=raw_materials!$H19,raw_materials!$G19,0)))</f>
        <v>1</v>
      </c>
      <c r="J30" s="100">
        <f>IF(J21&lt;=raw_materials!$D19,raw_materials!$C19,IF(J21&lt;=raw_materials!$F19,raw_materials!$E19,IF(J21&lt;=raw_materials!$H19,raw_materials!$G19,0)))</f>
        <v>1</v>
      </c>
      <c r="K30" s="100">
        <f>IF(K21&lt;=raw_materials!$D19,raw_materials!$C19,IF(K21&lt;=raw_materials!$F19,raw_materials!$E19,IF(K21&lt;=raw_materials!$H19,raw_materials!$G19,0)))</f>
        <v>1.2</v>
      </c>
      <c r="L30" s="100">
        <f>IF(L21&lt;=raw_materials!$D19,raw_materials!$C19,IF(L21&lt;=raw_materials!$F19,raw_materials!$E19,IF(L21&lt;=raw_materials!$H19,raw_materials!$G19,0)))</f>
        <v>1</v>
      </c>
      <c r="M30" s="100">
        <f>IF(M21&lt;=raw_materials!$D19,raw_materials!$C19,IF(M21&lt;=raw_materials!$F19,raw_materials!$E19,IF(M21&lt;=raw_materials!$H19,raw_materials!$G19,0)))</f>
        <v>1</v>
      </c>
      <c r="N30" s="100">
        <f>IF(N21&lt;=raw_materials!$D19,raw_materials!$C19,IF(N21&lt;=raw_materials!$F19,raw_materials!$E19,IF(N21&lt;=raw_materials!$H19,raw_materials!$G19,0)))</f>
        <v>1</v>
      </c>
    </row>
    <row r="31" spans="2:14">
      <c r="B31" s="99" t="s">
        <v>107</v>
      </c>
      <c r="C31" s="100">
        <f>IF(C22&lt;=raw_materials!$D20,raw_materials!$C20,IF(C22&lt;=raw_materials!$F20,raw_materials!$E20,IF(C22&lt;=raw_materials!$H20,raw_materials!$G20,0)))</f>
        <v>1</v>
      </c>
      <c r="D31" s="100">
        <f>IF(D22&lt;=raw_materials!$D20,raw_materials!$C20,IF(D22&lt;=raw_materials!$F20,raw_materials!$E20,IF(D22&lt;=raw_materials!$H20,raw_materials!$G20,0)))</f>
        <v>1</v>
      </c>
      <c r="E31" s="100">
        <f>IF(E22&lt;=raw_materials!$D20,raw_materials!$C20,IF(E22&lt;=raw_materials!$F20,raw_materials!$E20,IF(E22&lt;=raw_materials!$H20,raw_materials!$G20,0)))</f>
        <v>1</v>
      </c>
      <c r="F31" s="100">
        <f>IF(F22&lt;=raw_materials!$D20,raw_materials!$C20,IF(F22&lt;=raw_materials!$F20,raw_materials!$E20,IF(F22&lt;=raw_materials!$H20,raw_materials!$G20,0)))</f>
        <v>1</v>
      </c>
      <c r="G31" s="100">
        <f>IF(G22&lt;=raw_materials!$D20,raw_materials!$C20,IF(G22&lt;=raw_materials!$F20,raw_materials!$E20,IF(G22&lt;=raw_materials!$H20,raw_materials!$G20,0)))</f>
        <v>1</v>
      </c>
      <c r="H31" s="100">
        <f>IF(H22&lt;=raw_materials!$D20,raw_materials!$C20,IF(H22&lt;=raw_materials!$F20,raw_materials!$E20,IF(H22&lt;=raw_materials!$H20,raw_materials!$G20,0)))</f>
        <v>1</v>
      </c>
      <c r="I31" s="100">
        <f>IF(I22&lt;=raw_materials!$D20,raw_materials!$C20,IF(I22&lt;=raw_materials!$F20,raw_materials!$E20,IF(I22&lt;=raw_materials!$H20,raw_materials!$G20,0)))</f>
        <v>1</v>
      </c>
      <c r="J31" s="100">
        <f>IF(J22&lt;=raw_materials!$D20,raw_materials!$C20,IF(J22&lt;=raw_materials!$F20,raw_materials!$E20,IF(J22&lt;=raw_materials!$H20,raw_materials!$G20,0)))</f>
        <v>1</v>
      </c>
      <c r="K31" s="100">
        <f>IF(K22&lt;=raw_materials!$D20,raw_materials!$C20,IF(K22&lt;=raw_materials!$F20,raw_materials!$E20,IF(K22&lt;=raw_materials!$H20,raw_materials!$G20,0)))</f>
        <v>1</v>
      </c>
      <c r="L31" s="100">
        <f>IF(L22&lt;=raw_materials!$D20,raw_materials!$C20,IF(L22&lt;=raw_materials!$F20,raw_materials!$E20,IF(L22&lt;=raw_materials!$H20,raw_materials!$G20,0)))</f>
        <v>1</v>
      </c>
      <c r="M31" s="100">
        <f>IF(M22&lt;=raw_materials!$D20,raw_materials!$C20,IF(M22&lt;=raw_materials!$F20,raw_materials!$E20,IF(M22&lt;=raw_materials!$H20,raw_materials!$G20,0)))</f>
        <v>1</v>
      </c>
      <c r="N31" s="100">
        <f>IF(N22&lt;=raw_materials!$D20,raw_materials!$C20,IF(N22&lt;=raw_materials!$F20,raw_materials!$E20,IF(N22&lt;=raw_materials!$H20,raw_materials!$G20,0)))</f>
        <v>1</v>
      </c>
    </row>
    <row r="32" spans="2:14">
      <c r="B32" s="99" t="s">
        <v>108</v>
      </c>
      <c r="C32" s="100">
        <f>IF(C23&lt;=raw_materials!$D21,raw_materials!$C21,IF(C23&lt;=raw_materials!$F21,raw_materials!$E21,IF(C23&lt;=raw_materials!$H21,raw_materials!$G21,0)))</f>
        <v>0.8</v>
      </c>
      <c r="D32" s="100">
        <f>IF(D23&lt;=raw_materials!$D21,raw_materials!$C21,IF(D23&lt;=raw_materials!$F21,raw_materials!$E21,IF(D23&lt;=raw_materials!$H21,raw_materials!$G21,0)))</f>
        <v>0</v>
      </c>
      <c r="E32" s="100">
        <f>IF(E23&lt;=raw_materials!$D21,raw_materials!$C21,IF(E23&lt;=raw_materials!$F21,raw_materials!$E21,IF(E23&lt;=raw_materials!$H21,raw_materials!$G21,0)))</f>
        <v>0</v>
      </c>
      <c r="F32" s="100">
        <f>IF(F23&lt;=raw_materials!$D21,raw_materials!$C21,IF(F23&lt;=raw_materials!$F21,raw_materials!$E21,IF(F23&lt;=raw_materials!$H21,raw_materials!$G21,0)))</f>
        <v>0</v>
      </c>
      <c r="G32" s="100">
        <f>IF(G23&lt;=raw_materials!$D21,raw_materials!$C21,IF(G23&lt;=raw_materials!$F21,raw_materials!$E21,IF(G23&lt;=raw_materials!$H21,raw_materials!$G21,0)))</f>
        <v>0</v>
      </c>
      <c r="H32" s="100">
        <f>IF(H23&lt;=raw_materials!$D21,raw_materials!$C21,IF(H23&lt;=raw_materials!$F21,raw_materials!$E21,IF(H23&lt;=raw_materials!$H21,raw_materials!$G21,0)))</f>
        <v>0</v>
      </c>
      <c r="I32" s="100">
        <f>IF(I23&lt;=raw_materials!$D21,raw_materials!$C21,IF(I23&lt;=raw_materials!$F21,raw_materials!$E21,IF(I23&lt;=raw_materials!$H21,raw_materials!$G21,0)))</f>
        <v>0</v>
      </c>
      <c r="J32" s="100">
        <f>IF(J23&lt;=raw_materials!$D21,raw_materials!$C21,IF(J23&lt;=raw_materials!$F21,raw_materials!$E21,IF(J23&lt;=raw_materials!$H21,raw_materials!$G21,0)))</f>
        <v>0</v>
      </c>
      <c r="K32" s="100">
        <f>IF(K23&lt;=raw_materials!$D21,raw_materials!$C21,IF(K23&lt;=raw_materials!$F21,raw_materials!$E21,IF(K23&lt;=raw_materials!$H21,raw_materials!$G21,0)))</f>
        <v>0</v>
      </c>
      <c r="L32" s="100">
        <f>IF(L23&lt;=raw_materials!$D21,raw_materials!$C21,IF(L23&lt;=raw_materials!$F21,raw_materials!$E21,IF(L23&lt;=raw_materials!$H21,raw_materials!$G21,0)))</f>
        <v>0</v>
      </c>
      <c r="M32" s="100">
        <f>IF(M23&lt;=raw_materials!$D21,raw_materials!$C21,IF(M23&lt;=raw_materials!$F21,raw_materials!$E21,IF(M23&lt;=raw_materials!$H21,raw_materials!$G21,0)))</f>
        <v>0</v>
      </c>
      <c r="N32" s="100">
        <f>IF(N23&lt;=raw_materials!$D21,raw_materials!$C21,IF(N23&lt;=raw_materials!$F21,raw_materials!$E21,IF(N23&lt;=raw_materials!$H21,raw_materials!$G21,0)))</f>
        <v>0</v>
      </c>
    </row>
    <row r="33" spans="2:50">
      <c r="B33" s="99" t="s">
        <v>109</v>
      </c>
      <c r="C33" s="100">
        <f>IF(C24&lt;=raw_materials!$D22,raw_materials!$C22,IF(C24&lt;=raw_materials!$F22,raw_materials!$E22,IF(C24&lt;=raw_materials!$H22,raw_materials!$G22,0)))</f>
        <v>1.2</v>
      </c>
      <c r="D33" s="100">
        <f>IF(D24&lt;=raw_materials!$D22,raw_materials!$C22,IF(D24&lt;=raw_materials!$F22,raw_materials!$E22,IF(D24&lt;=raw_materials!$H22,raw_materials!$G22,0)))</f>
        <v>1</v>
      </c>
      <c r="E33" s="100">
        <f>IF(E24&lt;=raw_materials!$D22,raw_materials!$C22,IF(E24&lt;=raw_materials!$F22,raw_materials!$E22,IF(E24&lt;=raw_materials!$H22,raw_materials!$G22,0)))</f>
        <v>1</v>
      </c>
      <c r="F33" s="100">
        <f>IF(F24&lt;=raw_materials!$D22,raw_materials!$C22,IF(F24&lt;=raw_materials!$F22,raw_materials!$E22,IF(F24&lt;=raw_materials!$H22,raw_materials!$G22,0)))</f>
        <v>1.2</v>
      </c>
      <c r="G33" s="100">
        <f>IF(G24&lt;=raw_materials!$D22,raw_materials!$C22,IF(G24&lt;=raw_materials!$F22,raw_materials!$E22,IF(G24&lt;=raw_materials!$H22,raw_materials!$G22,0)))</f>
        <v>1</v>
      </c>
      <c r="H33" s="100">
        <f>IF(H24&lt;=raw_materials!$D22,raw_materials!$C22,IF(H24&lt;=raw_materials!$F22,raw_materials!$E22,IF(H24&lt;=raw_materials!$H22,raw_materials!$G22,0)))</f>
        <v>1</v>
      </c>
      <c r="I33" s="100">
        <f>IF(I24&lt;=raw_materials!$D22,raw_materials!$C22,IF(I24&lt;=raw_materials!$F22,raw_materials!$E22,IF(I24&lt;=raw_materials!$H22,raw_materials!$G22,0)))</f>
        <v>1</v>
      </c>
      <c r="J33" s="100">
        <f>IF(J24&lt;=raw_materials!$D22,raw_materials!$C22,IF(J24&lt;=raw_materials!$F22,raw_materials!$E22,IF(J24&lt;=raw_materials!$H22,raw_materials!$G22,0)))</f>
        <v>1.2</v>
      </c>
      <c r="K33" s="100">
        <f>IF(K24&lt;=raw_materials!$D22,raw_materials!$C22,IF(K24&lt;=raw_materials!$F22,raw_materials!$E22,IF(K24&lt;=raw_materials!$H22,raw_materials!$G22,0)))</f>
        <v>1</v>
      </c>
      <c r="L33" s="100">
        <f>IF(L24&lt;=raw_materials!$D22,raw_materials!$C22,IF(L24&lt;=raw_materials!$F22,raw_materials!$E22,IF(L24&lt;=raw_materials!$H22,raw_materials!$G22,0)))</f>
        <v>0.8</v>
      </c>
      <c r="M33" s="100">
        <f>IF(M24&lt;=raw_materials!$D22,raw_materials!$C22,IF(M24&lt;=raw_materials!$F22,raw_materials!$E22,IF(M24&lt;=raw_materials!$H22,raw_materials!$G22,0)))</f>
        <v>1</v>
      </c>
      <c r="N33" s="100">
        <f>IF(N24&lt;=raw_materials!$D22,raw_materials!$C22,IF(N24&lt;=raw_materials!$F22,raw_materials!$E22,IF(N24&lt;=raw_materials!$H22,raw_materials!$G22,0)))</f>
        <v>1.2</v>
      </c>
    </row>
    <row r="35" spans="2:50">
      <c r="B35" s="103" t="s">
        <v>322</v>
      </c>
    </row>
    <row r="36" spans="2:50">
      <c r="B36" s="170" t="s">
        <v>274</v>
      </c>
      <c r="C36" s="170" t="s">
        <v>92</v>
      </c>
      <c r="D36" s="101"/>
      <c r="E36" s="101"/>
      <c r="F36" s="101"/>
      <c r="G36" s="170" t="s">
        <v>93</v>
      </c>
      <c r="H36" s="101"/>
      <c r="I36" s="101"/>
      <c r="J36" s="101"/>
      <c r="K36" s="170" t="s">
        <v>94</v>
      </c>
      <c r="L36" s="101"/>
      <c r="M36" s="101"/>
      <c r="N36" s="101"/>
      <c r="O36" s="170" t="s">
        <v>95</v>
      </c>
      <c r="P36" s="101"/>
      <c r="Q36" s="101"/>
      <c r="R36" s="101"/>
      <c r="S36" s="170" t="s">
        <v>96</v>
      </c>
      <c r="T36" s="101"/>
      <c r="U36" s="101"/>
      <c r="V36" s="101"/>
      <c r="W36" s="170" t="s">
        <v>97</v>
      </c>
      <c r="X36" s="101"/>
      <c r="Y36" s="101"/>
      <c r="Z36" s="101"/>
      <c r="AA36" s="170" t="s">
        <v>98</v>
      </c>
      <c r="AB36" s="101"/>
      <c r="AC36" s="101"/>
      <c r="AD36" s="101"/>
      <c r="AE36" s="170" t="s">
        <v>99</v>
      </c>
      <c r="AF36" s="101"/>
      <c r="AG36" s="101"/>
      <c r="AH36" s="101"/>
      <c r="AI36" s="170" t="s">
        <v>100</v>
      </c>
      <c r="AJ36" s="101"/>
      <c r="AK36" s="101"/>
      <c r="AL36" s="101"/>
      <c r="AM36" s="170" t="s">
        <v>101</v>
      </c>
      <c r="AN36" s="101"/>
      <c r="AO36" s="101"/>
      <c r="AP36" s="101"/>
      <c r="AQ36" s="170" t="s">
        <v>102</v>
      </c>
      <c r="AR36" s="101"/>
      <c r="AS36" s="101"/>
      <c r="AT36" s="101"/>
      <c r="AU36" s="170" t="s">
        <v>103</v>
      </c>
      <c r="AV36" s="101"/>
      <c r="AW36" s="101"/>
      <c r="AX36" s="101"/>
    </row>
    <row r="37" spans="2:50">
      <c r="B37" s="170" t="s">
        <v>323</v>
      </c>
      <c r="C37" s="170">
        <v>1</v>
      </c>
      <c r="D37" s="170">
        <v>2</v>
      </c>
      <c r="E37" s="170">
        <v>3</v>
      </c>
      <c r="F37" s="170">
        <v>4</v>
      </c>
      <c r="G37" s="170">
        <v>1</v>
      </c>
      <c r="H37" s="170">
        <v>2</v>
      </c>
      <c r="I37" s="170">
        <v>3</v>
      </c>
      <c r="J37" s="170">
        <v>4</v>
      </c>
      <c r="K37" s="170">
        <v>1</v>
      </c>
      <c r="L37" s="170">
        <v>2</v>
      </c>
      <c r="M37" s="170">
        <v>3</v>
      </c>
      <c r="N37" s="170">
        <v>4</v>
      </c>
      <c r="O37" s="170">
        <v>1</v>
      </c>
      <c r="P37" s="170">
        <v>2</v>
      </c>
      <c r="Q37" s="170">
        <v>3</v>
      </c>
      <c r="R37" s="170">
        <v>4</v>
      </c>
      <c r="S37" s="170">
        <v>1</v>
      </c>
      <c r="T37" s="170">
        <v>2</v>
      </c>
      <c r="U37" s="170">
        <v>3</v>
      </c>
      <c r="V37" s="170">
        <v>4</v>
      </c>
      <c r="W37" s="170">
        <v>1</v>
      </c>
      <c r="X37" s="170">
        <v>2</v>
      </c>
      <c r="Y37" s="170">
        <v>3</v>
      </c>
      <c r="Z37" s="170">
        <v>4</v>
      </c>
      <c r="AA37" s="170">
        <v>1</v>
      </c>
      <c r="AB37" s="170">
        <v>2</v>
      </c>
      <c r="AC37" s="170">
        <v>3</v>
      </c>
      <c r="AD37" s="170">
        <v>4</v>
      </c>
      <c r="AE37" s="170">
        <v>1</v>
      </c>
      <c r="AF37" s="170">
        <v>2</v>
      </c>
      <c r="AG37" s="170">
        <v>3</v>
      </c>
      <c r="AH37" s="170">
        <v>4</v>
      </c>
      <c r="AI37" s="170">
        <v>1</v>
      </c>
      <c r="AJ37" s="170">
        <v>2</v>
      </c>
      <c r="AK37" s="170">
        <v>3</v>
      </c>
      <c r="AL37" s="170">
        <v>4</v>
      </c>
      <c r="AM37" s="170">
        <v>1</v>
      </c>
      <c r="AN37" s="170">
        <v>2</v>
      </c>
      <c r="AO37" s="170">
        <v>3</v>
      </c>
      <c r="AP37" s="170">
        <v>4</v>
      </c>
      <c r="AQ37" s="170">
        <v>1</v>
      </c>
      <c r="AR37" s="170">
        <v>2</v>
      </c>
      <c r="AS37" s="170">
        <v>3</v>
      </c>
      <c r="AT37" s="170">
        <v>4</v>
      </c>
      <c r="AU37" s="170">
        <v>1</v>
      </c>
      <c r="AV37" s="170">
        <v>2</v>
      </c>
      <c r="AW37" s="170">
        <v>3</v>
      </c>
      <c r="AX37" s="170">
        <v>4</v>
      </c>
    </row>
    <row r="38" spans="2:50">
      <c r="B38" s="170" t="s">
        <v>104</v>
      </c>
      <c r="C38" s="100">
        <v>25054.902514011505</v>
      </c>
      <c r="D38" s="100">
        <v>25109.81675262624</v>
      </c>
      <c r="E38" s="100">
        <v>25164.733912812586</v>
      </c>
      <c r="F38" s="100">
        <v>25219.64518704552</v>
      </c>
      <c r="G38" s="100">
        <v>25274.541764850626</v>
      </c>
      <c r="H38" s="100">
        <v>25329.41483434946</v>
      </c>
      <c r="I38" s="100">
        <v>25384.255583806131</v>
      </c>
      <c r="J38" s="100">
        <v>25439.055203174696</v>
      </c>
      <c r="K38" s="100">
        <v>25493.804885647136</v>
      </c>
      <c r="L38" s="100">
        <v>25548.495829201689</v>
      </c>
      <c r="M38" s="100">
        <v>25603.119238151201</v>
      </c>
      <c r="N38" s="100">
        <v>25657.666324691218</v>
      </c>
      <c r="O38" s="100">
        <v>25712.128310447646</v>
      </c>
      <c r="P38" s="100">
        <v>25766.496428023554</v>
      </c>
      <c r="Q38" s="100">
        <v>2582.0761922544948</v>
      </c>
      <c r="R38" s="100">
        <v>2587.4916053205225</v>
      </c>
      <c r="S38" s="100">
        <v>25928.950094808049</v>
      </c>
      <c r="T38" s="100">
        <v>25982.855339308269</v>
      </c>
      <c r="U38" s="100">
        <v>26036.623097350748</v>
      </c>
      <c r="V38" s="100">
        <v>26090.24469980675</v>
      </c>
      <c r="W38" s="100">
        <v>26143.711499307632</v>
      </c>
      <c r="X38" s="100">
        <v>26197.014871775551</v>
      </c>
      <c r="Y38" s="100">
        <v>9394.4573063465396</v>
      </c>
      <c r="Z38" s="100">
        <v>8875.5421265141595</v>
      </c>
      <c r="AA38" s="100">
        <v>7387.7954189905449</v>
      </c>
      <c r="AB38" s="100">
        <v>8534.0741944819383</v>
      </c>
      <c r="AC38" s="100">
        <v>26460.780308405316</v>
      </c>
      <c r="AD38" s="100">
        <v>26512.923509318131</v>
      </c>
      <c r="AE38" s="100">
        <v>26564.8436946238</v>
      </c>
      <c r="AF38" s="100">
        <v>26616.532481229282</v>
      </c>
      <c r="AG38" s="100">
        <v>26667.981522929855</v>
      </c>
      <c r="AH38" s="100">
        <v>26719.182511895149</v>
      </c>
      <c r="AI38" s="100">
        <v>26770.127180149142</v>
      </c>
      <c r="AJ38" s="100">
        <v>26820.807301044035</v>
      </c>
      <c r="AK38" s="100">
        <v>10748.485876291024</v>
      </c>
      <c r="AL38" s="100">
        <v>10768.536483841426</v>
      </c>
      <c r="AM38" s="100">
        <v>26971.178763785614</v>
      </c>
      <c r="AN38" s="100">
        <v>27020.719306543244</v>
      </c>
      <c r="AO38" s="100">
        <v>27069.954839740756</v>
      </c>
      <c r="AP38" s="100">
        <v>27118.877415268147</v>
      </c>
      <c r="AQ38" s="100">
        <v>27167.47913646403</v>
      </c>
      <c r="AR38" s="100">
        <v>27215.752159530173</v>
      </c>
      <c r="AS38" s="100">
        <v>27263.688694937566</v>
      </c>
      <c r="AT38" s="100">
        <v>27311.281008823513</v>
      </c>
      <c r="AU38" s="100">
        <v>27358.521424379818</v>
      </c>
      <c r="AV38" s="100">
        <v>27405.40232323145</v>
      </c>
      <c r="AW38" s="100">
        <v>27451.916146805794</v>
      </c>
      <c r="AX38" s="100">
        <v>27498.055397691911</v>
      </c>
    </row>
    <row r="39" spans="2:50">
      <c r="B39" s="170" t="s">
        <v>105</v>
      </c>
      <c r="C39" s="100">
        <v>1503.2941508406905</v>
      </c>
      <c r="D39" s="100">
        <v>1506.5890051575745</v>
      </c>
      <c r="E39" s="100">
        <v>15098.84034768755</v>
      </c>
      <c r="F39" s="100">
        <v>15131.787112227312</v>
      </c>
      <c r="G39" s="100">
        <v>15164.725058910377</v>
      </c>
      <c r="H39" s="100">
        <v>15197.648900609674</v>
      </c>
      <c r="I39" s="100">
        <v>15230.553350283679</v>
      </c>
      <c r="J39" s="100">
        <v>15263.433121904818</v>
      </c>
      <c r="K39" s="100">
        <v>15296.282931388283</v>
      </c>
      <c r="L39" s="100">
        <v>15329.097497521014</v>
      </c>
      <c r="M39" s="100">
        <v>15361.87154289072</v>
      </c>
      <c r="N39" s="100">
        <v>15394.599794814729</v>
      </c>
      <c r="O39" s="100">
        <v>15427.276986268587</v>
      </c>
      <c r="P39" s="100">
        <v>15459.897856814132</v>
      </c>
      <c r="Q39" s="100">
        <v>15492.457153526968</v>
      </c>
      <c r="R39" s="100">
        <v>15524.949631923135</v>
      </c>
      <c r="S39" s="100">
        <v>15557.370056884829</v>
      </c>
      <c r="T39" s="100">
        <v>15589.713203584963</v>
      </c>
      <c r="U39" s="100">
        <v>15621.973858410449</v>
      </c>
      <c r="V39" s="100">
        <v>15654.14681988405</v>
      </c>
      <c r="W39" s="100">
        <v>15686.226899584581</v>
      </c>
      <c r="X39" s="100">
        <v>1571.8208923065331</v>
      </c>
      <c r="Y39" s="100">
        <v>15750.087730770527</v>
      </c>
      <c r="Z39" s="100">
        <v>15781.858178949733</v>
      </c>
      <c r="AA39" s="100">
        <v>15813.515140569893</v>
      </c>
      <c r="AB39" s="100">
        <v>15845.053506225015</v>
      </c>
      <c r="AC39" s="100">
        <v>15876.468185043188</v>
      </c>
      <c r="AD39" s="100">
        <v>15907.754105590879</v>
      </c>
      <c r="AE39" s="100">
        <v>15938.90621677428</v>
      </c>
      <c r="AF39" s="100">
        <v>15969.919488737569</v>
      </c>
      <c r="AG39" s="100">
        <v>11200.552239630539</v>
      </c>
      <c r="AH39" s="100">
        <v>16031.509507137089</v>
      </c>
      <c r="AI39" s="100">
        <v>16062.076308089485</v>
      </c>
      <c r="AJ39" s="100">
        <v>16092.48438062642</v>
      </c>
      <c r="AK39" s="100">
        <v>16122.728814436536</v>
      </c>
      <c r="AL39" s="100">
        <v>16152.80472576214</v>
      </c>
      <c r="AM39" s="100">
        <v>16182.707258271368</v>
      </c>
      <c r="AN39" s="100">
        <v>16212.431583925947</v>
      </c>
      <c r="AO39" s="100">
        <v>11369.381032691117</v>
      </c>
      <c r="AP39" s="100">
        <v>16271.326449160888</v>
      </c>
      <c r="AQ39" s="100">
        <v>16300.487481878417</v>
      </c>
      <c r="AR39" s="100">
        <v>16329.451295718105</v>
      </c>
      <c r="AS39" s="100">
        <v>16358.213216962538</v>
      </c>
      <c r="AT39" s="100">
        <v>16386.768605294106</v>
      </c>
      <c r="AU39" s="100">
        <v>16415.112854627889</v>
      </c>
      <c r="AV39" s="100">
        <v>16443.241393938872</v>
      </c>
      <c r="AW39" s="100">
        <v>16471.149688083475</v>
      </c>
      <c r="AX39" s="100">
        <v>16498.833238615145</v>
      </c>
    </row>
    <row r="40" spans="2:50">
      <c r="B40" s="170" t="s">
        <v>106</v>
      </c>
      <c r="C40" s="100">
        <v>5010.9805028023011</v>
      </c>
      <c r="D40" s="100">
        <v>5021.9633505252477</v>
      </c>
      <c r="E40" s="100">
        <v>2013.1787130250068</v>
      </c>
      <c r="F40" s="100">
        <v>3530.7503261863726</v>
      </c>
      <c r="G40" s="100">
        <v>5054.9083529701256</v>
      </c>
      <c r="H40" s="100">
        <v>5065.8829668698918</v>
      </c>
      <c r="I40" s="100">
        <v>5076.851116761226</v>
      </c>
      <c r="J40" s="100">
        <v>5087.8110406349388</v>
      </c>
      <c r="K40" s="100">
        <v>5098.7609771294274</v>
      </c>
      <c r="L40" s="100">
        <v>3576.7894160882365</v>
      </c>
      <c r="M40" s="100">
        <v>5120.6238476302397</v>
      </c>
      <c r="N40" s="100">
        <v>5131.5332649382435</v>
      </c>
      <c r="O40" s="100">
        <v>3599.6979634626705</v>
      </c>
      <c r="P40" s="100">
        <v>5153.2992856047113</v>
      </c>
      <c r="Q40" s="100">
        <v>2065.6609538035959</v>
      </c>
      <c r="R40" s="100">
        <v>2069.9932842564181</v>
      </c>
      <c r="S40" s="100">
        <v>2074.316007584644</v>
      </c>
      <c r="T40" s="100">
        <v>5196.5710678616542</v>
      </c>
      <c r="U40" s="100">
        <v>5207.3246194701496</v>
      </c>
      <c r="V40" s="100">
        <v>5218.0489399613498</v>
      </c>
      <c r="W40" s="100">
        <v>5228.7422998615266</v>
      </c>
      <c r="X40" s="100">
        <v>5239.40297435511</v>
      </c>
      <c r="Y40" s="100">
        <v>5250.0292435901756</v>
      </c>
      <c r="Z40" s="100">
        <v>5260.6193929832443</v>
      </c>
      <c r="AA40" s="100">
        <v>5271.1717135232975</v>
      </c>
      <c r="AB40" s="100">
        <v>5281.6845020750052</v>
      </c>
      <c r="AC40" s="100">
        <v>5292.156061681063</v>
      </c>
      <c r="AD40" s="100">
        <v>5302.5847018636268</v>
      </c>
      <c r="AE40" s="100">
        <v>5312.9687389247601</v>
      </c>
      <c r="AF40" s="100">
        <v>5323.3064962458566</v>
      </c>
      <c r="AG40" s="100">
        <v>5333.5963045859717</v>
      </c>
      <c r="AH40" s="100">
        <v>3740.6855516653204</v>
      </c>
      <c r="AI40" s="100">
        <v>5354.0254360298286</v>
      </c>
      <c r="AJ40" s="100">
        <v>5364.1614602088066</v>
      </c>
      <c r="AK40" s="100">
        <v>5374.2429381455113</v>
      </c>
      <c r="AL40" s="100">
        <v>5384.2682419207131</v>
      </c>
      <c r="AM40" s="100">
        <v>3775.9650269299855</v>
      </c>
      <c r="AN40" s="100">
        <v>5404.1438613086484</v>
      </c>
      <c r="AO40" s="100">
        <v>5413.9909679481507</v>
      </c>
      <c r="AP40" s="100">
        <v>5423.7754830536296</v>
      </c>
      <c r="AQ40" s="100">
        <v>5433.4958272928061</v>
      </c>
      <c r="AR40" s="100">
        <v>2177.2601727624142</v>
      </c>
      <c r="AS40" s="100">
        <v>5452.7377389875128</v>
      </c>
      <c r="AT40" s="100">
        <v>5462.2562017647024</v>
      </c>
      <c r="AU40" s="100">
        <v>5471.7042848759638</v>
      </c>
      <c r="AV40" s="100">
        <v>5481.0804646462902</v>
      </c>
      <c r="AW40" s="100">
        <v>5490.3832293611586</v>
      </c>
      <c r="AX40" s="100">
        <v>5499.611079538382</v>
      </c>
    </row>
    <row r="41" spans="2:50">
      <c r="B41" s="170" t="s">
        <v>107</v>
      </c>
      <c r="C41" s="100">
        <v>3006.5883016813805</v>
      </c>
      <c r="D41" s="100">
        <v>3013.1780103151486</v>
      </c>
      <c r="E41" s="100">
        <v>2113.8376486762568</v>
      </c>
      <c r="F41" s="100">
        <v>3026.3574224454624</v>
      </c>
      <c r="G41" s="100">
        <v>3032.9450117820752</v>
      </c>
      <c r="H41" s="100">
        <v>3039.5297801219349</v>
      </c>
      <c r="I41" s="100">
        <v>3046.1106700567357</v>
      </c>
      <c r="J41" s="100">
        <v>3052.6866243809636</v>
      </c>
      <c r="K41" s="100">
        <v>3059.2565862776564</v>
      </c>
      <c r="L41" s="100">
        <v>3065.8194995042027</v>
      </c>
      <c r="M41" s="100">
        <v>3072.3743085781439</v>
      </c>
      <c r="N41" s="100">
        <v>3078.9199589629461</v>
      </c>
      <c r="O41" s="100">
        <v>3085.4553972537178</v>
      </c>
      <c r="P41" s="100">
        <v>3091.9795713628264</v>
      </c>
      <c r="Q41" s="100">
        <v>3098.4914307053937</v>
      </c>
      <c r="R41" s="100">
        <v>3104.9899263846269</v>
      </c>
      <c r="S41" s="100">
        <v>3111.4740113769658</v>
      </c>
      <c r="T41" s="100">
        <v>3117.9426407169926</v>
      </c>
      <c r="U41" s="100">
        <v>3124.3947716820899</v>
      </c>
      <c r="V41" s="100">
        <v>3130.8293639768099</v>
      </c>
      <c r="W41" s="100">
        <v>3137.2453799169161</v>
      </c>
      <c r="X41" s="100">
        <v>3143.6417846130662</v>
      </c>
      <c r="Y41" s="100">
        <v>3150.0175461541053</v>
      </c>
      <c r="Z41" s="100">
        <v>3156.3716357899466</v>
      </c>
      <c r="AA41" s="100">
        <v>3162.7030281139782</v>
      </c>
      <c r="AB41" s="100">
        <v>3169.010701245003</v>
      </c>
      <c r="AC41" s="100">
        <v>3175.2936370086377</v>
      </c>
      <c r="AD41" s="100">
        <v>3181.5508211181759</v>
      </c>
      <c r="AE41" s="100">
        <v>3187.7812433548561</v>
      </c>
      <c r="AF41" s="100">
        <v>3193.9838977475138</v>
      </c>
      <c r="AG41" s="100">
        <v>3200.1577827515825</v>
      </c>
      <c r="AH41" s="100">
        <v>1282.5207605709672</v>
      </c>
      <c r="AI41" s="100">
        <v>2248.6906831325277</v>
      </c>
      <c r="AJ41" s="100">
        <v>2252.9478132876989</v>
      </c>
      <c r="AK41" s="100">
        <v>3224.5457628873069</v>
      </c>
      <c r="AL41" s="100">
        <v>3230.5609451524278</v>
      </c>
      <c r="AM41" s="100">
        <v>3236.5414516542737</v>
      </c>
      <c r="AN41" s="100">
        <v>3242.486316785189</v>
      </c>
      <c r="AO41" s="100">
        <v>3248.3945807688906</v>
      </c>
      <c r="AP41" s="100">
        <v>3254.2652898321776</v>
      </c>
      <c r="AQ41" s="100">
        <v>3260.0974963756835</v>
      </c>
      <c r="AR41" s="100">
        <v>3265.8902591436208</v>
      </c>
      <c r="AS41" s="100">
        <v>3271.6426433925076</v>
      </c>
      <c r="AT41" s="100">
        <v>3277.3537210588215</v>
      </c>
      <c r="AU41" s="100">
        <v>3283.0225709255783</v>
      </c>
      <c r="AV41" s="100">
        <v>3288.648278787774</v>
      </c>
      <c r="AW41" s="100">
        <v>3294.2299376166952</v>
      </c>
      <c r="AX41" s="100">
        <v>3299.7666477230291</v>
      </c>
    </row>
    <row r="42" spans="2:50">
      <c r="B42" s="170" t="s">
        <v>108</v>
      </c>
      <c r="C42" s="100">
        <v>10000000</v>
      </c>
      <c r="D42" s="100">
        <v>10000000</v>
      </c>
      <c r="E42" s="100">
        <v>10000000</v>
      </c>
      <c r="F42" s="100">
        <v>10000000</v>
      </c>
      <c r="G42" s="100">
        <v>10000000</v>
      </c>
      <c r="H42" s="100">
        <v>10000000</v>
      </c>
      <c r="I42" s="100">
        <v>10000000</v>
      </c>
      <c r="J42" s="100">
        <v>10000000</v>
      </c>
      <c r="K42" s="100">
        <v>10000000</v>
      </c>
      <c r="L42" s="100">
        <v>10000000</v>
      </c>
      <c r="M42" s="100">
        <v>10000000</v>
      </c>
      <c r="N42" s="100">
        <v>10000000</v>
      </c>
      <c r="O42" s="100">
        <v>10000000</v>
      </c>
      <c r="P42" s="100">
        <v>10000000</v>
      </c>
      <c r="Q42" s="100">
        <v>10000000</v>
      </c>
      <c r="R42" s="100">
        <v>10000000</v>
      </c>
      <c r="S42" s="100">
        <v>10000000</v>
      </c>
      <c r="T42" s="100">
        <v>10000000</v>
      </c>
      <c r="U42" s="100">
        <v>10000000</v>
      </c>
      <c r="V42" s="100">
        <v>10000000</v>
      </c>
      <c r="W42" s="100">
        <v>10000000</v>
      </c>
      <c r="X42" s="100">
        <v>10000000</v>
      </c>
      <c r="Y42" s="100">
        <v>10000000</v>
      </c>
      <c r="Z42" s="100">
        <v>10000000</v>
      </c>
      <c r="AA42" s="100">
        <v>10000000</v>
      </c>
      <c r="AB42" s="100">
        <v>10000000</v>
      </c>
      <c r="AC42" s="100">
        <v>10000000</v>
      </c>
      <c r="AD42" s="100">
        <v>10000000</v>
      </c>
      <c r="AE42" s="100">
        <v>10000000</v>
      </c>
      <c r="AF42" s="100">
        <v>10000000</v>
      </c>
      <c r="AG42" s="100">
        <v>10000000</v>
      </c>
      <c r="AH42" s="100">
        <v>10000000</v>
      </c>
      <c r="AI42" s="100">
        <v>10000000</v>
      </c>
      <c r="AJ42" s="100">
        <v>10000000</v>
      </c>
      <c r="AK42" s="100">
        <v>10000000</v>
      </c>
      <c r="AL42" s="100">
        <v>10000000</v>
      </c>
      <c r="AM42" s="100">
        <v>10000000</v>
      </c>
      <c r="AN42" s="100">
        <v>10000000</v>
      </c>
      <c r="AO42" s="100">
        <v>10000000</v>
      </c>
      <c r="AP42" s="100">
        <v>10000000</v>
      </c>
      <c r="AQ42" s="100">
        <v>10000000</v>
      </c>
      <c r="AR42" s="100">
        <v>10000000</v>
      </c>
      <c r="AS42" s="100">
        <v>10000000</v>
      </c>
      <c r="AT42" s="100">
        <v>10000000</v>
      </c>
      <c r="AU42" s="100">
        <v>10000000</v>
      </c>
      <c r="AV42" s="100">
        <v>10000000</v>
      </c>
      <c r="AW42" s="100">
        <v>10000000</v>
      </c>
      <c r="AX42" s="100">
        <v>10000000</v>
      </c>
    </row>
    <row r="43" spans="2:50">
      <c r="B43" s="170" t="s">
        <v>109</v>
      </c>
      <c r="C43" s="100">
        <v>10000000</v>
      </c>
      <c r="D43" s="100">
        <v>10000000</v>
      </c>
      <c r="E43" s="100">
        <v>10000000</v>
      </c>
      <c r="F43" s="100">
        <v>10000000</v>
      </c>
      <c r="G43" s="100">
        <v>10000000</v>
      </c>
      <c r="H43" s="100">
        <v>10000000</v>
      </c>
      <c r="I43" s="100">
        <v>10000000</v>
      </c>
      <c r="J43" s="100">
        <v>10000000</v>
      </c>
      <c r="K43" s="100">
        <v>10000000</v>
      </c>
      <c r="L43" s="100">
        <v>10000000</v>
      </c>
      <c r="M43" s="100">
        <v>10000000</v>
      </c>
      <c r="N43" s="100">
        <v>10000000</v>
      </c>
      <c r="O43" s="100">
        <v>10000000</v>
      </c>
      <c r="P43" s="100">
        <v>10000000</v>
      </c>
      <c r="Q43" s="100">
        <v>10000000</v>
      </c>
      <c r="R43" s="100">
        <v>10000000</v>
      </c>
      <c r="S43" s="100">
        <v>10000000</v>
      </c>
      <c r="T43" s="100">
        <v>10000000</v>
      </c>
      <c r="U43" s="100">
        <v>10000000</v>
      </c>
      <c r="V43" s="100">
        <v>10000000</v>
      </c>
      <c r="W43" s="100">
        <v>10000000</v>
      </c>
      <c r="X43" s="100">
        <v>10000000</v>
      </c>
      <c r="Y43" s="100">
        <v>10000000</v>
      </c>
      <c r="Z43" s="100">
        <v>10000000</v>
      </c>
      <c r="AA43" s="100">
        <v>10000000</v>
      </c>
      <c r="AB43" s="100">
        <v>10000000</v>
      </c>
      <c r="AC43" s="100">
        <v>10000000</v>
      </c>
      <c r="AD43" s="100">
        <v>10000000</v>
      </c>
      <c r="AE43" s="100">
        <v>10000000</v>
      </c>
      <c r="AF43" s="100">
        <v>10000000</v>
      </c>
      <c r="AG43" s="100">
        <v>10000000</v>
      </c>
      <c r="AH43" s="100">
        <v>10000000</v>
      </c>
      <c r="AI43" s="100">
        <v>10000000</v>
      </c>
      <c r="AJ43" s="100">
        <v>10000000</v>
      </c>
      <c r="AK43" s="100">
        <v>10000000</v>
      </c>
      <c r="AL43" s="100">
        <v>10000000</v>
      </c>
      <c r="AM43" s="100">
        <v>10000000</v>
      </c>
      <c r="AN43" s="100">
        <v>10000000</v>
      </c>
      <c r="AO43" s="100">
        <v>10000000</v>
      </c>
      <c r="AP43" s="100">
        <v>10000000</v>
      </c>
      <c r="AQ43" s="100">
        <v>10000000</v>
      </c>
      <c r="AR43" s="100">
        <v>10000000</v>
      </c>
      <c r="AS43" s="100">
        <v>10000000</v>
      </c>
      <c r="AT43" s="100">
        <v>10000000</v>
      </c>
      <c r="AU43" s="100">
        <v>10000000</v>
      </c>
      <c r="AV43" s="100">
        <v>10000000</v>
      </c>
      <c r="AW43" s="100">
        <v>10000000</v>
      </c>
      <c r="AX43" s="100">
        <v>10000000</v>
      </c>
    </row>
    <row r="45" spans="2:50">
      <c r="B45" s="103" t="s">
        <v>324</v>
      </c>
    </row>
    <row r="46" spans="2:50">
      <c r="B46" s="99" t="s">
        <v>274</v>
      </c>
      <c r="C46" s="99" t="s">
        <v>92</v>
      </c>
      <c r="D46" s="101"/>
      <c r="E46" s="101"/>
      <c r="F46" s="101"/>
      <c r="G46" s="99" t="s">
        <v>93</v>
      </c>
      <c r="H46" s="101"/>
      <c r="I46" s="101"/>
      <c r="J46" s="101"/>
      <c r="K46" s="99" t="s">
        <v>94</v>
      </c>
      <c r="L46" s="101"/>
      <c r="M46" s="101"/>
      <c r="N46" s="101"/>
      <c r="O46" s="99" t="s">
        <v>95</v>
      </c>
      <c r="P46" s="101"/>
      <c r="Q46" s="101"/>
      <c r="R46" s="101"/>
      <c r="S46" s="99" t="s">
        <v>96</v>
      </c>
      <c r="T46" s="101"/>
      <c r="U46" s="101"/>
      <c r="V46" s="101"/>
      <c r="W46" s="99" t="s">
        <v>97</v>
      </c>
      <c r="X46" s="101"/>
      <c r="Y46" s="101"/>
      <c r="Z46" s="101"/>
      <c r="AA46" s="99" t="s">
        <v>98</v>
      </c>
      <c r="AB46" s="101"/>
      <c r="AC46" s="101"/>
      <c r="AD46" s="101"/>
      <c r="AE46" s="99" t="s">
        <v>99</v>
      </c>
      <c r="AF46" s="101"/>
      <c r="AG46" s="101"/>
      <c r="AH46" s="101"/>
      <c r="AI46" s="99" t="s">
        <v>100</v>
      </c>
      <c r="AJ46" s="101"/>
      <c r="AK46" s="101"/>
      <c r="AL46" s="101"/>
      <c r="AM46" s="99" t="s">
        <v>101</v>
      </c>
      <c r="AN46" s="101"/>
      <c r="AO46" s="101"/>
      <c r="AP46" s="101"/>
      <c r="AQ46" s="99" t="s">
        <v>102</v>
      </c>
      <c r="AR46" s="101"/>
      <c r="AS46" s="101"/>
      <c r="AT46" s="101"/>
      <c r="AU46" s="99" t="s">
        <v>103</v>
      </c>
      <c r="AV46" s="101"/>
      <c r="AW46" s="101"/>
    </row>
    <row r="47" spans="2:50">
      <c r="B47" s="99" t="s">
        <v>325</v>
      </c>
      <c r="C47" s="99">
        <v>1</v>
      </c>
      <c r="D47" s="99">
        <v>2</v>
      </c>
      <c r="E47" s="99">
        <v>3</v>
      </c>
      <c r="F47" s="99">
        <v>4</v>
      </c>
      <c r="G47" s="99">
        <v>1</v>
      </c>
      <c r="H47" s="99">
        <v>2</v>
      </c>
      <c r="I47" s="99">
        <v>3</v>
      </c>
      <c r="J47" s="99">
        <v>4</v>
      </c>
      <c r="K47" s="99">
        <v>1</v>
      </c>
      <c r="L47" s="99">
        <v>2</v>
      </c>
      <c r="M47" s="99">
        <v>3</v>
      </c>
      <c r="N47" s="99">
        <v>4</v>
      </c>
      <c r="O47" s="99">
        <v>1</v>
      </c>
      <c r="P47" s="99">
        <v>2</v>
      </c>
      <c r="Q47" s="99">
        <v>3</v>
      </c>
      <c r="R47" s="99">
        <v>4</v>
      </c>
      <c r="S47" s="99">
        <v>1</v>
      </c>
      <c r="T47" s="99">
        <v>2</v>
      </c>
      <c r="U47" s="99">
        <v>3</v>
      </c>
      <c r="V47" s="99">
        <v>4</v>
      </c>
      <c r="W47" s="99">
        <v>1</v>
      </c>
      <c r="X47" s="99">
        <v>2</v>
      </c>
      <c r="Y47" s="99">
        <v>3</v>
      </c>
      <c r="Z47" s="99">
        <v>4</v>
      </c>
      <c r="AA47" s="99">
        <v>1</v>
      </c>
      <c r="AB47" s="99">
        <v>2</v>
      </c>
      <c r="AC47" s="99">
        <v>3</v>
      </c>
      <c r="AD47" s="99">
        <v>4</v>
      </c>
      <c r="AE47" s="99">
        <v>1</v>
      </c>
      <c r="AF47" s="99">
        <v>2</v>
      </c>
      <c r="AG47" s="99">
        <v>3</v>
      </c>
      <c r="AH47" s="99">
        <v>4</v>
      </c>
      <c r="AI47" s="99">
        <v>1</v>
      </c>
      <c r="AJ47" s="99">
        <v>2</v>
      </c>
      <c r="AK47" s="99">
        <v>3</v>
      </c>
      <c r="AL47" s="99">
        <v>4</v>
      </c>
      <c r="AM47" s="99">
        <v>1</v>
      </c>
      <c r="AN47" s="99">
        <v>2</v>
      </c>
      <c r="AO47" s="99">
        <v>3</v>
      </c>
      <c r="AP47" s="99">
        <v>4</v>
      </c>
      <c r="AQ47" s="99">
        <v>1</v>
      </c>
      <c r="AR47" s="99">
        <v>2</v>
      </c>
      <c r="AS47" s="99">
        <v>3</v>
      </c>
      <c r="AT47" s="99">
        <v>4</v>
      </c>
      <c r="AU47" s="99">
        <v>1</v>
      </c>
      <c r="AV47" s="99">
        <v>2</v>
      </c>
      <c r="AW47" s="99">
        <v>3</v>
      </c>
      <c r="AX47" s="99">
        <v>4</v>
      </c>
    </row>
    <row r="48" spans="2:50">
      <c r="B48" s="99" t="s">
        <v>104</v>
      </c>
      <c r="C48" s="100">
        <v>2679.6167421602881</v>
      </c>
      <c r="D48" s="100">
        <v>2679.6167421602881</v>
      </c>
      <c r="E48" s="100">
        <v>2679.6167421602881</v>
      </c>
      <c r="F48" s="100">
        <v>2679.6167421602881</v>
      </c>
      <c r="G48" s="100">
        <v>2679.6167421602881</v>
      </c>
      <c r="H48" s="100">
        <v>2679.6167421602881</v>
      </c>
      <c r="I48" s="100">
        <v>2679.6167421602881</v>
      </c>
      <c r="J48" s="100">
        <v>2679.6167421602881</v>
      </c>
      <c r="K48" s="100">
        <v>2679.6167421602881</v>
      </c>
      <c r="L48" s="100">
        <v>2679.6167421602881</v>
      </c>
      <c r="M48" s="100">
        <v>2679.6167421602881</v>
      </c>
      <c r="N48" s="100">
        <v>2679.6167421602881</v>
      </c>
      <c r="O48" s="100">
        <v>2143.6933937282306</v>
      </c>
      <c r="P48" s="100">
        <v>2143.6933937282306</v>
      </c>
      <c r="Q48" s="100">
        <v>2143.6933937282306</v>
      </c>
      <c r="R48" s="100">
        <v>2143.6933937282306</v>
      </c>
      <c r="S48" s="100">
        <v>2679.6167421602881</v>
      </c>
      <c r="T48" s="100">
        <v>2679.6167421602881</v>
      </c>
      <c r="U48" s="100">
        <v>2679.6167421602881</v>
      </c>
      <c r="V48" s="100">
        <v>2679.6167421602881</v>
      </c>
      <c r="W48" s="100">
        <v>2679.6167421602881</v>
      </c>
      <c r="X48" s="100">
        <v>2679.6167421602881</v>
      </c>
      <c r="Y48" s="100">
        <v>2679.6167421602881</v>
      </c>
      <c r="Z48" s="100">
        <v>2679.6167421602881</v>
      </c>
      <c r="AA48" s="100">
        <v>2679.6167421602881</v>
      </c>
      <c r="AB48" s="100">
        <v>2679.6167421602881</v>
      </c>
      <c r="AC48" s="100">
        <v>2679.6167421602881</v>
      </c>
      <c r="AD48" s="100">
        <v>2679.6167421602881</v>
      </c>
      <c r="AE48" s="100">
        <v>2679.6167421602881</v>
      </c>
      <c r="AF48" s="100">
        <v>2679.6167421602881</v>
      </c>
      <c r="AG48" s="100">
        <v>2679.6167421602881</v>
      </c>
      <c r="AH48" s="100">
        <v>2679.6167421602881</v>
      </c>
      <c r="AI48" s="100">
        <v>2679.6167421602881</v>
      </c>
      <c r="AJ48" s="100">
        <v>2679.6167421602881</v>
      </c>
      <c r="AK48" s="100">
        <v>2679.6167421602881</v>
      </c>
      <c r="AL48" s="100">
        <v>2679.6167421602881</v>
      </c>
      <c r="AM48" s="100">
        <v>2679.6167421602881</v>
      </c>
      <c r="AN48" s="100">
        <v>2679.6167421602881</v>
      </c>
      <c r="AO48" s="100">
        <v>2679.6167421602881</v>
      </c>
      <c r="AP48" s="100">
        <v>2679.6167421602881</v>
      </c>
      <c r="AQ48" s="100">
        <v>2679.6167421602881</v>
      </c>
      <c r="AR48" s="100">
        <v>2679.6167421602881</v>
      </c>
      <c r="AS48" s="100">
        <v>2679.6167421602881</v>
      </c>
      <c r="AT48" s="100">
        <v>2679.6167421602881</v>
      </c>
      <c r="AU48" s="100">
        <v>2679.6167421602881</v>
      </c>
      <c r="AV48" s="100">
        <v>2679.6167421602881</v>
      </c>
      <c r="AW48" s="100">
        <v>2679.6167421602881</v>
      </c>
      <c r="AX48" s="100">
        <v>2679.6167421602881</v>
      </c>
    </row>
    <row r="49" spans="2:51">
      <c r="B49" s="99" t="s">
        <v>105</v>
      </c>
      <c r="C49" s="100">
        <v>0</v>
      </c>
      <c r="D49" s="100">
        <v>0</v>
      </c>
      <c r="E49" s="100">
        <v>0</v>
      </c>
      <c r="F49" s="100">
        <v>0</v>
      </c>
      <c r="G49" s="100">
        <v>2.6946691715297984E-20</v>
      </c>
      <c r="H49" s="100">
        <v>2.6946691715297984E-20</v>
      </c>
      <c r="I49" s="100">
        <v>2.6946691715297984E-20</v>
      </c>
      <c r="J49" s="100">
        <v>2.6946691715297984E-20</v>
      </c>
      <c r="K49" s="100">
        <v>2.6946691715297984E-20</v>
      </c>
      <c r="L49" s="100">
        <v>2.6946691715297984E-20</v>
      </c>
      <c r="M49" s="100">
        <v>2.6946691715297984E-20</v>
      </c>
      <c r="N49" s="100">
        <v>2.6946691715297984E-20</v>
      </c>
      <c r="O49" s="100">
        <v>2.6946691715297984E-20</v>
      </c>
      <c r="P49" s="100">
        <v>2.6946691715297984E-20</v>
      </c>
      <c r="Q49" s="100">
        <v>2.6946691715297984E-20</v>
      </c>
      <c r="R49" s="100">
        <v>2.6946691715297984E-20</v>
      </c>
      <c r="S49" s="100">
        <v>2.6946691715297984E-20</v>
      </c>
      <c r="T49" s="100">
        <v>2.6946691715297984E-20</v>
      </c>
      <c r="U49" s="100">
        <v>2.6946691715297984E-20</v>
      </c>
      <c r="V49" s="100">
        <v>2.6946691715297984E-20</v>
      </c>
      <c r="W49" s="100">
        <v>2.155735337223839E-20</v>
      </c>
      <c r="X49" s="100">
        <v>2.155735337223839E-20</v>
      </c>
      <c r="Y49" s="100">
        <v>2.155735337223839E-20</v>
      </c>
      <c r="Z49" s="100">
        <v>2.155735337223839E-20</v>
      </c>
      <c r="AA49" s="100">
        <v>2.6946691715297984E-20</v>
      </c>
      <c r="AB49" s="100">
        <v>2.6946691715297984E-20</v>
      </c>
      <c r="AC49" s="100">
        <v>2.6946691715297984E-20</v>
      </c>
      <c r="AD49" s="100">
        <v>2.6946691715297984E-20</v>
      </c>
      <c r="AE49" s="100">
        <v>2.6946691715297984E-20</v>
      </c>
      <c r="AF49" s="100">
        <v>2.6946691715297984E-20</v>
      </c>
      <c r="AG49" s="100">
        <v>2.6946691715297984E-20</v>
      </c>
      <c r="AH49" s="100">
        <v>2.6946691715297984E-20</v>
      </c>
      <c r="AI49" s="100">
        <v>2.6946691715297984E-20</v>
      </c>
      <c r="AJ49" s="100">
        <v>2.6946691715297984E-20</v>
      </c>
      <c r="AK49" s="100">
        <v>2.6946691715297984E-20</v>
      </c>
      <c r="AL49" s="100">
        <v>2.6946691715297984E-20</v>
      </c>
      <c r="AM49" s="100">
        <v>2.6946691715297984E-20</v>
      </c>
      <c r="AN49" s="100">
        <v>2.6946691715297984E-20</v>
      </c>
      <c r="AO49" s="100">
        <v>2.6946691715297984E-20</v>
      </c>
      <c r="AP49" s="100">
        <v>2.6946691715297984E-20</v>
      </c>
      <c r="AQ49" s="100">
        <v>3.2336030058357578E-20</v>
      </c>
      <c r="AR49" s="100">
        <v>3.2336030058357578E-20</v>
      </c>
      <c r="AS49" s="100">
        <v>3.2336030058357578E-20</v>
      </c>
      <c r="AT49" s="100">
        <v>3.2336030058357578E-20</v>
      </c>
      <c r="AU49" s="100">
        <v>2.6946691715297984E-20</v>
      </c>
      <c r="AV49" s="100">
        <v>2.6946691715297984E-20</v>
      </c>
      <c r="AW49" s="100">
        <v>2.6946691715297984E-20</v>
      </c>
      <c r="AX49" s="100">
        <v>2.6946691715297984E-20</v>
      </c>
    </row>
    <row r="50" spans="2:51">
      <c r="B50" s="99" t="s">
        <v>106</v>
      </c>
      <c r="C50" s="100">
        <v>112</v>
      </c>
      <c r="D50" s="100">
        <v>112</v>
      </c>
      <c r="E50" s="100">
        <v>112</v>
      </c>
      <c r="F50" s="100">
        <v>112</v>
      </c>
      <c r="G50" s="100">
        <v>140</v>
      </c>
      <c r="H50" s="100">
        <v>140</v>
      </c>
      <c r="I50" s="100">
        <v>140</v>
      </c>
      <c r="J50" s="100">
        <v>140</v>
      </c>
      <c r="K50" s="100">
        <v>140</v>
      </c>
      <c r="L50" s="100">
        <v>140</v>
      </c>
      <c r="M50" s="100">
        <v>140</v>
      </c>
      <c r="N50" s="100">
        <v>140</v>
      </c>
      <c r="O50" s="100">
        <v>112</v>
      </c>
      <c r="P50" s="100">
        <v>112</v>
      </c>
      <c r="Q50" s="100">
        <v>112</v>
      </c>
      <c r="R50" s="100">
        <v>112</v>
      </c>
      <c r="S50" s="100">
        <v>140</v>
      </c>
      <c r="T50" s="100">
        <v>140</v>
      </c>
      <c r="U50" s="100">
        <v>140</v>
      </c>
      <c r="V50" s="100">
        <v>140</v>
      </c>
      <c r="W50" s="100">
        <v>140</v>
      </c>
      <c r="X50" s="100">
        <v>140</v>
      </c>
      <c r="Y50" s="100">
        <v>140</v>
      </c>
      <c r="Z50" s="100">
        <v>140</v>
      </c>
      <c r="AA50" s="100">
        <v>140</v>
      </c>
      <c r="AB50" s="100">
        <v>140</v>
      </c>
      <c r="AC50" s="100">
        <v>140</v>
      </c>
      <c r="AD50" s="100">
        <v>140</v>
      </c>
      <c r="AE50" s="100">
        <v>140</v>
      </c>
      <c r="AF50" s="100">
        <v>140</v>
      </c>
      <c r="AG50" s="100">
        <v>140</v>
      </c>
      <c r="AH50" s="100">
        <v>140</v>
      </c>
      <c r="AI50" s="100">
        <v>168</v>
      </c>
      <c r="AJ50" s="100">
        <v>168</v>
      </c>
      <c r="AK50" s="100">
        <v>168</v>
      </c>
      <c r="AL50" s="100">
        <v>168</v>
      </c>
      <c r="AM50" s="100">
        <v>140</v>
      </c>
      <c r="AN50" s="100">
        <v>140</v>
      </c>
      <c r="AO50" s="100">
        <v>140</v>
      </c>
      <c r="AP50" s="100">
        <v>140</v>
      </c>
      <c r="AQ50" s="100">
        <v>140</v>
      </c>
      <c r="AR50" s="100">
        <v>140</v>
      </c>
      <c r="AS50" s="100">
        <v>140</v>
      </c>
      <c r="AT50" s="100">
        <v>140</v>
      </c>
      <c r="AU50" s="100">
        <v>140</v>
      </c>
      <c r="AV50" s="100">
        <v>140</v>
      </c>
      <c r="AW50" s="100">
        <v>140</v>
      </c>
      <c r="AX50" s="100">
        <v>140</v>
      </c>
      <c r="AY50" s="112"/>
    </row>
    <row r="51" spans="2:51">
      <c r="B51" s="99" t="s">
        <v>107</v>
      </c>
      <c r="C51" s="100">
        <v>790.00000000000341</v>
      </c>
      <c r="D51" s="100">
        <v>790.00000000000341</v>
      </c>
      <c r="E51" s="100">
        <v>790.00000000000341</v>
      </c>
      <c r="F51" s="100">
        <v>790.00000000000341</v>
      </c>
      <c r="G51" s="100">
        <v>790.00000000000341</v>
      </c>
      <c r="H51" s="100">
        <v>790.00000000000341</v>
      </c>
      <c r="I51" s="100">
        <v>790.00000000000341</v>
      </c>
      <c r="J51" s="100">
        <v>790.00000000000341</v>
      </c>
      <c r="K51" s="100">
        <v>790.00000000000341</v>
      </c>
      <c r="L51" s="100">
        <v>790.00000000000341</v>
      </c>
      <c r="M51" s="100">
        <v>790.00000000000341</v>
      </c>
      <c r="N51" s="100">
        <v>790.00000000000341</v>
      </c>
      <c r="O51" s="100">
        <v>790.00000000000341</v>
      </c>
      <c r="P51" s="100">
        <v>790.00000000000341</v>
      </c>
      <c r="Q51" s="100">
        <v>790.00000000000341</v>
      </c>
      <c r="R51" s="100">
        <v>790.00000000000341</v>
      </c>
      <c r="S51" s="100">
        <v>790.00000000000341</v>
      </c>
      <c r="T51" s="100">
        <v>790.00000000000341</v>
      </c>
      <c r="U51" s="100">
        <v>790.00000000000341</v>
      </c>
      <c r="V51" s="100">
        <v>790.00000000000341</v>
      </c>
      <c r="W51" s="100">
        <v>790.00000000000341</v>
      </c>
      <c r="X51" s="100">
        <v>790.00000000000341</v>
      </c>
      <c r="Y51" s="100">
        <v>790.00000000000341</v>
      </c>
      <c r="Z51" s="100">
        <v>790.00000000000341</v>
      </c>
      <c r="AA51" s="100">
        <v>790.00000000000341</v>
      </c>
      <c r="AB51" s="100">
        <v>790.00000000000341</v>
      </c>
      <c r="AC51" s="100">
        <v>790.00000000000341</v>
      </c>
      <c r="AD51" s="100">
        <v>790.00000000000341</v>
      </c>
      <c r="AE51" s="100">
        <v>790.00000000000341</v>
      </c>
      <c r="AF51" s="100">
        <v>790.00000000000341</v>
      </c>
      <c r="AG51" s="100">
        <v>790.00000000000341</v>
      </c>
      <c r="AH51" s="100">
        <v>790.00000000000341</v>
      </c>
      <c r="AI51" s="100">
        <v>790.00000000000341</v>
      </c>
      <c r="AJ51" s="100">
        <v>790.00000000000341</v>
      </c>
      <c r="AK51" s="100">
        <v>790.00000000000341</v>
      </c>
      <c r="AL51" s="100">
        <v>790.00000000000341</v>
      </c>
      <c r="AM51" s="100">
        <v>790.00000000000341</v>
      </c>
      <c r="AN51" s="100">
        <v>790.00000000000341</v>
      </c>
      <c r="AO51" s="100">
        <v>790.00000000000341</v>
      </c>
      <c r="AP51" s="100">
        <v>790.00000000000341</v>
      </c>
      <c r="AQ51" s="100">
        <v>790.00000000000341</v>
      </c>
      <c r="AR51" s="100">
        <v>790.00000000000341</v>
      </c>
      <c r="AS51" s="100">
        <v>790.00000000000341</v>
      </c>
      <c r="AT51" s="100">
        <v>790.00000000000341</v>
      </c>
      <c r="AU51" s="100">
        <v>790.00000000000341</v>
      </c>
      <c r="AV51" s="100">
        <v>790.00000000000341</v>
      </c>
      <c r="AW51" s="100">
        <v>790.00000000000341</v>
      </c>
      <c r="AX51" s="100">
        <v>790.00000000000341</v>
      </c>
      <c r="AY51" s="111"/>
    </row>
    <row r="52" spans="2:51">
      <c r="B52" s="99" t="s">
        <v>108</v>
      </c>
      <c r="C52" s="100">
        <v>8.5973958085973713E-20</v>
      </c>
      <c r="D52" s="100">
        <v>8.5973958085973713E-20</v>
      </c>
      <c r="E52" s="100">
        <v>8.5973958085973713E-20</v>
      </c>
      <c r="F52" s="100">
        <v>8.5973958085973713E-20</v>
      </c>
      <c r="G52" s="100">
        <v>0</v>
      </c>
      <c r="H52" s="100">
        <v>0</v>
      </c>
      <c r="I52" s="100">
        <v>0</v>
      </c>
      <c r="J52" s="100">
        <v>0</v>
      </c>
      <c r="K52" s="100">
        <v>0</v>
      </c>
      <c r="L52" s="100">
        <v>0</v>
      </c>
      <c r="M52" s="100">
        <v>0</v>
      </c>
      <c r="N52" s="100">
        <v>0</v>
      </c>
      <c r="O52" s="100">
        <v>0</v>
      </c>
      <c r="P52" s="100">
        <v>0</v>
      </c>
      <c r="Q52" s="100">
        <v>0</v>
      </c>
      <c r="R52" s="100">
        <v>0</v>
      </c>
      <c r="S52" s="100">
        <v>0</v>
      </c>
      <c r="T52" s="100">
        <v>0</v>
      </c>
      <c r="U52" s="100">
        <v>0</v>
      </c>
      <c r="V52" s="100">
        <v>0</v>
      </c>
      <c r="W52" s="100">
        <v>0</v>
      </c>
      <c r="X52" s="100">
        <v>0</v>
      </c>
      <c r="Y52" s="100">
        <v>0</v>
      </c>
      <c r="Z52" s="100">
        <v>0</v>
      </c>
      <c r="AA52" s="100">
        <v>0</v>
      </c>
      <c r="AB52" s="100">
        <v>0</v>
      </c>
      <c r="AC52" s="100">
        <v>0</v>
      </c>
      <c r="AD52" s="100">
        <v>0</v>
      </c>
      <c r="AE52" s="100">
        <v>0</v>
      </c>
      <c r="AF52" s="100">
        <v>0</v>
      </c>
      <c r="AG52" s="100">
        <v>0</v>
      </c>
      <c r="AH52" s="100">
        <v>0</v>
      </c>
      <c r="AI52" s="100">
        <v>0</v>
      </c>
      <c r="AJ52" s="100">
        <v>0</v>
      </c>
      <c r="AK52" s="100">
        <v>0</v>
      </c>
      <c r="AL52" s="100">
        <v>0</v>
      </c>
      <c r="AM52" s="100">
        <v>0</v>
      </c>
      <c r="AN52" s="100">
        <v>0</v>
      </c>
      <c r="AO52" s="100">
        <v>0</v>
      </c>
      <c r="AP52" s="100">
        <v>0</v>
      </c>
      <c r="AQ52" s="100">
        <v>0</v>
      </c>
      <c r="AR52" s="100">
        <v>0</v>
      </c>
      <c r="AS52" s="100">
        <v>0</v>
      </c>
      <c r="AT52" s="100">
        <v>0</v>
      </c>
      <c r="AU52" s="100">
        <v>0</v>
      </c>
      <c r="AV52" s="100">
        <v>0</v>
      </c>
      <c r="AW52" s="100">
        <v>0</v>
      </c>
      <c r="AX52" s="100">
        <v>0</v>
      </c>
    </row>
    <row r="53" spans="2:51">
      <c r="B53" s="99" t="s">
        <v>109</v>
      </c>
      <c r="C53" s="100">
        <v>6.5465038440747108E-20</v>
      </c>
      <c r="D53" s="100">
        <v>6.5465038440747108E-20</v>
      </c>
      <c r="E53" s="100">
        <v>6.5465038440747108E-20</v>
      </c>
      <c r="F53" s="100">
        <v>6.5465038440747108E-20</v>
      </c>
      <c r="G53" s="100">
        <v>5.4554198700622588E-20</v>
      </c>
      <c r="H53" s="100">
        <v>5.4554198700622588E-20</v>
      </c>
      <c r="I53" s="100">
        <v>5.4554198700622588E-20</v>
      </c>
      <c r="J53" s="100">
        <v>5.4554198700622588E-20</v>
      </c>
      <c r="K53" s="100">
        <v>5.4554198700622588E-20</v>
      </c>
      <c r="L53" s="100">
        <v>5.4554198700622588E-20</v>
      </c>
      <c r="M53" s="100">
        <v>5.4554198700622588E-20</v>
      </c>
      <c r="N53" s="100">
        <v>5.4554198700622588E-20</v>
      </c>
      <c r="O53" s="100">
        <v>6.5465038440747108E-20</v>
      </c>
      <c r="P53" s="100">
        <v>6.5465038440747108E-20</v>
      </c>
      <c r="Q53" s="100">
        <v>6.5465038440747108E-20</v>
      </c>
      <c r="R53" s="100">
        <v>6.5465038440747108E-20</v>
      </c>
      <c r="S53" s="100">
        <v>5.4554198700622588E-20</v>
      </c>
      <c r="T53" s="100">
        <v>5.4554198700622588E-20</v>
      </c>
      <c r="U53" s="100">
        <v>5.4554198700622588E-20</v>
      </c>
      <c r="V53" s="100">
        <v>5.4554198700622588E-20</v>
      </c>
      <c r="W53" s="100">
        <v>5.4554198700622588E-20</v>
      </c>
      <c r="X53" s="100">
        <v>5.4554198700622588E-20</v>
      </c>
      <c r="Y53" s="100">
        <v>5.4554198700622588E-20</v>
      </c>
      <c r="Z53" s="100">
        <v>5.4554198700622588E-20</v>
      </c>
      <c r="AA53" s="100">
        <v>5.4554198700622588E-20</v>
      </c>
      <c r="AB53" s="100">
        <v>5.4554198700622588E-20</v>
      </c>
      <c r="AC53" s="100">
        <v>5.4554198700622588E-20</v>
      </c>
      <c r="AD53" s="100">
        <v>5.4554198700622588E-20</v>
      </c>
      <c r="AE53" s="100">
        <v>6.5465038440747108E-20</v>
      </c>
      <c r="AF53" s="100">
        <v>6.5465038440747108E-20</v>
      </c>
      <c r="AG53" s="100">
        <v>6.5465038440747108E-20</v>
      </c>
      <c r="AH53" s="100">
        <v>6.5465038440747108E-20</v>
      </c>
      <c r="AI53" s="100">
        <v>5.4554198700622588E-20</v>
      </c>
      <c r="AJ53" s="100">
        <v>5.4554198700622588E-20</v>
      </c>
      <c r="AK53" s="100">
        <v>5.4554198700622588E-20</v>
      </c>
      <c r="AL53" s="100">
        <v>5.4554198700622588E-20</v>
      </c>
      <c r="AM53" s="100">
        <v>4.3643358960498074E-20</v>
      </c>
      <c r="AN53" s="100">
        <v>4.3643358960498074E-20</v>
      </c>
      <c r="AO53" s="100">
        <v>4.3643358960498074E-20</v>
      </c>
      <c r="AP53" s="100">
        <v>4.3643358960498074E-20</v>
      </c>
      <c r="AQ53" s="100">
        <v>5.4554198700622588E-20</v>
      </c>
      <c r="AR53" s="100">
        <v>5.4554198700622588E-20</v>
      </c>
      <c r="AS53" s="100">
        <v>5.4554198700622588E-20</v>
      </c>
      <c r="AT53" s="100">
        <v>5.4554198700622588E-20</v>
      </c>
      <c r="AU53" s="100">
        <v>6.5465038440747108E-20</v>
      </c>
      <c r="AV53" s="100">
        <v>6.5465038440747108E-20</v>
      </c>
      <c r="AW53" s="100">
        <v>6.5465038440747108E-20</v>
      </c>
      <c r="AX53" s="100">
        <v>6.5465038440747108E-20</v>
      </c>
    </row>
    <row r="55" spans="2:51">
      <c r="B55" s="174" t="s">
        <v>326</v>
      </c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</row>
    <row r="56" spans="2:51">
      <c r="B56" s="105" t="s">
        <v>274</v>
      </c>
      <c r="C56" s="105" t="s">
        <v>92</v>
      </c>
      <c r="D56" s="101"/>
      <c r="E56" s="101"/>
      <c r="F56" s="101"/>
      <c r="G56" s="105" t="s">
        <v>93</v>
      </c>
      <c r="H56" s="101"/>
      <c r="I56" s="101"/>
      <c r="J56" s="101"/>
      <c r="K56" s="105" t="s">
        <v>94</v>
      </c>
      <c r="L56" s="101"/>
      <c r="M56" s="101"/>
      <c r="N56" s="101"/>
      <c r="O56" s="105" t="s">
        <v>95</v>
      </c>
      <c r="P56" s="101"/>
      <c r="Q56" s="101"/>
      <c r="R56" s="101"/>
      <c r="S56" s="105" t="s">
        <v>96</v>
      </c>
      <c r="T56" s="101"/>
      <c r="U56" s="101"/>
      <c r="V56" s="101"/>
      <c r="W56" s="105" t="s">
        <v>97</v>
      </c>
      <c r="X56" s="101"/>
      <c r="Y56" s="101"/>
      <c r="Z56" s="101"/>
      <c r="AA56" s="105" t="s">
        <v>98</v>
      </c>
      <c r="AB56" s="101"/>
      <c r="AC56" s="101"/>
      <c r="AD56" s="101"/>
      <c r="AE56" s="105" t="s">
        <v>99</v>
      </c>
      <c r="AF56" s="101"/>
      <c r="AG56" s="101"/>
      <c r="AH56" s="101"/>
      <c r="AI56" s="105" t="s">
        <v>100</v>
      </c>
      <c r="AJ56" s="101"/>
      <c r="AK56" s="101"/>
      <c r="AL56" s="101"/>
      <c r="AM56" s="105" t="s">
        <v>101</v>
      </c>
      <c r="AN56" s="101"/>
      <c r="AO56" s="101"/>
      <c r="AP56" s="101"/>
      <c r="AQ56" s="105" t="s">
        <v>102</v>
      </c>
      <c r="AR56" s="101"/>
      <c r="AS56" s="101"/>
      <c r="AT56" s="101"/>
      <c r="AU56" s="105" t="s">
        <v>103</v>
      </c>
      <c r="AV56" s="101"/>
      <c r="AW56" s="101"/>
    </row>
    <row r="57" spans="2:51">
      <c r="B57" s="105" t="s">
        <v>325</v>
      </c>
      <c r="C57" s="105">
        <v>1</v>
      </c>
      <c r="D57" s="105">
        <v>2</v>
      </c>
      <c r="E57" s="105">
        <v>3</v>
      </c>
      <c r="F57" s="105">
        <v>4</v>
      </c>
      <c r="G57" s="105">
        <v>1</v>
      </c>
      <c r="H57" s="105">
        <v>2</v>
      </c>
      <c r="I57" s="105">
        <v>3</v>
      </c>
      <c r="J57" s="105">
        <v>4</v>
      </c>
      <c r="K57" s="105">
        <v>1</v>
      </c>
      <c r="L57" s="105">
        <v>2</v>
      </c>
      <c r="M57" s="105">
        <v>3</v>
      </c>
      <c r="N57" s="105">
        <v>4</v>
      </c>
      <c r="O57" s="105">
        <v>1</v>
      </c>
      <c r="P57" s="105">
        <v>2</v>
      </c>
      <c r="Q57" s="105">
        <v>3</v>
      </c>
      <c r="R57" s="105">
        <v>4</v>
      </c>
      <c r="S57" s="105">
        <v>1</v>
      </c>
      <c r="T57" s="105">
        <v>2</v>
      </c>
      <c r="U57" s="105">
        <v>3</v>
      </c>
      <c r="V57" s="105">
        <v>4</v>
      </c>
      <c r="W57" s="105">
        <v>1</v>
      </c>
      <c r="X57" s="105">
        <v>2</v>
      </c>
      <c r="Y57" s="105">
        <v>3</v>
      </c>
      <c r="Z57" s="105">
        <v>4</v>
      </c>
      <c r="AA57" s="105">
        <v>1</v>
      </c>
      <c r="AB57" s="105">
        <v>2</v>
      </c>
      <c r="AC57" s="105">
        <v>3</v>
      </c>
      <c r="AD57" s="105">
        <v>4</v>
      </c>
      <c r="AE57" s="105">
        <v>1</v>
      </c>
      <c r="AF57" s="105">
        <v>2</v>
      </c>
      <c r="AG57" s="105">
        <v>3</v>
      </c>
      <c r="AH57" s="105">
        <v>4</v>
      </c>
      <c r="AI57" s="105">
        <v>1</v>
      </c>
      <c r="AJ57" s="105">
        <v>2</v>
      </c>
      <c r="AK57" s="105">
        <v>3</v>
      </c>
      <c r="AL57" s="105">
        <v>4</v>
      </c>
      <c r="AM57" s="105">
        <v>1</v>
      </c>
      <c r="AN57" s="105">
        <v>2</v>
      </c>
      <c r="AO57" s="105">
        <v>3</v>
      </c>
      <c r="AP57" s="105">
        <v>4</v>
      </c>
      <c r="AQ57" s="105">
        <v>1</v>
      </c>
      <c r="AR57" s="105">
        <v>2</v>
      </c>
      <c r="AS57" s="105">
        <v>3</v>
      </c>
      <c r="AT57" s="105">
        <v>4</v>
      </c>
      <c r="AU57" s="105">
        <v>1</v>
      </c>
      <c r="AV57" s="105">
        <v>2</v>
      </c>
      <c r="AW57" s="105">
        <v>3</v>
      </c>
      <c r="AX57" s="105">
        <v>4</v>
      </c>
    </row>
    <row r="58" spans="2:51">
      <c r="B58" s="105" t="s">
        <v>104</v>
      </c>
      <c r="C58" s="100">
        <v>3873229.9726204649</v>
      </c>
      <c r="D58" s="100">
        <v>3873229.9726204649</v>
      </c>
      <c r="E58" s="100">
        <v>3873229.9726204649</v>
      </c>
      <c r="F58" s="100">
        <v>3873229.9726204649</v>
      </c>
      <c r="G58" s="100">
        <v>3227052.2552830786</v>
      </c>
      <c r="H58" s="100">
        <v>3227052.2552830786</v>
      </c>
      <c r="I58" s="100">
        <v>3227052.2552830786</v>
      </c>
      <c r="J58" s="100">
        <v>3227052.2552830786</v>
      </c>
      <c r="K58" s="100">
        <v>3534831.1045034039</v>
      </c>
      <c r="L58" s="100">
        <v>3534831.1045034039</v>
      </c>
      <c r="M58" s="100">
        <v>3534831.1045034039</v>
      </c>
      <c r="N58" s="100">
        <v>3534831.1045034039</v>
      </c>
      <c r="O58" s="100">
        <v>3372027.423863092</v>
      </c>
      <c r="P58" s="100">
        <v>3372027.423863092</v>
      </c>
      <c r="Q58" s="100">
        <v>3372027.423863092</v>
      </c>
      <c r="R58" s="100">
        <v>3372027.423863092</v>
      </c>
      <c r="S58" s="100">
        <v>3779026.9561727508</v>
      </c>
      <c r="T58" s="100">
        <v>3779026.9561727508</v>
      </c>
      <c r="U58" s="100">
        <v>3779026.9561727508</v>
      </c>
      <c r="V58" s="100">
        <v>3779026.9561727508</v>
      </c>
      <c r="W58" s="100">
        <v>4065356.2549892375</v>
      </c>
      <c r="X58" s="100">
        <v>4065356.2549892375</v>
      </c>
      <c r="Y58" s="100">
        <v>4065356.2549892375</v>
      </c>
      <c r="Z58" s="100">
        <v>4065356.2549892375</v>
      </c>
      <c r="AA58" s="100">
        <v>4072220.1504090768</v>
      </c>
      <c r="AB58" s="100">
        <v>4072220.1504090768</v>
      </c>
      <c r="AC58" s="100">
        <v>4072220.1504090768</v>
      </c>
      <c r="AD58" s="100">
        <v>4072220.1504090768</v>
      </c>
      <c r="AE58" s="100">
        <v>3228395.5084615666</v>
      </c>
      <c r="AF58" s="100">
        <v>3228395.5084615666</v>
      </c>
      <c r="AG58" s="100">
        <v>3228395.5084615666</v>
      </c>
      <c r="AH58" s="100">
        <v>3228395.5084615666</v>
      </c>
      <c r="AI58" s="100">
        <v>3532775.8343580961</v>
      </c>
      <c r="AJ58" s="100">
        <v>3532775.8343580961</v>
      </c>
      <c r="AK58" s="100">
        <v>3532775.8343580961</v>
      </c>
      <c r="AL58" s="100">
        <v>3532775.8343580961</v>
      </c>
      <c r="AM58" s="100">
        <v>3318170.5637416341</v>
      </c>
      <c r="AN58" s="100">
        <v>3318170.5637416341</v>
      </c>
      <c r="AO58" s="100">
        <v>3318170.5637416341</v>
      </c>
      <c r="AP58" s="100">
        <v>3318170.5637416341</v>
      </c>
      <c r="AQ58" s="100">
        <v>3290131.8207942611</v>
      </c>
      <c r="AR58" s="100">
        <v>3290131.8207942611</v>
      </c>
      <c r="AS58" s="100">
        <v>3290131.8207942611</v>
      </c>
      <c r="AT58" s="100">
        <v>3290131.8207942611</v>
      </c>
      <c r="AU58" s="100">
        <v>3618021.3956037224</v>
      </c>
      <c r="AV58" s="100">
        <v>3618021.3956037224</v>
      </c>
      <c r="AW58" s="100">
        <v>3618021.3956037224</v>
      </c>
      <c r="AX58" s="100">
        <v>3618021.3956037224</v>
      </c>
    </row>
    <row r="59" spans="2:51">
      <c r="B59" s="105" t="s">
        <v>105</v>
      </c>
      <c r="C59" s="100">
        <v>0</v>
      </c>
      <c r="D59" s="100">
        <v>0</v>
      </c>
      <c r="E59" s="100">
        <v>0</v>
      </c>
      <c r="F59" s="100">
        <v>0</v>
      </c>
      <c r="G59" s="100">
        <v>3.5886959776056738E-17</v>
      </c>
      <c r="H59" s="100">
        <v>3.5886959776056738E-17</v>
      </c>
      <c r="I59" s="100">
        <v>3.5886959776056738E-17</v>
      </c>
      <c r="J59" s="100">
        <v>3.5886959776056738E-17</v>
      </c>
      <c r="K59" s="100">
        <v>3.5723096771635957E-17</v>
      </c>
      <c r="L59" s="100">
        <v>3.5723096771635957E-17</v>
      </c>
      <c r="M59" s="100">
        <v>3.5723096771635957E-17</v>
      </c>
      <c r="N59" s="100">
        <v>3.5723096771635957E-17</v>
      </c>
      <c r="O59" s="100">
        <v>3.7530706171819039E-17</v>
      </c>
      <c r="P59" s="100">
        <v>3.7530706171819039E-17</v>
      </c>
      <c r="Q59" s="100">
        <v>3.7530706171819039E-17</v>
      </c>
      <c r="R59" s="100">
        <v>3.7530706171819039E-17</v>
      </c>
      <c r="S59" s="100">
        <v>3.7476048143511383E-17</v>
      </c>
      <c r="T59" s="100">
        <v>3.7476048143511383E-17</v>
      </c>
      <c r="U59" s="100">
        <v>3.7476048143511383E-17</v>
      </c>
      <c r="V59" s="100">
        <v>3.7476048143511383E-17</v>
      </c>
      <c r="W59" s="100">
        <v>3.4211681844508102E-17</v>
      </c>
      <c r="X59" s="100">
        <v>3.4211681844508102E-17</v>
      </c>
      <c r="Y59" s="100">
        <v>3.4211681844508102E-17</v>
      </c>
      <c r="Z59" s="100">
        <v>3.4211681844508102E-17</v>
      </c>
      <c r="AA59" s="100">
        <v>3.8470227732294504E-17</v>
      </c>
      <c r="AB59" s="100">
        <v>3.8470227732294504E-17</v>
      </c>
      <c r="AC59" s="100">
        <v>3.8470227732294504E-17</v>
      </c>
      <c r="AD59" s="100">
        <v>3.8470227732294504E-17</v>
      </c>
      <c r="AE59" s="100">
        <v>3.6170378623666376E-17</v>
      </c>
      <c r="AF59" s="100">
        <v>3.6170378623666376E-17</v>
      </c>
      <c r="AG59" s="100">
        <v>3.6170378623666376E-17</v>
      </c>
      <c r="AH59" s="100">
        <v>3.6170378623666376E-17</v>
      </c>
      <c r="AI59" s="100">
        <v>3.7615039420675596E-17</v>
      </c>
      <c r="AJ59" s="100">
        <v>3.7615039420675596E-17</v>
      </c>
      <c r="AK59" s="100">
        <v>3.7615039420675596E-17</v>
      </c>
      <c r="AL59" s="100">
        <v>3.7615039420675596E-17</v>
      </c>
      <c r="AM59" s="100">
        <v>3.9309292657228855E-17</v>
      </c>
      <c r="AN59" s="100">
        <v>3.9309292657228855E-17</v>
      </c>
      <c r="AO59" s="100">
        <v>3.9309292657228855E-17</v>
      </c>
      <c r="AP59" s="100">
        <v>3.9309292657228855E-17</v>
      </c>
      <c r="AQ59" s="100">
        <v>4.0302831275392617E-17</v>
      </c>
      <c r="AR59" s="100">
        <v>4.0302831275392617E-17</v>
      </c>
      <c r="AS59" s="100">
        <v>4.0302831275392617E-17</v>
      </c>
      <c r="AT59" s="100">
        <v>4.0302831275392617E-17</v>
      </c>
      <c r="AU59" s="100">
        <v>3.8348370929731342E-17</v>
      </c>
      <c r="AV59" s="100">
        <v>3.8348370929731342E-17</v>
      </c>
      <c r="AW59" s="100">
        <v>3.8348370929731342E-17</v>
      </c>
      <c r="AX59" s="100">
        <v>3.8348370929731342E-17</v>
      </c>
    </row>
    <row r="60" spans="2:51">
      <c r="B60" s="105" t="s">
        <v>106</v>
      </c>
      <c r="C60" s="100">
        <v>191874.92598572932</v>
      </c>
      <c r="D60" s="100">
        <v>191874.92598572932</v>
      </c>
      <c r="E60" s="100">
        <v>191874.92598572932</v>
      </c>
      <c r="F60" s="100">
        <v>191874.92598572932</v>
      </c>
      <c r="G60" s="100">
        <v>199986.06145617511</v>
      </c>
      <c r="H60" s="100">
        <v>199986.06145617511</v>
      </c>
      <c r="I60" s="100">
        <v>199986.06145617511</v>
      </c>
      <c r="J60" s="100">
        <v>199986.06145617511</v>
      </c>
      <c r="K60" s="100">
        <v>212876.34888118936</v>
      </c>
      <c r="L60" s="100">
        <v>212876.34888118936</v>
      </c>
      <c r="M60" s="100">
        <v>212876.34888118936</v>
      </c>
      <c r="N60" s="100">
        <v>212876.34888118936</v>
      </c>
      <c r="O60" s="100">
        <v>217046.35804502777</v>
      </c>
      <c r="P60" s="100">
        <v>217046.35804502777</v>
      </c>
      <c r="Q60" s="100">
        <v>217046.35804502777</v>
      </c>
      <c r="R60" s="100">
        <v>217046.35804502777</v>
      </c>
      <c r="S60" s="100">
        <v>217901.78256368096</v>
      </c>
      <c r="T60" s="100">
        <v>217901.78256368096</v>
      </c>
      <c r="U60" s="100">
        <v>217901.78256368096</v>
      </c>
      <c r="V60" s="100">
        <v>217901.78256368096</v>
      </c>
      <c r="W60" s="100">
        <v>197680.9126680874</v>
      </c>
      <c r="X60" s="100">
        <v>197680.9126680874</v>
      </c>
      <c r="Y60" s="100">
        <v>197680.9126680874</v>
      </c>
      <c r="Z60" s="100">
        <v>197680.9126680874</v>
      </c>
      <c r="AA60" s="100">
        <v>193099.99986425214</v>
      </c>
      <c r="AB60" s="100">
        <v>193099.99986425214</v>
      </c>
      <c r="AC60" s="100">
        <v>193099.99986425214</v>
      </c>
      <c r="AD60" s="100">
        <v>193099.99986425214</v>
      </c>
      <c r="AE60" s="100">
        <v>199133.67555449379</v>
      </c>
      <c r="AF60" s="100">
        <v>199133.67555449379</v>
      </c>
      <c r="AG60" s="100">
        <v>199133.67555449379</v>
      </c>
      <c r="AH60" s="100">
        <v>199133.67555449379</v>
      </c>
      <c r="AI60" s="100">
        <v>227767.64398497588</v>
      </c>
      <c r="AJ60" s="100">
        <v>227767.64398497588</v>
      </c>
      <c r="AK60" s="100">
        <v>227767.64398497588</v>
      </c>
      <c r="AL60" s="100">
        <v>227767.64398497588</v>
      </c>
      <c r="AM60" s="100">
        <v>197693.19278924767</v>
      </c>
      <c r="AN60" s="100">
        <v>197693.19278924767</v>
      </c>
      <c r="AO60" s="100">
        <v>197693.19278924767</v>
      </c>
      <c r="AP60" s="100">
        <v>197693.19278924767</v>
      </c>
      <c r="AQ60" s="100">
        <v>223316.18788980448</v>
      </c>
      <c r="AR60" s="100">
        <v>223316.18788980448</v>
      </c>
      <c r="AS60" s="100">
        <v>223316.18788980448</v>
      </c>
      <c r="AT60" s="100">
        <v>223316.18788980448</v>
      </c>
      <c r="AU60" s="100">
        <v>201991.01806558078</v>
      </c>
      <c r="AV60" s="100">
        <v>201991.01806558078</v>
      </c>
      <c r="AW60" s="100">
        <v>201991.01806558078</v>
      </c>
      <c r="AX60" s="100">
        <v>201991.01806558078</v>
      </c>
    </row>
    <row r="61" spans="2:51">
      <c r="B61" s="105" t="s">
        <v>107</v>
      </c>
      <c r="C61" s="100">
        <v>1152609.064117329</v>
      </c>
      <c r="D61" s="100">
        <v>1152609.064117329</v>
      </c>
      <c r="E61" s="100">
        <v>1152609.064117329</v>
      </c>
      <c r="F61" s="100">
        <v>1152609.064117329</v>
      </c>
      <c r="G61" s="100">
        <v>1124010.3895787222</v>
      </c>
      <c r="H61" s="100">
        <v>1124010.3895787222</v>
      </c>
      <c r="I61" s="100">
        <v>1124010.3895787222</v>
      </c>
      <c r="J61" s="100">
        <v>1124010.3895787222</v>
      </c>
      <c r="K61" s="100">
        <v>1141515.4319427274</v>
      </c>
      <c r="L61" s="100">
        <v>1141515.4319427274</v>
      </c>
      <c r="M61" s="100">
        <v>1141515.4319427274</v>
      </c>
      <c r="N61" s="100">
        <v>1141515.4319427274</v>
      </c>
      <c r="O61" s="100">
        <v>1166756.4917069501</v>
      </c>
      <c r="P61" s="100">
        <v>1166756.4917069501</v>
      </c>
      <c r="Q61" s="100">
        <v>1166756.4917069501</v>
      </c>
      <c r="R61" s="100">
        <v>1166756.4917069501</v>
      </c>
      <c r="S61" s="100">
        <v>1082508.2222251208</v>
      </c>
      <c r="T61" s="100">
        <v>1082508.2222251208</v>
      </c>
      <c r="U61" s="100">
        <v>1082508.2222251208</v>
      </c>
      <c r="V61" s="100">
        <v>1082508.2222251208</v>
      </c>
      <c r="W61" s="100">
        <v>1137070.8349729711</v>
      </c>
      <c r="X61" s="100">
        <v>1137070.8349729711</v>
      </c>
      <c r="Y61" s="100">
        <v>1137070.8349729711</v>
      </c>
      <c r="Z61" s="100">
        <v>1137070.8349729711</v>
      </c>
      <c r="AA61" s="100">
        <v>1085404.0606685083</v>
      </c>
      <c r="AB61" s="100">
        <v>1085404.0606685083</v>
      </c>
      <c r="AC61" s="100">
        <v>1085404.0606685083</v>
      </c>
      <c r="AD61" s="100">
        <v>1085404.0606685083</v>
      </c>
      <c r="AE61" s="100">
        <v>1207512.1492350935</v>
      </c>
      <c r="AF61" s="100">
        <v>1207512.1492350935</v>
      </c>
      <c r="AG61" s="100">
        <v>1207512.1492350935</v>
      </c>
      <c r="AH61" s="100">
        <v>1207512.1492350935</v>
      </c>
      <c r="AI61" s="100">
        <v>1180548.8172769432</v>
      </c>
      <c r="AJ61" s="100">
        <v>1180548.8172769432</v>
      </c>
      <c r="AK61" s="100">
        <v>1180548.8172769432</v>
      </c>
      <c r="AL61" s="100">
        <v>1180548.8172769432</v>
      </c>
      <c r="AM61" s="100">
        <v>1076827.1387989479</v>
      </c>
      <c r="AN61" s="100">
        <v>1076827.1387989479</v>
      </c>
      <c r="AO61" s="100">
        <v>1076827.1387989479</v>
      </c>
      <c r="AP61" s="100">
        <v>1076827.1387989479</v>
      </c>
      <c r="AQ61" s="100">
        <v>1075883.5121832266</v>
      </c>
      <c r="AR61" s="100">
        <v>1075883.5121832266</v>
      </c>
      <c r="AS61" s="100">
        <v>1075883.5121832266</v>
      </c>
      <c r="AT61" s="100">
        <v>1075883.5121832266</v>
      </c>
      <c r="AU61" s="100">
        <v>1090995.9250927614</v>
      </c>
      <c r="AV61" s="100">
        <v>1090995.9250927614</v>
      </c>
      <c r="AW61" s="100">
        <v>1090995.9250927614</v>
      </c>
      <c r="AX61" s="100">
        <v>1090995.9250927614</v>
      </c>
    </row>
    <row r="62" spans="2:51">
      <c r="B62" s="105" t="s">
        <v>108</v>
      </c>
      <c r="C62" s="100">
        <v>1.3028010315736201E-16</v>
      </c>
      <c r="D62" s="100">
        <v>1.3028010315736201E-16</v>
      </c>
      <c r="E62" s="100">
        <v>1.3028010315736201E-16</v>
      </c>
      <c r="F62" s="100">
        <v>1.3028010315736201E-16</v>
      </c>
      <c r="G62" s="100">
        <v>0</v>
      </c>
      <c r="H62" s="100">
        <v>0</v>
      </c>
      <c r="I62" s="100">
        <v>0</v>
      </c>
      <c r="J62" s="100">
        <v>0</v>
      </c>
      <c r="K62" s="100">
        <v>0</v>
      </c>
      <c r="L62" s="100">
        <v>0</v>
      </c>
      <c r="M62" s="100">
        <v>0</v>
      </c>
      <c r="N62" s="100">
        <v>0</v>
      </c>
      <c r="O62" s="100">
        <v>0</v>
      </c>
      <c r="P62" s="100">
        <v>0</v>
      </c>
      <c r="Q62" s="100">
        <v>0</v>
      </c>
      <c r="R62" s="100">
        <v>0</v>
      </c>
      <c r="S62" s="100">
        <v>0</v>
      </c>
      <c r="T62" s="100">
        <v>0</v>
      </c>
      <c r="U62" s="100">
        <v>0</v>
      </c>
      <c r="V62" s="100">
        <v>0</v>
      </c>
      <c r="W62" s="100">
        <v>0</v>
      </c>
      <c r="X62" s="100">
        <v>0</v>
      </c>
      <c r="Y62" s="100">
        <v>0</v>
      </c>
      <c r="Z62" s="100">
        <v>0</v>
      </c>
      <c r="AA62" s="100">
        <v>0</v>
      </c>
      <c r="AB62" s="100">
        <v>0</v>
      </c>
      <c r="AC62" s="100">
        <v>0</v>
      </c>
      <c r="AD62" s="100">
        <v>0</v>
      </c>
      <c r="AE62" s="100">
        <v>0</v>
      </c>
      <c r="AF62" s="100">
        <v>0</v>
      </c>
      <c r="AG62" s="100">
        <v>0</v>
      </c>
      <c r="AH62" s="100">
        <v>0</v>
      </c>
      <c r="AI62" s="100">
        <v>0</v>
      </c>
      <c r="AJ62" s="100">
        <v>0</v>
      </c>
      <c r="AK62" s="100">
        <v>0</v>
      </c>
      <c r="AL62" s="100">
        <v>0</v>
      </c>
      <c r="AM62" s="100">
        <v>0</v>
      </c>
      <c r="AN62" s="100">
        <v>0</v>
      </c>
      <c r="AO62" s="100">
        <v>0</v>
      </c>
      <c r="AP62" s="100">
        <v>0</v>
      </c>
      <c r="AQ62" s="100">
        <v>0</v>
      </c>
      <c r="AR62" s="100">
        <v>0</v>
      </c>
      <c r="AS62" s="100">
        <v>0</v>
      </c>
      <c r="AT62" s="100">
        <v>0</v>
      </c>
      <c r="AU62" s="100">
        <v>0</v>
      </c>
      <c r="AV62" s="100">
        <v>0</v>
      </c>
      <c r="AW62" s="100">
        <v>0</v>
      </c>
      <c r="AX62" s="100">
        <v>0</v>
      </c>
    </row>
    <row r="63" spans="2:51">
      <c r="B63" s="105" t="s">
        <v>109</v>
      </c>
      <c r="C63" s="100">
        <v>8.5024443844831459E-17</v>
      </c>
      <c r="D63" s="100">
        <v>8.5024443844831459E-17</v>
      </c>
      <c r="E63" s="100">
        <v>8.5024443844831459E-17</v>
      </c>
      <c r="F63" s="100">
        <v>8.5024443844831459E-17</v>
      </c>
      <c r="G63" s="100">
        <v>7.4671484616785305E-17</v>
      </c>
      <c r="H63" s="100">
        <v>7.4671484616785305E-17</v>
      </c>
      <c r="I63" s="100">
        <v>7.4671484616785305E-17</v>
      </c>
      <c r="J63" s="100">
        <v>7.4671484616785305E-17</v>
      </c>
      <c r="K63" s="100">
        <v>7.5867524141359124E-17</v>
      </c>
      <c r="L63" s="100">
        <v>7.5867524141359124E-17</v>
      </c>
      <c r="M63" s="100">
        <v>7.5867524141359124E-17</v>
      </c>
      <c r="N63" s="100">
        <v>7.5867524141359124E-17</v>
      </c>
      <c r="O63" s="100">
        <v>8.5972232298030604E-17</v>
      </c>
      <c r="P63" s="100">
        <v>8.5972232298030604E-17</v>
      </c>
      <c r="Q63" s="100">
        <v>8.5972232298030604E-17</v>
      </c>
      <c r="R63" s="100">
        <v>8.5972232298030604E-17</v>
      </c>
      <c r="S63" s="100">
        <v>7.9845143341043689E-17</v>
      </c>
      <c r="T63" s="100">
        <v>7.9845143341043689E-17</v>
      </c>
      <c r="U63" s="100">
        <v>7.9845143341043689E-17</v>
      </c>
      <c r="V63" s="100">
        <v>7.9845143341043689E-17</v>
      </c>
      <c r="W63" s="100">
        <v>7.6988543150122026E-17</v>
      </c>
      <c r="X63" s="100">
        <v>7.6988543150122026E-17</v>
      </c>
      <c r="Y63" s="100">
        <v>7.6988543150122026E-17</v>
      </c>
      <c r="Z63" s="100">
        <v>7.6988543150122026E-17</v>
      </c>
      <c r="AA63" s="100">
        <v>7.8437885189675846E-17</v>
      </c>
      <c r="AB63" s="100">
        <v>7.8437885189675846E-17</v>
      </c>
      <c r="AC63" s="100">
        <v>7.8437885189675846E-17</v>
      </c>
      <c r="AD63" s="100">
        <v>7.8437885189675846E-17</v>
      </c>
      <c r="AE63" s="100">
        <v>8.9201221961575896E-17</v>
      </c>
      <c r="AF63" s="100">
        <v>8.9201221961575896E-17</v>
      </c>
      <c r="AG63" s="100">
        <v>8.9201221961575896E-17</v>
      </c>
      <c r="AH63" s="100">
        <v>8.9201221961575896E-17</v>
      </c>
      <c r="AI63" s="100">
        <v>7.9348195084513703E-17</v>
      </c>
      <c r="AJ63" s="100">
        <v>7.9348195084513703E-17</v>
      </c>
      <c r="AK63" s="100">
        <v>7.9348195084513703E-17</v>
      </c>
      <c r="AL63" s="100">
        <v>7.9348195084513703E-17</v>
      </c>
      <c r="AM63" s="100">
        <v>6.6090368988470914E-17</v>
      </c>
      <c r="AN63" s="100">
        <v>6.6090368988470914E-17</v>
      </c>
      <c r="AO63" s="100">
        <v>6.6090368988470914E-17</v>
      </c>
      <c r="AP63" s="100">
        <v>6.6090368988470914E-17</v>
      </c>
      <c r="AQ63" s="100">
        <v>7.6452103780945503E-17</v>
      </c>
      <c r="AR63" s="100">
        <v>7.6452103780945503E-17</v>
      </c>
      <c r="AS63" s="100">
        <v>7.6452103780945503E-17</v>
      </c>
      <c r="AT63" s="100">
        <v>7.6452103780945503E-17</v>
      </c>
      <c r="AU63" s="100">
        <v>8.9114455214363343E-17</v>
      </c>
      <c r="AV63" s="100">
        <v>8.9114455214363343E-17</v>
      </c>
      <c r="AW63" s="100">
        <v>8.9114455214363343E-17</v>
      </c>
      <c r="AX63" s="100">
        <v>8.9114455214363343E-17</v>
      </c>
    </row>
    <row r="64" spans="2:51">
      <c r="B64" s="101"/>
    </row>
    <row r="65" spans="1:14">
      <c r="B65" s="104" t="s">
        <v>327</v>
      </c>
    </row>
    <row r="66" spans="1:14">
      <c r="B66" s="99" t="s">
        <v>328</v>
      </c>
      <c r="C66" s="99" t="s">
        <v>92</v>
      </c>
      <c r="D66" s="99" t="s">
        <v>93</v>
      </c>
      <c r="E66" s="99" t="s">
        <v>94</v>
      </c>
      <c r="F66" s="99" t="s">
        <v>95</v>
      </c>
      <c r="G66" s="99" t="s">
        <v>96</v>
      </c>
      <c r="H66" s="99" t="s">
        <v>97</v>
      </c>
      <c r="I66" s="99" t="s">
        <v>98</v>
      </c>
      <c r="J66" s="99" t="s">
        <v>99</v>
      </c>
      <c r="K66" s="99" t="s">
        <v>100</v>
      </c>
      <c r="L66" s="99" t="s">
        <v>101</v>
      </c>
      <c r="M66" s="99" t="s">
        <v>102</v>
      </c>
      <c r="N66" s="99" t="s">
        <v>103</v>
      </c>
    </row>
    <row r="67" spans="1:14">
      <c r="B67" s="99" t="s">
        <v>329</v>
      </c>
      <c r="C67" s="100">
        <v>0.30008018287971877</v>
      </c>
      <c r="D67" s="100">
        <v>0.30008018287971877</v>
      </c>
      <c r="E67" s="100">
        <v>0.30008018287971877</v>
      </c>
      <c r="F67" s="100">
        <v>0.30008018287971877</v>
      </c>
      <c r="G67" s="100">
        <v>0.30008018287971877</v>
      </c>
      <c r="H67" s="100">
        <v>0.30008018287971877</v>
      </c>
      <c r="I67" s="100">
        <v>0.30008018287971877</v>
      </c>
      <c r="J67" s="100">
        <v>0.30008018287971877</v>
      </c>
      <c r="K67" s="100">
        <v>0.30008018287971877</v>
      </c>
      <c r="L67" s="100">
        <v>0.30008018287971877</v>
      </c>
      <c r="M67" s="100">
        <v>0.30008018287971877</v>
      </c>
      <c r="N67" s="100">
        <v>0.30008018287971877</v>
      </c>
    </row>
    <row r="68" spans="1:14">
      <c r="B68" s="99" t="s">
        <v>330</v>
      </c>
      <c r="C68" s="100">
        <v>0.43183075479204008</v>
      </c>
      <c r="D68" s="100">
        <v>0.43183075479204008</v>
      </c>
      <c r="E68" s="100">
        <v>0.43183075479204008</v>
      </c>
      <c r="F68" s="100">
        <v>0.43183075479204008</v>
      </c>
      <c r="G68" s="100">
        <v>0.43183075479204008</v>
      </c>
      <c r="H68" s="100">
        <v>0.43183075479204008</v>
      </c>
      <c r="I68" s="100">
        <v>0.43183075479204008</v>
      </c>
      <c r="J68" s="100">
        <v>0.43183075479204008</v>
      </c>
      <c r="K68" s="100">
        <v>0.43183075479204008</v>
      </c>
      <c r="L68" s="100">
        <v>0.43183075479204008</v>
      </c>
      <c r="M68" s="100">
        <v>0.43183075479204008</v>
      </c>
      <c r="N68" s="100">
        <v>0.43183075479204008</v>
      </c>
    </row>
    <row r="70" spans="1:14">
      <c r="B70" s="104" t="s">
        <v>331</v>
      </c>
    </row>
    <row r="71" spans="1:14">
      <c r="A71" s="105" t="s">
        <v>121</v>
      </c>
      <c r="B71" s="105" t="s">
        <v>332</v>
      </c>
      <c r="C71" s="105" t="s">
        <v>22</v>
      </c>
      <c r="D71" s="105" t="s">
        <v>46</v>
      </c>
      <c r="E71" s="105" t="s">
        <v>59</v>
      </c>
    </row>
    <row r="72" spans="1:14">
      <c r="A72" s="105" t="s">
        <v>104</v>
      </c>
      <c r="B72" s="105" t="s">
        <v>92</v>
      </c>
      <c r="C72" s="100">
        <v>20.005148481727272</v>
      </c>
      <c r="D72" s="100">
        <v>42.888074799245423</v>
      </c>
      <c r="E72" s="100">
        <v>74.102800195692467</v>
      </c>
    </row>
    <row r="73" spans="1:14">
      <c r="B73" s="105" t="s">
        <v>93</v>
      </c>
      <c r="C73" s="100">
        <v>20.005148481727272</v>
      </c>
      <c r="D73" s="100">
        <v>42.888074799245423</v>
      </c>
      <c r="E73" s="100">
        <v>74.102800195692467</v>
      </c>
    </row>
    <row r="74" spans="1:14">
      <c r="B74" s="105" t="s">
        <v>94</v>
      </c>
      <c r="C74" s="100">
        <v>20.005148481727272</v>
      </c>
      <c r="D74" s="100">
        <v>42.888074799245423</v>
      </c>
      <c r="E74" s="100">
        <v>74.102800195692467</v>
      </c>
    </row>
    <row r="75" spans="1:14">
      <c r="B75" s="105" t="s">
        <v>95</v>
      </c>
      <c r="C75" s="100">
        <v>20.005148481727272</v>
      </c>
      <c r="D75" s="100">
        <v>42.888074799245423</v>
      </c>
      <c r="E75" s="100">
        <v>74.102800195692467</v>
      </c>
    </row>
    <row r="76" spans="1:14">
      <c r="B76" s="105" t="s">
        <v>96</v>
      </c>
      <c r="C76" s="100">
        <v>20.005148481727272</v>
      </c>
      <c r="D76" s="100">
        <v>42.888074799245423</v>
      </c>
      <c r="E76" s="100">
        <v>74.102800195692467</v>
      </c>
    </row>
    <row r="77" spans="1:14">
      <c r="B77" s="105" t="s">
        <v>97</v>
      </c>
      <c r="C77" s="100">
        <v>20.005148481727272</v>
      </c>
      <c r="D77" s="100">
        <v>42.888074799245423</v>
      </c>
      <c r="E77" s="100">
        <v>74.102800195692467</v>
      </c>
    </row>
    <row r="78" spans="1:14">
      <c r="B78" s="105" t="s">
        <v>98</v>
      </c>
      <c r="C78" s="100">
        <v>20.005148481727272</v>
      </c>
      <c r="D78" s="100">
        <v>42.888074799245423</v>
      </c>
      <c r="E78" s="100">
        <v>74.102800195692467</v>
      </c>
    </row>
    <row r="79" spans="1:14">
      <c r="B79" s="105" t="s">
        <v>99</v>
      </c>
      <c r="C79" s="100">
        <v>20.005148481727272</v>
      </c>
      <c r="D79" s="100">
        <v>42.888074799245423</v>
      </c>
      <c r="E79" s="100">
        <v>74.102800195692467</v>
      </c>
    </row>
    <row r="80" spans="1:14">
      <c r="B80" s="105" t="s">
        <v>100</v>
      </c>
      <c r="C80" s="100">
        <v>20.005148481727272</v>
      </c>
      <c r="D80" s="100">
        <v>42.888074799245423</v>
      </c>
      <c r="E80" s="100">
        <v>74.102800195692467</v>
      </c>
    </row>
    <row r="81" spans="2:50">
      <c r="B81" s="105" t="s">
        <v>101</v>
      </c>
      <c r="C81" s="100">
        <v>20.005148481727272</v>
      </c>
      <c r="D81" s="100">
        <v>42.888074799245423</v>
      </c>
      <c r="E81" s="100">
        <v>74.102800195692467</v>
      </c>
    </row>
    <row r="82" spans="2:50">
      <c r="B82" s="105" t="s">
        <v>102</v>
      </c>
      <c r="C82" s="100">
        <v>20.005148481727272</v>
      </c>
      <c r="D82" s="100">
        <v>42.888074799245423</v>
      </c>
      <c r="E82" s="100">
        <v>74.102800195692467</v>
      </c>
    </row>
    <row r="83" spans="2:50">
      <c r="B83" s="105" t="s">
        <v>103</v>
      </c>
      <c r="C83" s="100">
        <v>20.005148481727272</v>
      </c>
      <c r="D83" s="100">
        <v>42.888074799245423</v>
      </c>
      <c r="E83" s="100">
        <v>74.102800195692467</v>
      </c>
    </row>
    <row r="85" spans="2:50">
      <c r="B85" s="103" t="s">
        <v>333</v>
      </c>
    </row>
    <row r="86" spans="2:50">
      <c r="B86" s="99" t="s">
        <v>274</v>
      </c>
      <c r="C86" s="99" t="s">
        <v>92</v>
      </c>
      <c r="D86" s="101"/>
      <c r="E86" s="101"/>
      <c r="F86" s="101"/>
      <c r="G86" s="99" t="s">
        <v>93</v>
      </c>
      <c r="H86" s="101"/>
      <c r="I86" s="101"/>
      <c r="J86" s="101"/>
      <c r="K86" s="99" t="s">
        <v>94</v>
      </c>
      <c r="L86" s="101"/>
      <c r="M86" s="101"/>
      <c r="N86" s="101"/>
      <c r="O86" s="99" t="s">
        <v>95</v>
      </c>
      <c r="P86" s="101"/>
      <c r="Q86" s="101"/>
      <c r="R86" s="101"/>
      <c r="S86" s="99" t="s">
        <v>96</v>
      </c>
      <c r="T86" s="101"/>
      <c r="U86" s="101"/>
      <c r="V86" s="101"/>
      <c r="W86" s="99" t="s">
        <v>97</v>
      </c>
      <c r="X86" s="101"/>
      <c r="Y86" s="101"/>
      <c r="Z86" s="101"/>
      <c r="AA86" s="99" t="s">
        <v>98</v>
      </c>
      <c r="AB86" s="101"/>
      <c r="AC86" s="101"/>
      <c r="AD86" s="101"/>
      <c r="AE86" s="99" t="s">
        <v>99</v>
      </c>
      <c r="AF86" s="101"/>
      <c r="AG86" s="101"/>
      <c r="AH86" s="101"/>
      <c r="AI86" s="99" t="s">
        <v>100</v>
      </c>
      <c r="AJ86" s="101"/>
      <c r="AK86" s="101"/>
      <c r="AL86" s="101"/>
      <c r="AM86" s="99" t="s">
        <v>101</v>
      </c>
      <c r="AN86" s="101"/>
      <c r="AO86" s="101"/>
      <c r="AP86" s="101"/>
      <c r="AQ86" s="99" t="s">
        <v>102</v>
      </c>
      <c r="AR86" s="101"/>
      <c r="AS86" s="101"/>
      <c r="AT86" s="101"/>
      <c r="AU86" s="99" t="s">
        <v>103</v>
      </c>
      <c r="AV86" s="101"/>
      <c r="AW86" s="101"/>
    </row>
    <row r="87" spans="2:50">
      <c r="B87" s="99" t="s">
        <v>334</v>
      </c>
      <c r="C87" s="99">
        <v>1</v>
      </c>
      <c r="D87" s="99">
        <v>2</v>
      </c>
      <c r="E87" s="99">
        <v>3</v>
      </c>
      <c r="F87" s="99">
        <v>4</v>
      </c>
      <c r="G87" s="99">
        <v>1</v>
      </c>
      <c r="H87" s="99">
        <v>2</v>
      </c>
      <c r="I87" s="99">
        <v>3</v>
      </c>
      <c r="J87" s="99">
        <v>4</v>
      </c>
      <c r="K87" s="99">
        <v>1</v>
      </c>
      <c r="L87" s="99">
        <v>2</v>
      </c>
      <c r="M87" s="99">
        <v>3</v>
      </c>
      <c r="N87" s="99">
        <v>4</v>
      </c>
      <c r="O87" s="99">
        <v>1</v>
      </c>
      <c r="P87" s="99">
        <v>2</v>
      </c>
      <c r="Q87" s="99">
        <v>3</v>
      </c>
      <c r="R87" s="99">
        <v>4</v>
      </c>
      <c r="S87" s="99">
        <v>1</v>
      </c>
      <c r="T87" s="99">
        <v>2</v>
      </c>
      <c r="U87" s="99">
        <v>3</v>
      </c>
      <c r="V87" s="99">
        <v>4</v>
      </c>
      <c r="W87" s="99">
        <v>1</v>
      </c>
      <c r="X87" s="99">
        <v>2</v>
      </c>
      <c r="Y87" s="99">
        <v>3</v>
      </c>
      <c r="Z87" s="99">
        <v>4</v>
      </c>
      <c r="AA87" s="99">
        <v>1</v>
      </c>
      <c r="AB87" s="99">
        <v>2</v>
      </c>
      <c r="AC87" s="99">
        <v>3</v>
      </c>
      <c r="AD87" s="99">
        <v>4</v>
      </c>
      <c r="AE87" s="99">
        <v>1</v>
      </c>
      <c r="AF87" s="99">
        <v>2</v>
      </c>
      <c r="AG87" s="99">
        <v>3</v>
      </c>
      <c r="AH87" s="99">
        <v>4</v>
      </c>
      <c r="AI87" s="99">
        <v>1</v>
      </c>
      <c r="AJ87" s="99">
        <v>2</v>
      </c>
      <c r="AK87" s="99">
        <v>3</v>
      </c>
      <c r="AL87" s="99">
        <v>4</v>
      </c>
      <c r="AM87" s="99">
        <v>1</v>
      </c>
      <c r="AN87" s="99">
        <v>2</v>
      </c>
      <c r="AO87" s="99">
        <v>3</v>
      </c>
      <c r="AP87" s="99">
        <v>4</v>
      </c>
      <c r="AQ87" s="99">
        <v>1</v>
      </c>
      <c r="AR87" s="99">
        <v>2</v>
      </c>
      <c r="AS87" s="99">
        <v>3</v>
      </c>
      <c r="AT87" s="99">
        <v>4</v>
      </c>
      <c r="AU87" s="99">
        <v>1</v>
      </c>
      <c r="AV87" s="99">
        <v>2</v>
      </c>
      <c r="AW87" s="99">
        <v>3</v>
      </c>
      <c r="AX87" s="99">
        <v>4</v>
      </c>
    </row>
    <row r="88" spans="2:50">
      <c r="B88" s="99" t="s">
        <v>104</v>
      </c>
      <c r="C88" s="100">
        <f>C48+$C$67/4</f>
        <v>2679.6917622060082</v>
      </c>
      <c r="D88" s="100">
        <f>D48+$C$67/4</f>
        <v>2679.6917622060082</v>
      </c>
      <c r="E88" s="100">
        <f>E48+$C$67/4</f>
        <v>2679.6917622060082</v>
      </c>
      <c r="F88" s="100">
        <f>F48+$C$67/4</f>
        <v>2679.6917622060082</v>
      </c>
      <c r="G88" s="100">
        <f>G48+$D$67/4</f>
        <v>2679.6917622060082</v>
      </c>
      <c r="H88" s="100">
        <f>H48+$D$67/4</f>
        <v>2679.6917622060082</v>
      </c>
      <c r="I88" s="100">
        <f>I48+$D$67/4</f>
        <v>2679.6917622060082</v>
      </c>
      <c r="J88" s="100">
        <f>J48+$D$67/4</f>
        <v>2679.6917622060082</v>
      </c>
      <c r="K88" s="100">
        <f>K48+$E$67/4</f>
        <v>2679.6917622060082</v>
      </c>
      <c r="L88" s="100">
        <f>L48+$E$67/4</f>
        <v>2679.6917622060082</v>
      </c>
      <c r="M88" s="100">
        <f>M48+$E$67/4</f>
        <v>2679.6917622060082</v>
      </c>
      <c r="N88" s="100">
        <f>N48+$E$67/4</f>
        <v>2679.6917622060082</v>
      </c>
      <c r="O88" s="100">
        <f>O48+$F$67/4</f>
        <v>2143.7684137739507</v>
      </c>
      <c r="P88" s="100">
        <f>P48+$F$67/4</f>
        <v>2143.7684137739507</v>
      </c>
      <c r="Q88" s="100">
        <f>Q48+$F$67/4</f>
        <v>2143.7684137739507</v>
      </c>
      <c r="R88" s="100">
        <f>R48+$F$67/4</f>
        <v>2143.7684137739507</v>
      </c>
      <c r="S88" s="100">
        <f>S48+$G$67/4</f>
        <v>2679.6917622060082</v>
      </c>
      <c r="T88" s="100">
        <f>T48+$G$67/4</f>
        <v>2679.6917622060082</v>
      </c>
      <c r="U88" s="100">
        <f>U48+$G$67/4</f>
        <v>2679.6917622060082</v>
      </c>
      <c r="V88" s="100">
        <f>V48+$G$67/4</f>
        <v>2679.6917622060082</v>
      </c>
      <c r="W88" s="100">
        <f>W48+$H$67/4</f>
        <v>2679.6917622060082</v>
      </c>
      <c r="X88" s="100">
        <f>X48+$H$67/4</f>
        <v>2679.6917622060082</v>
      </c>
      <c r="Y88" s="100">
        <f>Y48+$H$67/4</f>
        <v>2679.6917622060082</v>
      </c>
      <c r="Z88" s="100">
        <f>Z48+$H$67/4</f>
        <v>2679.6917622060082</v>
      </c>
      <c r="AA88" s="100">
        <f>AA48+$I$67/4</f>
        <v>2679.6917622060082</v>
      </c>
      <c r="AB88" s="100">
        <f>AB48+$I$67/4</f>
        <v>2679.6917622060082</v>
      </c>
      <c r="AC88" s="100">
        <f>AC48+$I$67/4</f>
        <v>2679.6917622060082</v>
      </c>
      <c r="AD88" s="100">
        <f>AD48+$I$67/4</f>
        <v>2679.6917622060082</v>
      </c>
      <c r="AE88" s="100">
        <f>AE48+$J$67/4</f>
        <v>2679.6917622060082</v>
      </c>
      <c r="AF88" s="100">
        <f>AF48+$J$67/4</f>
        <v>2679.6917622060082</v>
      </c>
      <c r="AG88" s="100">
        <f>AG48+$J$67/4</f>
        <v>2679.6917622060082</v>
      </c>
      <c r="AH88" s="100">
        <f>AH48+$J$67/4</f>
        <v>2679.6917622060082</v>
      </c>
      <c r="AI88" s="100">
        <f>AI48+$K$67/4</f>
        <v>2679.6917622060082</v>
      </c>
      <c r="AJ88" s="100">
        <f>AJ48+$K$67/4</f>
        <v>2679.6917622060082</v>
      </c>
      <c r="AK88" s="100">
        <f>AK48+$K$67/4</f>
        <v>2679.6917622060082</v>
      </c>
      <c r="AL88" s="100">
        <f>AL48+$K$67/4</f>
        <v>2679.6917622060082</v>
      </c>
      <c r="AM88" s="100">
        <f>AM48+$L$67/4</f>
        <v>2679.6917622060082</v>
      </c>
      <c r="AN88" s="100">
        <f>AN48+$L$67/4</f>
        <v>2679.6917622060082</v>
      </c>
      <c r="AO88" s="100">
        <f>AO48+$L$67/4</f>
        <v>2679.6917622060082</v>
      </c>
      <c r="AP88" s="100">
        <f>AP48+$L$67/4</f>
        <v>2679.6917622060082</v>
      </c>
      <c r="AQ88" s="100">
        <f>AQ48+$M$67/4</f>
        <v>2679.6917622060082</v>
      </c>
      <c r="AR88" s="100">
        <f>AR48+$M$67/4</f>
        <v>2679.6917622060082</v>
      </c>
      <c r="AS88" s="100">
        <f>AS48+$M$67/4</f>
        <v>2679.6917622060082</v>
      </c>
      <c r="AT88" s="100">
        <f>AT48+$M$67/4</f>
        <v>2679.6917622060082</v>
      </c>
      <c r="AU88" s="100">
        <f>AU48+$N$67/4</f>
        <v>2679.6917622060082</v>
      </c>
      <c r="AV88" s="100">
        <f>AV48+$N$67/4</f>
        <v>2679.6917622060082</v>
      </c>
      <c r="AW88" s="100">
        <f>AW48+$N$67/4</f>
        <v>2679.6917622060082</v>
      </c>
      <c r="AX88" s="100">
        <f>AX48+$N$67/4</f>
        <v>2679.6917622060082</v>
      </c>
    </row>
    <row r="89" spans="2:50">
      <c r="B89" s="99" t="s">
        <v>105</v>
      </c>
      <c r="C89" s="100">
        <f>C49</f>
        <v>0</v>
      </c>
      <c r="D89" s="100">
        <f t="shared" ref="D89:AX93" si="3">D49</f>
        <v>0</v>
      </c>
      <c r="E89" s="100">
        <f t="shared" si="3"/>
        <v>0</v>
      </c>
      <c r="F89" s="100">
        <f t="shared" si="3"/>
        <v>0</v>
      </c>
      <c r="G89" s="100">
        <f t="shared" si="3"/>
        <v>2.6946691715297984E-20</v>
      </c>
      <c r="H89" s="100">
        <f t="shared" si="3"/>
        <v>2.6946691715297984E-20</v>
      </c>
      <c r="I89" s="100">
        <f t="shared" si="3"/>
        <v>2.6946691715297984E-20</v>
      </c>
      <c r="J89" s="100">
        <f t="shared" si="3"/>
        <v>2.6946691715297984E-20</v>
      </c>
      <c r="K89" s="100">
        <f t="shared" si="3"/>
        <v>2.6946691715297984E-20</v>
      </c>
      <c r="L89" s="100">
        <f t="shared" si="3"/>
        <v>2.6946691715297984E-20</v>
      </c>
      <c r="M89" s="100">
        <f t="shared" si="3"/>
        <v>2.6946691715297984E-20</v>
      </c>
      <c r="N89" s="100">
        <f t="shared" si="3"/>
        <v>2.6946691715297984E-20</v>
      </c>
      <c r="O89" s="100">
        <f t="shared" si="3"/>
        <v>2.6946691715297984E-20</v>
      </c>
      <c r="P89" s="100">
        <f t="shared" si="3"/>
        <v>2.6946691715297984E-20</v>
      </c>
      <c r="Q89" s="100">
        <f t="shared" si="3"/>
        <v>2.6946691715297984E-20</v>
      </c>
      <c r="R89" s="100">
        <f t="shared" si="3"/>
        <v>2.6946691715297984E-20</v>
      </c>
      <c r="S89" s="100">
        <f t="shared" si="3"/>
        <v>2.6946691715297984E-20</v>
      </c>
      <c r="T89" s="100">
        <f t="shared" si="3"/>
        <v>2.6946691715297984E-20</v>
      </c>
      <c r="U89" s="100">
        <f t="shared" si="3"/>
        <v>2.6946691715297984E-20</v>
      </c>
      <c r="V89" s="100">
        <f t="shared" si="3"/>
        <v>2.6946691715297984E-20</v>
      </c>
      <c r="W89" s="100">
        <f t="shared" si="3"/>
        <v>2.155735337223839E-20</v>
      </c>
      <c r="X89" s="100">
        <f t="shared" si="3"/>
        <v>2.155735337223839E-20</v>
      </c>
      <c r="Y89" s="100">
        <f t="shared" si="3"/>
        <v>2.155735337223839E-20</v>
      </c>
      <c r="Z89" s="100">
        <f t="shared" si="3"/>
        <v>2.155735337223839E-20</v>
      </c>
      <c r="AA89" s="100">
        <f t="shared" si="3"/>
        <v>2.6946691715297984E-20</v>
      </c>
      <c r="AB89" s="100">
        <f t="shared" si="3"/>
        <v>2.6946691715297984E-20</v>
      </c>
      <c r="AC89" s="100">
        <f t="shared" si="3"/>
        <v>2.6946691715297984E-20</v>
      </c>
      <c r="AD89" s="100">
        <f t="shared" si="3"/>
        <v>2.6946691715297984E-20</v>
      </c>
      <c r="AE89" s="100">
        <f t="shared" si="3"/>
        <v>2.6946691715297984E-20</v>
      </c>
      <c r="AF89" s="100">
        <f t="shared" si="3"/>
        <v>2.6946691715297984E-20</v>
      </c>
      <c r="AG89" s="100">
        <f t="shared" si="3"/>
        <v>2.6946691715297984E-20</v>
      </c>
      <c r="AH89" s="100">
        <f t="shared" si="3"/>
        <v>2.6946691715297984E-20</v>
      </c>
      <c r="AI89" s="100">
        <f t="shared" si="3"/>
        <v>2.6946691715297984E-20</v>
      </c>
      <c r="AJ89" s="100">
        <f t="shared" si="3"/>
        <v>2.6946691715297984E-20</v>
      </c>
      <c r="AK89" s="100">
        <f t="shared" si="3"/>
        <v>2.6946691715297984E-20</v>
      </c>
      <c r="AL89" s="100">
        <f t="shared" si="3"/>
        <v>2.6946691715297984E-20</v>
      </c>
      <c r="AM89" s="100">
        <f t="shared" si="3"/>
        <v>2.6946691715297984E-20</v>
      </c>
      <c r="AN89" s="100">
        <f t="shared" si="3"/>
        <v>2.6946691715297984E-20</v>
      </c>
      <c r="AO89" s="100">
        <f t="shared" si="3"/>
        <v>2.6946691715297984E-20</v>
      </c>
      <c r="AP89" s="100">
        <f t="shared" si="3"/>
        <v>2.6946691715297984E-20</v>
      </c>
      <c r="AQ89" s="100">
        <f t="shared" si="3"/>
        <v>3.2336030058357578E-20</v>
      </c>
      <c r="AR89" s="100">
        <f t="shared" si="3"/>
        <v>3.2336030058357578E-20</v>
      </c>
      <c r="AS89" s="100">
        <f t="shared" si="3"/>
        <v>3.2336030058357578E-20</v>
      </c>
      <c r="AT89" s="100">
        <f t="shared" si="3"/>
        <v>3.2336030058357578E-20</v>
      </c>
      <c r="AU89" s="100">
        <f t="shared" si="3"/>
        <v>2.6946691715297984E-20</v>
      </c>
      <c r="AV89" s="100">
        <f t="shared" si="3"/>
        <v>2.6946691715297984E-20</v>
      </c>
      <c r="AW89" s="100">
        <f t="shared" si="3"/>
        <v>2.6946691715297984E-20</v>
      </c>
      <c r="AX89" s="100">
        <f t="shared" si="3"/>
        <v>2.6946691715297984E-20</v>
      </c>
    </row>
    <row r="90" spans="2:50">
      <c r="B90" s="99" t="s">
        <v>106</v>
      </c>
      <c r="C90" s="100">
        <f t="shared" ref="C90:R93" si="4">C50</f>
        <v>112</v>
      </c>
      <c r="D90" s="100">
        <f t="shared" si="4"/>
        <v>112</v>
      </c>
      <c r="E90" s="100">
        <f t="shared" si="4"/>
        <v>112</v>
      </c>
      <c r="F90" s="100">
        <f t="shared" si="4"/>
        <v>112</v>
      </c>
      <c r="G90" s="100">
        <f t="shared" si="4"/>
        <v>140</v>
      </c>
      <c r="H90" s="100">
        <f t="shared" si="4"/>
        <v>140</v>
      </c>
      <c r="I90" s="100">
        <f t="shared" si="4"/>
        <v>140</v>
      </c>
      <c r="J90" s="100">
        <f t="shared" si="4"/>
        <v>140</v>
      </c>
      <c r="K90" s="100">
        <f t="shared" si="4"/>
        <v>140</v>
      </c>
      <c r="L90" s="100">
        <f t="shared" si="4"/>
        <v>140</v>
      </c>
      <c r="M90" s="100">
        <f t="shared" si="4"/>
        <v>140</v>
      </c>
      <c r="N90" s="100">
        <f t="shared" si="4"/>
        <v>140</v>
      </c>
      <c r="O90" s="100">
        <f t="shared" si="4"/>
        <v>112</v>
      </c>
      <c r="P90" s="100">
        <f t="shared" si="4"/>
        <v>112</v>
      </c>
      <c r="Q90" s="100">
        <f t="shared" si="4"/>
        <v>112</v>
      </c>
      <c r="R90" s="100">
        <f t="shared" si="4"/>
        <v>112</v>
      </c>
      <c r="S90" s="100">
        <f t="shared" si="3"/>
        <v>140</v>
      </c>
      <c r="T90" s="100">
        <f t="shared" si="3"/>
        <v>140</v>
      </c>
      <c r="U90" s="100">
        <f t="shared" si="3"/>
        <v>140</v>
      </c>
      <c r="V90" s="100">
        <f t="shared" si="3"/>
        <v>140</v>
      </c>
      <c r="W90" s="100">
        <f t="shared" si="3"/>
        <v>140</v>
      </c>
      <c r="X90" s="100">
        <f t="shared" si="3"/>
        <v>140</v>
      </c>
      <c r="Y90" s="100">
        <f t="shared" si="3"/>
        <v>140</v>
      </c>
      <c r="Z90" s="100">
        <f t="shared" si="3"/>
        <v>140</v>
      </c>
      <c r="AA90" s="100">
        <f t="shared" si="3"/>
        <v>140</v>
      </c>
      <c r="AB90" s="100">
        <f t="shared" si="3"/>
        <v>140</v>
      </c>
      <c r="AC90" s="100">
        <f t="shared" si="3"/>
        <v>140</v>
      </c>
      <c r="AD90" s="100">
        <f t="shared" si="3"/>
        <v>140</v>
      </c>
      <c r="AE90" s="100">
        <f t="shared" si="3"/>
        <v>140</v>
      </c>
      <c r="AF90" s="100">
        <f t="shared" si="3"/>
        <v>140</v>
      </c>
      <c r="AG90" s="100">
        <f t="shared" si="3"/>
        <v>140</v>
      </c>
      <c r="AH90" s="100">
        <f t="shared" si="3"/>
        <v>140</v>
      </c>
      <c r="AI90" s="100">
        <f t="shared" si="3"/>
        <v>168</v>
      </c>
      <c r="AJ90" s="100">
        <f t="shared" si="3"/>
        <v>168</v>
      </c>
      <c r="AK90" s="100">
        <f t="shared" si="3"/>
        <v>168</v>
      </c>
      <c r="AL90" s="100">
        <f t="shared" si="3"/>
        <v>168</v>
      </c>
      <c r="AM90" s="100">
        <f t="shared" si="3"/>
        <v>140</v>
      </c>
      <c r="AN90" s="100">
        <f t="shared" si="3"/>
        <v>140</v>
      </c>
      <c r="AO90" s="100">
        <f t="shared" si="3"/>
        <v>140</v>
      </c>
      <c r="AP90" s="100">
        <f t="shared" si="3"/>
        <v>140</v>
      </c>
      <c r="AQ90" s="100">
        <f t="shared" si="3"/>
        <v>140</v>
      </c>
      <c r="AR90" s="100">
        <f t="shared" si="3"/>
        <v>140</v>
      </c>
      <c r="AS90" s="100">
        <f t="shared" si="3"/>
        <v>140</v>
      </c>
      <c r="AT90" s="100">
        <f t="shared" si="3"/>
        <v>140</v>
      </c>
      <c r="AU90" s="100">
        <f t="shared" si="3"/>
        <v>140</v>
      </c>
      <c r="AV90" s="100">
        <f t="shared" si="3"/>
        <v>140</v>
      </c>
      <c r="AW90" s="100">
        <f t="shared" si="3"/>
        <v>140</v>
      </c>
      <c r="AX90" s="100">
        <f t="shared" si="3"/>
        <v>140</v>
      </c>
    </row>
    <row r="91" spans="2:50">
      <c r="B91" s="99" t="s">
        <v>107</v>
      </c>
      <c r="C91" s="100">
        <f t="shared" si="4"/>
        <v>790.00000000000341</v>
      </c>
      <c r="D91" s="100">
        <f t="shared" si="3"/>
        <v>790.00000000000341</v>
      </c>
      <c r="E91" s="100">
        <f t="shared" si="3"/>
        <v>790.00000000000341</v>
      </c>
      <c r="F91" s="100">
        <f t="shared" si="3"/>
        <v>790.00000000000341</v>
      </c>
      <c r="G91" s="100">
        <f t="shared" si="3"/>
        <v>790.00000000000341</v>
      </c>
      <c r="H91" s="100">
        <f t="shared" si="3"/>
        <v>790.00000000000341</v>
      </c>
      <c r="I91" s="100">
        <f t="shared" si="3"/>
        <v>790.00000000000341</v>
      </c>
      <c r="J91" s="100">
        <f t="shared" si="3"/>
        <v>790.00000000000341</v>
      </c>
      <c r="K91" s="100">
        <f t="shared" si="3"/>
        <v>790.00000000000341</v>
      </c>
      <c r="L91" s="100">
        <f t="shared" si="3"/>
        <v>790.00000000000341</v>
      </c>
      <c r="M91" s="100">
        <f t="shared" si="3"/>
        <v>790.00000000000341</v>
      </c>
      <c r="N91" s="100">
        <f t="shared" si="3"/>
        <v>790.00000000000341</v>
      </c>
      <c r="O91" s="100">
        <f t="shared" si="3"/>
        <v>790.00000000000341</v>
      </c>
      <c r="P91" s="100">
        <f t="shared" si="3"/>
        <v>790.00000000000341</v>
      </c>
      <c r="Q91" s="100">
        <f t="shared" si="3"/>
        <v>790.00000000000341</v>
      </c>
      <c r="R91" s="100">
        <f t="shared" si="3"/>
        <v>790.00000000000341</v>
      </c>
      <c r="S91" s="100">
        <f t="shared" si="3"/>
        <v>790.00000000000341</v>
      </c>
      <c r="T91" s="100">
        <f t="shared" si="3"/>
        <v>790.00000000000341</v>
      </c>
      <c r="U91" s="100">
        <f t="shared" si="3"/>
        <v>790.00000000000341</v>
      </c>
      <c r="V91" s="100">
        <f t="shared" si="3"/>
        <v>790.00000000000341</v>
      </c>
      <c r="W91" s="100">
        <f t="shared" si="3"/>
        <v>790.00000000000341</v>
      </c>
      <c r="X91" s="100">
        <f t="shared" si="3"/>
        <v>790.00000000000341</v>
      </c>
      <c r="Y91" s="100">
        <f t="shared" si="3"/>
        <v>790.00000000000341</v>
      </c>
      <c r="Z91" s="100">
        <f t="shared" si="3"/>
        <v>790.00000000000341</v>
      </c>
      <c r="AA91" s="100">
        <f t="shared" si="3"/>
        <v>790.00000000000341</v>
      </c>
      <c r="AB91" s="100">
        <f t="shared" si="3"/>
        <v>790.00000000000341</v>
      </c>
      <c r="AC91" s="100">
        <f t="shared" si="3"/>
        <v>790.00000000000341</v>
      </c>
      <c r="AD91" s="100">
        <f t="shared" si="3"/>
        <v>790.00000000000341</v>
      </c>
      <c r="AE91" s="100">
        <f t="shared" si="3"/>
        <v>790.00000000000341</v>
      </c>
      <c r="AF91" s="100">
        <f t="shared" si="3"/>
        <v>790.00000000000341</v>
      </c>
      <c r="AG91" s="100">
        <f t="shared" si="3"/>
        <v>790.00000000000341</v>
      </c>
      <c r="AH91" s="100">
        <f t="shared" si="3"/>
        <v>790.00000000000341</v>
      </c>
      <c r="AI91" s="100">
        <f t="shared" si="3"/>
        <v>790.00000000000341</v>
      </c>
      <c r="AJ91" s="100">
        <f t="shared" si="3"/>
        <v>790.00000000000341</v>
      </c>
      <c r="AK91" s="100">
        <f t="shared" si="3"/>
        <v>790.00000000000341</v>
      </c>
      <c r="AL91" s="100">
        <f t="shared" si="3"/>
        <v>790.00000000000341</v>
      </c>
      <c r="AM91" s="100">
        <f t="shared" si="3"/>
        <v>790.00000000000341</v>
      </c>
      <c r="AN91" s="100">
        <f t="shared" si="3"/>
        <v>790.00000000000341</v>
      </c>
      <c r="AO91" s="100">
        <f t="shared" si="3"/>
        <v>790.00000000000341</v>
      </c>
      <c r="AP91" s="100">
        <f t="shared" si="3"/>
        <v>790.00000000000341</v>
      </c>
      <c r="AQ91" s="100">
        <f t="shared" si="3"/>
        <v>790.00000000000341</v>
      </c>
      <c r="AR91" s="100">
        <f t="shared" si="3"/>
        <v>790.00000000000341</v>
      </c>
      <c r="AS91" s="100">
        <f t="shared" si="3"/>
        <v>790.00000000000341</v>
      </c>
      <c r="AT91" s="100">
        <f t="shared" si="3"/>
        <v>790.00000000000341</v>
      </c>
      <c r="AU91" s="100">
        <f t="shared" si="3"/>
        <v>790.00000000000341</v>
      </c>
      <c r="AV91" s="100">
        <f t="shared" si="3"/>
        <v>790.00000000000341</v>
      </c>
      <c r="AW91" s="100">
        <f t="shared" si="3"/>
        <v>790.00000000000341</v>
      </c>
      <c r="AX91" s="100">
        <f t="shared" si="3"/>
        <v>790.00000000000341</v>
      </c>
    </row>
    <row r="92" spans="2:50">
      <c r="B92" s="99" t="s">
        <v>108</v>
      </c>
      <c r="C92" s="100">
        <f t="shared" si="4"/>
        <v>8.5973958085973713E-20</v>
      </c>
      <c r="D92" s="100">
        <f t="shared" si="4"/>
        <v>8.5973958085973713E-20</v>
      </c>
      <c r="E92" s="100">
        <f t="shared" si="4"/>
        <v>8.5973958085973713E-20</v>
      </c>
      <c r="F92" s="100">
        <f t="shared" si="4"/>
        <v>8.5973958085973713E-20</v>
      </c>
      <c r="G92" s="100">
        <f t="shared" si="4"/>
        <v>0</v>
      </c>
      <c r="H92" s="100">
        <f t="shared" si="4"/>
        <v>0</v>
      </c>
      <c r="I92" s="100">
        <f t="shared" si="4"/>
        <v>0</v>
      </c>
      <c r="J92" s="100">
        <f t="shared" si="4"/>
        <v>0</v>
      </c>
      <c r="K92" s="100">
        <f t="shared" si="4"/>
        <v>0</v>
      </c>
      <c r="L92" s="100">
        <f t="shared" si="4"/>
        <v>0</v>
      </c>
      <c r="M92" s="100">
        <f t="shared" si="4"/>
        <v>0</v>
      </c>
      <c r="N92" s="100">
        <f t="shared" si="4"/>
        <v>0</v>
      </c>
      <c r="O92" s="100">
        <f t="shared" si="4"/>
        <v>0</v>
      </c>
      <c r="P92" s="100">
        <f t="shared" si="4"/>
        <v>0</v>
      </c>
      <c r="Q92" s="100">
        <f t="shared" si="4"/>
        <v>0</v>
      </c>
      <c r="R92" s="100">
        <f t="shared" si="4"/>
        <v>0</v>
      </c>
      <c r="S92" s="100">
        <f t="shared" si="3"/>
        <v>0</v>
      </c>
      <c r="T92" s="100">
        <f t="shared" si="3"/>
        <v>0</v>
      </c>
      <c r="U92" s="100">
        <f t="shared" si="3"/>
        <v>0</v>
      </c>
      <c r="V92" s="100">
        <f t="shared" si="3"/>
        <v>0</v>
      </c>
      <c r="W92" s="100">
        <f t="shared" si="3"/>
        <v>0</v>
      </c>
      <c r="X92" s="100">
        <f t="shared" si="3"/>
        <v>0</v>
      </c>
      <c r="Y92" s="100">
        <f t="shared" si="3"/>
        <v>0</v>
      </c>
      <c r="Z92" s="100">
        <f t="shared" si="3"/>
        <v>0</v>
      </c>
      <c r="AA92" s="100">
        <f t="shared" si="3"/>
        <v>0</v>
      </c>
      <c r="AB92" s="100">
        <f t="shared" si="3"/>
        <v>0</v>
      </c>
      <c r="AC92" s="100">
        <f t="shared" si="3"/>
        <v>0</v>
      </c>
      <c r="AD92" s="100">
        <f t="shared" si="3"/>
        <v>0</v>
      </c>
      <c r="AE92" s="100">
        <f t="shared" si="3"/>
        <v>0</v>
      </c>
      <c r="AF92" s="100">
        <f t="shared" si="3"/>
        <v>0</v>
      </c>
      <c r="AG92" s="100">
        <f t="shared" si="3"/>
        <v>0</v>
      </c>
      <c r="AH92" s="100">
        <f t="shared" si="3"/>
        <v>0</v>
      </c>
      <c r="AI92" s="100">
        <f t="shared" si="3"/>
        <v>0</v>
      </c>
      <c r="AJ92" s="100">
        <f t="shared" si="3"/>
        <v>0</v>
      </c>
      <c r="AK92" s="100">
        <f t="shared" si="3"/>
        <v>0</v>
      </c>
      <c r="AL92" s="100">
        <f t="shared" si="3"/>
        <v>0</v>
      </c>
      <c r="AM92" s="100">
        <f t="shared" si="3"/>
        <v>0</v>
      </c>
      <c r="AN92" s="100">
        <f t="shared" si="3"/>
        <v>0</v>
      </c>
      <c r="AO92" s="100">
        <f t="shared" si="3"/>
        <v>0</v>
      </c>
      <c r="AP92" s="100">
        <f t="shared" si="3"/>
        <v>0</v>
      </c>
      <c r="AQ92" s="100">
        <f t="shared" si="3"/>
        <v>0</v>
      </c>
      <c r="AR92" s="100">
        <f t="shared" si="3"/>
        <v>0</v>
      </c>
      <c r="AS92" s="100">
        <f t="shared" si="3"/>
        <v>0</v>
      </c>
      <c r="AT92" s="100">
        <f t="shared" si="3"/>
        <v>0</v>
      </c>
      <c r="AU92" s="100">
        <f t="shared" si="3"/>
        <v>0</v>
      </c>
      <c r="AV92" s="100">
        <f t="shared" si="3"/>
        <v>0</v>
      </c>
      <c r="AW92" s="100">
        <f t="shared" si="3"/>
        <v>0</v>
      </c>
      <c r="AX92" s="100">
        <f t="shared" si="3"/>
        <v>0</v>
      </c>
    </row>
    <row r="93" spans="2:50">
      <c r="B93" s="99" t="s">
        <v>109</v>
      </c>
      <c r="C93" s="100">
        <f t="shared" si="4"/>
        <v>6.5465038440747108E-20</v>
      </c>
      <c r="D93" s="100">
        <f t="shared" si="4"/>
        <v>6.5465038440747108E-20</v>
      </c>
      <c r="E93" s="100">
        <f t="shared" si="4"/>
        <v>6.5465038440747108E-20</v>
      </c>
      <c r="F93" s="100">
        <f t="shared" si="4"/>
        <v>6.5465038440747108E-20</v>
      </c>
      <c r="G93" s="100">
        <f t="shared" si="4"/>
        <v>5.4554198700622588E-20</v>
      </c>
      <c r="H93" s="100">
        <f t="shared" si="4"/>
        <v>5.4554198700622588E-20</v>
      </c>
      <c r="I93" s="100">
        <f t="shared" si="4"/>
        <v>5.4554198700622588E-20</v>
      </c>
      <c r="J93" s="100">
        <f t="shared" si="4"/>
        <v>5.4554198700622588E-20</v>
      </c>
      <c r="K93" s="100">
        <f t="shared" si="4"/>
        <v>5.4554198700622588E-20</v>
      </c>
      <c r="L93" s="100">
        <f t="shared" si="4"/>
        <v>5.4554198700622588E-20</v>
      </c>
      <c r="M93" s="100">
        <f t="shared" si="4"/>
        <v>5.4554198700622588E-20</v>
      </c>
      <c r="N93" s="100">
        <f t="shared" si="4"/>
        <v>5.4554198700622588E-20</v>
      </c>
      <c r="O93" s="100">
        <f t="shared" si="4"/>
        <v>6.5465038440747108E-20</v>
      </c>
      <c r="P93" s="100">
        <f t="shared" si="4"/>
        <v>6.5465038440747108E-20</v>
      </c>
      <c r="Q93" s="100">
        <f t="shared" si="4"/>
        <v>6.5465038440747108E-20</v>
      </c>
      <c r="R93" s="100">
        <f t="shared" si="4"/>
        <v>6.5465038440747108E-20</v>
      </c>
      <c r="S93" s="100">
        <f t="shared" si="3"/>
        <v>5.4554198700622588E-20</v>
      </c>
      <c r="T93" s="100">
        <f t="shared" si="3"/>
        <v>5.4554198700622588E-20</v>
      </c>
      <c r="U93" s="100">
        <f t="shared" si="3"/>
        <v>5.4554198700622588E-20</v>
      </c>
      <c r="V93" s="100">
        <f t="shared" si="3"/>
        <v>5.4554198700622588E-20</v>
      </c>
      <c r="W93" s="100">
        <f t="shared" si="3"/>
        <v>5.4554198700622588E-20</v>
      </c>
      <c r="X93" s="100">
        <f t="shared" si="3"/>
        <v>5.4554198700622588E-20</v>
      </c>
      <c r="Y93" s="100">
        <f t="shared" si="3"/>
        <v>5.4554198700622588E-20</v>
      </c>
      <c r="Z93" s="100">
        <f t="shared" si="3"/>
        <v>5.4554198700622588E-20</v>
      </c>
      <c r="AA93" s="100">
        <f t="shared" si="3"/>
        <v>5.4554198700622588E-20</v>
      </c>
      <c r="AB93" s="100">
        <f t="shared" si="3"/>
        <v>5.4554198700622588E-20</v>
      </c>
      <c r="AC93" s="100">
        <f t="shared" si="3"/>
        <v>5.4554198700622588E-20</v>
      </c>
      <c r="AD93" s="100">
        <f t="shared" si="3"/>
        <v>5.4554198700622588E-20</v>
      </c>
      <c r="AE93" s="100">
        <f t="shared" si="3"/>
        <v>6.5465038440747108E-20</v>
      </c>
      <c r="AF93" s="100">
        <f t="shared" si="3"/>
        <v>6.5465038440747108E-20</v>
      </c>
      <c r="AG93" s="100">
        <f t="shared" si="3"/>
        <v>6.5465038440747108E-20</v>
      </c>
      <c r="AH93" s="100">
        <f t="shared" si="3"/>
        <v>6.5465038440747108E-20</v>
      </c>
      <c r="AI93" s="100">
        <f t="shared" si="3"/>
        <v>5.4554198700622588E-20</v>
      </c>
      <c r="AJ93" s="100">
        <f t="shared" si="3"/>
        <v>5.4554198700622588E-20</v>
      </c>
      <c r="AK93" s="100">
        <f t="shared" si="3"/>
        <v>5.4554198700622588E-20</v>
      </c>
      <c r="AL93" s="100">
        <f t="shared" si="3"/>
        <v>5.4554198700622588E-20</v>
      </c>
      <c r="AM93" s="100">
        <f t="shared" si="3"/>
        <v>4.3643358960498074E-20</v>
      </c>
      <c r="AN93" s="100">
        <f t="shared" si="3"/>
        <v>4.3643358960498074E-20</v>
      </c>
      <c r="AO93" s="100">
        <f t="shared" si="3"/>
        <v>4.3643358960498074E-20</v>
      </c>
      <c r="AP93" s="100">
        <f t="shared" si="3"/>
        <v>4.3643358960498074E-20</v>
      </c>
      <c r="AQ93" s="100">
        <f t="shared" si="3"/>
        <v>5.4554198700622588E-20</v>
      </c>
      <c r="AR93" s="100">
        <f t="shared" si="3"/>
        <v>5.4554198700622588E-20</v>
      </c>
      <c r="AS93" s="100">
        <f t="shared" si="3"/>
        <v>5.4554198700622588E-20</v>
      </c>
      <c r="AT93" s="100">
        <f t="shared" si="3"/>
        <v>5.4554198700622588E-20</v>
      </c>
      <c r="AU93" s="100">
        <f t="shared" si="3"/>
        <v>6.5465038440747108E-20</v>
      </c>
      <c r="AV93" s="100">
        <f t="shared" si="3"/>
        <v>6.5465038440747108E-20</v>
      </c>
      <c r="AW93" s="100">
        <f t="shared" si="3"/>
        <v>6.5465038440747108E-20</v>
      </c>
      <c r="AX93" s="100">
        <f t="shared" si="3"/>
        <v>6.5465038440747108E-20</v>
      </c>
    </row>
    <row r="94" spans="2:50">
      <c r="B94" s="101"/>
    </row>
    <row r="95" spans="2:50">
      <c r="B95" s="174" t="s">
        <v>335</v>
      </c>
    </row>
    <row r="96" spans="2:50">
      <c r="B96" s="175"/>
      <c r="C96" s="105" t="s">
        <v>92</v>
      </c>
      <c r="D96" s="101"/>
      <c r="E96" s="101"/>
      <c r="F96" s="101"/>
      <c r="G96" s="105" t="s">
        <v>93</v>
      </c>
      <c r="H96" s="101"/>
      <c r="I96" s="101"/>
      <c r="J96" s="101"/>
      <c r="K96" s="105" t="s">
        <v>94</v>
      </c>
      <c r="L96" s="101"/>
      <c r="M96" s="101"/>
      <c r="N96" s="101"/>
      <c r="O96" s="105" t="s">
        <v>95</v>
      </c>
      <c r="P96" s="101"/>
      <c r="Q96" s="101"/>
      <c r="R96" s="101"/>
      <c r="S96" s="105" t="s">
        <v>96</v>
      </c>
      <c r="T96" s="101"/>
      <c r="U96" s="101"/>
      <c r="V96" s="101"/>
      <c r="W96" s="105" t="s">
        <v>97</v>
      </c>
      <c r="X96" s="101"/>
      <c r="Y96" s="101"/>
      <c r="Z96" s="101"/>
      <c r="AA96" s="105" t="s">
        <v>98</v>
      </c>
      <c r="AB96" s="101"/>
      <c r="AC96" s="101"/>
      <c r="AD96" s="101"/>
      <c r="AE96" s="105" t="s">
        <v>99</v>
      </c>
      <c r="AF96" s="101"/>
      <c r="AG96" s="101"/>
      <c r="AH96" s="101"/>
      <c r="AI96" s="105" t="s">
        <v>100</v>
      </c>
      <c r="AJ96" s="101"/>
      <c r="AK96" s="101"/>
      <c r="AL96" s="101"/>
      <c r="AM96" s="105" t="s">
        <v>101</v>
      </c>
      <c r="AN96" s="101"/>
      <c r="AO96" s="101"/>
      <c r="AP96" s="101"/>
      <c r="AQ96" s="105" t="s">
        <v>102</v>
      </c>
      <c r="AR96" s="101"/>
      <c r="AS96" s="101"/>
      <c r="AT96" s="101"/>
      <c r="AU96" s="105" t="s">
        <v>103</v>
      </c>
      <c r="AV96" s="101"/>
      <c r="AW96" s="101"/>
    </row>
    <row r="97" spans="1:50">
      <c r="A97" s="176" t="s">
        <v>121</v>
      </c>
      <c r="B97" s="176" t="s">
        <v>336</v>
      </c>
      <c r="C97" s="105">
        <v>1</v>
      </c>
      <c r="D97" s="105">
        <v>2</v>
      </c>
      <c r="E97" s="105">
        <v>3</v>
      </c>
      <c r="F97" s="105">
        <v>4</v>
      </c>
      <c r="G97" s="105">
        <v>1</v>
      </c>
      <c r="H97" s="105">
        <v>2</v>
      </c>
      <c r="I97" s="105">
        <v>3</v>
      </c>
      <c r="J97" s="105">
        <v>4</v>
      </c>
      <c r="K97" s="105">
        <v>1</v>
      </c>
      <c r="L97" s="105">
        <v>2</v>
      </c>
      <c r="M97" s="105">
        <v>3</v>
      </c>
      <c r="N97" s="105">
        <v>4</v>
      </c>
      <c r="O97" s="105">
        <v>1</v>
      </c>
      <c r="P97" s="105">
        <v>2</v>
      </c>
      <c r="Q97" s="105">
        <v>3</v>
      </c>
      <c r="R97" s="105">
        <v>4</v>
      </c>
      <c r="S97" s="105">
        <v>1</v>
      </c>
      <c r="T97" s="105">
        <v>2</v>
      </c>
      <c r="U97" s="105">
        <v>3</v>
      </c>
      <c r="V97" s="105">
        <v>4</v>
      </c>
      <c r="W97" s="105">
        <v>1</v>
      </c>
      <c r="X97" s="105">
        <v>2</v>
      </c>
      <c r="Y97" s="105">
        <v>3</v>
      </c>
      <c r="Z97" s="105">
        <v>4</v>
      </c>
      <c r="AA97" s="105">
        <v>1</v>
      </c>
      <c r="AB97" s="105">
        <v>2</v>
      </c>
      <c r="AC97" s="105">
        <v>3</v>
      </c>
      <c r="AD97" s="105">
        <v>4</v>
      </c>
      <c r="AE97" s="105">
        <v>1</v>
      </c>
      <c r="AF97" s="105">
        <v>2</v>
      </c>
      <c r="AG97" s="105">
        <v>3</v>
      </c>
      <c r="AH97" s="105">
        <v>4</v>
      </c>
      <c r="AI97" s="105">
        <v>1</v>
      </c>
      <c r="AJ97" s="105">
        <v>2</v>
      </c>
      <c r="AK97" s="105">
        <v>3</v>
      </c>
      <c r="AL97" s="105">
        <v>4</v>
      </c>
      <c r="AM97" s="105">
        <v>1</v>
      </c>
      <c r="AN97" s="105">
        <v>2</v>
      </c>
      <c r="AO97" s="105">
        <v>3</v>
      </c>
      <c r="AP97" s="105">
        <v>4</v>
      </c>
      <c r="AQ97" s="105">
        <v>1</v>
      </c>
      <c r="AR97" s="105">
        <v>2</v>
      </c>
      <c r="AS97" s="105">
        <v>3</v>
      </c>
      <c r="AT97" s="105">
        <v>4</v>
      </c>
      <c r="AU97" s="105">
        <v>1</v>
      </c>
      <c r="AV97" s="105">
        <v>2</v>
      </c>
      <c r="AW97" s="105">
        <v>3</v>
      </c>
      <c r="AX97" s="105">
        <v>4</v>
      </c>
    </row>
    <row r="98" spans="1:50">
      <c r="A98" s="105" t="s">
        <v>104</v>
      </c>
      <c r="B98" s="105" t="s">
        <v>10</v>
      </c>
      <c r="C98" s="100">
        <v>1.5982119571661526E-17</v>
      </c>
      <c r="D98" s="100">
        <v>1.5982119571661526E-17</v>
      </c>
      <c r="E98" s="100">
        <v>1.5982119571661526E-17</v>
      </c>
      <c r="F98" s="100">
        <v>1.5982119571661526E-17</v>
      </c>
      <c r="G98" s="100">
        <v>1.5982119571661526E-17</v>
      </c>
      <c r="H98" s="100">
        <v>1.5982119571661526E-17</v>
      </c>
      <c r="I98" s="100">
        <v>1.5982119571661526E-17</v>
      </c>
      <c r="J98" s="100">
        <v>1.5982119571661526E-17</v>
      </c>
      <c r="K98" s="100">
        <v>1.5982119571661526E-17</v>
      </c>
      <c r="L98" s="100">
        <v>1.5982119571661526E-17</v>
      </c>
      <c r="M98" s="100">
        <v>1.5982119571661526E-17</v>
      </c>
      <c r="N98" s="100">
        <v>1.5982119571661526E-17</v>
      </c>
      <c r="O98" s="100">
        <v>1.2785785143691641E-17</v>
      </c>
      <c r="P98" s="100">
        <v>1.2785785143691641E-17</v>
      </c>
      <c r="Q98" s="100">
        <v>1.2785785143691641E-17</v>
      </c>
      <c r="R98" s="100">
        <v>1.2785785143691641E-17</v>
      </c>
      <c r="S98" s="100">
        <v>1.5982119571661526E-17</v>
      </c>
      <c r="T98" s="100">
        <v>1.5982119571661526E-17</v>
      </c>
      <c r="U98" s="100">
        <v>1.5982119571661526E-17</v>
      </c>
      <c r="V98" s="100">
        <v>1.5982119571661526E-17</v>
      </c>
      <c r="W98" s="100">
        <v>1.5982119571661526E-17</v>
      </c>
      <c r="X98" s="100">
        <v>1.5982119571661526E-17</v>
      </c>
      <c r="Y98" s="100">
        <v>1.5982119571661526E-17</v>
      </c>
      <c r="Z98" s="100">
        <v>1.5982119571661526E-17</v>
      </c>
      <c r="AA98" s="100">
        <v>1.5982119571661526E-17</v>
      </c>
      <c r="AB98" s="100">
        <v>1.5982119571661526E-17</v>
      </c>
      <c r="AC98" s="100">
        <v>1.5982119571661526E-17</v>
      </c>
      <c r="AD98" s="100">
        <v>1.5982119571661526E-17</v>
      </c>
      <c r="AE98" s="100">
        <v>1.5982119571661526E-17</v>
      </c>
      <c r="AF98" s="100">
        <v>1.5982119571661526E-17</v>
      </c>
      <c r="AG98" s="100">
        <v>1.5982119571661526E-17</v>
      </c>
      <c r="AH98" s="100">
        <v>1.5982119571661526E-17</v>
      </c>
      <c r="AI98" s="100">
        <v>1.5982119571661526E-17</v>
      </c>
      <c r="AJ98" s="100">
        <v>1.5982119571661526E-17</v>
      </c>
      <c r="AK98" s="100">
        <v>1.5982119571661526E-17</v>
      </c>
      <c r="AL98" s="100">
        <v>1.5982119571661526E-17</v>
      </c>
      <c r="AM98" s="100">
        <v>1.5982119571661526E-17</v>
      </c>
      <c r="AN98" s="100">
        <v>1.5982119571661526E-17</v>
      </c>
      <c r="AO98" s="100">
        <v>1.5982119571661526E-17</v>
      </c>
      <c r="AP98" s="100">
        <v>1.5982119571661526E-17</v>
      </c>
      <c r="AQ98" s="100">
        <v>1.5982119571661526E-17</v>
      </c>
      <c r="AR98" s="100">
        <v>1.5982119571661526E-17</v>
      </c>
      <c r="AS98" s="100">
        <v>1.5982119571661526E-17</v>
      </c>
      <c r="AT98" s="100">
        <v>1.5982119571661526E-17</v>
      </c>
      <c r="AU98" s="100">
        <v>1.5982119571661526E-17</v>
      </c>
      <c r="AV98" s="100">
        <v>1.5982119571661526E-17</v>
      </c>
      <c r="AW98" s="100">
        <v>1.5982119571661526E-17</v>
      </c>
      <c r="AX98" s="100">
        <v>1.5982119571661526E-17</v>
      </c>
    </row>
    <row r="99" spans="1:50">
      <c r="B99" s="105" t="s">
        <v>12</v>
      </c>
      <c r="C99" s="100">
        <v>415845.16265998367</v>
      </c>
      <c r="D99" s="100">
        <v>415845.16265998367</v>
      </c>
      <c r="E99" s="100">
        <v>415845.16265998367</v>
      </c>
      <c r="F99" s="100">
        <v>415845.16265998367</v>
      </c>
      <c r="G99" s="100">
        <v>415845.16265998367</v>
      </c>
      <c r="H99" s="100">
        <v>415845.16265998367</v>
      </c>
      <c r="I99" s="100">
        <v>415845.16265998367</v>
      </c>
      <c r="J99" s="100">
        <v>415845.16265998367</v>
      </c>
      <c r="K99" s="100">
        <v>415845.16265998367</v>
      </c>
      <c r="L99" s="100">
        <v>415845.16265998367</v>
      </c>
      <c r="M99" s="100">
        <v>415845.16265998367</v>
      </c>
      <c r="N99" s="100">
        <v>415845.16265998367</v>
      </c>
      <c r="O99" s="100">
        <v>332678.45850944892</v>
      </c>
      <c r="P99" s="100">
        <v>332678.45850944892</v>
      </c>
      <c r="Q99" s="100">
        <v>332678.45850944892</v>
      </c>
      <c r="R99" s="100">
        <v>332678.45850944892</v>
      </c>
      <c r="S99" s="100">
        <v>415845.16265998367</v>
      </c>
      <c r="T99" s="100">
        <v>415845.16265998367</v>
      </c>
      <c r="U99" s="100">
        <v>415845.16265998367</v>
      </c>
      <c r="V99" s="100">
        <v>415845.16265998367</v>
      </c>
      <c r="W99" s="100">
        <v>415845.16265998367</v>
      </c>
      <c r="X99" s="100">
        <v>415845.16265998367</v>
      </c>
      <c r="Y99" s="100">
        <v>415845.16265998367</v>
      </c>
      <c r="Z99" s="100">
        <v>415845.16265998367</v>
      </c>
      <c r="AA99" s="100">
        <v>415845.16265998367</v>
      </c>
      <c r="AB99" s="100">
        <v>415845.16265998367</v>
      </c>
      <c r="AC99" s="100">
        <v>415845.16265998367</v>
      </c>
      <c r="AD99" s="100">
        <v>415845.16265998367</v>
      </c>
      <c r="AE99" s="100">
        <v>415845.16265998367</v>
      </c>
      <c r="AF99" s="100">
        <v>415845.16265998367</v>
      </c>
      <c r="AG99" s="100">
        <v>415845.16265998367</v>
      </c>
      <c r="AH99" s="100">
        <v>415845.16265998367</v>
      </c>
      <c r="AI99" s="100">
        <v>415845.16265998367</v>
      </c>
      <c r="AJ99" s="100">
        <v>415845.16265998367</v>
      </c>
      <c r="AK99" s="100">
        <v>415845.16265998367</v>
      </c>
      <c r="AL99" s="100">
        <v>415845.16265998367</v>
      </c>
      <c r="AM99" s="100">
        <v>415845.16265998367</v>
      </c>
      <c r="AN99" s="100">
        <v>415845.16265998367</v>
      </c>
      <c r="AO99" s="100">
        <v>415845.16265998367</v>
      </c>
      <c r="AP99" s="100">
        <v>415845.16265998367</v>
      </c>
      <c r="AQ99" s="100">
        <v>415845.16265998367</v>
      </c>
      <c r="AR99" s="100">
        <v>415845.16265998367</v>
      </c>
      <c r="AS99" s="100">
        <v>415845.16265998367</v>
      </c>
      <c r="AT99" s="100">
        <v>415845.16265998367</v>
      </c>
      <c r="AU99" s="100">
        <v>415845.16265998367</v>
      </c>
      <c r="AV99" s="100">
        <v>415845.16265998367</v>
      </c>
      <c r="AW99" s="100">
        <v>415845.16265998367</v>
      </c>
      <c r="AX99" s="100">
        <v>415845.16265998367</v>
      </c>
    </row>
    <row r="100" spans="1:50">
      <c r="B100" s="105" t="s">
        <v>22</v>
      </c>
      <c r="C100" s="100">
        <v>1.4852848596419603E-18</v>
      </c>
      <c r="D100" s="100">
        <v>1.4852848596419603E-18</v>
      </c>
      <c r="E100" s="100">
        <v>1.4852848596419603E-18</v>
      </c>
      <c r="F100" s="100">
        <v>1.4852848596419603E-18</v>
      </c>
      <c r="G100" s="100">
        <v>1.4852848596419603E-18</v>
      </c>
      <c r="H100" s="100">
        <v>1.4852848596419603E-18</v>
      </c>
      <c r="I100" s="100">
        <v>1.4852848596419603E-18</v>
      </c>
      <c r="J100" s="100">
        <v>1.4852848596419603E-18</v>
      </c>
      <c r="K100" s="100">
        <v>1.4852848596419603E-18</v>
      </c>
      <c r="L100" s="100">
        <v>1.4852848596419603E-18</v>
      </c>
      <c r="M100" s="100">
        <v>1.4852848596419603E-18</v>
      </c>
      <c r="N100" s="100">
        <v>1.4852848596419603E-18</v>
      </c>
      <c r="O100" s="100">
        <v>1.1882362040535034E-18</v>
      </c>
      <c r="P100" s="100">
        <v>1.1882362040535034E-18</v>
      </c>
      <c r="Q100" s="100">
        <v>1.1882362040535034E-18</v>
      </c>
      <c r="R100" s="100">
        <v>1.1882362040535034E-18</v>
      </c>
      <c r="S100" s="100">
        <v>1.4852848596419603E-18</v>
      </c>
      <c r="T100" s="100">
        <v>1.4852848596419603E-18</v>
      </c>
      <c r="U100" s="100">
        <v>1.4852848596419603E-18</v>
      </c>
      <c r="V100" s="100">
        <v>1.4852848596419603E-18</v>
      </c>
      <c r="W100" s="100">
        <v>1.4852848596419603E-18</v>
      </c>
      <c r="X100" s="100">
        <v>1.4852848596419603E-18</v>
      </c>
      <c r="Y100" s="100">
        <v>1.4852848596419603E-18</v>
      </c>
      <c r="Z100" s="100">
        <v>1.4852848596419603E-18</v>
      </c>
      <c r="AA100" s="100">
        <v>1.4852848596419603E-18</v>
      </c>
      <c r="AB100" s="100">
        <v>1.4852848596419603E-18</v>
      </c>
      <c r="AC100" s="100">
        <v>1.4852848596419603E-18</v>
      </c>
      <c r="AD100" s="100">
        <v>1.4852848596419603E-18</v>
      </c>
      <c r="AE100" s="100">
        <v>1.4852848596419603E-18</v>
      </c>
      <c r="AF100" s="100">
        <v>1.4852848596419603E-18</v>
      </c>
      <c r="AG100" s="100">
        <v>1.4852848596419603E-18</v>
      </c>
      <c r="AH100" s="100">
        <v>1.4852848596419603E-18</v>
      </c>
      <c r="AI100" s="100">
        <v>1.4852848596419603E-18</v>
      </c>
      <c r="AJ100" s="100">
        <v>1.4852848596419603E-18</v>
      </c>
      <c r="AK100" s="100">
        <v>1.4852848596419603E-18</v>
      </c>
      <c r="AL100" s="100">
        <v>1.4852848596419603E-18</v>
      </c>
      <c r="AM100" s="100">
        <v>1.4852848596419603E-18</v>
      </c>
      <c r="AN100" s="100">
        <v>1.4852848596419603E-18</v>
      </c>
      <c r="AO100" s="100">
        <v>1.4852848596419603E-18</v>
      </c>
      <c r="AP100" s="100">
        <v>1.4852848596419603E-18</v>
      </c>
      <c r="AQ100" s="100">
        <v>1.4852848596419603E-18</v>
      </c>
      <c r="AR100" s="100">
        <v>1.4852848596419603E-18</v>
      </c>
      <c r="AS100" s="100">
        <v>1.4852848596419603E-18</v>
      </c>
      <c r="AT100" s="100">
        <v>1.4852848596419603E-18</v>
      </c>
      <c r="AU100" s="100">
        <v>1.4852848596419603E-18</v>
      </c>
      <c r="AV100" s="100">
        <v>1.4852848596419603E-18</v>
      </c>
      <c r="AW100" s="100">
        <v>1.4852848596419603E-18</v>
      </c>
      <c r="AX100" s="100">
        <v>1.4852848596419603E-18</v>
      </c>
    </row>
    <row r="101" spans="1:50">
      <c r="B101" s="105" t="s">
        <v>46</v>
      </c>
      <c r="C101" s="100">
        <v>2.0010864396015921E-18</v>
      </c>
      <c r="D101" s="100">
        <v>2.0010864396015921E-18</v>
      </c>
      <c r="E101" s="100">
        <v>2.0010864396015921E-18</v>
      </c>
      <c r="F101" s="100">
        <v>2.0010864396015921E-18</v>
      </c>
      <c r="G101" s="100">
        <v>2.0010864396015921E-18</v>
      </c>
      <c r="H101" s="100">
        <v>2.0010864396015921E-18</v>
      </c>
      <c r="I101" s="100">
        <v>2.0010864396015921E-18</v>
      </c>
      <c r="J101" s="100">
        <v>2.0010864396015921E-18</v>
      </c>
      <c r="K101" s="100">
        <v>2.0010864396015921E-18</v>
      </c>
      <c r="L101" s="100">
        <v>2.0010864396015921E-18</v>
      </c>
      <c r="M101" s="100">
        <v>2.0010864396015921E-18</v>
      </c>
      <c r="N101" s="100">
        <v>2.0010864396015921E-18</v>
      </c>
      <c r="O101" s="100">
        <v>1.6008803560741301E-18</v>
      </c>
      <c r="P101" s="100">
        <v>1.6008803560741301E-18</v>
      </c>
      <c r="Q101" s="100">
        <v>1.6008803560741301E-18</v>
      </c>
      <c r="R101" s="100">
        <v>1.6008803560741301E-18</v>
      </c>
      <c r="S101" s="100">
        <v>2.0010864396015921E-18</v>
      </c>
      <c r="T101" s="100">
        <v>2.0010864396015921E-18</v>
      </c>
      <c r="U101" s="100">
        <v>2.0010864396015921E-18</v>
      </c>
      <c r="V101" s="100">
        <v>2.0010864396015921E-18</v>
      </c>
      <c r="W101" s="100">
        <v>2.0010864396015921E-18</v>
      </c>
      <c r="X101" s="100">
        <v>2.0010864396015921E-18</v>
      </c>
      <c r="Y101" s="100">
        <v>2.0010864396015921E-18</v>
      </c>
      <c r="Z101" s="100">
        <v>2.0010864396015921E-18</v>
      </c>
      <c r="AA101" s="100">
        <v>2.0010864396015921E-18</v>
      </c>
      <c r="AB101" s="100">
        <v>2.0010864396015921E-18</v>
      </c>
      <c r="AC101" s="100">
        <v>2.0010864396015921E-18</v>
      </c>
      <c r="AD101" s="100">
        <v>2.0010864396015921E-18</v>
      </c>
      <c r="AE101" s="100">
        <v>2.0010864396015921E-18</v>
      </c>
      <c r="AF101" s="100">
        <v>2.0010864396015921E-18</v>
      </c>
      <c r="AG101" s="100">
        <v>2.0010864396015921E-18</v>
      </c>
      <c r="AH101" s="100">
        <v>2.0010864396015921E-18</v>
      </c>
      <c r="AI101" s="100">
        <v>2.0010864396015921E-18</v>
      </c>
      <c r="AJ101" s="100">
        <v>2.0010864396015921E-18</v>
      </c>
      <c r="AK101" s="100">
        <v>2.0010864396015921E-18</v>
      </c>
      <c r="AL101" s="100">
        <v>2.0010864396015921E-18</v>
      </c>
      <c r="AM101" s="100">
        <v>2.0010864396015921E-18</v>
      </c>
      <c r="AN101" s="100">
        <v>2.0010864396015921E-18</v>
      </c>
      <c r="AO101" s="100">
        <v>2.0010864396015921E-18</v>
      </c>
      <c r="AP101" s="100">
        <v>2.0010864396015921E-18</v>
      </c>
      <c r="AQ101" s="100">
        <v>2.0010864396015921E-18</v>
      </c>
      <c r="AR101" s="100">
        <v>2.0010864396015921E-18</v>
      </c>
      <c r="AS101" s="100">
        <v>2.0010864396015921E-18</v>
      </c>
      <c r="AT101" s="100">
        <v>2.0010864396015921E-18</v>
      </c>
      <c r="AU101" s="100">
        <v>2.0010864396015921E-18</v>
      </c>
      <c r="AV101" s="100">
        <v>2.0010864396015921E-18</v>
      </c>
      <c r="AW101" s="100">
        <v>2.0010864396015921E-18</v>
      </c>
      <c r="AX101" s="100">
        <v>2.0010864396015921E-18</v>
      </c>
    </row>
    <row r="102" spans="1:50">
      <c r="B102" s="105" t="s">
        <v>59</v>
      </c>
      <c r="C102" s="100">
        <v>264437.33968852495</v>
      </c>
      <c r="D102" s="100">
        <v>264437.33968852495</v>
      </c>
      <c r="E102" s="100">
        <v>264437.33968852495</v>
      </c>
      <c r="F102" s="100">
        <v>264437.33968852495</v>
      </c>
      <c r="G102" s="100">
        <v>264437.33968852495</v>
      </c>
      <c r="H102" s="100">
        <v>264437.33968852495</v>
      </c>
      <c r="I102" s="100">
        <v>264437.33968852495</v>
      </c>
      <c r="J102" s="100">
        <v>264437.33968852495</v>
      </c>
      <c r="K102" s="100">
        <v>264437.33968852495</v>
      </c>
      <c r="L102" s="100">
        <v>264437.33968852495</v>
      </c>
      <c r="M102" s="100">
        <v>264437.33968852495</v>
      </c>
      <c r="N102" s="100">
        <v>264437.33968852495</v>
      </c>
      <c r="O102" s="100">
        <v>211551.35237643475</v>
      </c>
      <c r="P102" s="100">
        <v>211551.35237643475</v>
      </c>
      <c r="Q102" s="100">
        <v>211551.35237643475</v>
      </c>
      <c r="R102" s="100">
        <v>211551.35237643475</v>
      </c>
      <c r="S102" s="100">
        <v>264437.33968852495</v>
      </c>
      <c r="T102" s="100">
        <v>264437.33968852495</v>
      </c>
      <c r="U102" s="100">
        <v>264437.33968852495</v>
      </c>
      <c r="V102" s="100">
        <v>264437.33968852495</v>
      </c>
      <c r="W102" s="100">
        <v>264437.33968852495</v>
      </c>
      <c r="X102" s="100">
        <v>264437.33968852495</v>
      </c>
      <c r="Y102" s="100">
        <v>264437.33968852495</v>
      </c>
      <c r="Z102" s="100">
        <v>264437.33968852495</v>
      </c>
      <c r="AA102" s="100">
        <v>264437.33968852495</v>
      </c>
      <c r="AB102" s="100">
        <v>264437.33968852495</v>
      </c>
      <c r="AC102" s="100">
        <v>264437.33968852495</v>
      </c>
      <c r="AD102" s="100">
        <v>264437.33968852495</v>
      </c>
      <c r="AE102" s="100">
        <v>264437.33968852495</v>
      </c>
      <c r="AF102" s="100">
        <v>264437.33968852495</v>
      </c>
      <c r="AG102" s="100">
        <v>264437.33968852495</v>
      </c>
      <c r="AH102" s="100">
        <v>264437.33968852495</v>
      </c>
      <c r="AI102" s="100">
        <v>264437.33968852495</v>
      </c>
      <c r="AJ102" s="100">
        <v>264437.33968852495</v>
      </c>
      <c r="AK102" s="100">
        <v>264437.33968852495</v>
      </c>
      <c r="AL102" s="100">
        <v>264437.33968852495</v>
      </c>
      <c r="AM102" s="100">
        <v>264437.33968852495</v>
      </c>
      <c r="AN102" s="100">
        <v>264437.33968852495</v>
      </c>
      <c r="AO102" s="100">
        <v>264437.33968852495</v>
      </c>
      <c r="AP102" s="100">
        <v>264437.33968852495</v>
      </c>
      <c r="AQ102" s="100">
        <v>264437.33968852495</v>
      </c>
      <c r="AR102" s="100">
        <v>264437.33968852495</v>
      </c>
      <c r="AS102" s="100">
        <v>264437.33968852495</v>
      </c>
      <c r="AT102" s="100">
        <v>264437.33968852495</v>
      </c>
      <c r="AU102" s="100">
        <v>264437.33968852495</v>
      </c>
      <c r="AV102" s="100">
        <v>264437.33968852495</v>
      </c>
      <c r="AW102" s="100">
        <v>264437.33968852495</v>
      </c>
      <c r="AX102" s="100">
        <v>264437.33968852495</v>
      </c>
    </row>
    <row r="103" spans="1:50">
      <c r="B103" s="100" t="s">
        <v>278</v>
      </c>
      <c r="C103" s="105">
        <f>SUM(C$98:C$102)</f>
        <v>680282.50234850869</v>
      </c>
      <c r="D103" s="105">
        <f t="shared" ref="D103:AX103" si="5">SUM(D$98:D$102)</f>
        <v>680282.50234850869</v>
      </c>
      <c r="E103" s="105">
        <f t="shared" si="5"/>
        <v>680282.50234850869</v>
      </c>
      <c r="F103" s="105">
        <f t="shared" si="5"/>
        <v>680282.50234850869</v>
      </c>
      <c r="G103" s="105">
        <f t="shared" si="5"/>
        <v>680282.50234850869</v>
      </c>
      <c r="H103" s="105">
        <f t="shared" si="5"/>
        <v>680282.50234850869</v>
      </c>
      <c r="I103" s="105">
        <f t="shared" si="5"/>
        <v>680282.50234850869</v>
      </c>
      <c r="J103" s="105">
        <f t="shared" si="5"/>
        <v>680282.50234850869</v>
      </c>
      <c r="K103" s="105">
        <f t="shared" si="5"/>
        <v>680282.50234850869</v>
      </c>
      <c r="L103" s="105">
        <f t="shared" si="5"/>
        <v>680282.50234850869</v>
      </c>
      <c r="M103" s="105">
        <f t="shared" si="5"/>
        <v>680282.50234850869</v>
      </c>
      <c r="N103" s="105">
        <f t="shared" si="5"/>
        <v>680282.50234850869</v>
      </c>
      <c r="O103" s="105">
        <f t="shared" si="5"/>
        <v>544229.81088588363</v>
      </c>
      <c r="P103" s="105">
        <f t="shared" si="5"/>
        <v>544229.81088588363</v>
      </c>
      <c r="Q103" s="105">
        <f t="shared" si="5"/>
        <v>544229.81088588363</v>
      </c>
      <c r="R103" s="105">
        <f t="shared" si="5"/>
        <v>544229.81088588363</v>
      </c>
      <c r="S103" s="105">
        <f t="shared" si="5"/>
        <v>680282.50234850869</v>
      </c>
      <c r="T103" s="105">
        <f t="shared" si="5"/>
        <v>680282.50234850869</v>
      </c>
      <c r="U103" s="105">
        <f t="shared" si="5"/>
        <v>680282.50234850869</v>
      </c>
      <c r="V103" s="105">
        <f t="shared" si="5"/>
        <v>680282.50234850869</v>
      </c>
      <c r="W103" s="105">
        <f t="shared" si="5"/>
        <v>680282.50234850869</v>
      </c>
      <c r="X103" s="105">
        <f t="shared" si="5"/>
        <v>680282.50234850869</v>
      </c>
      <c r="Y103" s="105">
        <f t="shared" si="5"/>
        <v>680282.50234850869</v>
      </c>
      <c r="Z103" s="105">
        <f t="shared" si="5"/>
        <v>680282.50234850869</v>
      </c>
      <c r="AA103" s="105">
        <f t="shared" si="5"/>
        <v>680282.50234850869</v>
      </c>
      <c r="AB103" s="105">
        <f t="shared" si="5"/>
        <v>680282.50234850869</v>
      </c>
      <c r="AC103" s="105">
        <f t="shared" si="5"/>
        <v>680282.50234850869</v>
      </c>
      <c r="AD103" s="105">
        <f t="shared" si="5"/>
        <v>680282.50234850869</v>
      </c>
      <c r="AE103" s="105">
        <f t="shared" si="5"/>
        <v>680282.50234850869</v>
      </c>
      <c r="AF103" s="105">
        <f t="shared" si="5"/>
        <v>680282.50234850869</v>
      </c>
      <c r="AG103" s="105">
        <f t="shared" si="5"/>
        <v>680282.50234850869</v>
      </c>
      <c r="AH103" s="105">
        <f t="shared" si="5"/>
        <v>680282.50234850869</v>
      </c>
      <c r="AI103" s="105">
        <f t="shared" si="5"/>
        <v>680282.50234850869</v>
      </c>
      <c r="AJ103" s="105">
        <f t="shared" si="5"/>
        <v>680282.50234850869</v>
      </c>
      <c r="AK103" s="105">
        <f t="shared" si="5"/>
        <v>680282.50234850869</v>
      </c>
      <c r="AL103" s="105">
        <f t="shared" si="5"/>
        <v>680282.50234850869</v>
      </c>
      <c r="AM103" s="105">
        <f t="shared" si="5"/>
        <v>680282.50234850869</v>
      </c>
      <c r="AN103" s="105">
        <f t="shared" si="5"/>
        <v>680282.50234850869</v>
      </c>
      <c r="AO103" s="105">
        <f t="shared" si="5"/>
        <v>680282.50234850869</v>
      </c>
      <c r="AP103" s="105">
        <f t="shared" si="5"/>
        <v>680282.50234850869</v>
      </c>
      <c r="AQ103" s="105">
        <f t="shared" si="5"/>
        <v>680282.50234850869</v>
      </c>
      <c r="AR103" s="105">
        <f t="shared" si="5"/>
        <v>680282.50234850869</v>
      </c>
      <c r="AS103" s="105">
        <f t="shared" si="5"/>
        <v>680282.50234850869</v>
      </c>
      <c r="AT103" s="105">
        <f t="shared" si="5"/>
        <v>680282.50234850869</v>
      </c>
      <c r="AU103" s="105">
        <f t="shared" si="5"/>
        <v>680282.50234850869</v>
      </c>
      <c r="AV103" s="105">
        <f t="shared" si="5"/>
        <v>680282.50234850869</v>
      </c>
      <c r="AW103" s="105">
        <f t="shared" si="5"/>
        <v>680282.50234850869</v>
      </c>
      <c r="AX103" s="105">
        <f t="shared" si="5"/>
        <v>680282.50234850869</v>
      </c>
    </row>
    <row r="104" spans="1:50">
      <c r="A104" s="105" t="s">
        <v>105</v>
      </c>
      <c r="B104" s="105" t="s">
        <v>10</v>
      </c>
      <c r="C104" s="100">
        <v>0</v>
      </c>
      <c r="D104" s="100">
        <v>0</v>
      </c>
      <c r="E104" s="100">
        <v>0</v>
      </c>
      <c r="F104" s="100">
        <v>0</v>
      </c>
      <c r="G104" s="100">
        <v>1.0990755428291912E-18</v>
      </c>
      <c r="H104" s="100">
        <v>1.0990755428291912E-18</v>
      </c>
      <c r="I104" s="100">
        <v>1.0990755428291912E-18</v>
      </c>
      <c r="J104" s="100">
        <v>1.0990755428291912E-18</v>
      </c>
      <c r="K104" s="100">
        <v>1.0990755428291912E-18</v>
      </c>
      <c r="L104" s="100">
        <v>1.0990755428291912E-18</v>
      </c>
      <c r="M104" s="100">
        <v>1.0990755428291912E-18</v>
      </c>
      <c r="N104" s="100">
        <v>1.0990755428291912E-18</v>
      </c>
      <c r="O104" s="100">
        <v>1.0990755428291912E-18</v>
      </c>
      <c r="P104" s="100">
        <v>1.0990755428291912E-18</v>
      </c>
      <c r="Q104" s="100">
        <v>1.0990755428291912E-18</v>
      </c>
      <c r="R104" s="100">
        <v>1.0990755428291912E-18</v>
      </c>
      <c r="S104" s="100">
        <v>1.0990755428291912E-18</v>
      </c>
      <c r="T104" s="100">
        <v>1.0990755428291912E-18</v>
      </c>
      <c r="U104" s="100">
        <v>1.0990755428291912E-18</v>
      </c>
      <c r="V104" s="100">
        <v>1.0990755428291912E-18</v>
      </c>
      <c r="W104" s="100">
        <v>8.7926043426335298E-19</v>
      </c>
      <c r="X104" s="100">
        <v>8.7926043426335298E-19</v>
      </c>
      <c r="Y104" s="100">
        <v>8.7926043426335298E-19</v>
      </c>
      <c r="Z104" s="100">
        <v>8.7926043426335298E-19</v>
      </c>
      <c r="AA104" s="100">
        <v>1.0990755428291912E-18</v>
      </c>
      <c r="AB104" s="100">
        <v>1.0990755428291912E-18</v>
      </c>
      <c r="AC104" s="100">
        <v>1.0990755428291912E-18</v>
      </c>
      <c r="AD104" s="100">
        <v>1.0990755428291912E-18</v>
      </c>
      <c r="AE104" s="100">
        <v>1.0990755428291912E-18</v>
      </c>
      <c r="AF104" s="100">
        <v>1.0990755428291912E-18</v>
      </c>
      <c r="AG104" s="100">
        <v>1.0990755428291912E-18</v>
      </c>
      <c r="AH104" s="100">
        <v>1.0990755428291912E-18</v>
      </c>
      <c r="AI104" s="100">
        <v>1.0990755428291912E-18</v>
      </c>
      <c r="AJ104" s="100">
        <v>1.0990755428291912E-18</v>
      </c>
      <c r="AK104" s="100">
        <v>1.0990755428291912E-18</v>
      </c>
      <c r="AL104" s="100">
        <v>1.0990755428291912E-18</v>
      </c>
      <c r="AM104" s="100">
        <v>1.0990755428291912E-18</v>
      </c>
      <c r="AN104" s="100">
        <v>1.0990755428291912E-18</v>
      </c>
      <c r="AO104" s="100">
        <v>1.0990755428291912E-18</v>
      </c>
      <c r="AP104" s="100">
        <v>1.0990755428291912E-18</v>
      </c>
      <c r="AQ104" s="100">
        <v>1.3188906513950293E-18</v>
      </c>
      <c r="AR104" s="100">
        <v>1.3188906513950293E-18</v>
      </c>
      <c r="AS104" s="100">
        <v>1.3188906513950293E-18</v>
      </c>
      <c r="AT104" s="100">
        <v>1.3188906513950293E-18</v>
      </c>
      <c r="AU104" s="100">
        <v>1.0990755428291912E-18</v>
      </c>
      <c r="AV104" s="100">
        <v>1.0990755428291912E-18</v>
      </c>
      <c r="AW104" s="100">
        <v>1.0990755428291912E-18</v>
      </c>
      <c r="AX104" s="100">
        <v>1.0990755428291912E-18</v>
      </c>
    </row>
    <row r="105" spans="1:50">
      <c r="B105" s="105" t="s">
        <v>12</v>
      </c>
      <c r="C105" s="100">
        <v>0</v>
      </c>
      <c r="D105" s="100">
        <v>0</v>
      </c>
      <c r="E105" s="100">
        <v>0</v>
      </c>
      <c r="F105" s="100">
        <v>0</v>
      </c>
      <c r="G105" s="100">
        <v>5.036428946013811E-18</v>
      </c>
      <c r="H105" s="100">
        <v>5.036428946013811E-18</v>
      </c>
      <c r="I105" s="100">
        <v>5.036428946013811E-18</v>
      </c>
      <c r="J105" s="100">
        <v>5.036428946013811E-18</v>
      </c>
      <c r="K105" s="100">
        <v>5.036428946013811E-18</v>
      </c>
      <c r="L105" s="100">
        <v>5.036428946013811E-18</v>
      </c>
      <c r="M105" s="100">
        <v>5.036428946013811E-18</v>
      </c>
      <c r="N105" s="100">
        <v>5.036428946013811E-18</v>
      </c>
      <c r="O105" s="100">
        <v>5.036428946013811E-18</v>
      </c>
      <c r="P105" s="100">
        <v>5.036428946013811E-18</v>
      </c>
      <c r="Q105" s="100">
        <v>5.036428946013811E-18</v>
      </c>
      <c r="R105" s="100">
        <v>5.036428946013811E-18</v>
      </c>
      <c r="S105" s="100">
        <v>5.036428946013811E-18</v>
      </c>
      <c r="T105" s="100">
        <v>5.036428946013811E-18</v>
      </c>
      <c r="U105" s="100">
        <v>5.036428946013811E-18</v>
      </c>
      <c r="V105" s="100">
        <v>5.036428946013811E-18</v>
      </c>
      <c r="W105" s="100">
        <v>4.029143156811049E-18</v>
      </c>
      <c r="X105" s="100">
        <v>4.029143156811049E-18</v>
      </c>
      <c r="Y105" s="100">
        <v>4.029143156811049E-18</v>
      </c>
      <c r="Z105" s="100">
        <v>4.029143156811049E-18</v>
      </c>
      <c r="AA105" s="100">
        <v>5.036428946013811E-18</v>
      </c>
      <c r="AB105" s="100">
        <v>5.036428946013811E-18</v>
      </c>
      <c r="AC105" s="100">
        <v>5.036428946013811E-18</v>
      </c>
      <c r="AD105" s="100">
        <v>5.036428946013811E-18</v>
      </c>
      <c r="AE105" s="100">
        <v>5.036428946013811E-18</v>
      </c>
      <c r="AF105" s="100">
        <v>5.036428946013811E-18</v>
      </c>
      <c r="AG105" s="100">
        <v>5.036428946013811E-18</v>
      </c>
      <c r="AH105" s="100">
        <v>5.036428946013811E-18</v>
      </c>
      <c r="AI105" s="100">
        <v>5.036428946013811E-18</v>
      </c>
      <c r="AJ105" s="100">
        <v>5.036428946013811E-18</v>
      </c>
      <c r="AK105" s="100">
        <v>5.036428946013811E-18</v>
      </c>
      <c r="AL105" s="100">
        <v>5.036428946013811E-18</v>
      </c>
      <c r="AM105" s="100">
        <v>5.036428946013811E-18</v>
      </c>
      <c r="AN105" s="100">
        <v>5.036428946013811E-18</v>
      </c>
      <c r="AO105" s="100">
        <v>5.036428946013811E-18</v>
      </c>
      <c r="AP105" s="100">
        <v>5.036428946013811E-18</v>
      </c>
      <c r="AQ105" s="100">
        <v>6.0437147352165723E-18</v>
      </c>
      <c r="AR105" s="100">
        <v>6.0437147352165723E-18</v>
      </c>
      <c r="AS105" s="100">
        <v>6.0437147352165723E-18</v>
      </c>
      <c r="AT105" s="100">
        <v>6.0437147352165723E-18</v>
      </c>
      <c r="AU105" s="100">
        <v>5.036428946013811E-18</v>
      </c>
      <c r="AV105" s="100">
        <v>5.036428946013811E-18</v>
      </c>
      <c r="AW105" s="100">
        <v>5.036428946013811E-18</v>
      </c>
      <c r="AX105" s="100">
        <v>5.036428946013811E-18</v>
      </c>
    </row>
    <row r="106" spans="1:50">
      <c r="B106" s="105" t="s">
        <v>22</v>
      </c>
      <c r="C106" s="100">
        <v>0</v>
      </c>
      <c r="D106" s="100">
        <v>0</v>
      </c>
      <c r="E106" s="100">
        <v>0</v>
      </c>
      <c r="F106" s="100">
        <v>0</v>
      </c>
      <c r="G106" s="100">
        <v>0</v>
      </c>
      <c r="H106" s="100">
        <v>0</v>
      </c>
      <c r="I106" s="100">
        <v>0</v>
      </c>
      <c r="J106" s="100">
        <v>0</v>
      </c>
      <c r="K106" s="100">
        <v>0</v>
      </c>
      <c r="L106" s="100">
        <v>0</v>
      </c>
      <c r="M106" s="100">
        <v>0</v>
      </c>
      <c r="N106" s="100">
        <v>0</v>
      </c>
      <c r="O106" s="100">
        <v>0</v>
      </c>
      <c r="P106" s="100">
        <v>0</v>
      </c>
      <c r="Q106" s="100">
        <v>0</v>
      </c>
      <c r="R106" s="100">
        <v>0</v>
      </c>
      <c r="S106" s="100">
        <v>0</v>
      </c>
      <c r="T106" s="100">
        <v>0</v>
      </c>
      <c r="U106" s="100">
        <v>0</v>
      </c>
      <c r="V106" s="100">
        <v>0</v>
      </c>
      <c r="W106" s="100">
        <v>0</v>
      </c>
      <c r="X106" s="100">
        <v>0</v>
      </c>
      <c r="Y106" s="100">
        <v>0</v>
      </c>
      <c r="Z106" s="100">
        <v>0</v>
      </c>
      <c r="AA106" s="100">
        <v>0</v>
      </c>
      <c r="AB106" s="100">
        <v>0</v>
      </c>
      <c r="AC106" s="100">
        <v>0</v>
      </c>
      <c r="AD106" s="100">
        <v>0</v>
      </c>
      <c r="AE106" s="100">
        <v>0</v>
      </c>
      <c r="AF106" s="100">
        <v>0</v>
      </c>
      <c r="AG106" s="100">
        <v>0</v>
      </c>
      <c r="AH106" s="100">
        <v>0</v>
      </c>
      <c r="AI106" s="100">
        <v>0</v>
      </c>
      <c r="AJ106" s="100">
        <v>0</v>
      </c>
      <c r="AK106" s="100">
        <v>0</v>
      </c>
      <c r="AL106" s="100">
        <v>0</v>
      </c>
      <c r="AM106" s="100">
        <v>0</v>
      </c>
      <c r="AN106" s="100">
        <v>0</v>
      </c>
      <c r="AO106" s="100">
        <v>0</v>
      </c>
      <c r="AP106" s="100">
        <v>0</v>
      </c>
      <c r="AQ106" s="100">
        <v>0</v>
      </c>
      <c r="AR106" s="100">
        <v>0</v>
      </c>
      <c r="AS106" s="100">
        <v>0</v>
      </c>
      <c r="AT106" s="100">
        <v>0</v>
      </c>
      <c r="AU106" s="100">
        <v>0</v>
      </c>
      <c r="AV106" s="100">
        <v>0</v>
      </c>
      <c r="AW106" s="100">
        <v>0</v>
      </c>
      <c r="AX106" s="100">
        <v>0</v>
      </c>
    </row>
    <row r="107" spans="1:50">
      <c r="B107" s="105" t="s">
        <v>46</v>
      </c>
      <c r="C107" s="100">
        <v>0</v>
      </c>
      <c r="D107" s="100">
        <v>0</v>
      </c>
      <c r="E107" s="100">
        <v>0</v>
      </c>
      <c r="F107" s="100">
        <v>0</v>
      </c>
      <c r="G107" s="100">
        <v>1.7453951651705616E-19</v>
      </c>
      <c r="H107" s="100">
        <v>1.7453951651705616E-19</v>
      </c>
      <c r="I107" s="100">
        <v>1.7453951651705616E-19</v>
      </c>
      <c r="J107" s="100">
        <v>1.7453951651705616E-19</v>
      </c>
      <c r="K107" s="100">
        <v>1.7453951651705616E-19</v>
      </c>
      <c r="L107" s="100">
        <v>1.7453951651705616E-19</v>
      </c>
      <c r="M107" s="100">
        <v>1.7453951651705616E-19</v>
      </c>
      <c r="N107" s="100">
        <v>1.7453951651705616E-19</v>
      </c>
      <c r="O107" s="100">
        <v>1.7453951651705616E-19</v>
      </c>
      <c r="P107" s="100">
        <v>1.7453951651705616E-19</v>
      </c>
      <c r="Q107" s="100">
        <v>1.7453951651705616E-19</v>
      </c>
      <c r="R107" s="100">
        <v>1.7453951651705616E-19</v>
      </c>
      <c r="S107" s="100">
        <v>1.7453951651705616E-19</v>
      </c>
      <c r="T107" s="100">
        <v>1.7453951651705616E-19</v>
      </c>
      <c r="U107" s="100">
        <v>1.7453951651705616E-19</v>
      </c>
      <c r="V107" s="100">
        <v>1.7453951651705616E-19</v>
      </c>
      <c r="W107" s="100">
        <v>1.3963161321364494E-19</v>
      </c>
      <c r="X107" s="100">
        <v>1.3963161321364494E-19</v>
      </c>
      <c r="Y107" s="100">
        <v>1.3963161321364494E-19</v>
      </c>
      <c r="Z107" s="100">
        <v>1.3963161321364494E-19</v>
      </c>
      <c r="AA107" s="100">
        <v>1.7453951651705616E-19</v>
      </c>
      <c r="AB107" s="100">
        <v>1.7453951651705616E-19</v>
      </c>
      <c r="AC107" s="100">
        <v>1.7453951651705616E-19</v>
      </c>
      <c r="AD107" s="100">
        <v>1.7453951651705616E-19</v>
      </c>
      <c r="AE107" s="100">
        <v>1.7453951651705616E-19</v>
      </c>
      <c r="AF107" s="100">
        <v>1.7453951651705616E-19</v>
      </c>
      <c r="AG107" s="100">
        <v>1.7453951651705616E-19</v>
      </c>
      <c r="AH107" s="100">
        <v>1.7453951651705616E-19</v>
      </c>
      <c r="AI107" s="100">
        <v>1.7453951651705616E-19</v>
      </c>
      <c r="AJ107" s="100">
        <v>1.7453951651705616E-19</v>
      </c>
      <c r="AK107" s="100">
        <v>1.7453951651705616E-19</v>
      </c>
      <c r="AL107" s="100">
        <v>1.7453951651705616E-19</v>
      </c>
      <c r="AM107" s="100">
        <v>1.7453951651705616E-19</v>
      </c>
      <c r="AN107" s="100">
        <v>1.7453951651705616E-19</v>
      </c>
      <c r="AO107" s="100">
        <v>1.7453951651705616E-19</v>
      </c>
      <c r="AP107" s="100">
        <v>1.7453951651705616E-19</v>
      </c>
      <c r="AQ107" s="100">
        <v>2.0944741982046736E-19</v>
      </c>
      <c r="AR107" s="100">
        <v>2.0944741982046736E-19</v>
      </c>
      <c r="AS107" s="100">
        <v>2.0944741982046736E-19</v>
      </c>
      <c r="AT107" s="100">
        <v>2.0944741982046736E-19</v>
      </c>
      <c r="AU107" s="100">
        <v>1.7453951651705616E-19</v>
      </c>
      <c r="AV107" s="100">
        <v>1.7453951651705616E-19</v>
      </c>
      <c r="AW107" s="100">
        <v>1.7453951651705616E-19</v>
      </c>
      <c r="AX107" s="100">
        <v>1.7453951651705616E-19</v>
      </c>
    </row>
    <row r="108" spans="1:50">
      <c r="B108" s="105" t="s">
        <v>59</v>
      </c>
      <c r="C108" s="100">
        <v>0</v>
      </c>
      <c r="D108" s="100">
        <v>0</v>
      </c>
      <c r="E108" s="100">
        <v>0</v>
      </c>
      <c r="F108" s="100">
        <v>0</v>
      </c>
      <c r="G108" s="100">
        <v>0</v>
      </c>
      <c r="H108" s="100">
        <v>0</v>
      </c>
      <c r="I108" s="100">
        <v>0</v>
      </c>
      <c r="J108" s="100">
        <v>0</v>
      </c>
      <c r="K108" s="100">
        <v>0</v>
      </c>
      <c r="L108" s="100">
        <v>0</v>
      </c>
      <c r="M108" s="100">
        <v>0</v>
      </c>
      <c r="N108" s="100">
        <v>0</v>
      </c>
      <c r="O108" s="100">
        <v>0</v>
      </c>
      <c r="P108" s="100">
        <v>0</v>
      </c>
      <c r="Q108" s="100">
        <v>0</v>
      </c>
      <c r="R108" s="100">
        <v>0</v>
      </c>
      <c r="S108" s="100">
        <v>0</v>
      </c>
      <c r="T108" s="100">
        <v>0</v>
      </c>
      <c r="U108" s="100">
        <v>0</v>
      </c>
      <c r="V108" s="100">
        <v>0</v>
      </c>
      <c r="W108" s="100">
        <v>0</v>
      </c>
      <c r="X108" s="100">
        <v>0</v>
      </c>
      <c r="Y108" s="100">
        <v>0</v>
      </c>
      <c r="Z108" s="100">
        <v>0</v>
      </c>
      <c r="AA108" s="100">
        <v>0</v>
      </c>
      <c r="AB108" s="100">
        <v>0</v>
      </c>
      <c r="AC108" s="100">
        <v>0</v>
      </c>
      <c r="AD108" s="100">
        <v>0</v>
      </c>
      <c r="AE108" s="100">
        <v>0</v>
      </c>
      <c r="AF108" s="100">
        <v>0</v>
      </c>
      <c r="AG108" s="100">
        <v>0</v>
      </c>
      <c r="AH108" s="100">
        <v>0</v>
      </c>
      <c r="AI108" s="100">
        <v>0</v>
      </c>
      <c r="AJ108" s="100">
        <v>0</v>
      </c>
      <c r="AK108" s="100">
        <v>0</v>
      </c>
      <c r="AL108" s="100">
        <v>0</v>
      </c>
      <c r="AM108" s="100">
        <v>0</v>
      </c>
      <c r="AN108" s="100">
        <v>0</v>
      </c>
      <c r="AO108" s="100">
        <v>0</v>
      </c>
      <c r="AP108" s="100">
        <v>0</v>
      </c>
      <c r="AQ108" s="100">
        <v>0</v>
      </c>
      <c r="AR108" s="100">
        <v>0</v>
      </c>
      <c r="AS108" s="100">
        <v>0</v>
      </c>
      <c r="AT108" s="100">
        <v>0</v>
      </c>
      <c r="AU108" s="100">
        <v>0</v>
      </c>
      <c r="AV108" s="100">
        <v>0</v>
      </c>
      <c r="AW108" s="100">
        <v>0</v>
      </c>
      <c r="AX108" s="100">
        <v>0</v>
      </c>
    </row>
    <row r="109" spans="1:50">
      <c r="B109" s="101" t="s">
        <v>278</v>
      </c>
      <c r="C109" s="105">
        <f>SUM(C$104:C$108)</f>
        <v>0</v>
      </c>
      <c r="D109" s="105">
        <f t="shared" ref="D109:AX109" si="6">SUM(D$104:D$108)</f>
        <v>0</v>
      </c>
      <c r="E109" s="105">
        <f t="shared" si="6"/>
        <v>0</v>
      </c>
      <c r="F109" s="105">
        <f t="shared" si="6"/>
        <v>0</v>
      </c>
      <c r="G109" s="105">
        <f t="shared" si="6"/>
        <v>6.3100440053600591E-18</v>
      </c>
      <c r="H109" s="105">
        <f t="shared" si="6"/>
        <v>6.3100440053600591E-18</v>
      </c>
      <c r="I109" s="105">
        <f t="shared" si="6"/>
        <v>6.3100440053600591E-18</v>
      </c>
      <c r="J109" s="105">
        <f t="shared" si="6"/>
        <v>6.3100440053600591E-18</v>
      </c>
      <c r="K109" s="105">
        <f t="shared" si="6"/>
        <v>6.3100440053600591E-18</v>
      </c>
      <c r="L109" s="105">
        <f t="shared" si="6"/>
        <v>6.3100440053600591E-18</v>
      </c>
      <c r="M109" s="105">
        <f t="shared" si="6"/>
        <v>6.3100440053600591E-18</v>
      </c>
      <c r="N109" s="105">
        <f t="shared" si="6"/>
        <v>6.3100440053600591E-18</v>
      </c>
      <c r="O109" s="105">
        <f t="shared" si="6"/>
        <v>6.3100440053600591E-18</v>
      </c>
      <c r="P109" s="105">
        <f t="shared" si="6"/>
        <v>6.3100440053600591E-18</v>
      </c>
      <c r="Q109" s="105">
        <f t="shared" si="6"/>
        <v>6.3100440053600591E-18</v>
      </c>
      <c r="R109" s="105">
        <f t="shared" si="6"/>
        <v>6.3100440053600591E-18</v>
      </c>
      <c r="S109" s="105">
        <f t="shared" si="6"/>
        <v>6.3100440053600591E-18</v>
      </c>
      <c r="T109" s="105">
        <f t="shared" si="6"/>
        <v>6.3100440053600591E-18</v>
      </c>
      <c r="U109" s="105">
        <f t="shared" si="6"/>
        <v>6.3100440053600591E-18</v>
      </c>
      <c r="V109" s="105">
        <f t="shared" si="6"/>
        <v>6.3100440053600591E-18</v>
      </c>
      <c r="W109" s="105">
        <f t="shared" si="6"/>
        <v>5.0480352042880471E-18</v>
      </c>
      <c r="X109" s="105">
        <f t="shared" si="6"/>
        <v>5.0480352042880471E-18</v>
      </c>
      <c r="Y109" s="105">
        <f t="shared" si="6"/>
        <v>5.0480352042880471E-18</v>
      </c>
      <c r="Z109" s="105">
        <f t="shared" si="6"/>
        <v>5.0480352042880471E-18</v>
      </c>
      <c r="AA109" s="105">
        <f t="shared" si="6"/>
        <v>6.3100440053600591E-18</v>
      </c>
      <c r="AB109" s="105">
        <f t="shared" si="6"/>
        <v>6.3100440053600591E-18</v>
      </c>
      <c r="AC109" s="105">
        <f t="shared" si="6"/>
        <v>6.3100440053600591E-18</v>
      </c>
      <c r="AD109" s="105">
        <f t="shared" si="6"/>
        <v>6.3100440053600591E-18</v>
      </c>
      <c r="AE109" s="105">
        <f t="shared" si="6"/>
        <v>6.3100440053600591E-18</v>
      </c>
      <c r="AF109" s="105">
        <f t="shared" si="6"/>
        <v>6.3100440053600591E-18</v>
      </c>
      <c r="AG109" s="105">
        <f t="shared" si="6"/>
        <v>6.3100440053600591E-18</v>
      </c>
      <c r="AH109" s="105">
        <f t="shared" si="6"/>
        <v>6.3100440053600591E-18</v>
      </c>
      <c r="AI109" s="105">
        <f t="shared" si="6"/>
        <v>6.3100440053600591E-18</v>
      </c>
      <c r="AJ109" s="105">
        <f t="shared" si="6"/>
        <v>6.3100440053600591E-18</v>
      </c>
      <c r="AK109" s="105">
        <f t="shared" si="6"/>
        <v>6.3100440053600591E-18</v>
      </c>
      <c r="AL109" s="105">
        <f t="shared" si="6"/>
        <v>6.3100440053600591E-18</v>
      </c>
      <c r="AM109" s="105">
        <f t="shared" si="6"/>
        <v>6.3100440053600591E-18</v>
      </c>
      <c r="AN109" s="105">
        <f t="shared" si="6"/>
        <v>6.3100440053600591E-18</v>
      </c>
      <c r="AO109" s="105">
        <f t="shared" si="6"/>
        <v>6.3100440053600591E-18</v>
      </c>
      <c r="AP109" s="105">
        <f t="shared" si="6"/>
        <v>6.3100440053600591E-18</v>
      </c>
      <c r="AQ109" s="105">
        <f t="shared" si="6"/>
        <v>7.5720528064320688E-18</v>
      </c>
      <c r="AR109" s="105">
        <f t="shared" si="6"/>
        <v>7.5720528064320688E-18</v>
      </c>
      <c r="AS109" s="105">
        <f t="shared" si="6"/>
        <v>7.5720528064320688E-18</v>
      </c>
      <c r="AT109" s="105">
        <f t="shared" si="6"/>
        <v>7.5720528064320688E-18</v>
      </c>
      <c r="AU109" s="105">
        <f t="shared" si="6"/>
        <v>6.3100440053600591E-18</v>
      </c>
      <c r="AV109" s="105">
        <f t="shared" si="6"/>
        <v>6.3100440053600591E-18</v>
      </c>
      <c r="AW109" s="105">
        <f t="shared" si="6"/>
        <v>6.3100440053600591E-18</v>
      </c>
      <c r="AX109" s="105">
        <f t="shared" si="6"/>
        <v>6.3100440053600591E-18</v>
      </c>
    </row>
    <row r="110" spans="1:50">
      <c r="A110" s="105" t="s">
        <v>106</v>
      </c>
      <c r="B110" s="105" t="s">
        <v>10</v>
      </c>
      <c r="C110" s="100">
        <v>1.7378702918120963E-18</v>
      </c>
      <c r="D110" s="100">
        <v>1.7378702918120963E-18</v>
      </c>
      <c r="E110" s="100">
        <v>1.7378702918120963E-18</v>
      </c>
      <c r="F110" s="100">
        <v>1.7378702918120963E-18</v>
      </c>
      <c r="G110" s="100">
        <v>2.1723378647651204E-18</v>
      </c>
      <c r="H110" s="100">
        <v>2.1723378647651204E-18</v>
      </c>
      <c r="I110" s="100">
        <v>2.1723378647651204E-18</v>
      </c>
      <c r="J110" s="100">
        <v>2.1723378647651204E-18</v>
      </c>
      <c r="K110" s="100">
        <v>2.1723378647651204E-18</v>
      </c>
      <c r="L110" s="100">
        <v>2.1723378647651204E-18</v>
      </c>
      <c r="M110" s="100">
        <v>2.1723378647651204E-18</v>
      </c>
      <c r="N110" s="100">
        <v>2.1723378647651204E-18</v>
      </c>
      <c r="O110" s="100">
        <v>1.7378702918120963E-18</v>
      </c>
      <c r="P110" s="100">
        <v>1.7378702918120963E-18</v>
      </c>
      <c r="Q110" s="100">
        <v>1.7378702918120963E-18</v>
      </c>
      <c r="R110" s="100">
        <v>1.7378702918120963E-18</v>
      </c>
      <c r="S110" s="100">
        <v>2.1723378647651204E-18</v>
      </c>
      <c r="T110" s="100">
        <v>2.1723378647651204E-18</v>
      </c>
      <c r="U110" s="100">
        <v>2.1723378647651204E-18</v>
      </c>
      <c r="V110" s="100">
        <v>2.1723378647651204E-18</v>
      </c>
      <c r="W110" s="100">
        <v>2.1723378647651204E-18</v>
      </c>
      <c r="X110" s="100">
        <v>2.1723378647651204E-18</v>
      </c>
      <c r="Y110" s="100">
        <v>2.1723378647651204E-18</v>
      </c>
      <c r="Z110" s="100">
        <v>2.1723378647651204E-18</v>
      </c>
      <c r="AA110" s="100">
        <v>2.1723378647651204E-18</v>
      </c>
      <c r="AB110" s="100">
        <v>2.1723378647651204E-18</v>
      </c>
      <c r="AC110" s="100">
        <v>2.1723378647651204E-18</v>
      </c>
      <c r="AD110" s="100">
        <v>2.1723378647651204E-18</v>
      </c>
      <c r="AE110" s="100">
        <v>2.1723378647651204E-18</v>
      </c>
      <c r="AF110" s="100">
        <v>2.1723378647651204E-18</v>
      </c>
      <c r="AG110" s="100">
        <v>2.1723378647651204E-18</v>
      </c>
      <c r="AH110" s="100">
        <v>2.1723378647651204E-18</v>
      </c>
      <c r="AI110" s="100">
        <v>2.6068054377181445E-18</v>
      </c>
      <c r="AJ110" s="100">
        <v>2.6068054377181445E-18</v>
      </c>
      <c r="AK110" s="100">
        <v>2.6068054377181445E-18</v>
      </c>
      <c r="AL110" s="100">
        <v>2.6068054377181445E-18</v>
      </c>
      <c r="AM110" s="100">
        <v>2.1723378647651204E-18</v>
      </c>
      <c r="AN110" s="100">
        <v>2.1723378647651204E-18</v>
      </c>
      <c r="AO110" s="100">
        <v>2.1723378647651204E-18</v>
      </c>
      <c r="AP110" s="100">
        <v>2.1723378647651204E-18</v>
      </c>
      <c r="AQ110" s="100">
        <v>2.1723378647651204E-18</v>
      </c>
      <c r="AR110" s="100">
        <v>2.1723378647651204E-18</v>
      </c>
      <c r="AS110" s="100">
        <v>2.1723378647651204E-18</v>
      </c>
      <c r="AT110" s="100">
        <v>2.1723378647651204E-18</v>
      </c>
      <c r="AU110" s="100">
        <v>2.1723378647651204E-18</v>
      </c>
      <c r="AV110" s="100">
        <v>2.1723378647651204E-18</v>
      </c>
      <c r="AW110" s="100">
        <v>2.1723378647651204E-18</v>
      </c>
      <c r="AX110" s="100">
        <v>2.1723378647651204E-18</v>
      </c>
    </row>
    <row r="111" spans="1:50">
      <c r="B111" s="105" t="s">
        <v>12</v>
      </c>
      <c r="C111" s="100">
        <v>4.3000616448872855E-18</v>
      </c>
      <c r="D111" s="100">
        <v>4.3000616448872855E-18</v>
      </c>
      <c r="E111" s="100">
        <v>4.3000616448872855E-18</v>
      </c>
      <c r="F111" s="100">
        <v>4.3000616448872855E-18</v>
      </c>
      <c r="G111" s="100">
        <v>5.3750770561091074E-18</v>
      </c>
      <c r="H111" s="100">
        <v>5.3750770561091074E-18</v>
      </c>
      <c r="I111" s="100">
        <v>5.3750770561091074E-18</v>
      </c>
      <c r="J111" s="100">
        <v>5.3750770561091074E-18</v>
      </c>
      <c r="K111" s="100">
        <v>5.3750770561091074E-18</v>
      </c>
      <c r="L111" s="100">
        <v>5.3750770561091074E-18</v>
      </c>
      <c r="M111" s="100">
        <v>5.3750770561091074E-18</v>
      </c>
      <c r="N111" s="100">
        <v>5.3750770561091074E-18</v>
      </c>
      <c r="O111" s="100">
        <v>4.3000616448872855E-18</v>
      </c>
      <c r="P111" s="100">
        <v>4.3000616448872855E-18</v>
      </c>
      <c r="Q111" s="100">
        <v>4.3000616448872855E-18</v>
      </c>
      <c r="R111" s="100">
        <v>4.3000616448872855E-18</v>
      </c>
      <c r="S111" s="100">
        <v>5.3750770561091074E-18</v>
      </c>
      <c r="T111" s="100">
        <v>5.3750770561091074E-18</v>
      </c>
      <c r="U111" s="100">
        <v>5.3750770561091074E-18</v>
      </c>
      <c r="V111" s="100">
        <v>5.3750770561091074E-18</v>
      </c>
      <c r="W111" s="100">
        <v>5.3750770561091074E-18</v>
      </c>
      <c r="X111" s="100">
        <v>5.3750770561091074E-18</v>
      </c>
      <c r="Y111" s="100">
        <v>5.3750770561091074E-18</v>
      </c>
      <c r="Z111" s="100">
        <v>5.3750770561091074E-18</v>
      </c>
      <c r="AA111" s="100">
        <v>5.3750770561091074E-18</v>
      </c>
      <c r="AB111" s="100">
        <v>5.3750770561091074E-18</v>
      </c>
      <c r="AC111" s="100">
        <v>5.3750770561091074E-18</v>
      </c>
      <c r="AD111" s="100">
        <v>5.3750770561091074E-18</v>
      </c>
      <c r="AE111" s="100">
        <v>5.3750770561091074E-18</v>
      </c>
      <c r="AF111" s="100">
        <v>5.3750770561091074E-18</v>
      </c>
      <c r="AG111" s="100">
        <v>5.3750770561091074E-18</v>
      </c>
      <c r="AH111" s="100">
        <v>5.3750770561091074E-18</v>
      </c>
      <c r="AI111" s="100">
        <v>6.4500924673309286E-18</v>
      </c>
      <c r="AJ111" s="100">
        <v>6.4500924673309286E-18</v>
      </c>
      <c r="AK111" s="100">
        <v>6.4500924673309286E-18</v>
      </c>
      <c r="AL111" s="100">
        <v>6.4500924673309286E-18</v>
      </c>
      <c r="AM111" s="100">
        <v>5.3750770561091074E-18</v>
      </c>
      <c r="AN111" s="100">
        <v>5.3750770561091074E-18</v>
      </c>
      <c r="AO111" s="100">
        <v>5.3750770561091074E-18</v>
      </c>
      <c r="AP111" s="100">
        <v>5.3750770561091074E-18</v>
      </c>
      <c r="AQ111" s="100">
        <v>5.3750770561091074E-18</v>
      </c>
      <c r="AR111" s="100">
        <v>5.3750770561091074E-18</v>
      </c>
      <c r="AS111" s="100">
        <v>5.3750770561091074E-18</v>
      </c>
      <c r="AT111" s="100">
        <v>5.3750770561091074E-18</v>
      </c>
      <c r="AU111" s="100">
        <v>5.3750770561091074E-18</v>
      </c>
      <c r="AV111" s="100">
        <v>5.3750770561091074E-18</v>
      </c>
      <c r="AW111" s="100">
        <v>5.3750770561091074E-18</v>
      </c>
      <c r="AX111" s="100">
        <v>5.3750770561091074E-18</v>
      </c>
    </row>
    <row r="112" spans="1:50">
      <c r="B112" s="105" t="s">
        <v>22</v>
      </c>
      <c r="C112" s="100">
        <v>2365.44</v>
      </c>
      <c r="D112" s="100">
        <v>2365.44</v>
      </c>
      <c r="E112" s="100">
        <v>2365.44</v>
      </c>
      <c r="F112" s="100">
        <v>2365.44</v>
      </c>
      <c r="G112" s="100">
        <v>2956.8</v>
      </c>
      <c r="H112" s="100">
        <v>2956.8</v>
      </c>
      <c r="I112" s="100">
        <v>2956.8</v>
      </c>
      <c r="J112" s="100">
        <v>2956.8</v>
      </c>
      <c r="K112" s="100">
        <v>2956.8</v>
      </c>
      <c r="L112" s="100">
        <v>2956.8</v>
      </c>
      <c r="M112" s="100">
        <v>2956.8</v>
      </c>
      <c r="N112" s="100">
        <v>2956.8</v>
      </c>
      <c r="O112" s="100">
        <v>2365.44</v>
      </c>
      <c r="P112" s="100">
        <v>2365.44</v>
      </c>
      <c r="Q112" s="100">
        <v>2365.44</v>
      </c>
      <c r="R112" s="100">
        <v>2365.44</v>
      </c>
      <c r="S112" s="100">
        <v>2956.8</v>
      </c>
      <c r="T112" s="100">
        <v>2956.8</v>
      </c>
      <c r="U112" s="100">
        <v>2956.8</v>
      </c>
      <c r="V112" s="100">
        <v>2956.8</v>
      </c>
      <c r="W112" s="100">
        <v>2956.8</v>
      </c>
      <c r="X112" s="100">
        <v>2956.8</v>
      </c>
      <c r="Y112" s="100">
        <v>2956.8</v>
      </c>
      <c r="Z112" s="100">
        <v>2956.8</v>
      </c>
      <c r="AA112" s="100">
        <v>2956.8</v>
      </c>
      <c r="AB112" s="100">
        <v>2956.8</v>
      </c>
      <c r="AC112" s="100">
        <v>2956.8</v>
      </c>
      <c r="AD112" s="100">
        <v>2956.8</v>
      </c>
      <c r="AE112" s="100">
        <v>2956.8</v>
      </c>
      <c r="AF112" s="100">
        <v>2956.8</v>
      </c>
      <c r="AG112" s="100">
        <v>2956.8</v>
      </c>
      <c r="AH112" s="100">
        <v>2956.8</v>
      </c>
      <c r="AI112" s="100">
        <v>3548.16</v>
      </c>
      <c r="AJ112" s="100">
        <v>3548.16</v>
      </c>
      <c r="AK112" s="100">
        <v>3548.16</v>
      </c>
      <c r="AL112" s="100">
        <v>3548.16</v>
      </c>
      <c r="AM112" s="100">
        <v>2956.8</v>
      </c>
      <c r="AN112" s="100">
        <v>2956.8</v>
      </c>
      <c r="AO112" s="100">
        <v>2956.8</v>
      </c>
      <c r="AP112" s="100">
        <v>2956.8</v>
      </c>
      <c r="AQ112" s="100">
        <v>2956.8</v>
      </c>
      <c r="AR112" s="100">
        <v>2956.8</v>
      </c>
      <c r="AS112" s="100">
        <v>2956.8</v>
      </c>
      <c r="AT112" s="100">
        <v>2956.8</v>
      </c>
      <c r="AU112" s="100">
        <v>2956.8</v>
      </c>
      <c r="AV112" s="100">
        <v>2956.8</v>
      </c>
      <c r="AW112" s="100">
        <v>2956.8</v>
      </c>
      <c r="AX112" s="100">
        <v>2956.8</v>
      </c>
    </row>
    <row r="113" spans="1:50">
      <c r="B113" s="105" t="s">
        <v>46</v>
      </c>
      <c r="C113" s="100">
        <v>4.7363762565780662E-19</v>
      </c>
      <c r="D113" s="100">
        <v>4.7363762565780662E-19</v>
      </c>
      <c r="E113" s="100">
        <v>4.7363762565780662E-19</v>
      </c>
      <c r="F113" s="100">
        <v>4.7363762565780662E-19</v>
      </c>
      <c r="G113" s="100">
        <v>5.9204703207225828E-19</v>
      </c>
      <c r="H113" s="100">
        <v>5.9204703207225828E-19</v>
      </c>
      <c r="I113" s="100">
        <v>5.9204703207225828E-19</v>
      </c>
      <c r="J113" s="100">
        <v>5.9204703207225828E-19</v>
      </c>
      <c r="K113" s="100">
        <v>5.9204703207225828E-19</v>
      </c>
      <c r="L113" s="100">
        <v>5.9204703207225828E-19</v>
      </c>
      <c r="M113" s="100">
        <v>5.9204703207225828E-19</v>
      </c>
      <c r="N113" s="100">
        <v>5.9204703207225828E-19</v>
      </c>
      <c r="O113" s="100">
        <v>4.7363762565780662E-19</v>
      </c>
      <c r="P113" s="100">
        <v>4.7363762565780662E-19</v>
      </c>
      <c r="Q113" s="100">
        <v>4.7363762565780662E-19</v>
      </c>
      <c r="R113" s="100">
        <v>4.7363762565780662E-19</v>
      </c>
      <c r="S113" s="100">
        <v>5.9204703207225828E-19</v>
      </c>
      <c r="T113" s="100">
        <v>5.9204703207225828E-19</v>
      </c>
      <c r="U113" s="100">
        <v>5.9204703207225828E-19</v>
      </c>
      <c r="V113" s="100">
        <v>5.9204703207225828E-19</v>
      </c>
      <c r="W113" s="100">
        <v>5.9204703207225828E-19</v>
      </c>
      <c r="X113" s="100">
        <v>5.9204703207225828E-19</v>
      </c>
      <c r="Y113" s="100">
        <v>5.9204703207225828E-19</v>
      </c>
      <c r="Z113" s="100">
        <v>5.9204703207225828E-19</v>
      </c>
      <c r="AA113" s="100">
        <v>5.9204703207225828E-19</v>
      </c>
      <c r="AB113" s="100">
        <v>5.9204703207225828E-19</v>
      </c>
      <c r="AC113" s="100">
        <v>5.9204703207225828E-19</v>
      </c>
      <c r="AD113" s="100">
        <v>5.9204703207225828E-19</v>
      </c>
      <c r="AE113" s="100">
        <v>5.9204703207225828E-19</v>
      </c>
      <c r="AF113" s="100">
        <v>5.9204703207225828E-19</v>
      </c>
      <c r="AG113" s="100">
        <v>5.9204703207225828E-19</v>
      </c>
      <c r="AH113" s="100">
        <v>5.9204703207225828E-19</v>
      </c>
      <c r="AI113" s="100">
        <v>7.1045643848670993E-19</v>
      </c>
      <c r="AJ113" s="100">
        <v>7.1045643848670993E-19</v>
      </c>
      <c r="AK113" s="100">
        <v>7.1045643848670993E-19</v>
      </c>
      <c r="AL113" s="100">
        <v>7.1045643848670993E-19</v>
      </c>
      <c r="AM113" s="100">
        <v>5.9204703207225828E-19</v>
      </c>
      <c r="AN113" s="100">
        <v>5.9204703207225828E-19</v>
      </c>
      <c r="AO113" s="100">
        <v>5.9204703207225828E-19</v>
      </c>
      <c r="AP113" s="100">
        <v>5.9204703207225828E-19</v>
      </c>
      <c r="AQ113" s="100">
        <v>5.9204703207225828E-19</v>
      </c>
      <c r="AR113" s="100">
        <v>5.9204703207225828E-19</v>
      </c>
      <c r="AS113" s="100">
        <v>5.9204703207225828E-19</v>
      </c>
      <c r="AT113" s="100">
        <v>5.9204703207225828E-19</v>
      </c>
      <c r="AU113" s="100">
        <v>5.9204703207225828E-19</v>
      </c>
      <c r="AV113" s="100">
        <v>5.9204703207225828E-19</v>
      </c>
      <c r="AW113" s="100">
        <v>5.9204703207225828E-19</v>
      </c>
      <c r="AX113" s="100">
        <v>5.9204703207225828E-19</v>
      </c>
    </row>
    <row r="114" spans="1:50">
      <c r="B114" s="105" t="s">
        <v>59</v>
      </c>
      <c r="C114" s="100">
        <v>8.8350411096045707E-19</v>
      </c>
      <c r="D114" s="100">
        <v>8.8350411096045707E-19</v>
      </c>
      <c r="E114" s="100">
        <v>8.8350411096045707E-19</v>
      </c>
      <c r="F114" s="100">
        <v>8.8350411096045707E-19</v>
      </c>
      <c r="G114" s="100">
        <v>1.1043801387005714E-18</v>
      </c>
      <c r="H114" s="100">
        <v>1.1043801387005714E-18</v>
      </c>
      <c r="I114" s="100">
        <v>1.1043801387005714E-18</v>
      </c>
      <c r="J114" s="100">
        <v>1.1043801387005714E-18</v>
      </c>
      <c r="K114" s="100">
        <v>1.1043801387005714E-18</v>
      </c>
      <c r="L114" s="100">
        <v>1.1043801387005714E-18</v>
      </c>
      <c r="M114" s="100">
        <v>1.1043801387005714E-18</v>
      </c>
      <c r="N114" s="100">
        <v>1.1043801387005714E-18</v>
      </c>
      <c r="O114" s="100">
        <v>8.8350411096045707E-19</v>
      </c>
      <c r="P114" s="100">
        <v>8.8350411096045707E-19</v>
      </c>
      <c r="Q114" s="100">
        <v>8.8350411096045707E-19</v>
      </c>
      <c r="R114" s="100">
        <v>8.8350411096045707E-19</v>
      </c>
      <c r="S114" s="100">
        <v>1.1043801387005714E-18</v>
      </c>
      <c r="T114" s="100">
        <v>1.1043801387005714E-18</v>
      </c>
      <c r="U114" s="100">
        <v>1.1043801387005714E-18</v>
      </c>
      <c r="V114" s="100">
        <v>1.1043801387005714E-18</v>
      </c>
      <c r="W114" s="100">
        <v>1.1043801387005714E-18</v>
      </c>
      <c r="X114" s="100">
        <v>1.1043801387005714E-18</v>
      </c>
      <c r="Y114" s="100">
        <v>1.1043801387005714E-18</v>
      </c>
      <c r="Z114" s="100">
        <v>1.1043801387005714E-18</v>
      </c>
      <c r="AA114" s="100">
        <v>1.1043801387005714E-18</v>
      </c>
      <c r="AB114" s="100">
        <v>1.1043801387005714E-18</v>
      </c>
      <c r="AC114" s="100">
        <v>1.1043801387005714E-18</v>
      </c>
      <c r="AD114" s="100">
        <v>1.1043801387005714E-18</v>
      </c>
      <c r="AE114" s="100">
        <v>1.1043801387005714E-18</v>
      </c>
      <c r="AF114" s="100">
        <v>1.1043801387005714E-18</v>
      </c>
      <c r="AG114" s="100">
        <v>1.1043801387005714E-18</v>
      </c>
      <c r="AH114" s="100">
        <v>1.1043801387005714E-18</v>
      </c>
      <c r="AI114" s="100">
        <v>1.3252561664406857E-18</v>
      </c>
      <c r="AJ114" s="100">
        <v>1.3252561664406857E-18</v>
      </c>
      <c r="AK114" s="100">
        <v>1.3252561664406857E-18</v>
      </c>
      <c r="AL114" s="100">
        <v>1.3252561664406857E-18</v>
      </c>
      <c r="AM114" s="100">
        <v>1.1043801387005714E-18</v>
      </c>
      <c r="AN114" s="100">
        <v>1.1043801387005714E-18</v>
      </c>
      <c r="AO114" s="100">
        <v>1.1043801387005714E-18</v>
      </c>
      <c r="AP114" s="100">
        <v>1.1043801387005714E-18</v>
      </c>
      <c r="AQ114" s="100">
        <v>1.1043801387005714E-18</v>
      </c>
      <c r="AR114" s="100">
        <v>1.1043801387005714E-18</v>
      </c>
      <c r="AS114" s="100">
        <v>1.1043801387005714E-18</v>
      </c>
      <c r="AT114" s="100">
        <v>1.1043801387005714E-18</v>
      </c>
      <c r="AU114" s="100">
        <v>1.1043801387005714E-18</v>
      </c>
      <c r="AV114" s="100">
        <v>1.1043801387005714E-18</v>
      </c>
      <c r="AW114" s="100">
        <v>1.1043801387005714E-18</v>
      </c>
      <c r="AX114" s="100">
        <v>1.1043801387005714E-18</v>
      </c>
    </row>
    <row r="115" spans="1:50">
      <c r="B115" s="100" t="s">
        <v>278</v>
      </c>
      <c r="C115" s="105">
        <f>SUM(C$110:C$114)</f>
        <v>2365.44</v>
      </c>
      <c r="D115" s="105">
        <f t="shared" ref="D115:AX115" si="7">SUM(D$110:D$114)</f>
        <v>2365.44</v>
      </c>
      <c r="E115" s="105">
        <f t="shared" si="7"/>
        <v>2365.44</v>
      </c>
      <c r="F115" s="105">
        <f t="shared" si="7"/>
        <v>2365.44</v>
      </c>
      <c r="G115" s="105">
        <f t="shared" si="7"/>
        <v>2956.8</v>
      </c>
      <c r="H115" s="105">
        <f t="shared" si="7"/>
        <v>2956.8</v>
      </c>
      <c r="I115" s="105">
        <f t="shared" si="7"/>
        <v>2956.8</v>
      </c>
      <c r="J115" s="105">
        <f t="shared" si="7"/>
        <v>2956.8</v>
      </c>
      <c r="K115" s="105">
        <f t="shared" si="7"/>
        <v>2956.8</v>
      </c>
      <c r="L115" s="105">
        <f t="shared" si="7"/>
        <v>2956.8</v>
      </c>
      <c r="M115" s="105">
        <f t="shared" si="7"/>
        <v>2956.8</v>
      </c>
      <c r="N115" s="105">
        <f t="shared" si="7"/>
        <v>2956.8</v>
      </c>
      <c r="O115" s="105">
        <f t="shared" si="7"/>
        <v>2365.44</v>
      </c>
      <c r="P115" s="105">
        <f t="shared" si="7"/>
        <v>2365.44</v>
      </c>
      <c r="Q115" s="105">
        <f t="shared" si="7"/>
        <v>2365.44</v>
      </c>
      <c r="R115" s="105">
        <f t="shared" si="7"/>
        <v>2365.44</v>
      </c>
      <c r="S115" s="105">
        <f t="shared" si="7"/>
        <v>2956.8</v>
      </c>
      <c r="T115" s="105">
        <f t="shared" si="7"/>
        <v>2956.8</v>
      </c>
      <c r="U115" s="105">
        <f t="shared" si="7"/>
        <v>2956.8</v>
      </c>
      <c r="V115" s="105">
        <f t="shared" si="7"/>
        <v>2956.8</v>
      </c>
      <c r="W115" s="105">
        <f t="shared" si="7"/>
        <v>2956.8</v>
      </c>
      <c r="X115" s="105">
        <f t="shared" si="7"/>
        <v>2956.8</v>
      </c>
      <c r="Y115" s="105">
        <f t="shared" si="7"/>
        <v>2956.8</v>
      </c>
      <c r="Z115" s="105">
        <f t="shared" si="7"/>
        <v>2956.8</v>
      </c>
      <c r="AA115" s="105">
        <f t="shared" si="7"/>
        <v>2956.8</v>
      </c>
      <c r="AB115" s="105">
        <f t="shared" si="7"/>
        <v>2956.8</v>
      </c>
      <c r="AC115" s="105">
        <f t="shared" si="7"/>
        <v>2956.8</v>
      </c>
      <c r="AD115" s="105">
        <f t="shared" si="7"/>
        <v>2956.8</v>
      </c>
      <c r="AE115" s="105">
        <f t="shared" si="7"/>
        <v>2956.8</v>
      </c>
      <c r="AF115" s="105">
        <f t="shared" si="7"/>
        <v>2956.8</v>
      </c>
      <c r="AG115" s="105">
        <f t="shared" si="7"/>
        <v>2956.8</v>
      </c>
      <c r="AH115" s="105">
        <f t="shared" si="7"/>
        <v>2956.8</v>
      </c>
      <c r="AI115" s="105">
        <f t="shared" si="7"/>
        <v>3548.16</v>
      </c>
      <c r="AJ115" s="105">
        <f t="shared" si="7"/>
        <v>3548.16</v>
      </c>
      <c r="AK115" s="105">
        <f t="shared" si="7"/>
        <v>3548.16</v>
      </c>
      <c r="AL115" s="105">
        <f t="shared" si="7"/>
        <v>3548.16</v>
      </c>
      <c r="AM115" s="105">
        <f t="shared" si="7"/>
        <v>2956.8</v>
      </c>
      <c r="AN115" s="105">
        <f t="shared" si="7"/>
        <v>2956.8</v>
      </c>
      <c r="AO115" s="105">
        <f t="shared" si="7"/>
        <v>2956.8</v>
      </c>
      <c r="AP115" s="105">
        <f t="shared" si="7"/>
        <v>2956.8</v>
      </c>
      <c r="AQ115" s="105">
        <f t="shared" si="7"/>
        <v>2956.8</v>
      </c>
      <c r="AR115" s="105">
        <f t="shared" si="7"/>
        <v>2956.8</v>
      </c>
      <c r="AS115" s="105">
        <f t="shared" si="7"/>
        <v>2956.8</v>
      </c>
      <c r="AT115" s="105">
        <f t="shared" si="7"/>
        <v>2956.8</v>
      </c>
      <c r="AU115" s="105">
        <f t="shared" si="7"/>
        <v>2956.8</v>
      </c>
      <c r="AV115" s="105">
        <f t="shared" si="7"/>
        <v>2956.8</v>
      </c>
      <c r="AW115" s="105">
        <f t="shared" si="7"/>
        <v>2956.8</v>
      </c>
      <c r="AX115" s="105">
        <f t="shared" si="7"/>
        <v>2956.8</v>
      </c>
    </row>
    <row r="116" spans="1:50">
      <c r="A116" s="105" t="s">
        <v>107</v>
      </c>
      <c r="B116" s="105" t="s">
        <v>10</v>
      </c>
      <c r="C116" s="100">
        <v>11616.000000000065</v>
      </c>
      <c r="D116" s="100">
        <v>11616.000000000065</v>
      </c>
      <c r="E116" s="100">
        <v>11616.000000000065</v>
      </c>
      <c r="F116" s="100">
        <v>11616.000000000065</v>
      </c>
      <c r="G116" s="100">
        <v>11616.000000000065</v>
      </c>
      <c r="H116" s="100">
        <v>11616.000000000065</v>
      </c>
      <c r="I116" s="100">
        <v>11616.000000000065</v>
      </c>
      <c r="J116" s="100">
        <v>11616.000000000065</v>
      </c>
      <c r="K116" s="100">
        <v>11616.000000000065</v>
      </c>
      <c r="L116" s="100">
        <v>11616.000000000065</v>
      </c>
      <c r="M116" s="100">
        <v>11616.000000000065</v>
      </c>
      <c r="N116" s="100">
        <v>11616.000000000065</v>
      </c>
      <c r="O116" s="100">
        <v>11616.000000000065</v>
      </c>
      <c r="P116" s="100">
        <v>11616.000000000065</v>
      </c>
      <c r="Q116" s="100">
        <v>11616.000000000065</v>
      </c>
      <c r="R116" s="100">
        <v>11616.000000000065</v>
      </c>
      <c r="S116" s="100">
        <v>11616.000000000065</v>
      </c>
      <c r="T116" s="100">
        <v>11616.000000000065</v>
      </c>
      <c r="U116" s="100">
        <v>11616.000000000065</v>
      </c>
      <c r="V116" s="100">
        <v>11616.000000000065</v>
      </c>
      <c r="W116" s="100">
        <v>11616.000000000065</v>
      </c>
      <c r="X116" s="100">
        <v>11616.000000000065</v>
      </c>
      <c r="Y116" s="100">
        <v>11616.000000000065</v>
      </c>
      <c r="Z116" s="100">
        <v>11616.000000000065</v>
      </c>
      <c r="AA116" s="100">
        <v>11616.000000000065</v>
      </c>
      <c r="AB116" s="100">
        <v>11616.000000000065</v>
      </c>
      <c r="AC116" s="100">
        <v>11616.000000000065</v>
      </c>
      <c r="AD116" s="100">
        <v>11616.000000000065</v>
      </c>
      <c r="AE116" s="100">
        <v>11616.000000000065</v>
      </c>
      <c r="AF116" s="100">
        <v>11616.000000000065</v>
      </c>
      <c r="AG116" s="100">
        <v>11616.000000000065</v>
      </c>
      <c r="AH116" s="100">
        <v>11616.000000000065</v>
      </c>
      <c r="AI116" s="100">
        <v>11616.000000000065</v>
      </c>
      <c r="AJ116" s="100">
        <v>11616.000000000065</v>
      </c>
      <c r="AK116" s="100">
        <v>11616.000000000065</v>
      </c>
      <c r="AL116" s="100">
        <v>11616.000000000065</v>
      </c>
      <c r="AM116" s="100">
        <v>11616.000000000065</v>
      </c>
      <c r="AN116" s="100">
        <v>11616.000000000065</v>
      </c>
      <c r="AO116" s="100">
        <v>11616.000000000065</v>
      </c>
      <c r="AP116" s="100">
        <v>11616.000000000065</v>
      </c>
      <c r="AQ116" s="100">
        <v>11616.000000000065</v>
      </c>
      <c r="AR116" s="100">
        <v>11616.000000000065</v>
      </c>
      <c r="AS116" s="100">
        <v>11616.000000000065</v>
      </c>
      <c r="AT116" s="100">
        <v>11616.000000000065</v>
      </c>
      <c r="AU116" s="100">
        <v>11616.000000000065</v>
      </c>
      <c r="AV116" s="100">
        <v>11616.000000000065</v>
      </c>
      <c r="AW116" s="100">
        <v>11616.000000000065</v>
      </c>
      <c r="AX116" s="100">
        <v>11616.000000000065</v>
      </c>
    </row>
    <row r="117" spans="1:50">
      <c r="B117" s="105" t="s">
        <v>12</v>
      </c>
      <c r="C117" s="100">
        <v>1.0218307887559923E-17</v>
      </c>
      <c r="D117" s="100">
        <v>1.0218307887559923E-17</v>
      </c>
      <c r="E117" s="100">
        <v>1.0218307887559923E-17</v>
      </c>
      <c r="F117" s="100">
        <v>1.0218307887559923E-17</v>
      </c>
      <c r="G117" s="100">
        <v>1.0218307887559923E-17</v>
      </c>
      <c r="H117" s="100">
        <v>1.0218307887559923E-17</v>
      </c>
      <c r="I117" s="100">
        <v>1.0218307887559923E-17</v>
      </c>
      <c r="J117" s="100">
        <v>1.0218307887559923E-17</v>
      </c>
      <c r="K117" s="100">
        <v>1.0218307887559923E-17</v>
      </c>
      <c r="L117" s="100">
        <v>1.0218307887559923E-17</v>
      </c>
      <c r="M117" s="100">
        <v>1.0218307887559923E-17</v>
      </c>
      <c r="N117" s="100">
        <v>1.0218307887559923E-17</v>
      </c>
      <c r="O117" s="100">
        <v>1.0218307887559923E-17</v>
      </c>
      <c r="P117" s="100">
        <v>1.0218307887559923E-17</v>
      </c>
      <c r="Q117" s="100">
        <v>1.0218307887559923E-17</v>
      </c>
      <c r="R117" s="100">
        <v>1.0218307887559923E-17</v>
      </c>
      <c r="S117" s="100">
        <v>1.0218307887559923E-17</v>
      </c>
      <c r="T117" s="100">
        <v>1.0218307887559923E-17</v>
      </c>
      <c r="U117" s="100">
        <v>1.0218307887559923E-17</v>
      </c>
      <c r="V117" s="100">
        <v>1.0218307887559923E-17</v>
      </c>
      <c r="W117" s="100">
        <v>1.0218307887559923E-17</v>
      </c>
      <c r="X117" s="100">
        <v>1.0218307887559923E-17</v>
      </c>
      <c r="Y117" s="100">
        <v>1.0218307887559923E-17</v>
      </c>
      <c r="Z117" s="100">
        <v>1.0218307887559923E-17</v>
      </c>
      <c r="AA117" s="100">
        <v>1.0218307887559923E-17</v>
      </c>
      <c r="AB117" s="100">
        <v>1.0218307887559923E-17</v>
      </c>
      <c r="AC117" s="100">
        <v>1.0218307887559923E-17</v>
      </c>
      <c r="AD117" s="100">
        <v>1.0218307887559923E-17</v>
      </c>
      <c r="AE117" s="100">
        <v>1.0218307887559923E-17</v>
      </c>
      <c r="AF117" s="100">
        <v>1.0218307887559923E-17</v>
      </c>
      <c r="AG117" s="100">
        <v>1.0218307887559923E-17</v>
      </c>
      <c r="AH117" s="100">
        <v>1.0218307887559923E-17</v>
      </c>
      <c r="AI117" s="100">
        <v>1.0218307887559923E-17</v>
      </c>
      <c r="AJ117" s="100">
        <v>1.0218307887559923E-17</v>
      </c>
      <c r="AK117" s="100">
        <v>1.0218307887559923E-17</v>
      </c>
      <c r="AL117" s="100">
        <v>1.0218307887559923E-17</v>
      </c>
      <c r="AM117" s="100">
        <v>1.0218307887559923E-17</v>
      </c>
      <c r="AN117" s="100">
        <v>1.0218307887559923E-17</v>
      </c>
      <c r="AO117" s="100">
        <v>1.0218307887559923E-17</v>
      </c>
      <c r="AP117" s="100">
        <v>1.0218307887559923E-17</v>
      </c>
      <c r="AQ117" s="100">
        <v>1.0218307887559923E-17</v>
      </c>
      <c r="AR117" s="100">
        <v>1.0218307887559923E-17</v>
      </c>
      <c r="AS117" s="100">
        <v>1.0218307887559923E-17</v>
      </c>
      <c r="AT117" s="100">
        <v>1.0218307887559923E-17</v>
      </c>
      <c r="AU117" s="100">
        <v>1.0218307887559923E-17</v>
      </c>
      <c r="AV117" s="100">
        <v>1.0218307887559923E-17</v>
      </c>
      <c r="AW117" s="100">
        <v>1.0218307887559923E-17</v>
      </c>
      <c r="AX117" s="100">
        <v>1.0218307887559923E-17</v>
      </c>
    </row>
    <row r="118" spans="1:50">
      <c r="B118" s="105" t="s">
        <v>22</v>
      </c>
      <c r="C118" s="100">
        <v>5.8511727628378599E-18</v>
      </c>
      <c r="D118" s="100">
        <v>5.8511727628378599E-18</v>
      </c>
      <c r="E118" s="100">
        <v>5.8511727628378599E-18</v>
      </c>
      <c r="F118" s="100">
        <v>5.8511727628378599E-18</v>
      </c>
      <c r="G118" s="100">
        <v>5.8511727628378599E-18</v>
      </c>
      <c r="H118" s="100">
        <v>5.8511727628378599E-18</v>
      </c>
      <c r="I118" s="100">
        <v>5.8511727628378599E-18</v>
      </c>
      <c r="J118" s="100">
        <v>5.8511727628378599E-18</v>
      </c>
      <c r="K118" s="100">
        <v>5.8511727628378599E-18</v>
      </c>
      <c r="L118" s="100">
        <v>5.8511727628378599E-18</v>
      </c>
      <c r="M118" s="100">
        <v>5.8511727628378599E-18</v>
      </c>
      <c r="N118" s="100">
        <v>5.8511727628378599E-18</v>
      </c>
      <c r="O118" s="100">
        <v>5.8511727628378599E-18</v>
      </c>
      <c r="P118" s="100">
        <v>5.8511727628378599E-18</v>
      </c>
      <c r="Q118" s="100">
        <v>5.8511727628378599E-18</v>
      </c>
      <c r="R118" s="100">
        <v>5.8511727628378599E-18</v>
      </c>
      <c r="S118" s="100">
        <v>5.8511727628378599E-18</v>
      </c>
      <c r="T118" s="100">
        <v>5.8511727628378599E-18</v>
      </c>
      <c r="U118" s="100">
        <v>5.8511727628378599E-18</v>
      </c>
      <c r="V118" s="100">
        <v>5.8511727628378599E-18</v>
      </c>
      <c r="W118" s="100">
        <v>5.8511727628378599E-18</v>
      </c>
      <c r="X118" s="100">
        <v>5.8511727628378599E-18</v>
      </c>
      <c r="Y118" s="100">
        <v>5.8511727628378599E-18</v>
      </c>
      <c r="Z118" s="100">
        <v>5.8511727628378599E-18</v>
      </c>
      <c r="AA118" s="100">
        <v>5.8511727628378599E-18</v>
      </c>
      <c r="AB118" s="100">
        <v>5.8511727628378599E-18</v>
      </c>
      <c r="AC118" s="100">
        <v>5.8511727628378599E-18</v>
      </c>
      <c r="AD118" s="100">
        <v>5.8511727628378599E-18</v>
      </c>
      <c r="AE118" s="100">
        <v>5.8511727628378599E-18</v>
      </c>
      <c r="AF118" s="100">
        <v>5.8511727628378599E-18</v>
      </c>
      <c r="AG118" s="100">
        <v>5.8511727628378599E-18</v>
      </c>
      <c r="AH118" s="100">
        <v>5.8511727628378599E-18</v>
      </c>
      <c r="AI118" s="100">
        <v>5.8511727628378599E-18</v>
      </c>
      <c r="AJ118" s="100">
        <v>5.8511727628378599E-18</v>
      </c>
      <c r="AK118" s="100">
        <v>5.8511727628378599E-18</v>
      </c>
      <c r="AL118" s="100">
        <v>5.8511727628378599E-18</v>
      </c>
      <c r="AM118" s="100">
        <v>5.8511727628378599E-18</v>
      </c>
      <c r="AN118" s="100">
        <v>5.8511727628378599E-18</v>
      </c>
      <c r="AO118" s="100">
        <v>5.8511727628378599E-18</v>
      </c>
      <c r="AP118" s="100">
        <v>5.8511727628378599E-18</v>
      </c>
      <c r="AQ118" s="100">
        <v>5.8511727628378599E-18</v>
      </c>
      <c r="AR118" s="100">
        <v>5.8511727628378599E-18</v>
      </c>
      <c r="AS118" s="100">
        <v>5.8511727628378599E-18</v>
      </c>
      <c r="AT118" s="100">
        <v>5.8511727628378599E-18</v>
      </c>
      <c r="AU118" s="100">
        <v>5.8511727628378599E-18</v>
      </c>
      <c r="AV118" s="100">
        <v>5.8511727628378599E-18</v>
      </c>
      <c r="AW118" s="100">
        <v>5.8511727628378599E-18</v>
      </c>
      <c r="AX118" s="100">
        <v>5.8511727628378599E-18</v>
      </c>
    </row>
    <row r="119" spans="1:50">
      <c r="B119" s="105" t="s">
        <v>46</v>
      </c>
      <c r="C119" s="100">
        <v>543.4</v>
      </c>
      <c r="D119" s="100">
        <v>543.4</v>
      </c>
      <c r="E119" s="100">
        <v>543.4</v>
      </c>
      <c r="F119" s="100">
        <v>543.4</v>
      </c>
      <c r="G119" s="100">
        <v>543.4</v>
      </c>
      <c r="H119" s="100">
        <v>543.4</v>
      </c>
      <c r="I119" s="100">
        <v>543.4</v>
      </c>
      <c r="J119" s="100">
        <v>543.4</v>
      </c>
      <c r="K119" s="100">
        <v>543.4</v>
      </c>
      <c r="L119" s="100">
        <v>543.4</v>
      </c>
      <c r="M119" s="100">
        <v>543.4</v>
      </c>
      <c r="N119" s="100">
        <v>543.4</v>
      </c>
      <c r="O119" s="100">
        <v>543.4</v>
      </c>
      <c r="P119" s="100">
        <v>543.4</v>
      </c>
      <c r="Q119" s="100">
        <v>543.4</v>
      </c>
      <c r="R119" s="100">
        <v>543.4</v>
      </c>
      <c r="S119" s="100">
        <v>543.4</v>
      </c>
      <c r="T119" s="100">
        <v>543.4</v>
      </c>
      <c r="U119" s="100">
        <v>543.4</v>
      </c>
      <c r="V119" s="100">
        <v>543.4</v>
      </c>
      <c r="W119" s="100">
        <v>543.4</v>
      </c>
      <c r="X119" s="100">
        <v>543.4</v>
      </c>
      <c r="Y119" s="100">
        <v>543.4</v>
      </c>
      <c r="Z119" s="100">
        <v>543.4</v>
      </c>
      <c r="AA119" s="100">
        <v>543.4</v>
      </c>
      <c r="AB119" s="100">
        <v>543.4</v>
      </c>
      <c r="AC119" s="100">
        <v>543.4</v>
      </c>
      <c r="AD119" s="100">
        <v>543.4</v>
      </c>
      <c r="AE119" s="100">
        <v>543.4</v>
      </c>
      <c r="AF119" s="100">
        <v>543.4</v>
      </c>
      <c r="AG119" s="100">
        <v>543.4</v>
      </c>
      <c r="AH119" s="100">
        <v>543.4</v>
      </c>
      <c r="AI119" s="100">
        <v>543.4</v>
      </c>
      <c r="AJ119" s="100">
        <v>543.4</v>
      </c>
      <c r="AK119" s="100">
        <v>543.4</v>
      </c>
      <c r="AL119" s="100">
        <v>543.4</v>
      </c>
      <c r="AM119" s="100">
        <v>543.4</v>
      </c>
      <c r="AN119" s="100">
        <v>543.4</v>
      </c>
      <c r="AO119" s="100">
        <v>543.4</v>
      </c>
      <c r="AP119" s="100">
        <v>543.4</v>
      </c>
      <c r="AQ119" s="100">
        <v>543.4</v>
      </c>
      <c r="AR119" s="100">
        <v>543.4</v>
      </c>
      <c r="AS119" s="100">
        <v>543.4</v>
      </c>
      <c r="AT119" s="100">
        <v>543.4</v>
      </c>
      <c r="AU119" s="100">
        <v>543.4</v>
      </c>
      <c r="AV119" s="100">
        <v>543.4</v>
      </c>
      <c r="AW119" s="100">
        <v>543.4</v>
      </c>
      <c r="AX119" s="100">
        <v>543.4</v>
      </c>
    </row>
    <row r="120" spans="1:50">
      <c r="B120" s="105" t="s">
        <v>59</v>
      </c>
      <c r="C120" s="100">
        <v>0</v>
      </c>
      <c r="D120" s="100">
        <v>0</v>
      </c>
      <c r="E120" s="100">
        <v>0</v>
      </c>
      <c r="F120" s="100">
        <v>0</v>
      </c>
      <c r="G120" s="100">
        <v>0</v>
      </c>
      <c r="H120" s="100">
        <v>0</v>
      </c>
      <c r="I120" s="100">
        <v>0</v>
      </c>
      <c r="J120" s="100">
        <v>0</v>
      </c>
      <c r="K120" s="100">
        <v>0</v>
      </c>
      <c r="L120" s="100">
        <v>0</v>
      </c>
      <c r="M120" s="100">
        <v>0</v>
      </c>
      <c r="N120" s="100">
        <v>0</v>
      </c>
      <c r="O120" s="100">
        <v>0</v>
      </c>
      <c r="P120" s="100">
        <v>0</v>
      </c>
      <c r="Q120" s="100">
        <v>0</v>
      </c>
      <c r="R120" s="100">
        <v>0</v>
      </c>
      <c r="S120" s="100">
        <v>0</v>
      </c>
      <c r="T120" s="100">
        <v>0</v>
      </c>
      <c r="U120" s="100">
        <v>0</v>
      </c>
      <c r="V120" s="100">
        <v>0</v>
      </c>
      <c r="W120" s="100">
        <v>0</v>
      </c>
      <c r="X120" s="100">
        <v>0</v>
      </c>
      <c r="Y120" s="100">
        <v>0</v>
      </c>
      <c r="Z120" s="100">
        <v>0</v>
      </c>
      <c r="AA120" s="100">
        <v>0</v>
      </c>
      <c r="AB120" s="100">
        <v>0</v>
      </c>
      <c r="AC120" s="100">
        <v>0</v>
      </c>
      <c r="AD120" s="100">
        <v>0</v>
      </c>
      <c r="AE120" s="100">
        <v>0</v>
      </c>
      <c r="AF120" s="100">
        <v>0</v>
      </c>
      <c r="AG120" s="100">
        <v>0</v>
      </c>
      <c r="AH120" s="100">
        <v>0</v>
      </c>
      <c r="AI120" s="100">
        <v>0</v>
      </c>
      <c r="AJ120" s="100">
        <v>0</v>
      </c>
      <c r="AK120" s="100">
        <v>0</v>
      </c>
      <c r="AL120" s="100">
        <v>0</v>
      </c>
      <c r="AM120" s="100">
        <v>0</v>
      </c>
      <c r="AN120" s="100">
        <v>0</v>
      </c>
      <c r="AO120" s="100">
        <v>0</v>
      </c>
      <c r="AP120" s="100">
        <v>0</v>
      </c>
      <c r="AQ120" s="100">
        <v>0</v>
      </c>
      <c r="AR120" s="100">
        <v>0</v>
      </c>
      <c r="AS120" s="100">
        <v>0</v>
      </c>
      <c r="AT120" s="100">
        <v>0</v>
      </c>
      <c r="AU120" s="100">
        <v>0</v>
      </c>
      <c r="AV120" s="100">
        <v>0</v>
      </c>
      <c r="AW120" s="100">
        <v>0</v>
      </c>
      <c r="AX120" s="100">
        <v>0</v>
      </c>
    </row>
    <row r="121" spans="1:50">
      <c r="B121" s="100" t="s">
        <v>278</v>
      </c>
      <c r="C121" s="105">
        <f>SUM(C$116:C$120)</f>
        <v>12159.400000000065</v>
      </c>
      <c r="D121" s="105">
        <f t="shared" ref="D121:AX121" si="8">SUM(D$116:D$120)</f>
        <v>12159.400000000065</v>
      </c>
      <c r="E121" s="105">
        <f t="shared" si="8"/>
        <v>12159.400000000065</v>
      </c>
      <c r="F121" s="105">
        <f t="shared" si="8"/>
        <v>12159.400000000065</v>
      </c>
      <c r="G121" s="105">
        <f t="shared" si="8"/>
        <v>12159.400000000065</v>
      </c>
      <c r="H121" s="105">
        <f t="shared" si="8"/>
        <v>12159.400000000065</v>
      </c>
      <c r="I121" s="105">
        <f t="shared" si="8"/>
        <v>12159.400000000065</v>
      </c>
      <c r="J121" s="105">
        <f t="shared" si="8"/>
        <v>12159.400000000065</v>
      </c>
      <c r="K121" s="105">
        <f t="shared" si="8"/>
        <v>12159.400000000065</v>
      </c>
      <c r="L121" s="105">
        <f t="shared" si="8"/>
        <v>12159.400000000065</v>
      </c>
      <c r="M121" s="105">
        <f t="shared" si="8"/>
        <v>12159.400000000065</v>
      </c>
      <c r="N121" s="105">
        <f t="shared" si="8"/>
        <v>12159.400000000065</v>
      </c>
      <c r="O121" s="105">
        <f t="shared" si="8"/>
        <v>12159.400000000065</v>
      </c>
      <c r="P121" s="105">
        <f t="shared" si="8"/>
        <v>12159.400000000065</v>
      </c>
      <c r="Q121" s="105">
        <f t="shared" si="8"/>
        <v>12159.400000000065</v>
      </c>
      <c r="R121" s="105">
        <f t="shared" si="8"/>
        <v>12159.400000000065</v>
      </c>
      <c r="S121" s="105">
        <f t="shared" si="8"/>
        <v>12159.400000000065</v>
      </c>
      <c r="T121" s="105">
        <f t="shared" si="8"/>
        <v>12159.400000000065</v>
      </c>
      <c r="U121" s="105">
        <f t="shared" si="8"/>
        <v>12159.400000000065</v>
      </c>
      <c r="V121" s="105">
        <f t="shared" si="8"/>
        <v>12159.400000000065</v>
      </c>
      <c r="W121" s="105">
        <f t="shared" si="8"/>
        <v>12159.400000000065</v>
      </c>
      <c r="X121" s="105">
        <f t="shared" si="8"/>
        <v>12159.400000000065</v>
      </c>
      <c r="Y121" s="105">
        <f t="shared" si="8"/>
        <v>12159.400000000065</v>
      </c>
      <c r="Z121" s="105">
        <f t="shared" si="8"/>
        <v>12159.400000000065</v>
      </c>
      <c r="AA121" s="105">
        <f t="shared" si="8"/>
        <v>12159.400000000065</v>
      </c>
      <c r="AB121" s="105">
        <f t="shared" si="8"/>
        <v>12159.400000000065</v>
      </c>
      <c r="AC121" s="105">
        <f t="shared" si="8"/>
        <v>12159.400000000065</v>
      </c>
      <c r="AD121" s="105">
        <f t="shared" si="8"/>
        <v>12159.400000000065</v>
      </c>
      <c r="AE121" s="105">
        <f t="shared" si="8"/>
        <v>12159.400000000065</v>
      </c>
      <c r="AF121" s="105">
        <f t="shared" si="8"/>
        <v>12159.400000000065</v>
      </c>
      <c r="AG121" s="105">
        <f t="shared" si="8"/>
        <v>12159.400000000065</v>
      </c>
      <c r="AH121" s="105">
        <f t="shared" si="8"/>
        <v>12159.400000000065</v>
      </c>
      <c r="AI121" s="105">
        <f t="shared" si="8"/>
        <v>12159.400000000065</v>
      </c>
      <c r="AJ121" s="105">
        <f t="shared" si="8"/>
        <v>12159.400000000065</v>
      </c>
      <c r="AK121" s="105">
        <f t="shared" si="8"/>
        <v>12159.400000000065</v>
      </c>
      <c r="AL121" s="105">
        <f t="shared" si="8"/>
        <v>12159.400000000065</v>
      </c>
      <c r="AM121" s="105">
        <f t="shared" si="8"/>
        <v>12159.400000000065</v>
      </c>
      <c r="AN121" s="105">
        <f t="shared" si="8"/>
        <v>12159.400000000065</v>
      </c>
      <c r="AO121" s="105">
        <f t="shared" si="8"/>
        <v>12159.400000000065</v>
      </c>
      <c r="AP121" s="105">
        <f t="shared" si="8"/>
        <v>12159.400000000065</v>
      </c>
      <c r="AQ121" s="105">
        <f t="shared" si="8"/>
        <v>12159.400000000065</v>
      </c>
      <c r="AR121" s="105">
        <f t="shared" si="8"/>
        <v>12159.400000000065</v>
      </c>
      <c r="AS121" s="105">
        <f t="shared" si="8"/>
        <v>12159.400000000065</v>
      </c>
      <c r="AT121" s="105">
        <f t="shared" si="8"/>
        <v>12159.400000000065</v>
      </c>
      <c r="AU121" s="105">
        <f t="shared" si="8"/>
        <v>12159.400000000065</v>
      </c>
      <c r="AV121" s="105">
        <f t="shared" si="8"/>
        <v>12159.400000000065</v>
      </c>
      <c r="AW121" s="105">
        <f t="shared" si="8"/>
        <v>12159.400000000065</v>
      </c>
      <c r="AX121" s="105">
        <f t="shared" si="8"/>
        <v>12159.400000000065</v>
      </c>
    </row>
    <row r="122" spans="1:50">
      <c r="A122" s="105" t="s">
        <v>108</v>
      </c>
      <c r="B122" s="105" t="s">
        <v>10</v>
      </c>
      <c r="C122" s="100">
        <v>3.0682195259556037E-17</v>
      </c>
      <c r="D122" s="100">
        <v>3.0682195259556037E-17</v>
      </c>
      <c r="E122" s="100">
        <v>3.0682195259556037E-17</v>
      </c>
      <c r="F122" s="100">
        <v>3.0682195259556037E-17</v>
      </c>
      <c r="G122" s="100">
        <v>0</v>
      </c>
      <c r="H122" s="100">
        <v>0</v>
      </c>
      <c r="I122" s="100">
        <v>0</v>
      </c>
      <c r="J122" s="100">
        <v>0</v>
      </c>
      <c r="K122" s="100">
        <v>0</v>
      </c>
      <c r="L122" s="100">
        <v>0</v>
      </c>
      <c r="M122" s="100">
        <v>0</v>
      </c>
      <c r="N122" s="100">
        <v>0</v>
      </c>
      <c r="O122" s="100">
        <v>0</v>
      </c>
      <c r="P122" s="100">
        <v>0</v>
      </c>
      <c r="Q122" s="100">
        <v>0</v>
      </c>
      <c r="R122" s="100">
        <v>0</v>
      </c>
      <c r="S122" s="100">
        <v>0</v>
      </c>
      <c r="T122" s="100">
        <v>0</v>
      </c>
      <c r="U122" s="100">
        <v>0</v>
      </c>
      <c r="V122" s="100">
        <v>0</v>
      </c>
      <c r="W122" s="100">
        <v>0</v>
      </c>
      <c r="X122" s="100">
        <v>0</v>
      </c>
      <c r="Y122" s="100">
        <v>0</v>
      </c>
      <c r="Z122" s="100">
        <v>0</v>
      </c>
      <c r="AA122" s="100">
        <v>0</v>
      </c>
      <c r="AB122" s="100">
        <v>0</v>
      </c>
      <c r="AC122" s="100">
        <v>0</v>
      </c>
      <c r="AD122" s="100">
        <v>0</v>
      </c>
      <c r="AE122" s="100">
        <v>0</v>
      </c>
      <c r="AF122" s="100">
        <v>0</v>
      </c>
      <c r="AG122" s="100">
        <v>0</v>
      </c>
      <c r="AH122" s="100">
        <v>0</v>
      </c>
      <c r="AI122" s="100">
        <v>0</v>
      </c>
      <c r="AJ122" s="100">
        <v>0</v>
      </c>
      <c r="AK122" s="100">
        <v>0</v>
      </c>
      <c r="AL122" s="100">
        <v>0</v>
      </c>
      <c r="AM122" s="100">
        <v>0</v>
      </c>
      <c r="AN122" s="100">
        <v>0</v>
      </c>
      <c r="AO122" s="100">
        <v>0</v>
      </c>
      <c r="AP122" s="100">
        <v>0</v>
      </c>
      <c r="AQ122" s="100">
        <v>0</v>
      </c>
      <c r="AR122" s="100">
        <v>0</v>
      </c>
      <c r="AS122" s="100">
        <v>0</v>
      </c>
      <c r="AT122" s="100">
        <v>0</v>
      </c>
      <c r="AU122" s="100">
        <v>0</v>
      </c>
      <c r="AV122" s="100">
        <v>0</v>
      </c>
      <c r="AW122" s="100">
        <v>0</v>
      </c>
      <c r="AX122" s="100">
        <v>0</v>
      </c>
    </row>
    <row r="123" spans="1:50">
      <c r="B123" s="105" t="s">
        <v>12</v>
      </c>
      <c r="C123" s="100">
        <v>4.74451639743916E-18</v>
      </c>
      <c r="D123" s="100">
        <v>4.74451639743916E-18</v>
      </c>
      <c r="E123" s="100">
        <v>4.74451639743916E-18</v>
      </c>
      <c r="F123" s="100">
        <v>4.74451639743916E-18</v>
      </c>
      <c r="G123" s="100">
        <v>0</v>
      </c>
      <c r="H123" s="100">
        <v>0</v>
      </c>
      <c r="I123" s="100">
        <v>0</v>
      </c>
      <c r="J123" s="100">
        <v>0</v>
      </c>
      <c r="K123" s="100">
        <v>0</v>
      </c>
      <c r="L123" s="100">
        <v>0</v>
      </c>
      <c r="M123" s="100">
        <v>0</v>
      </c>
      <c r="N123" s="100">
        <v>0</v>
      </c>
      <c r="O123" s="100">
        <v>0</v>
      </c>
      <c r="P123" s="100">
        <v>0</v>
      </c>
      <c r="Q123" s="100">
        <v>0</v>
      </c>
      <c r="R123" s="100">
        <v>0</v>
      </c>
      <c r="S123" s="100">
        <v>0</v>
      </c>
      <c r="T123" s="100">
        <v>0</v>
      </c>
      <c r="U123" s="100">
        <v>0</v>
      </c>
      <c r="V123" s="100">
        <v>0</v>
      </c>
      <c r="W123" s="100">
        <v>0</v>
      </c>
      <c r="X123" s="100">
        <v>0</v>
      </c>
      <c r="Y123" s="100">
        <v>0</v>
      </c>
      <c r="Z123" s="100">
        <v>0</v>
      </c>
      <c r="AA123" s="100">
        <v>0</v>
      </c>
      <c r="AB123" s="100">
        <v>0</v>
      </c>
      <c r="AC123" s="100">
        <v>0</v>
      </c>
      <c r="AD123" s="100">
        <v>0</v>
      </c>
      <c r="AE123" s="100">
        <v>0</v>
      </c>
      <c r="AF123" s="100">
        <v>0</v>
      </c>
      <c r="AG123" s="100">
        <v>0</v>
      </c>
      <c r="AH123" s="100">
        <v>0</v>
      </c>
      <c r="AI123" s="100">
        <v>0</v>
      </c>
      <c r="AJ123" s="100">
        <v>0</v>
      </c>
      <c r="AK123" s="100">
        <v>0</v>
      </c>
      <c r="AL123" s="100">
        <v>0</v>
      </c>
      <c r="AM123" s="100">
        <v>0</v>
      </c>
      <c r="AN123" s="100">
        <v>0</v>
      </c>
      <c r="AO123" s="100">
        <v>0</v>
      </c>
      <c r="AP123" s="100">
        <v>0</v>
      </c>
      <c r="AQ123" s="100">
        <v>0</v>
      </c>
      <c r="AR123" s="100">
        <v>0</v>
      </c>
      <c r="AS123" s="100">
        <v>0</v>
      </c>
      <c r="AT123" s="100">
        <v>0</v>
      </c>
      <c r="AU123" s="100">
        <v>0</v>
      </c>
      <c r="AV123" s="100">
        <v>0</v>
      </c>
      <c r="AW123" s="100">
        <v>0</v>
      </c>
      <c r="AX123" s="100">
        <v>0</v>
      </c>
    </row>
    <row r="124" spans="1:50">
      <c r="B124" s="105" t="s">
        <v>22</v>
      </c>
      <c r="C124" s="100">
        <v>1.5216300636657726E-18</v>
      </c>
      <c r="D124" s="100">
        <v>1.5216300636657726E-18</v>
      </c>
      <c r="E124" s="100">
        <v>1.5216300636657726E-18</v>
      </c>
      <c r="F124" s="100">
        <v>1.5216300636657726E-18</v>
      </c>
      <c r="G124" s="100">
        <v>0</v>
      </c>
      <c r="H124" s="100">
        <v>0</v>
      </c>
      <c r="I124" s="100">
        <v>0</v>
      </c>
      <c r="J124" s="100">
        <v>0</v>
      </c>
      <c r="K124" s="100">
        <v>0</v>
      </c>
      <c r="L124" s="100">
        <v>0</v>
      </c>
      <c r="M124" s="100">
        <v>0</v>
      </c>
      <c r="N124" s="100">
        <v>0</v>
      </c>
      <c r="O124" s="100">
        <v>0</v>
      </c>
      <c r="P124" s="100">
        <v>0</v>
      </c>
      <c r="Q124" s="100">
        <v>0</v>
      </c>
      <c r="R124" s="100">
        <v>0</v>
      </c>
      <c r="S124" s="100">
        <v>0</v>
      </c>
      <c r="T124" s="100">
        <v>0</v>
      </c>
      <c r="U124" s="100">
        <v>0</v>
      </c>
      <c r="V124" s="100">
        <v>0</v>
      </c>
      <c r="W124" s="100">
        <v>0</v>
      </c>
      <c r="X124" s="100">
        <v>0</v>
      </c>
      <c r="Y124" s="100">
        <v>0</v>
      </c>
      <c r="Z124" s="100">
        <v>0</v>
      </c>
      <c r="AA124" s="100">
        <v>0</v>
      </c>
      <c r="AB124" s="100">
        <v>0</v>
      </c>
      <c r="AC124" s="100">
        <v>0</v>
      </c>
      <c r="AD124" s="100">
        <v>0</v>
      </c>
      <c r="AE124" s="100">
        <v>0</v>
      </c>
      <c r="AF124" s="100">
        <v>0</v>
      </c>
      <c r="AG124" s="100">
        <v>0</v>
      </c>
      <c r="AH124" s="100">
        <v>0</v>
      </c>
      <c r="AI124" s="100">
        <v>0</v>
      </c>
      <c r="AJ124" s="100">
        <v>0</v>
      </c>
      <c r="AK124" s="100">
        <v>0</v>
      </c>
      <c r="AL124" s="100">
        <v>0</v>
      </c>
      <c r="AM124" s="100">
        <v>0</v>
      </c>
      <c r="AN124" s="100">
        <v>0</v>
      </c>
      <c r="AO124" s="100">
        <v>0</v>
      </c>
      <c r="AP124" s="100">
        <v>0</v>
      </c>
      <c r="AQ124" s="100">
        <v>0</v>
      </c>
      <c r="AR124" s="100">
        <v>0</v>
      </c>
      <c r="AS124" s="100">
        <v>0</v>
      </c>
      <c r="AT124" s="100">
        <v>0</v>
      </c>
      <c r="AU124" s="100">
        <v>0</v>
      </c>
      <c r="AV124" s="100">
        <v>0</v>
      </c>
      <c r="AW124" s="100">
        <v>0</v>
      </c>
      <c r="AX124" s="100">
        <v>0</v>
      </c>
    </row>
    <row r="125" spans="1:50">
      <c r="B125" s="105" t="s">
        <v>46</v>
      </c>
      <c r="C125" s="100">
        <v>3.3200665946268449E-18</v>
      </c>
      <c r="D125" s="100">
        <v>3.3200665946268449E-18</v>
      </c>
      <c r="E125" s="100">
        <v>3.3200665946268449E-18</v>
      </c>
      <c r="F125" s="100">
        <v>3.3200665946268449E-18</v>
      </c>
      <c r="G125" s="100">
        <v>0</v>
      </c>
      <c r="H125" s="100">
        <v>0</v>
      </c>
      <c r="I125" s="100">
        <v>0</v>
      </c>
      <c r="J125" s="100">
        <v>0</v>
      </c>
      <c r="K125" s="100">
        <v>0</v>
      </c>
      <c r="L125" s="100">
        <v>0</v>
      </c>
      <c r="M125" s="100">
        <v>0</v>
      </c>
      <c r="N125" s="100">
        <v>0</v>
      </c>
      <c r="O125" s="100">
        <v>0</v>
      </c>
      <c r="P125" s="100">
        <v>0</v>
      </c>
      <c r="Q125" s="100">
        <v>0</v>
      </c>
      <c r="R125" s="100">
        <v>0</v>
      </c>
      <c r="S125" s="100">
        <v>0</v>
      </c>
      <c r="T125" s="100">
        <v>0</v>
      </c>
      <c r="U125" s="100">
        <v>0</v>
      </c>
      <c r="V125" s="100">
        <v>0</v>
      </c>
      <c r="W125" s="100">
        <v>0</v>
      </c>
      <c r="X125" s="100">
        <v>0</v>
      </c>
      <c r="Y125" s="100">
        <v>0</v>
      </c>
      <c r="Z125" s="100">
        <v>0</v>
      </c>
      <c r="AA125" s="100">
        <v>0</v>
      </c>
      <c r="AB125" s="100">
        <v>0</v>
      </c>
      <c r="AC125" s="100">
        <v>0</v>
      </c>
      <c r="AD125" s="100">
        <v>0</v>
      </c>
      <c r="AE125" s="100">
        <v>0</v>
      </c>
      <c r="AF125" s="100">
        <v>0</v>
      </c>
      <c r="AG125" s="100">
        <v>0</v>
      </c>
      <c r="AH125" s="100">
        <v>0</v>
      </c>
      <c r="AI125" s="100">
        <v>0</v>
      </c>
      <c r="AJ125" s="100">
        <v>0</v>
      </c>
      <c r="AK125" s="100">
        <v>0</v>
      </c>
      <c r="AL125" s="100">
        <v>0</v>
      </c>
      <c r="AM125" s="100">
        <v>0</v>
      </c>
      <c r="AN125" s="100">
        <v>0</v>
      </c>
      <c r="AO125" s="100">
        <v>0</v>
      </c>
      <c r="AP125" s="100">
        <v>0</v>
      </c>
      <c r="AQ125" s="100">
        <v>0</v>
      </c>
      <c r="AR125" s="100">
        <v>0</v>
      </c>
      <c r="AS125" s="100">
        <v>0</v>
      </c>
      <c r="AT125" s="100">
        <v>0</v>
      </c>
      <c r="AU125" s="100">
        <v>0</v>
      </c>
      <c r="AV125" s="100">
        <v>0</v>
      </c>
      <c r="AW125" s="100">
        <v>0</v>
      </c>
      <c r="AX125" s="100">
        <v>0</v>
      </c>
    </row>
    <row r="126" spans="1:50">
      <c r="B126" s="105" t="s">
        <v>59</v>
      </c>
      <c r="C126" s="100">
        <v>7.5380719113644014E-19</v>
      </c>
      <c r="D126" s="100">
        <v>7.5380719113644014E-19</v>
      </c>
      <c r="E126" s="100">
        <v>7.5380719113644014E-19</v>
      </c>
      <c r="F126" s="100">
        <v>7.5380719113644014E-19</v>
      </c>
      <c r="G126" s="100">
        <v>0</v>
      </c>
      <c r="H126" s="100">
        <v>0</v>
      </c>
      <c r="I126" s="100">
        <v>0</v>
      </c>
      <c r="J126" s="100">
        <v>0</v>
      </c>
      <c r="K126" s="100">
        <v>0</v>
      </c>
      <c r="L126" s="100">
        <v>0</v>
      </c>
      <c r="M126" s="100">
        <v>0</v>
      </c>
      <c r="N126" s="100">
        <v>0</v>
      </c>
      <c r="O126" s="100">
        <v>0</v>
      </c>
      <c r="P126" s="100">
        <v>0</v>
      </c>
      <c r="Q126" s="100">
        <v>0</v>
      </c>
      <c r="R126" s="100">
        <v>0</v>
      </c>
      <c r="S126" s="100">
        <v>0</v>
      </c>
      <c r="T126" s="100">
        <v>0</v>
      </c>
      <c r="U126" s="100">
        <v>0</v>
      </c>
      <c r="V126" s="100">
        <v>0</v>
      </c>
      <c r="W126" s="100">
        <v>0</v>
      </c>
      <c r="X126" s="100">
        <v>0</v>
      </c>
      <c r="Y126" s="100">
        <v>0</v>
      </c>
      <c r="Z126" s="100">
        <v>0</v>
      </c>
      <c r="AA126" s="100">
        <v>0</v>
      </c>
      <c r="AB126" s="100">
        <v>0</v>
      </c>
      <c r="AC126" s="100">
        <v>0</v>
      </c>
      <c r="AD126" s="100">
        <v>0</v>
      </c>
      <c r="AE126" s="100">
        <v>0</v>
      </c>
      <c r="AF126" s="100">
        <v>0</v>
      </c>
      <c r="AG126" s="100">
        <v>0</v>
      </c>
      <c r="AH126" s="100">
        <v>0</v>
      </c>
      <c r="AI126" s="100">
        <v>0</v>
      </c>
      <c r="AJ126" s="100">
        <v>0</v>
      </c>
      <c r="AK126" s="100">
        <v>0</v>
      </c>
      <c r="AL126" s="100">
        <v>0</v>
      </c>
      <c r="AM126" s="100">
        <v>0</v>
      </c>
      <c r="AN126" s="100">
        <v>0</v>
      </c>
      <c r="AO126" s="100">
        <v>0</v>
      </c>
      <c r="AP126" s="100">
        <v>0</v>
      </c>
      <c r="AQ126" s="100">
        <v>0</v>
      </c>
      <c r="AR126" s="100">
        <v>0</v>
      </c>
      <c r="AS126" s="100">
        <v>0</v>
      </c>
      <c r="AT126" s="100">
        <v>0</v>
      </c>
      <c r="AU126" s="100">
        <v>0</v>
      </c>
      <c r="AV126" s="100">
        <v>0</v>
      </c>
      <c r="AW126" s="100">
        <v>0</v>
      </c>
      <c r="AX126" s="100">
        <v>0</v>
      </c>
    </row>
    <row r="127" spans="1:50">
      <c r="B127" s="100" t="s">
        <v>278</v>
      </c>
      <c r="C127" s="105">
        <f>SUM(C$122:C$126)</f>
        <v>4.1022215506424253E-17</v>
      </c>
      <c r="D127" s="105">
        <f t="shared" ref="D127:AX127" si="9">SUM(D$122:D$126)</f>
        <v>4.1022215506424253E-17</v>
      </c>
      <c r="E127" s="105">
        <f t="shared" si="9"/>
        <v>4.1022215506424253E-17</v>
      </c>
      <c r="F127" s="105">
        <f t="shared" si="9"/>
        <v>4.1022215506424253E-17</v>
      </c>
      <c r="G127" s="105">
        <f t="shared" si="9"/>
        <v>0</v>
      </c>
      <c r="H127" s="105">
        <f t="shared" si="9"/>
        <v>0</v>
      </c>
      <c r="I127" s="105">
        <f t="shared" si="9"/>
        <v>0</v>
      </c>
      <c r="J127" s="105">
        <f t="shared" si="9"/>
        <v>0</v>
      </c>
      <c r="K127" s="105">
        <f t="shared" si="9"/>
        <v>0</v>
      </c>
      <c r="L127" s="105">
        <f t="shared" si="9"/>
        <v>0</v>
      </c>
      <c r="M127" s="105">
        <f t="shared" si="9"/>
        <v>0</v>
      </c>
      <c r="N127" s="105">
        <f t="shared" si="9"/>
        <v>0</v>
      </c>
      <c r="O127" s="105">
        <f t="shared" si="9"/>
        <v>0</v>
      </c>
      <c r="P127" s="105">
        <f t="shared" si="9"/>
        <v>0</v>
      </c>
      <c r="Q127" s="105">
        <f t="shared" si="9"/>
        <v>0</v>
      </c>
      <c r="R127" s="105">
        <f t="shared" si="9"/>
        <v>0</v>
      </c>
      <c r="S127" s="105">
        <f t="shared" si="9"/>
        <v>0</v>
      </c>
      <c r="T127" s="105">
        <f t="shared" si="9"/>
        <v>0</v>
      </c>
      <c r="U127" s="105">
        <f t="shared" si="9"/>
        <v>0</v>
      </c>
      <c r="V127" s="105">
        <f t="shared" si="9"/>
        <v>0</v>
      </c>
      <c r="W127" s="105">
        <f t="shared" si="9"/>
        <v>0</v>
      </c>
      <c r="X127" s="105">
        <f t="shared" si="9"/>
        <v>0</v>
      </c>
      <c r="Y127" s="105">
        <f t="shared" si="9"/>
        <v>0</v>
      </c>
      <c r="Z127" s="105">
        <f t="shared" si="9"/>
        <v>0</v>
      </c>
      <c r="AA127" s="105">
        <f t="shared" si="9"/>
        <v>0</v>
      </c>
      <c r="AB127" s="105">
        <f t="shared" si="9"/>
        <v>0</v>
      </c>
      <c r="AC127" s="105">
        <f t="shared" si="9"/>
        <v>0</v>
      </c>
      <c r="AD127" s="105">
        <f t="shared" si="9"/>
        <v>0</v>
      </c>
      <c r="AE127" s="105">
        <f t="shared" si="9"/>
        <v>0</v>
      </c>
      <c r="AF127" s="105">
        <f t="shared" si="9"/>
        <v>0</v>
      </c>
      <c r="AG127" s="105">
        <f t="shared" si="9"/>
        <v>0</v>
      </c>
      <c r="AH127" s="105">
        <f t="shared" si="9"/>
        <v>0</v>
      </c>
      <c r="AI127" s="105">
        <f t="shared" si="9"/>
        <v>0</v>
      </c>
      <c r="AJ127" s="105">
        <f t="shared" si="9"/>
        <v>0</v>
      </c>
      <c r="AK127" s="105">
        <f t="shared" si="9"/>
        <v>0</v>
      </c>
      <c r="AL127" s="105">
        <f t="shared" si="9"/>
        <v>0</v>
      </c>
      <c r="AM127" s="105">
        <f t="shared" si="9"/>
        <v>0</v>
      </c>
      <c r="AN127" s="105">
        <f t="shared" si="9"/>
        <v>0</v>
      </c>
      <c r="AO127" s="105">
        <f t="shared" si="9"/>
        <v>0</v>
      </c>
      <c r="AP127" s="105">
        <f t="shared" si="9"/>
        <v>0</v>
      </c>
      <c r="AQ127" s="105">
        <f t="shared" si="9"/>
        <v>0</v>
      </c>
      <c r="AR127" s="105">
        <f t="shared" si="9"/>
        <v>0</v>
      </c>
      <c r="AS127" s="105">
        <f t="shared" si="9"/>
        <v>0</v>
      </c>
      <c r="AT127" s="105">
        <f t="shared" si="9"/>
        <v>0</v>
      </c>
      <c r="AU127" s="105">
        <f t="shared" si="9"/>
        <v>0</v>
      </c>
      <c r="AV127" s="105">
        <f t="shared" si="9"/>
        <v>0</v>
      </c>
      <c r="AW127" s="105">
        <f t="shared" si="9"/>
        <v>0</v>
      </c>
      <c r="AX127" s="105">
        <f t="shared" si="9"/>
        <v>0</v>
      </c>
    </row>
    <row r="128" spans="1:50">
      <c r="A128" s="105" t="s">
        <v>109</v>
      </c>
      <c r="B128" s="105" t="s">
        <v>10</v>
      </c>
      <c r="C128" s="100">
        <v>4.5964138558766406E-19</v>
      </c>
      <c r="D128" s="100">
        <v>4.5964138558766406E-19</v>
      </c>
      <c r="E128" s="100">
        <v>4.5964138558766406E-19</v>
      </c>
      <c r="F128" s="100">
        <v>4.5964138558766406E-19</v>
      </c>
      <c r="G128" s="100">
        <v>3.8303448798972003E-19</v>
      </c>
      <c r="H128" s="100">
        <v>3.8303448798972003E-19</v>
      </c>
      <c r="I128" s="100">
        <v>3.8303448798972003E-19</v>
      </c>
      <c r="J128" s="100">
        <v>3.8303448798972003E-19</v>
      </c>
      <c r="K128" s="100">
        <v>3.8303448798972003E-19</v>
      </c>
      <c r="L128" s="100">
        <v>3.8303448798972003E-19</v>
      </c>
      <c r="M128" s="100">
        <v>3.8303448798972003E-19</v>
      </c>
      <c r="N128" s="100">
        <v>3.8303448798972003E-19</v>
      </c>
      <c r="O128" s="100">
        <v>4.5964138558766406E-19</v>
      </c>
      <c r="P128" s="100">
        <v>4.5964138558766406E-19</v>
      </c>
      <c r="Q128" s="100">
        <v>4.5964138558766406E-19</v>
      </c>
      <c r="R128" s="100">
        <v>4.5964138558766406E-19</v>
      </c>
      <c r="S128" s="100">
        <v>3.8303448798972003E-19</v>
      </c>
      <c r="T128" s="100">
        <v>3.8303448798972003E-19</v>
      </c>
      <c r="U128" s="100">
        <v>3.8303448798972003E-19</v>
      </c>
      <c r="V128" s="100">
        <v>3.8303448798972003E-19</v>
      </c>
      <c r="W128" s="100">
        <v>3.8303448798972003E-19</v>
      </c>
      <c r="X128" s="100">
        <v>3.8303448798972003E-19</v>
      </c>
      <c r="Y128" s="100">
        <v>3.8303448798972003E-19</v>
      </c>
      <c r="Z128" s="100">
        <v>3.8303448798972003E-19</v>
      </c>
      <c r="AA128" s="100">
        <v>3.8303448798972003E-19</v>
      </c>
      <c r="AB128" s="100">
        <v>3.8303448798972003E-19</v>
      </c>
      <c r="AC128" s="100">
        <v>3.8303448798972003E-19</v>
      </c>
      <c r="AD128" s="100">
        <v>3.8303448798972003E-19</v>
      </c>
      <c r="AE128" s="100">
        <v>4.5964138558766406E-19</v>
      </c>
      <c r="AF128" s="100">
        <v>4.5964138558766406E-19</v>
      </c>
      <c r="AG128" s="100">
        <v>4.5964138558766406E-19</v>
      </c>
      <c r="AH128" s="100">
        <v>4.5964138558766406E-19</v>
      </c>
      <c r="AI128" s="100">
        <v>3.8303448798972003E-19</v>
      </c>
      <c r="AJ128" s="100">
        <v>3.8303448798972003E-19</v>
      </c>
      <c r="AK128" s="100">
        <v>3.8303448798972003E-19</v>
      </c>
      <c r="AL128" s="100">
        <v>3.8303448798972003E-19</v>
      </c>
      <c r="AM128" s="100">
        <v>3.064275903917761E-19</v>
      </c>
      <c r="AN128" s="100">
        <v>3.064275903917761E-19</v>
      </c>
      <c r="AO128" s="100">
        <v>3.064275903917761E-19</v>
      </c>
      <c r="AP128" s="100">
        <v>3.064275903917761E-19</v>
      </c>
      <c r="AQ128" s="100">
        <v>3.8303448798972003E-19</v>
      </c>
      <c r="AR128" s="100">
        <v>3.8303448798972003E-19</v>
      </c>
      <c r="AS128" s="100">
        <v>3.8303448798972003E-19</v>
      </c>
      <c r="AT128" s="100">
        <v>3.8303448798972003E-19</v>
      </c>
      <c r="AU128" s="100">
        <v>4.5964138558766406E-19</v>
      </c>
      <c r="AV128" s="100">
        <v>4.5964138558766406E-19</v>
      </c>
      <c r="AW128" s="100">
        <v>4.5964138558766406E-19</v>
      </c>
      <c r="AX128" s="100">
        <v>4.5964138558766406E-19</v>
      </c>
    </row>
    <row r="129" spans="2:50">
      <c r="B129" s="105" t="s">
        <v>12</v>
      </c>
      <c r="C129" s="100">
        <v>1.2989204719983959E-17</v>
      </c>
      <c r="D129" s="100">
        <v>1.2989204719983959E-17</v>
      </c>
      <c r="E129" s="100">
        <v>1.2989204719983959E-17</v>
      </c>
      <c r="F129" s="100">
        <v>1.2989204719983959E-17</v>
      </c>
      <c r="G129" s="100">
        <v>1.0824337266653298E-17</v>
      </c>
      <c r="H129" s="100">
        <v>1.0824337266653298E-17</v>
      </c>
      <c r="I129" s="100">
        <v>1.0824337266653298E-17</v>
      </c>
      <c r="J129" s="100">
        <v>1.0824337266653298E-17</v>
      </c>
      <c r="K129" s="100">
        <v>1.0824337266653298E-17</v>
      </c>
      <c r="L129" s="100">
        <v>1.0824337266653298E-17</v>
      </c>
      <c r="M129" s="100">
        <v>1.0824337266653298E-17</v>
      </c>
      <c r="N129" s="100">
        <v>1.0824337266653298E-17</v>
      </c>
      <c r="O129" s="100">
        <v>1.2989204719983959E-17</v>
      </c>
      <c r="P129" s="100">
        <v>1.2989204719983959E-17</v>
      </c>
      <c r="Q129" s="100">
        <v>1.2989204719983959E-17</v>
      </c>
      <c r="R129" s="100">
        <v>1.2989204719983959E-17</v>
      </c>
      <c r="S129" s="100">
        <v>1.0824337266653298E-17</v>
      </c>
      <c r="T129" s="100">
        <v>1.0824337266653298E-17</v>
      </c>
      <c r="U129" s="100">
        <v>1.0824337266653298E-17</v>
      </c>
      <c r="V129" s="100">
        <v>1.0824337266653298E-17</v>
      </c>
      <c r="W129" s="100">
        <v>1.0824337266653298E-17</v>
      </c>
      <c r="X129" s="100">
        <v>1.0824337266653298E-17</v>
      </c>
      <c r="Y129" s="100">
        <v>1.0824337266653298E-17</v>
      </c>
      <c r="Z129" s="100">
        <v>1.0824337266653298E-17</v>
      </c>
      <c r="AA129" s="100">
        <v>1.0824337266653298E-17</v>
      </c>
      <c r="AB129" s="100">
        <v>1.0824337266653298E-17</v>
      </c>
      <c r="AC129" s="100">
        <v>1.0824337266653298E-17</v>
      </c>
      <c r="AD129" s="100">
        <v>1.0824337266653298E-17</v>
      </c>
      <c r="AE129" s="100">
        <v>1.2989204719983959E-17</v>
      </c>
      <c r="AF129" s="100">
        <v>1.2989204719983959E-17</v>
      </c>
      <c r="AG129" s="100">
        <v>1.2989204719983959E-17</v>
      </c>
      <c r="AH129" s="100">
        <v>1.2989204719983959E-17</v>
      </c>
      <c r="AI129" s="100">
        <v>1.0824337266653298E-17</v>
      </c>
      <c r="AJ129" s="100">
        <v>1.0824337266653298E-17</v>
      </c>
      <c r="AK129" s="100">
        <v>1.0824337266653298E-17</v>
      </c>
      <c r="AL129" s="100">
        <v>1.0824337266653298E-17</v>
      </c>
      <c r="AM129" s="100">
        <v>8.6594698133226396E-18</v>
      </c>
      <c r="AN129" s="100">
        <v>8.6594698133226396E-18</v>
      </c>
      <c r="AO129" s="100">
        <v>8.6594698133226396E-18</v>
      </c>
      <c r="AP129" s="100">
        <v>8.6594698133226396E-18</v>
      </c>
      <c r="AQ129" s="100">
        <v>1.0824337266653298E-17</v>
      </c>
      <c r="AR129" s="100">
        <v>1.0824337266653298E-17</v>
      </c>
      <c r="AS129" s="100">
        <v>1.0824337266653298E-17</v>
      </c>
      <c r="AT129" s="100">
        <v>1.0824337266653298E-17</v>
      </c>
      <c r="AU129" s="100">
        <v>1.2989204719983959E-17</v>
      </c>
      <c r="AV129" s="100">
        <v>1.2989204719983959E-17</v>
      </c>
      <c r="AW129" s="100">
        <v>1.2989204719983959E-17</v>
      </c>
      <c r="AX129" s="100">
        <v>1.2989204719983959E-17</v>
      </c>
    </row>
    <row r="130" spans="2:50">
      <c r="B130" s="105" t="s">
        <v>22</v>
      </c>
      <c r="C130" s="100">
        <v>0</v>
      </c>
      <c r="D130" s="100">
        <v>0</v>
      </c>
      <c r="E130" s="100">
        <v>0</v>
      </c>
      <c r="F130" s="100">
        <v>0</v>
      </c>
      <c r="G130" s="100">
        <v>0</v>
      </c>
      <c r="H130" s="100">
        <v>0</v>
      </c>
      <c r="I130" s="100">
        <v>0</v>
      </c>
      <c r="J130" s="100">
        <v>0</v>
      </c>
      <c r="K130" s="100">
        <v>0</v>
      </c>
      <c r="L130" s="100">
        <v>0</v>
      </c>
      <c r="M130" s="100">
        <v>0</v>
      </c>
      <c r="N130" s="100">
        <v>0</v>
      </c>
      <c r="O130" s="100">
        <v>0</v>
      </c>
      <c r="P130" s="100">
        <v>0</v>
      </c>
      <c r="Q130" s="100">
        <v>0</v>
      </c>
      <c r="R130" s="100">
        <v>0</v>
      </c>
      <c r="S130" s="100">
        <v>0</v>
      </c>
      <c r="T130" s="100">
        <v>0</v>
      </c>
      <c r="U130" s="100">
        <v>0</v>
      </c>
      <c r="V130" s="100">
        <v>0</v>
      </c>
      <c r="W130" s="100">
        <v>0</v>
      </c>
      <c r="X130" s="100">
        <v>0</v>
      </c>
      <c r="Y130" s="100">
        <v>0</v>
      </c>
      <c r="Z130" s="100">
        <v>0</v>
      </c>
      <c r="AA130" s="100">
        <v>0</v>
      </c>
      <c r="AB130" s="100">
        <v>0</v>
      </c>
      <c r="AC130" s="100">
        <v>0</v>
      </c>
      <c r="AD130" s="100">
        <v>0</v>
      </c>
      <c r="AE130" s="100">
        <v>0</v>
      </c>
      <c r="AF130" s="100">
        <v>0</v>
      </c>
      <c r="AG130" s="100">
        <v>0</v>
      </c>
      <c r="AH130" s="100">
        <v>0</v>
      </c>
      <c r="AI130" s="100">
        <v>0</v>
      </c>
      <c r="AJ130" s="100">
        <v>0</v>
      </c>
      <c r="AK130" s="100">
        <v>0</v>
      </c>
      <c r="AL130" s="100">
        <v>0</v>
      </c>
      <c r="AM130" s="100">
        <v>0</v>
      </c>
      <c r="AN130" s="100">
        <v>0</v>
      </c>
      <c r="AO130" s="100">
        <v>0</v>
      </c>
      <c r="AP130" s="100">
        <v>0</v>
      </c>
      <c r="AQ130" s="100">
        <v>0</v>
      </c>
      <c r="AR130" s="100">
        <v>0</v>
      </c>
      <c r="AS130" s="100">
        <v>0</v>
      </c>
      <c r="AT130" s="100">
        <v>0</v>
      </c>
      <c r="AU130" s="100">
        <v>0</v>
      </c>
      <c r="AV130" s="100">
        <v>0</v>
      </c>
      <c r="AW130" s="100">
        <v>0</v>
      </c>
      <c r="AX130" s="100">
        <v>0</v>
      </c>
    </row>
    <row r="131" spans="2:50">
      <c r="B131" s="105" t="s">
        <v>46</v>
      </c>
      <c r="C131" s="100"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0">
        <v>0</v>
      </c>
      <c r="L131" s="100">
        <v>0</v>
      </c>
      <c r="M131" s="100">
        <v>0</v>
      </c>
      <c r="N131" s="100">
        <v>0</v>
      </c>
      <c r="O131" s="100">
        <v>0</v>
      </c>
      <c r="P131" s="100">
        <v>0</v>
      </c>
      <c r="Q131" s="100">
        <v>0</v>
      </c>
      <c r="R131" s="100">
        <v>0</v>
      </c>
      <c r="S131" s="100">
        <v>0</v>
      </c>
      <c r="T131" s="100">
        <v>0</v>
      </c>
      <c r="U131" s="100">
        <v>0</v>
      </c>
      <c r="V131" s="100">
        <v>0</v>
      </c>
      <c r="W131" s="100">
        <v>0</v>
      </c>
      <c r="X131" s="100">
        <v>0</v>
      </c>
      <c r="Y131" s="100">
        <v>0</v>
      </c>
      <c r="Z131" s="100">
        <v>0</v>
      </c>
      <c r="AA131" s="100">
        <v>0</v>
      </c>
      <c r="AB131" s="100">
        <v>0</v>
      </c>
      <c r="AC131" s="100">
        <v>0</v>
      </c>
      <c r="AD131" s="100">
        <v>0</v>
      </c>
      <c r="AE131" s="100">
        <v>0</v>
      </c>
      <c r="AF131" s="100">
        <v>0</v>
      </c>
      <c r="AG131" s="100">
        <v>0</v>
      </c>
      <c r="AH131" s="100">
        <v>0</v>
      </c>
      <c r="AI131" s="100">
        <v>0</v>
      </c>
      <c r="AJ131" s="100">
        <v>0</v>
      </c>
      <c r="AK131" s="100">
        <v>0</v>
      </c>
      <c r="AL131" s="100">
        <v>0</v>
      </c>
      <c r="AM131" s="100">
        <v>0</v>
      </c>
      <c r="AN131" s="100">
        <v>0</v>
      </c>
      <c r="AO131" s="100">
        <v>0</v>
      </c>
      <c r="AP131" s="100">
        <v>0</v>
      </c>
      <c r="AQ131" s="100">
        <v>0</v>
      </c>
      <c r="AR131" s="100">
        <v>0</v>
      </c>
      <c r="AS131" s="100">
        <v>0</v>
      </c>
      <c r="AT131" s="100">
        <v>0</v>
      </c>
      <c r="AU131" s="100">
        <v>0</v>
      </c>
      <c r="AV131" s="100">
        <v>0</v>
      </c>
      <c r="AW131" s="100">
        <v>0</v>
      </c>
      <c r="AX131" s="100">
        <v>0</v>
      </c>
    </row>
    <row r="132" spans="2:50">
      <c r="B132" s="105" t="s">
        <v>59</v>
      </c>
      <c r="C132" s="100">
        <v>3.4710929163312857E-18</v>
      </c>
      <c r="D132" s="100">
        <v>3.4710929163312857E-18</v>
      </c>
      <c r="E132" s="100">
        <v>3.4710929163312857E-18</v>
      </c>
      <c r="F132" s="100">
        <v>3.4710929163312857E-18</v>
      </c>
      <c r="G132" s="100">
        <v>2.8925774302760718E-18</v>
      </c>
      <c r="H132" s="100">
        <v>2.8925774302760718E-18</v>
      </c>
      <c r="I132" s="100">
        <v>2.8925774302760718E-18</v>
      </c>
      <c r="J132" s="100">
        <v>2.8925774302760718E-18</v>
      </c>
      <c r="K132" s="100">
        <v>2.8925774302760718E-18</v>
      </c>
      <c r="L132" s="100">
        <v>2.8925774302760718E-18</v>
      </c>
      <c r="M132" s="100">
        <v>2.8925774302760718E-18</v>
      </c>
      <c r="N132" s="100">
        <v>2.8925774302760718E-18</v>
      </c>
      <c r="O132" s="100">
        <v>3.4710929163312857E-18</v>
      </c>
      <c r="P132" s="100">
        <v>3.4710929163312857E-18</v>
      </c>
      <c r="Q132" s="100">
        <v>3.4710929163312857E-18</v>
      </c>
      <c r="R132" s="100">
        <v>3.4710929163312857E-18</v>
      </c>
      <c r="S132" s="100">
        <v>2.8925774302760718E-18</v>
      </c>
      <c r="T132" s="100">
        <v>2.8925774302760718E-18</v>
      </c>
      <c r="U132" s="100">
        <v>2.8925774302760718E-18</v>
      </c>
      <c r="V132" s="100">
        <v>2.8925774302760718E-18</v>
      </c>
      <c r="W132" s="100">
        <v>2.8925774302760718E-18</v>
      </c>
      <c r="X132" s="100">
        <v>2.8925774302760718E-18</v>
      </c>
      <c r="Y132" s="100">
        <v>2.8925774302760718E-18</v>
      </c>
      <c r="Z132" s="100">
        <v>2.8925774302760718E-18</v>
      </c>
      <c r="AA132" s="100">
        <v>2.8925774302760718E-18</v>
      </c>
      <c r="AB132" s="100">
        <v>2.8925774302760718E-18</v>
      </c>
      <c r="AC132" s="100">
        <v>2.8925774302760718E-18</v>
      </c>
      <c r="AD132" s="100">
        <v>2.8925774302760718E-18</v>
      </c>
      <c r="AE132" s="100">
        <v>3.4710929163312857E-18</v>
      </c>
      <c r="AF132" s="100">
        <v>3.4710929163312857E-18</v>
      </c>
      <c r="AG132" s="100">
        <v>3.4710929163312857E-18</v>
      </c>
      <c r="AH132" s="100">
        <v>3.4710929163312857E-18</v>
      </c>
      <c r="AI132" s="100">
        <v>2.8925774302760718E-18</v>
      </c>
      <c r="AJ132" s="100">
        <v>2.8925774302760718E-18</v>
      </c>
      <c r="AK132" s="100">
        <v>2.8925774302760718E-18</v>
      </c>
      <c r="AL132" s="100">
        <v>2.8925774302760718E-18</v>
      </c>
      <c r="AM132" s="100">
        <v>2.3140619442208575E-18</v>
      </c>
      <c r="AN132" s="100">
        <v>2.3140619442208575E-18</v>
      </c>
      <c r="AO132" s="100">
        <v>2.3140619442208575E-18</v>
      </c>
      <c r="AP132" s="100">
        <v>2.3140619442208575E-18</v>
      </c>
      <c r="AQ132" s="100">
        <v>2.8925774302760718E-18</v>
      </c>
      <c r="AR132" s="100">
        <v>2.8925774302760718E-18</v>
      </c>
      <c r="AS132" s="100">
        <v>2.8925774302760718E-18</v>
      </c>
      <c r="AT132" s="100">
        <v>2.8925774302760718E-18</v>
      </c>
      <c r="AU132" s="100">
        <v>3.4710929163312857E-18</v>
      </c>
      <c r="AV132" s="100">
        <v>3.4710929163312857E-18</v>
      </c>
      <c r="AW132" s="100">
        <v>3.4710929163312857E-18</v>
      </c>
      <c r="AX132" s="100">
        <v>3.4710929163312857E-18</v>
      </c>
    </row>
    <row r="133" spans="2:50">
      <c r="B133" s="100" t="s">
        <v>278</v>
      </c>
      <c r="C133" s="105">
        <f>SUM(C$128:C$132)</f>
        <v>1.6919939021902908E-17</v>
      </c>
      <c r="D133" s="105">
        <f t="shared" ref="D133:AX133" si="10">SUM(D$128:D$132)</f>
        <v>1.6919939021902908E-17</v>
      </c>
      <c r="E133" s="105">
        <f t="shared" si="10"/>
        <v>1.6919939021902908E-17</v>
      </c>
      <c r="F133" s="105">
        <f t="shared" si="10"/>
        <v>1.6919939021902908E-17</v>
      </c>
      <c r="G133" s="105">
        <f t="shared" si="10"/>
        <v>1.409994918491909E-17</v>
      </c>
      <c r="H133" s="105">
        <f t="shared" si="10"/>
        <v>1.409994918491909E-17</v>
      </c>
      <c r="I133" s="105">
        <f t="shared" si="10"/>
        <v>1.409994918491909E-17</v>
      </c>
      <c r="J133" s="105">
        <f t="shared" si="10"/>
        <v>1.409994918491909E-17</v>
      </c>
      <c r="K133" s="105">
        <f t="shared" si="10"/>
        <v>1.409994918491909E-17</v>
      </c>
      <c r="L133" s="105">
        <f t="shared" si="10"/>
        <v>1.409994918491909E-17</v>
      </c>
      <c r="M133" s="105">
        <f t="shared" si="10"/>
        <v>1.409994918491909E-17</v>
      </c>
      <c r="N133" s="105">
        <f t="shared" si="10"/>
        <v>1.409994918491909E-17</v>
      </c>
      <c r="O133" s="105">
        <f t="shared" si="10"/>
        <v>1.6919939021902908E-17</v>
      </c>
      <c r="P133" s="105">
        <f t="shared" si="10"/>
        <v>1.6919939021902908E-17</v>
      </c>
      <c r="Q133" s="105">
        <f t="shared" si="10"/>
        <v>1.6919939021902908E-17</v>
      </c>
      <c r="R133" s="105">
        <f t="shared" si="10"/>
        <v>1.6919939021902908E-17</v>
      </c>
      <c r="S133" s="105">
        <f t="shared" si="10"/>
        <v>1.409994918491909E-17</v>
      </c>
      <c r="T133" s="105">
        <f t="shared" si="10"/>
        <v>1.409994918491909E-17</v>
      </c>
      <c r="U133" s="105">
        <f t="shared" si="10"/>
        <v>1.409994918491909E-17</v>
      </c>
      <c r="V133" s="105">
        <f t="shared" si="10"/>
        <v>1.409994918491909E-17</v>
      </c>
      <c r="W133" s="105">
        <f t="shared" si="10"/>
        <v>1.409994918491909E-17</v>
      </c>
      <c r="X133" s="105">
        <f t="shared" si="10"/>
        <v>1.409994918491909E-17</v>
      </c>
      <c r="Y133" s="105">
        <f t="shared" si="10"/>
        <v>1.409994918491909E-17</v>
      </c>
      <c r="Z133" s="105">
        <f t="shared" si="10"/>
        <v>1.409994918491909E-17</v>
      </c>
      <c r="AA133" s="105">
        <f t="shared" si="10"/>
        <v>1.409994918491909E-17</v>
      </c>
      <c r="AB133" s="105">
        <f t="shared" si="10"/>
        <v>1.409994918491909E-17</v>
      </c>
      <c r="AC133" s="105">
        <f t="shared" si="10"/>
        <v>1.409994918491909E-17</v>
      </c>
      <c r="AD133" s="105">
        <f t="shared" si="10"/>
        <v>1.409994918491909E-17</v>
      </c>
      <c r="AE133" s="105">
        <f t="shared" si="10"/>
        <v>1.6919939021902908E-17</v>
      </c>
      <c r="AF133" s="105">
        <f t="shared" si="10"/>
        <v>1.6919939021902908E-17</v>
      </c>
      <c r="AG133" s="105">
        <f t="shared" si="10"/>
        <v>1.6919939021902908E-17</v>
      </c>
      <c r="AH133" s="105">
        <f t="shared" si="10"/>
        <v>1.6919939021902908E-17</v>
      </c>
      <c r="AI133" s="105">
        <f t="shared" si="10"/>
        <v>1.409994918491909E-17</v>
      </c>
      <c r="AJ133" s="105">
        <f t="shared" si="10"/>
        <v>1.409994918491909E-17</v>
      </c>
      <c r="AK133" s="105">
        <f t="shared" si="10"/>
        <v>1.409994918491909E-17</v>
      </c>
      <c r="AL133" s="105">
        <f t="shared" si="10"/>
        <v>1.409994918491909E-17</v>
      </c>
      <c r="AM133" s="105">
        <f t="shared" si="10"/>
        <v>1.1279959347935273E-17</v>
      </c>
      <c r="AN133" s="105">
        <f t="shared" si="10"/>
        <v>1.1279959347935273E-17</v>
      </c>
      <c r="AO133" s="105">
        <f t="shared" si="10"/>
        <v>1.1279959347935273E-17</v>
      </c>
      <c r="AP133" s="105">
        <f t="shared" si="10"/>
        <v>1.1279959347935273E-17</v>
      </c>
      <c r="AQ133" s="105">
        <f t="shared" si="10"/>
        <v>1.409994918491909E-17</v>
      </c>
      <c r="AR133" s="105">
        <f t="shared" si="10"/>
        <v>1.409994918491909E-17</v>
      </c>
      <c r="AS133" s="105">
        <f t="shared" si="10"/>
        <v>1.409994918491909E-17</v>
      </c>
      <c r="AT133" s="105">
        <f t="shared" si="10"/>
        <v>1.409994918491909E-17</v>
      </c>
      <c r="AU133" s="105">
        <f t="shared" si="10"/>
        <v>1.6919939021902908E-17</v>
      </c>
      <c r="AV133" s="105">
        <f t="shared" si="10"/>
        <v>1.6919939021902908E-17</v>
      </c>
      <c r="AW133" s="105">
        <f t="shared" si="10"/>
        <v>1.6919939021902908E-17</v>
      </c>
      <c r="AX133" s="105">
        <f t="shared" si="10"/>
        <v>1.6919939021902908E-17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100" customWidth="1"/>
    <col min="2" max="2" width="17.6640625" style="100" customWidth="1"/>
    <col min="3" max="51" width="8.83203125" style="100"/>
    <col min="52" max="52" width="10.6640625" style="100" customWidth="1"/>
    <col min="53" max="16384" width="8.83203125" style="100"/>
  </cols>
  <sheetData>
    <row r="1" spans="1:52">
      <c r="A1" s="102" t="s">
        <v>118</v>
      </c>
    </row>
    <row r="2" spans="1:52">
      <c r="A2" s="100" t="s">
        <v>303</v>
      </c>
      <c r="B2" s="107" t="s">
        <v>10</v>
      </c>
      <c r="E2" s="110"/>
    </row>
    <row r="3" spans="1:52">
      <c r="A3" s="100" t="s">
        <v>286</v>
      </c>
      <c r="B3" s="107">
        <v>600</v>
      </c>
      <c r="E3" s="110"/>
    </row>
    <row r="4" spans="1:52">
      <c r="A4" s="102"/>
      <c r="C4" s="111" t="s">
        <v>287</v>
      </c>
    </row>
    <row r="5" spans="1:52">
      <c r="B5" s="106"/>
      <c r="C5" s="112">
        <v>0</v>
      </c>
      <c r="D5" s="112">
        <v>1</v>
      </c>
      <c r="E5" s="112">
        <v>2</v>
      </c>
      <c r="F5" s="112">
        <v>3</v>
      </c>
      <c r="G5" s="112">
        <v>4</v>
      </c>
      <c r="H5" s="112">
        <v>5</v>
      </c>
      <c r="I5" s="112">
        <v>6</v>
      </c>
      <c r="J5" s="112">
        <v>7</v>
      </c>
      <c r="K5" s="112">
        <v>8</v>
      </c>
      <c r="L5" s="112">
        <v>9</v>
      </c>
      <c r="M5" s="112">
        <v>10</v>
      </c>
      <c r="N5" s="112">
        <v>11</v>
      </c>
      <c r="O5" s="112">
        <v>12</v>
      </c>
      <c r="P5" s="112">
        <v>13</v>
      </c>
      <c r="Q5" s="112">
        <v>14</v>
      </c>
      <c r="R5" s="112">
        <v>15</v>
      </c>
      <c r="S5" s="112">
        <v>16</v>
      </c>
      <c r="T5" s="112">
        <v>17</v>
      </c>
      <c r="U5" s="112">
        <v>18</v>
      </c>
      <c r="V5" s="112">
        <v>19</v>
      </c>
      <c r="W5" s="112">
        <v>20</v>
      </c>
      <c r="X5" s="112">
        <v>21</v>
      </c>
      <c r="Y5" s="112">
        <v>22</v>
      </c>
      <c r="Z5" s="112">
        <v>23</v>
      </c>
      <c r="AA5" s="112">
        <v>24</v>
      </c>
      <c r="AB5" s="112">
        <v>25</v>
      </c>
      <c r="AC5" s="112">
        <v>26</v>
      </c>
      <c r="AD5" s="112">
        <v>27</v>
      </c>
      <c r="AE5" s="112">
        <v>28</v>
      </c>
      <c r="AF5" s="112">
        <v>29</v>
      </c>
      <c r="AG5" s="112">
        <v>30</v>
      </c>
      <c r="AH5" s="112">
        <v>31</v>
      </c>
      <c r="AI5" s="112">
        <v>32</v>
      </c>
      <c r="AJ5" s="112">
        <v>33</v>
      </c>
      <c r="AK5" s="112">
        <v>34</v>
      </c>
      <c r="AL5" s="112">
        <v>35</v>
      </c>
      <c r="AM5" s="112">
        <v>36</v>
      </c>
      <c r="AN5" s="112">
        <v>37</v>
      </c>
      <c r="AO5" s="112">
        <v>38</v>
      </c>
      <c r="AP5" s="112">
        <v>39</v>
      </c>
      <c r="AQ5" s="112">
        <v>40</v>
      </c>
      <c r="AR5" s="112">
        <v>41</v>
      </c>
      <c r="AS5" s="112">
        <v>42</v>
      </c>
      <c r="AT5" s="112">
        <v>43</v>
      </c>
      <c r="AU5" s="112">
        <v>44</v>
      </c>
      <c r="AV5" s="112">
        <v>45</v>
      </c>
      <c r="AW5" s="112">
        <v>46</v>
      </c>
      <c r="AX5" s="112">
        <v>47</v>
      </c>
      <c r="AY5" s="112">
        <v>48</v>
      </c>
    </row>
    <row r="6" spans="1:52">
      <c r="A6" s="102" t="s">
        <v>304</v>
      </c>
      <c r="B6" s="114"/>
      <c r="C6" s="113" t="s">
        <v>288</v>
      </c>
      <c r="D6" s="112" t="s">
        <v>289</v>
      </c>
      <c r="E6" s="112" t="s">
        <v>289</v>
      </c>
      <c r="F6" s="112" t="s">
        <v>289</v>
      </c>
      <c r="G6" s="112" t="s">
        <v>289</v>
      </c>
      <c r="H6" s="112" t="s">
        <v>289</v>
      </c>
      <c r="I6" s="112" t="s">
        <v>289</v>
      </c>
      <c r="J6" s="112" t="s">
        <v>289</v>
      </c>
      <c r="K6" s="112" t="s">
        <v>289</v>
      </c>
      <c r="L6" s="112" t="s">
        <v>289</v>
      </c>
      <c r="M6" s="112" t="s">
        <v>289</v>
      </c>
      <c r="N6" s="112" t="s">
        <v>289</v>
      </c>
      <c r="O6" s="112" t="s">
        <v>289</v>
      </c>
      <c r="P6" s="112" t="s">
        <v>289</v>
      </c>
      <c r="Q6" s="112" t="s">
        <v>289</v>
      </c>
      <c r="R6" s="112" t="s">
        <v>289</v>
      </c>
      <c r="S6" s="112" t="s">
        <v>289</v>
      </c>
      <c r="T6" s="112" t="s">
        <v>289</v>
      </c>
      <c r="U6" s="112" t="s">
        <v>289</v>
      </c>
      <c r="V6" s="112" t="s">
        <v>289</v>
      </c>
      <c r="W6" s="112" t="s">
        <v>289</v>
      </c>
      <c r="X6" s="112" t="s">
        <v>289</v>
      </c>
      <c r="Y6" s="112" t="s">
        <v>289</v>
      </c>
      <c r="Z6" s="112" t="s">
        <v>289</v>
      </c>
      <c r="AA6" s="112" t="s">
        <v>289</v>
      </c>
      <c r="AB6" s="112" t="s">
        <v>289</v>
      </c>
      <c r="AC6" s="112" t="s">
        <v>289</v>
      </c>
      <c r="AD6" s="112" t="s">
        <v>289</v>
      </c>
      <c r="AE6" s="112" t="s">
        <v>289</v>
      </c>
      <c r="AF6" s="112" t="s">
        <v>289</v>
      </c>
      <c r="AG6" s="112" t="s">
        <v>289</v>
      </c>
      <c r="AH6" s="112" t="s">
        <v>289</v>
      </c>
      <c r="AI6" s="112" t="s">
        <v>289</v>
      </c>
      <c r="AJ6" s="112" t="s">
        <v>289</v>
      </c>
      <c r="AK6" s="112" t="s">
        <v>289</v>
      </c>
      <c r="AL6" s="112" t="s">
        <v>289</v>
      </c>
      <c r="AM6" s="112" t="s">
        <v>289</v>
      </c>
      <c r="AN6" s="112" t="s">
        <v>289</v>
      </c>
      <c r="AO6" s="112" t="s">
        <v>289</v>
      </c>
      <c r="AP6" s="112" t="s">
        <v>289</v>
      </c>
      <c r="AQ6" s="112" t="s">
        <v>289</v>
      </c>
      <c r="AR6" s="112" t="s">
        <v>289</v>
      </c>
      <c r="AS6" s="112" t="s">
        <v>289</v>
      </c>
      <c r="AT6" s="112" t="s">
        <v>289</v>
      </c>
      <c r="AU6" s="112" t="s">
        <v>289</v>
      </c>
      <c r="AV6" s="112" t="s">
        <v>289</v>
      </c>
      <c r="AW6" s="112" t="s">
        <v>289</v>
      </c>
      <c r="AX6" s="112" t="s">
        <v>289</v>
      </c>
      <c r="AY6" s="111" t="s">
        <v>290</v>
      </c>
      <c r="AZ6" s="142" t="s">
        <v>150</v>
      </c>
    </row>
    <row r="7" spans="1:52">
      <c r="A7" s="115" t="s">
        <v>125</v>
      </c>
      <c r="B7" s="143">
        <v>1</v>
      </c>
      <c r="C7" s="144" t="s">
        <v>293</v>
      </c>
      <c r="D7" s="144">
        <v>600.00000000000341</v>
      </c>
      <c r="E7" s="144">
        <v>600.00000000000341</v>
      </c>
      <c r="F7" s="144">
        <v>600.00000000000341</v>
      </c>
      <c r="G7" s="144">
        <v>600.00000000000341</v>
      </c>
      <c r="H7" s="144">
        <v>600.00000000000341</v>
      </c>
      <c r="I7" s="144">
        <v>600.00000000000341</v>
      </c>
      <c r="J7" s="144">
        <v>600.00000000000341</v>
      </c>
      <c r="K7" s="144">
        <v>600.00000000000341</v>
      </c>
      <c r="L7" s="144">
        <v>600.00000000000341</v>
      </c>
      <c r="M7" s="144">
        <v>600.00000000000341</v>
      </c>
      <c r="N7" s="144">
        <v>600.00000000000341</v>
      </c>
      <c r="O7" s="144">
        <v>600.00000000000341</v>
      </c>
      <c r="P7" s="144">
        <v>600.00000000000341</v>
      </c>
      <c r="Q7" s="144">
        <v>600.00000000000341</v>
      </c>
      <c r="R7" s="144">
        <v>600.00000000000341</v>
      </c>
      <c r="S7" s="144">
        <v>600.00000000000341</v>
      </c>
      <c r="T7" s="144">
        <v>600.00000000000341</v>
      </c>
      <c r="U7" s="144">
        <v>600.00000000000341</v>
      </c>
      <c r="V7" s="144">
        <v>600.00000000000341</v>
      </c>
      <c r="W7" s="144">
        <v>600.00000000000341</v>
      </c>
      <c r="X7" s="144">
        <v>600.00000000000341</v>
      </c>
      <c r="Y7" s="144">
        <v>600.00000000000341</v>
      </c>
      <c r="Z7" s="144">
        <v>600.00000000000341</v>
      </c>
      <c r="AA7" s="144">
        <v>600.00000000000341</v>
      </c>
      <c r="AB7" s="144">
        <v>600.00000000000341</v>
      </c>
      <c r="AC7" s="144">
        <v>600.00000000000341</v>
      </c>
      <c r="AD7" s="144">
        <v>600.00000000000341</v>
      </c>
      <c r="AE7" s="144">
        <v>600.00000000000341</v>
      </c>
      <c r="AF7" s="144">
        <v>600.00000000000341</v>
      </c>
      <c r="AG7" s="144">
        <v>600.00000000000341</v>
      </c>
      <c r="AH7" s="144">
        <v>600.00000000000341</v>
      </c>
      <c r="AI7" s="144">
        <v>600.00000000000341</v>
      </c>
      <c r="AJ7" s="144">
        <v>600.00000000000341</v>
      </c>
      <c r="AK7" s="144">
        <v>600.00000000000341</v>
      </c>
      <c r="AL7" s="144">
        <v>600.00000000000341</v>
      </c>
      <c r="AM7" s="144">
        <v>600.00000000000341</v>
      </c>
      <c r="AN7" s="144">
        <v>600.00000000000341</v>
      </c>
      <c r="AO7" s="144">
        <v>600.00000000000341</v>
      </c>
      <c r="AP7" s="144">
        <v>600.00000000000341</v>
      </c>
      <c r="AQ7" s="144">
        <v>600.00000000000341</v>
      </c>
      <c r="AR7" s="144">
        <v>600.00000000000341</v>
      </c>
      <c r="AS7" s="144">
        <v>600.00000000000341</v>
      </c>
      <c r="AT7" s="144">
        <v>600.00000000000341</v>
      </c>
      <c r="AU7" s="144">
        <v>600.00000000000341</v>
      </c>
      <c r="AV7" s="144">
        <v>600.00000000000341</v>
      </c>
      <c r="AW7" s="144">
        <v>600.00000000000341</v>
      </c>
      <c r="AX7" s="144">
        <v>600.00000000000341</v>
      </c>
      <c r="AY7" s="144">
        <v>600.00000000000341</v>
      </c>
      <c r="AZ7" s="106"/>
    </row>
    <row r="8" spans="1:52">
      <c r="A8" s="145"/>
      <c r="B8" s="146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7"/>
    </row>
    <row r="9" spans="1:52">
      <c r="A9" s="102" t="s">
        <v>294</v>
      </c>
      <c r="B9" s="148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</row>
    <row r="10" spans="1:52">
      <c r="A10" s="149" t="s">
        <v>125</v>
      </c>
      <c r="B10" s="150">
        <v>1</v>
      </c>
      <c r="C10" s="144" t="s">
        <v>293</v>
      </c>
      <c r="D10" s="144">
        <f t="shared" ref="D10:AY10" si="0">MAX(SUM(D$14:D$16)+D$7-$B$3,0)</f>
        <v>3.4106051316484809E-12</v>
      </c>
      <c r="E10" s="144">
        <f t="shared" si="0"/>
        <v>3.4106051316484809E-12</v>
      </c>
      <c r="F10" s="144">
        <f t="shared" si="0"/>
        <v>3.4106051316484809E-12</v>
      </c>
      <c r="G10" s="144">
        <f t="shared" si="0"/>
        <v>3.4106051316484809E-12</v>
      </c>
      <c r="H10" s="144">
        <f t="shared" si="0"/>
        <v>3.4106051316484809E-12</v>
      </c>
      <c r="I10" s="144">
        <f t="shared" si="0"/>
        <v>3.4106051316484809E-12</v>
      </c>
      <c r="J10" s="144">
        <f t="shared" si="0"/>
        <v>3.4106051316484809E-12</v>
      </c>
      <c r="K10" s="144">
        <f t="shared" si="0"/>
        <v>3.4106051316484809E-12</v>
      </c>
      <c r="L10" s="144">
        <f t="shared" si="0"/>
        <v>3.4106051316484809E-12</v>
      </c>
      <c r="M10" s="144">
        <f t="shared" si="0"/>
        <v>3.4106051316484809E-12</v>
      </c>
      <c r="N10" s="144">
        <f t="shared" si="0"/>
        <v>3.4106051316484809E-12</v>
      </c>
      <c r="O10" s="144">
        <f t="shared" si="0"/>
        <v>3.4106051316484809E-12</v>
      </c>
      <c r="P10" s="144">
        <f t="shared" si="0"/>
        <v>3.4106051316484809E-12</v>
      </c>
      <c r="Q10" s="144">
        <f t="shared" si="0"/>
        <v>3.4106051316484809E-12</v>
      </c>
      <c r="R10" s="144">
        <f t="shared" si="0"/>
        <v>3.4106051316484809E-12</v>
      </c>
      <c r="S10" s="144">
        <f t="shared" si="0"/>
        <v>3.4106051316484809E-12</v>
      </c>
      <c r="T10" s="144">
        <f t="shared" si="0"/>
        <v>3.4106051316484809E-12</v>
      </c>
      <c r="U10" s="144">
        <f t="shared" si="0"/>
        <v>3.4106051316484809E-12</v>
      </c>
      <c r="V10" s="144">
        <f t="shared" si="0"/>
        <v>3.4106051316484809E-12</v>
      </c>
      <c r="W10" s="144">
        <f t="shared" si="0"/>
        <v>3.4106051316484809E-12</v>
      </c>
      <c r="X10" s="144">
        <f t="shared" si="0"/>
        <v>3.4106051316484809E-12</v>
      </c>
      <c r="Y10" s="144">
        <f t="shared" si="0"/>
        <v>3.4106051316484809E-12</v>
      </c>
      <c r="Z10" s="144">
        <f t="shared" si="0"/>
        <v>3.4106051316484809E-12</v>
      </c>
      <c r="AA10" s="144">
        <f t="shared" si="0"/>
        <v>3.4106051316484809E-12</v>
      </c>
      <c r="AB10" s="144">
        <f t="shared" si="0"/>
        <v>3.4106051316484809E-12</v>
      </c>
      <c r="AC10" s="144">
        <f t="shared" si="0"/>
        <v>3.4106051316484809E-12</v>
      </c>
      <c r="AD10" s="144">
        <f t="shared" si="0"/>
        <v>3.4106051316484809E-12</v>
      </c>
      <c r="AE10" s="144">
        <f t="shared" si="0"/>
        <v>3.4106051316484809E-12</v>
      </c>
      <c r="AF10" s="144">
        <f t="shared" si="0"/>
        <v>3.4106051316484809E-12</v>
      </c>
      <c r="AG10" s="144">
        <f t="shared" si="0"/>
        <v>3.4106051316484809E-12</v>
      </c>
      <c r="AH10" s="144">
        <f t="shared" si="0"/>
        <v>3.4106051316484809E-12</v>
      </c>
      <c r="AI10" s="144">
        <f t="shared" si="0"/>
        <v>3.4106051316484809E-12</v>
      </c>
      <c r="AJ10" s="144">
        <f t="shared" si="0"/>
        <v>3.4106051316484809E-12</v>
      </c>
      <c r="AK10" s="144">
        <f t="shared" si="0"/>
        <v>3.4106051316484809E-12</v>
      </c>
      <c r="AL10" s="144">
        <f t="shared" si="0"/>
        <v>3.4106051316484809E-12</v>
      </c>
      <c r="AM10" s="144">
        <f t="shared" si="0"/>
        <v>3.4106051316484809E-12</v>
      </c>
      <c r="AN10" s="144">
        <f t="shared" si="0"/>
        <v>3.4106051316484809E-12</v>
      </c>
      <c r="AO10" s="144">
        <f t="shared" si="0"/>
        <v>3.4106051316484809E-12</v>
      </c>
      <c r="AP10" s="144">
        <f t="shared" si="0"/>
        <v>3.4106051316484809E-12</v>
      </c>
      <c r="AQ10" s="144">
        <f t="shared" si="0"/>
        <v>3.4106051316484809E-12</v>
      </c>
      <c r="AR10" s="144">
        <f t="shared" si="0"/>
        <v>3.4106051316484809E-12</v>
      </c>
      <c r="AS10" s="144">
        <f t="shared" si="0"/>
        <v>3.4106051316484809E-12</v>
      </c>
      <c r="AT10" s="144">
        <f t="shared" si="0"/>
        <v>600.00000000000341</v>
      </c>
      <c r="AU10" s="144">
        <f t="shared" si="0"/>
        <v>3.4106051316484809E-12</v>
      </c>
      <c r="AV10" s="144">
        <f t="shared" si="0"/>
        <v>3.4106051316484809E-12</v>
      </c>
      <c r="AW10" s="144">
        <f t="shared" si="0"/>
        <v>3.4106051316484809E-12</v>
      </c>
      <c r="AX10" s="144">
        <f t="shared" si="0"/>
        <v>3.4106051316484809E-12</v>
      </c>
      <c r="AY10" s="144">
        <f t="shared" si="0"/>
        <v>3.4106051316484809E-12</v>
      </c>
      <c r="AZ10" s="151">
        <f>SUM($D10:$AY10)</f>
        <v>600.00000000016371</v>
      </c>
    </row>
    <row r="11" spans="1:52">
      <c r="C11" s="110"/>
    </row>
    <row r="12" spans="1:52">
      <c r="A12" s="152" t="s">
        <v>295</v>
      </c>
      <c r="B12" s="146"/>
      <c r="C12" s="110"/>
    </row>
    <row r="13" spans="1:52">
      <c r="A13" s="122" t="s">
        <v>125</v>
      </c>
      <c r="B13" s="123">
        <v>1</v>
      </c>
      <c r="C13" s="124">
        <v>250.61518843466047</v>
      </c>
      <c r="D13" s="138">
        <f t="shared" ref="D13:AY13" si="1">D$7-D$10</f>
        <v>600</v>
      </c>
      <c r="E13" s="138">
        <f t="shared" si="1"/>
        <v>600</v>
      </c>
      <c r="F13" s="138">
        <f t="shared" si="1"/>
        <v>600</v>
      </c>
      <c r="G13" s="138">
        <f t="shared" si="1"/>
        <v>600</v>
      </c>
      <c r="H13" s="138">
        <f t="shared" si="1"/>
        <v>600</v>
      </c>
      <c r="I13" s="138">
        <f t="shared" si="1"/>
        <v>600</v>
      </c>
      <c r="J13" s="138">
        <f t="shared" si="1"/>
        <v>600</v>
      </c>
      <c r="K13" s="138">
        <f t="shared" si="1"/>
        <v>600</v>
      </c>
      <c r="L13" s="138">
        <f t="shared" si="1"/>
        <v>600</v>
      </c>
      <c r="M13" s="138">
        <f t="shared" si="1"/>
        <v>600</v>
      </c>
      <c r="N13" s="138">
        <f t="shared" si="1"/>
        <v>600</v>
      </c>
      <c r="O13" s="138">
        <f t="shared" si="1"/>
        <v>600</v>
      </c>
      <c r="P13" s="138">
        <f t="shared" si="1"/>
        <v>600</v>
      </c>
      <c r="Q13" s="138">
        <f t="shared" si="1"/>
        <v>600</v>
      </c>
      <c r="R13" s="138">
        <f t="shared" si="1"/>
        <v>600</v>
      </c>
      <c r="S13" s="138">
        <f t="shared" si="1"/>
        <v>600</v>
      </c>
      <c r="T13" s="138">
        <f t="shared" si="1"/>
        <v>600</v>
      </c>
      <c r="U13" s="138">
        <f t="shared" si="1"/>
        <v>600</v>
      </c>
      <c r="V13" s="138">
        <f t="shared" si="1"/>
        <v>600</v>
      </c>
      <c r="W13" s="138">
        <f t="shared" si="1"/>
        <v>600</v>
      </c>
      <c r="X13" s="138">
        <f t="shared" si="1"/>
        <v>600</v>
      </c>
      <c r="Y13" s="138">
        <f t="shared" si="1"/>
        <v>600</v>
      </c>
      <c r="Z13" s="138">
        <f t="shared" si="1"/>
        <v>600</v>
      </c>
      <c r="AA13" s="138">
        <f t="shared" si="1"/>
        <v>600</v>
      </c>
      <c r="AB13" s="138">
        <f t="shared" si="1"/>
        <v>600</v>
      </c>
      <c r="AC13" s="138">
        <f t="shared" si="1"/>
        <v>600</v>
      </c>
      <c r="AD13" s="138">
        <f t="shared" si="1"/>
        <v>600</v>
      </c>
      <c r="AE13" s="138">
        <f t="shared" si="1"/>
        <v>600</v>
      </c>
      <c r="AF13" s="138">
        <f t="shared" si="1"/>
        <v>600</v>
      </c>
      <c r="AG13" s="138">
        <f t="shared" si="1"/>
        <v>600</v>
      </c>
      <c r="AH13" s="138">
        <f t="shared" si="1"/>
        <v>600</v>
      </c>
      <c r="AI13" s="138">
        <f t="shared" si="1"/>
        <v>600</v>
      </c>
      <c r="AJ13" s="138">
        <f t="shared" si="1"/>
        <v>600</v>
      </c>
      <c r="AK13" s="138">
        <f t="shared" si="1"/>
        <v>600</v>
      </c>
      <c r="AL13" s="138">
        <f t="shared" si="1"/>
        <v>600</v>
      </c>
      <c r="AM13" s="138">
        <f t="shared" si="1"/>
        <v>600</v>
      </c>
      <c r="AN13" s="138">
        <f t="shared" si="1"/>
        <v>600</v>
      </c>
      <c r="AO13" s="138">
        <f t="shared" si="1"/>
        <v>600</v>
      </c>
      <c r="AP13" s="138">
        <f t="shared" si="1"/>
        <v>600</v>
      </c>
      <c r="AQ13" s="138">
        <f t="shared" si="1"/>
        <v>600</v>
      </c>
      <c r="AR13" s="138">
        <f t="shared" si="1"/>
        <v>600</v>
      </c>
      <c r="AS13" s="138">
        <f t="shared" si="1"/>
        <v>600</v>
      </c>
      <c r="AT13" s="138">
        <f t="shared" si="1"/>
        <v>0</v>
      </c>
      <c r="AU13" s="138">
        <f t="shared" si="1"/>
        <v>600</v>
      </c>
      <c r="AV13" s="138">
        <f t="shared" si="1"/>
        <v>600</v>
      </c>
      <c r="AW13" s="138">
        <f t="shared" si="1"/>
        <v>600</v>
      </c>
      <c r="AX13" s="138">
        <f t="shared" si="1"/>
        <v>600</v>
      </c>
      <c r="AY13" s="138">
        <f t="shared" si="1"/>
        <v>600</v>
      </c>
      <c r="AZ13" s="109"/>
    </row>
    <row r="14" spans="1:52">
      <c r="A14" s="110"/>
      <c r="B14" s="120">
        <v>2</v>
      </c>
      <c r="C14" s="110">
        <v>0</v>
      </c>
      <c r="D14" s="106">
        <f>IF(C$20="Yes",C13,0)</f>
        <v>0</v>
      </c>
      <c r="E14" s="106">
        <f t="shared" ref="E14:AY17" si="2">IF(D$20="Yes",D13,0)</f>
        <v>0</v>
      </c>
      <c r="F14" s="106">
        <f t="shared" si="2"/>
        <v>0</v>
      </c>
      <c r="G14" s="106">
        <f t="shared" si="2"/>
        <v>0</v>
      </c>
      <c r="H14" s="106">
        <f t="shared" si="2"/>
        <v>0</v>
      </c>
      <c r="I14" s="106">
        <f t="shared" si="2"/>
        <v>0</v>
      </c>
      <c r="J14" s="106">
        <f t="shared" si="2"/>
        <v>0</v>
      </c>
      <c r="K14" s="106">
        <f t="shared" si="2"/>
        <v>0</v>
      </c>
      <c r="L14" s="106">
        <f t="shared" si="2"/>
        <v>0</v>
      </c>
      <c r="M14" s="106">
        <f t="shared" si="2"/>
        <v>0</v>
      </c>
      <c r="N14" s="106">
        <f t="shared" si="2"/>
        <v>0</v>
      </c>
      <c r="O14" s="106">
        <f t="shared" si="2"/>
        <v>0</v>
      </c>
      <c r="P14" s="106">
        <f t="shared" si="2"/>
        <v>0</v>
      </c>
      <c r="Q14" s="106">
        <f t="shared" si="2"/>
        <v>0</v>
      </c>
      <c r="R14" s="106">
        <f t="shared" si="2"/>
        <v>0</v>
      </c>
      <c r="S14" s="106">
        <f t="shared" si="2"/>
        <v>0</v>
      </c>
      <c r="T14" s="106">
        <f t="shared" si="2"/>
        <v>0</v>
      </c>
      <c r="U14" s="106">
        <f t="shared" si="2"/>
        <v>0</v>
      </c>
      <c r="V14" s="106">
        <f t="shared" si="2"/>
        <v>0</v>
      </c>
      <c r="W14" s="106">
        <f t="shared" si="2"/>
        <v>0</v>
      </c>
      <c r="X14" s="106">
        <f t="shared" si="2"/>
        <v>0</v>
      </c>
      <c r="Y14" s="106">
        <f t="shared" si="2"/>
        <v>0</v>
      </c>
      <c r="Z14" s="106">
        <f t="shared" si="2"/>
        <v>0</v>
      </c>
      <c r="AA14" s="106">
        <f t="shared" si="2"/>
        <v>0</v>
      </c>
      <c r="AB14" s="106">
        <f t="shared" si="2"/>
        <v>0</v>
      </c>
      <c r="AC14" s="106">
        <f t="shared" si="2"/>
        <v>0</v>
      </c>
      <c r="AD14" s="106">
        <f t="shared" si="2"/>
        <v>0</v>
      </c>
      <c r="AE14" s="106">
        <f t="shared" si="2"/>
        <v>0</v>
      </c>
      <c r="AF14" s="106">
        <f t="shared" si="2"/>
        <v>0</v>
      </c>
      <c r="AG14" s="106">
        <f t="shared" si="2"/>
        <v>0</v>
      </c>
      <c r="AH14" s="106">
        <f t="shared" si="2"/>
        <v>0</v>
      </c>
      <c r="AI14" s="106">
        <f t="shared" si="2"/>
        <v>0</v>
      </c>
      <c r="AJ14" s="106">
        <f t="shared" si="2"/>
        <v>0</v>
      </c>
      <c r="AK14" s="106">
        <f t="shared" si="2"/>
        <v>0</v>
      </c>
      <c r="AL14" s="106">
        <f t="shared" si="2"/>
        <v>0</v>
      </c>
      <c r="AM14" s="106">
        <f t="shared" si="2"/>
        <v>0</v>
      </c>
      <c r="AN14" s="106">
        <f t="shared" si="2"/>
        <v>0</v>
      </c>
      <c r="AO14" s="106">
        <f t="shared" si="2"/>
        <v>0</v>
      </c>
      <c r="AP14" s="106">
        <f t="shared" si="2"/>
        <v>0</v>
      </c>
      <c r="AQ14" s="106">
        <f t="shared" si="2"/>
        <v>0</v>
      </c>
      <c r="AR14" s="106">
        <f t="shared" si="2"/>
        <v>0</v>
      </c>
      <c r="AS14" s="106">
        <f t="shared" si="2"/>
        <v>0</v>
      </c>
      <c r="AT14" s="106">
        <f t="shared" si="2"/>
        <v>600</v>
      </c>
      <c r="AU14" s="106">
        <f t="shared" si="2"/>
        <v>0</v>
      </c>
      <c r="AV14" s="106">
        <f t="shared" si="2"/>
        <v>0</v>
      </c>
      <c r="AW14" s="106">
        <f t="shared" si="2"/>
        <v>0</v>
      </c>
      <c r="AX14" s="106">
        <f t="shared" si="2"/>
        <v>0</v>
      </c>
      <c r="AY14" s="106">
        <f t="shared" si="2"/>
        <v>0</v>
      </c>
      <c r="AZ14" s="109"/>
    </row>
    <row r="15" spans="1:52">
      <c r="A15" s="110"/>
      <c r="B15" s="127">
        <v>3</v>
      </c>
      <c r="C15" s="110">
        <v>0</v>
      </c>
      <c r="D15" s="106">
        <f>IF(C$20="Yes",C14,0)</f>
        <v>0</v>
      </c>
      <c r="E15" s="106">
        <f t="shared" si="2"/>
        <v>0</v>
      </c>
      <c r="F15" s="106">
        <f t="shared" si="2"/>
        <v>0</v>
      </c>
      <c r="G15" s="106">
        <f t="shared" si="2"/>
        <v>0</v>
      </c>
      <c r="H15" s="106">
        <f t="shared" si="2"/>
        <v>0</v>
      </c>
      <c r="I15" s="106">
        <f t="shared" si="2"/>
        <v>0</v>
      </c>
      <c r="J15" s="106">
        <f t="shared" si="2"/>
        <v>0</v>
      </c>
      <c r="K15" s="106">
        <f t="shared" si="2"/>
        <v>0</v>
      </c>
      <c r="L15" s="106">
        <f t="shared" si="2"/>
        <v>0</v>
      </c>
      <c r="M15" s="106">
        <f t="shared" si="2"/>
        <v>0</v>
      </c>
      <c r="N15" s="106">
        <f t="shared" si="2"/>
        <v>0</v>
      </c>
      <c r="O15" s="106">
        <f t="shared" si="2"/>
        <v>0</v>
      </c>
      <c r="P15" s="106">
        <f t="shared" si="2"/>
        <v>0</v>
      </c>
      <c r="Q15" s="106">
        <f t="shared" si="2"/>
        <v>0</v>
      </c>
      <c r="R15" s="106">
        <f t="shared" si="2"/>
        <v>0</v>
      </c>
      <c r="S15" s="106">
        <f t="shared" si="2"/>
        <v>0</v>
      </c>
      <c r="T15" s="106">
        <f t="shared" si="2"/>
        <v>0</v>
      </c>
      <c r="U15" s="106">
        <f t="shared" si="2"/>
        <v>0</v>
      </c>
      <c r="V15" s="106">
        <f t="shared" si="2"/>
        <v>0</v>
      </c>
      <c r="W15" s="106">
        <f t="shared" si="2"/>
        <v>0</v>
      </c>
      <c r="X15" s="106">
        <f t="shared" si="2"/>
        <v>0</v>
      </c>
      <c r="Y15" s="106">
        <f t="shared" si="2"/>
        <v>0</v>
      </c>
      <c r="Z15" s="106">
        <f t="shared" si="2"/>
        <v>0</v>
      </c>
      <c r="AA15" s="106">
        <f t="shared" si="2"/>
        <v>0</v>
      </c>
      <c r="AB15" s="106">
        <f t="shared" si="2"/>
        <v>0</v>
      </c>
      <c r="AC15" s="106">
        <f t="shared" si="2"/>
        <v>0</v>
      </c>
      <c r="AD15" s="106">
        <f t="shared" si="2"/>
        <v>0</v>
      </c>
      <c r="AE15" s="106">
        <f t="shared" si="2"/>
        <v>0</v>
      </c>
      <c r="AF15" s="106">
        <f t="shared" si="2"/>
        <v>0</v>
      </c>
      <c r="AG15" s="106">
        <f t="shared" si="2"/>
        <v>0</v>
      </c>
      <c r="AH15" s="106">
        <f t="shared" si="2"/>
        <v>0</v>
      </c>
      <c r="AI15" s="106">
        <f t="shared" si="2"/>
        <v>0</v>
      </c>
      <c r="AJ15" s="106">
        <f t="shared" si="2"/>
        <v>0</v>
      </c>
      <c r="AK15" s="106">
        <f t="shared" si="2"/>
        <v>0</v>
      </c>
      <c r="AL15" s="106">
        <f t="shared" si="2"/>
        <v>0</v>
      </c>
      <c r="AM15" s="106">
        <f t="shared" si="2"/>
        <v>0</v>
      </c>
      <c r="AN15" s="106">
        <f t="shared" si="2"/>
        <v>0</v>
      </c>
      <c r="AO15" s="106">
        <f t="shared" si="2"/>
        <v>0</v>
      </c>
      <c r="AP15" s="106">
        <f t="shared" si="2"/>
        <v>0</v>
      </c>
      <c r="AQ15" s="106">
        <f t="shared" si="2"/>
        <v>0</v>
      </c>
      <c r="AR15" s="106">
        <f t="shared" si="2"/>
        <v>0</v>
      </c>
      <c r="AS15" s="106">
        <f t="shared" si="2"/>
        <v>0</v>
      </c>
      <c r="AT15" s="106">
        <f t="shared" si="2"/>
        <v>0</v>
      </c>
      <c r="AU15" s="106">
        <f t="shared" si="2"/>
        <v>0</v>
      </c>
      <c r="AV15" s="106">
        <f t="shared" si="2"/>
        <v>0</v>
      </c>
      <c r="AW15" s="106">
        <f t="shared" si="2"/>
        <v>0</v>
      </c>
      <c r="AX15" s="106">
        <f t="shared" si="2"/>
        <v>0</v>
      </c>
      <c r="AY15" s="106">
        <f t="shared" si="2"/>
        <v>0</v>
      </c>
      <c r="AZ15" s="109"/>
    </row>
    <row r="16" spans="1:52">
      <c r="A16" s="110"/>
      <c r="B16" s="130">
        <v>4</v>
      </c>
      <c r="C16" s="110">
        <v>0</v>
      </c>
      <c r="D16" s="106">
        <f>IF(C$20="Yes",C15,0)</f>
        <v>0</v>
      </c>
      <c r="E16" s="106">
        <f t="shared" si="2"/>
        <v>0</v>
      </c>
      <c r="F16" s="106">
        <f t="shared" si="2"/>
        <v>0</v>
      </c>
      <c r="G16" s="106">
        <f t="shared" si="2"/>
        <v>0</v>
      </c>
      <c r="H16" s="106">
        <f t="shared" si="2"/>
        <v>0</v>
      </c>
      <c r="I16" s="106">
        <f t="shared" si="2"/>
        <v>0</v>
      </c>
      <c r="J16" s="106">
        <f t="shared" si="2"/>
        <v>0</v>
      </c>
      <c r="K16" s="106">
        <f t="shared" si="2"/>
        <v>0</v>
      </c>
      <c r="L16" s="106">
        <f t="shared" si="2"/>
        <v>0</v>
      </c>
      <c r="M16" s="106">
        <f t="shared" si="2"/>
        <v>0</v>
      </c>
      <c r="N16" s="106">
        <f t="shared" si="2"/>
        <v>0</v>
      </c>
      <c r="O16" s="106">
        <f t="shared" si="2"/>
        <v>0</v>
      </c>
      <c r="P16" s="106">
        <f t="shared" si="2"/>
        <v>0</v>
      </c>
      <c r="Q16" s="106">
        <f t="shared" si="2"/>
        <v>0</v>
      </c>
      <c r="R16" s="106">
        <f t="shared" si="2"/>
        <v>0</v>
      </c>
      <c r="S16" s="106">
        <f t="shared" si="2"/>
        <v>0</v>
      </c>
      <c r="T16" s="106">
        <f t="shared" si="2"/>
        <v>0</v>
      </c>
      <c r="U16" s="106">
        <f t="shared" si="2"/>
        <v>0</v>
      </c>
      <c r="V16" s="106">
        <f t="shared" si="2"/>
        <v>0</v>
      </c>
      <c r="W16" s="106">
        <f t="shared" si="2"/>
        <v>0</v>
      </c>
      <c r="X16" s="106">
        <f t="shared" si="2"/>
        <v>0</v>
      </c>
      <c r="Y16" s="106">
        <f t="shared" si="2"/>
        <v>0</v>
      </c>
      <c r="Z16" s="106">
        <f t="shared" si="2"/>
        <v>0</v>
      </c>
      <c r="AA16" s="106">
        <f t="shared" si="2"/>
        <v>0</v>
      </c>
      <c r="AB16" s="106">
        <f t="shared" si="2"/>
        <v>0</v>
      </c>
      <c r="AC16" s="106">
        <f t="shared" si="2"/>
        <v>0</v>
      </c>
      <c r="AD16" s="106">
        <f t="shared" si="2"/>
        <v>0</v>
      </c>
      <c r="AE16" s="106">
        <f t="shared" si="2"/>
        <v>0</v>
      </c>
      <c r="AF16" s="106">
        <f t="shared" si="2"/>
        <v>0</v>
      </c>
      <c r="AG16" s="106">
        <f t="shared" si="2"/>
        <v>0</v>
      </c>
      <c r="AH16" s="106">
        <f t="shared" si="2"/>
        <v>0</v>
      </c>
      <c r="AI16" s="106">
        <f t="shared" si="2"/>
        <v>0</v>
      </c>
      <c r="AJ16" s="106">
        <f t="shared" si="2"/>
        <v>0</v>
      </c>
      <c r="AK16" s="106">
        <f t="shared" si="2"/>
        <v>0</v>
      </c>
      <c r="AL16" s="106">
        <f t="shared" si="2"/>
        <v>0</v>
      </c>
      <c r="AM16" s="106">
        <f t="shared" si="2"/>
        <v>0</v>
      </c>
      <c r="AN16" s="106">
        <f t="shared" si="2"/>
        <v>0</v>
      </c>
      <c r="AO16" s="106">
        <f t="shared" si="2"/>
        <v>0</v>
      </c>
      <c r="AP16" s="106">
        <f t="shared" si="2"/>
        <v>0</v>
      </c>
      <c r="AQ16" s="106">
        <f t="shared" si="2"/>
        <v>0</v>
      </c>
      <c r="AR16" s="106">
        <f t="shared" si="2"/>
        <v>0</v>
      </c>
      <c r="AS16" s="106">
        <f t="shared" si="2"/>
        <v>0</v>
      </c>
      <c r="AT16" s="106">
        <f t="shared" si="2"/>
        <v>0</v>
      </c>
      <c r="AU16" s="106">
        <f t="shared" si="2"/>
        <v>0</v>
      </c>
      <c r="AV16" s="106">
        <f t="shared" si="2"/>
        <v>0</v>
      </c>
      <c r="AW16" s="106">
        <f t="shared" si="2"/>
        <v>0</v>
      </c>
      <c r="AX16" s="106">
        <f t="shared" si="2"/>
        <v>0</v>
      </c>
      <c r="AY16" s="106">
        <f t="shared" si="2"/>
        <v>0</v>
      </c>
      <c r="AZ16" s="128"/>
    </row>
    <row r="17" spans="1:52">
      <c r="A17" s="125"/>
      <c r="B17" s="132" t="s">
        <v>296</v>
      </c>
      <c r="C17" s="125">
        <v>0</v>
      </c>
      <c r="D17" s="114">
        <f>IF(C$20="Yes",C16,0)</f>
        <v>0</v>
      </c>
      <c r="E17" s="114">
        <f t="shared" si="2"/>
        <v>0</v>
      </c>
      <c r="F17" s="114">
        <f t="shared" si="2"/>
        <v>0</v>
      </c>
      <c r="G17" s="114">
        <f t="shared" si="2"/>
        <v>0</v>
      </c>
      <c r="H17" s="114">
        <f t="shared" si="2"/>
        <v>0</v>
      </c>
      <c r="I17" s="114">
        <f t="shared" si="2"/>
        <v>0</v>
      </c>
      <c r="J17" s="114">
        <f t="shared" si="2"/>
        <v>0</v>
      </c>
      <c r="K17" s="114">
        <f t="shared" si="2"/>
        <v>0</v>
      </c>
      <c r="L17" s="114">
        <f t="shared" si="2"/>
        <v>0</v>
      </c>
      <c r="M17" s="114">
        <f t="shared" si="2"/>
        <v>0</v>
      </c>
      <c r="N17" s="114">
        <f t="shared" si="2"/>
        <v>0</v>
      </c>
      <c r="O17" s="114">
        <f t="shared" si="2"/>
        <v>0</v>
      </c>
      <c r="P17" s="114">
        <f t="shared" si="2"/>
        <v>0</v>
      </c>
      <c r="Q17" s="114">
        <f t="shared" si="2"/>
        <v>0</v>
      </c>
      <c r="R17" s="114">
        <f t="shared" si="2"/>
        <v>0</v>
      </c>
      <c r="S17" s="114">
        <f t="shared" si="2"/>
        <v>0</v>
      </c>
      <c r="T17" s="114">
        <f t="shared" si="2"/>
        <v>0</v>
      </c>
      <c r="U17" s="114">
        <f t="shared" si="2"/>
        <v>0</v>
      </c>
      <c r="V17" s="114">
        <f t="shared" si="2"/>
        <v>0</v>
      </c>
      <c r="W17" s="114">
        <f t="shared" si="2"/>
        <v>0</v>
      </c>
      <c r="X17" s="114">
        <f t="shared" si="2"/>
        <v>0</v>
      </c>
      <c r="Y17" s="114">
        <f t="shared" si="2"/>
        <v>0</v>
      </c>
      <c r="Z17" s="114">
        <f t="shared" si="2"/>
        <v>0</v>
      </c>
      <c r="AA17" s="114">
        <f t="shared" si="2"/>
        <v>0</v>
      </c>
      <c r="AB17" s="114">
        <f t="shared" si="2"/>
        <v>0</v>
      </c>
      <c r="AC17" s="114">
        <f t="shared" si="2"/>
        <v>0</v>
      </c>
      <c r="AD17" s="114">
        <f t="shared" si="2"/>
        <v>0</v>
      </c>
      <c r="AE17" s="114">
        <f t="shared" si="2"/>
        <v>0</v>
      </c>
      <c r="AF17" s="114">
        <f t="shared" si="2"/>
        <v>0</v>
      </c>
      <c r="AG17" s="114">
        <f t="shared" si="2"/>
        <v>0</v>
      </c>
      <c r="AH17" s="114">
        <f t="shared" si="2"/>
        <v>0</v>
      </c>
      <c r="AI17" s="114">
        <f t="shared" si="2"/>
        <v>0</v>
      </c>
      <c r="AJ17" s="114">
        <f t="shared" si="2"/>
        <v>0</v>
      </c>
      <c r="AK17" s="114">
        <f t="shared" si="2"/>
        <v>0</v>
      </c>
      <c r="AL17" s="114">
        <f t="shared" si="2"/>
        <v>0</v>
      </c>
      <c r="AM17" s="114">
        <f t="shared" si="2"/>
        <v>0</v>
      </c>
      <c r="AN17" s="114">
        <f t="shared" si="2"/>
        <v>0</v>
      </c>
      <c r="AO17" s="114">
        <f t="shared" si="2"/>
        <v>0</v>
      </c>
      <c r="AP17" s="114">
        <f t="shared" si="2"/>
        <v>0</v>
      </c>
      <c r="AQ17" s="114">
        <f t="shared" si="2"/>
        <v>0</v>
      </c>
      <c r="AR17" s="114">
        <f t="shared" si="2"/>
        <v>0</v>
      </c>
      <c r="AS17" s="114">
        <f t="shared" si="2"/>
        <v>0</v>
      </c>
      <c r="AT17" s="114">
        <f t="shared" si="2"/>
        <v>0</v>
      </c>
      <c r="AU17" s="114">
        <f t="shared" si="2"/>
        <v>0</v>
      </c>
      <c r="AV17" s="114">
        <f t="shared" si="2"/>
        <v>0</v>
      </c>
      <c r="AW17" s="114">
        <f t="shared" si="2"/>
        <v>0</v>
      </c>
      <c r="AX17" s="114">
        <f t="shared" si="2"/>
        <v>0</v>
      </c>
      <c r="AY17" s="114">
        <f t="shared" si="2"/>
        <v>0</v>
      </c>
      <c r="AZ17" s="151">
        <f>SUM($D$17:$AY$17)</f>
        <v>0</v>
      </c>
    </row>
    <row r="18" spans="1:52">
      <c r="A18" s="106"/>
      <c r="B18" s="153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06"/>
    </row>
    <row r="19" spans="1:52">
      <c r="A19" s="102" t="s">
        <v>116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</row>
    <row r="20" spans="1:52" s="110" customFormat="1">
      <c r="A20" s="115" t="s">
        <v>305</v>
      </c>
      <c r="B20" s="154" t="s">
        <v>306</v>
      </c>
      <c r="C20" s="117"/>
      <c r="D20" s="117"/>
      <c r="E20" s="117"/>
      <c r="F20" s="117"/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7"/>
      <c r="AH20" s="117"/>
      <c r="AI20" s="117"/>
      <c r="AJ20" s="117"/>
      <c r="AK20" s="117"/>
      <c r="AL20" s="117"/>
      <c r="AM20" s="117"/>
      <c r="AN20" s="117"/>
      <c r="AO20" s="117"/>
      <c r="AP20" s="117"/>
      <c r="AQ20" s="117"/>
      <c r="AR20" s="117"/>
      <c r="AS20" s="117" t="s">
        <v>339</v>
      </c>
      <c r="AT20" s="117"/>
      <c r="AU20" s="117"/>
      <c r="AV20" s="117"/>
      <c r="AW20" s="117"/>
      <c r="AX20" s="117"/>
      <c r="AY20" s="117"/>
      <c r="AZ20" s="107"/>
    </row>
    <row r="21" spans="1:52" s="110" customFormat="1">
      <c r="A21" s="155" t="s">
        <v>133</v>
      </c>
      <c r="B21" s="156">
        <f>shipping_manufacturing!$C$19/100</f>
        <v>0.42975159754170211</v>
      </c>
      <c r="C21" s="156" t="s">
        <v>293</v>
      </c>
      <c r="D21" s="106">
        <f>IF(C$20="Yes",0,SUM(C$13:C$16)*$B$21)</f>
        <v>107.70227759801004</v>
      </c>
      <c r="E21" s="106">
        <f t="shared" ref="E21:AY21" si="3">IF(D$20="Yes",0,SUM(D$13:D$16)*$B$21)</f>
        <v>257.85095852502127</v>
      </c>
      <c r="F21" s="106">
        <f t="shared" si="3"/>
        <v>257.85095852502127</v>
      </c>
      <c r="G21" s="106">
        <f t="shared" si="3"/>
        <v>257.85095852502127</v>
      </c>
      <c r="H21" s="106">
        <f t="shared" si="3"/>
        <v>257.85095852502127</v>
      </c>
      <c r="I21" s="106">
        <f t="shared" si="3"/>
        <v>257.85095852502127</v>
      </c>
      <c r="J21" s="106">
        <f t="shared" si="3"/>
        <v>257.85095852502127</v>
      </c>
      <c r="K21" s="106">
        <f t="shared" si="3"/>
        <v>257.85095852502127</v>
      </c>
      <c r="L21" s="106">
        <f t="shared" si="3"/>
        <v>257.85095852502127</v>
      </c>
      <c r="M21" s="106">
        <f t="shared" si="3"/>
        <v>257.85095852502127</v>
      </c>
      <c r="N21" s="106">
        <f t="shared" si="3"/>
        <v>257.85095852502127</v>
      </c>
      <c r="O21" s="106">
        <f t="shared" si="3"/>
        <v>257.85095852502127</v>
      </c>
      <c r="P21" s="106">
        <f t="shared" si="3"/>
        <v>257.85095852502127</v>
      </c>
      <c r="Q21" s="106">
        <f t="shared" si="3"/>
        <v>257.85095852502127</v>
      </c>
      <c r="R21" s="106">
        <f t="shared" si="3"/>
        <v>257.85095852502127</v>
      </c>
      <c r="S21" s="106">
        <f t="shared" si="3"/>
        <v>257.85095852502127</v>
      </c>
      <c r="T21" s="106">
        <f t="shared" si="3"/>
        <v>257.85095852502127</v>
      </c>
      <c r="U21" s="106">
        <f t="shared" si="3"/>
        <v>257.85095852502127</v>
      </c>
      <c r="V21" s="106">
        <f t="shared" si="3"/>
        <v>257.85095852502127</v>
      </c>
      <c r="W21" s="106">
        <f t="shared" si="3"/>
        <v>257.85095852502127</v>
      </c>
      <c r="X21" s="106">
        <f t="shared" si="3"/>
        <v>257.85095852502127</v>
      </c>
      <c r="Y21" s="106">
        <f t="shared" si="3"/>
        <v>257.85095852502127</v>
      </c>
      <c r="Z21" s="106">
        <f t="shared" si="3"/>
        <v>257.85095852502127</v>
      </c>
      <c r="AA21" s="106">
        <f t="shared" si="3"/>
        <v>257.85095852502127</v>
      </c>
      <c r="AB21" s="106">
        <f t="shared" si="3"/>
        <v>257.85095852502127</v>
      </c>
      <c r="AC21" s="106">
        <f t="shared" si="3"/>
        <v>257.85095852502127</v>
      </c>
      <c r="AD21" s="106">
        <f t="shared" si="3"/>
        <v>257.85095852502127</v>
      </c>
      <c r="AE21" s="106">
        <f t="shared" si="3"/>
        <v>257.85095852502127</v>
      </c>
      <c r="AF21" s="106">
        <f t="shared" si="3"/>
        <v>257.85095852502127</v>
      </c>
      <c r="AG21" s="106">
        <f t="shared" si="3"/>
        <v>257.85095852502127</v>
      </c>
      <c r="AH21" s="106">
        <f t="shared" si="3"/>
        <v>257.85095852502127</v>
      </c>
      <c r="AI21" s="106">
        <f t="shared" si="3"/>
        <v>257.85095852502127</v>
      </c>
      <c r="AJ21" s="106">
        <f t="shared" si="3"/>
        <v>257.85095852502127</v>
      </c>
      <c r="AK21" s="106">
        <f t="shared" si="3"/>
        <v>257.85095852502127</v>
      </c>
      <c r="AL21" s="106">
        <f t="shared" si="3"/>
        <v>257.85095852502127</v>
      </c>
      <c r="AM21" s="106">
        <f t="shared" si="3"/>
        <v>257.85095852502127</v>
      </c>
      <c r="AN21" s="106">
        <f t="shared" si="3"/>
        <v>257.85095852502127</v>
      </c>
      <c r="AO21" s="106">
        <f t="shared" si="3"/>
        <v>257.85095852502127</v>
      </c>
      <c r="AP21" s="106">
        <f t="shared" si="3"/>
        <v>257.85095852502127</v>
      </c>
      <c r="AQ21" s="106">
        <f t="shared" si="3"/>
        <v>257.85095852502127</v>
      </c>
      <c r="AR21" s="106">
        <f t="shared" si="3"/>
        <v>257.85095852502127</v>
      </c>
      <c r="AS21" s="106">
        <f t="shared" si="3"/>
        <v>257.85095852502127</v>
      </c>
      <c r="AT21" s="106">
        <f t="shared" si="3"/>
        <v>0</v>
      </c>
      <c r="AU21" s="106">
        <f t="shared" si="3"/>
        <v>257.85095852502127</v>
      </c>
      <c r="AV21" s="106">
        <f t="shared" si="3"/>
        <v>257.85095852502127</v>
      </c>
      <c r="AW21" s="106">
        <f t="shared" si="3"/>
        <v>257.85095852502127</v>
      </c>
      <c r="AX21" s="106">
        <f t="shared" si="3"/>
        <v>257.85095852502127</v>
      </c>
      <c r="AY21" s="106">
        <f t="shared" si="3"/>
        <v>257.85095852502127</v>
      </c>
      <c r="AZ21" s="157">
        <f>SUM($D21:$AY21)</f>
        <v>11968.846369748988</v>
      </c>
    </row>
    <row r="22" spans="1:52" s="110" customFormat="1">
      <c r="A22" s="158" t="s">
        <v>123</v>
      </c>
      <c r="B22" s="159">
        <f>1-$B$21</f>
        <v>0.57024840245829789</v>
      </c>
      <c r="C22" s="159" t="s">
        <v>293</v>
      </c>
      <c r="D22" s="114">
        <f>IF(C$20="Yes",0,SUM(C$13:C$16)*$B$22)</f>
        <v>142.91291083665041</v>
      </c>
      <c r="E22" s="114">
        <f t="shared" ref="E22:AY22" si="4">IF(D$20="Yes",0,SUM(D$13:D$16)*$B$22)</f>
        <v>342.14904147497873</v>
      </c>
      <c r="F22" s="114">
        <f t="shared" si="4"/>
        <v>342.14904147497873</v>
      </c>
      <c r="G22" s="114">
        <f t="shared" si="4"/>
        <v>342.14904147497873</v>
      </c>
      <c r="H22" s="114">
        <f t="shared" si="4"/>
        <v>342.14904147497873</v>
      </c>
      <c r="I22" s="114">
        <f t="shared" si="4"/>
        <v>342.14904147497873</v>
      </c>
      <c r="J22" s="114">
        <f t="shared" si="4"/>
        <v>342.14904147497873</v>
      </c>
      <c r="K22" s="114">
        <f t="shared" si="4"/>
        <v>342.14904147497873</v>
      </c>
      <c r="L22" s="114">
        <f t="shared" si="4"/>
        <v>342.14904147497873</v>
      </c>
      <c r="M22" s="114">
        <f t="shared" si="4"/>
        <v>342.14904147497873</v>
      </c>
      <c r="N22" s="114">
        <f t="shared" si="4"/>
        <v>342.14904147497873</v>
      </c>
      <c r="O22" s="114">
        <f t="shared" si="4"/>
        <v>342.14904147497873</v>
      </c>
      <c r="P22" s="114">
        <f t="shared" si="4"/>
        <v>342.14904147497873</v>
      </c>
      <c r="Q22" s="114">
        <f t="shared" si="4"/>
        <v>342.14904147497873</v>
      </c>
      <c r="R22" s="114">
        <f t="shared" si="4"/>
        <v>342.14904147497873</v>
      </c>
      <c r="S22" s="114">
        <f t="shared" si="4"/>
        <v>342.14904147497873</v>
      </c>
      <c r="T22" s="114">
        <f t="shared" si="4"/>
        <v>342.14904147497873</v>
      </c>
      <c r="U22" s="114">
        <f t="shared" si="4"/>
        <v>342.14904147497873</v>
      </c>
      <c r="V22" s="114">
        <f t="shared" si="4"/>
        <v>342.14904147497873</v>
      </c>
      <c r="W22" s="114">
        <f t="shared" si="4"/>
        <v>342.14904147497873</v>
      </c>
      <c r="X22" s="114">
        <f t="shared" si="4"/>
        <v>342.14904147497873</v>
      </c>
      <c r="Y22" s="114">
        <f t="shared" si="4"/>
        <v>342.14904147497873</v>
      </c>
      <c r="Z22" s="114">
        <f t="shared" si="4"/>
        <v>342.14904147497873</v>
      </c>
      <c r="AA22" s="114">
        <f t="shared" si="4"/>
        <v>342.14904147497873</v>
      </c>
      <c r="AB22" s="114">
        <f t="shared" si="4"/>
        <v>342.14904147497873</v>
      </c>
      <c r="AC22" s="114">
        <f t="shared" si="4"/>
        <v>342.14904147497873</v>
      </c>
      <c r="AD22" s="114">
        <f t="shared" si="4"/>
        <v>342.14904147497873</v>
      </c>
      <c r="AE22" s="114">
        <f t="shared" si="4"/>
        <v>342.14904147497873</v>
      </c>
      <c r="AF22" s="114">
        <f t="shared" si="4"/>
        <v>342.14904147497873</v>
      </c>
      <c r="AG22" s="114">
        <f t="shared" si="4"/>
        <v>342.14904147497873</v>
      </c>
      <c r="AH22" s="114">
        <f t="shared" si="4"/>
        <v>342.14904147497873</v>
      </c>
      <c r="AI22" s="114">
        <f t="shared" si="4"/>
        <v>342.14904147497873</v>
      </c>
      <c r="AJ22" s="114">
        <f t="shared" si="4"/>
        <v>342.14904147497873</v>
      </c>
      <c r="AK22" s="114">
        <f t="shared" si="4"/>
        <v>342.14904147497873</v>
      </c>
      <c r="AL22" s="114">
        <f t="shared" si="4"/>
        <v>342.14904147497873</v>
      </c>
      <c r="AM22" s="114">
        <f t="shared" si="4"/>
        <v>342.14904147497873</v>
      </c>
      <c r="AN22" s="114">
        <f t="shared" si="4"/>
        <v>342.14904147497873</v>
      </c>
      <c r="AO22" s="114">
        <f t="shared" si="4"/>
        <v>342.14904147497873</v>
      </c>
      <c r="AP22" s="114">
        <f t="shared" si="4"/>
        <v>342.14904147497873</v>
      </c>
      <c r="AQ22" s="114">
        <f t="shared" si="4"/>
        <v>342.14904147497873</v>
      </c>
      <c r="AR22" s="114">
        <f t="shared" si="4"/>
        <v>342.14904147497873</v>
      </c>
      <c r="AS22" s="114">
        <f t="shared" si="4"/>
        <v>342.14904147497873</v>
      </c>
      <c r="AT22" s="114">
        <f t="shared" si="4"/>
        <v>0</v>
      </c>
      <c r="AU22" s="114">
        <f t="shared" si="4"/>
        <v>342.14904147497873</v>
      </c>
      <c r="AV22" s="114">
        <f t="shared" si="4"/>
        <v>342.14904147497873</v>
      </c>
      <c r="AW22" s="114">
        <f t="shared" si="4"/>
        <v>342.14904147497873</v>
      </c>
      <c r="AX22" s="114">
        <f t="shared" si="4"/>
        <v>342.14904147497873</v>
      </c>
      <c r="AY22" s="114">
        <f t="shared" si="4"/>
        <v>342.14904147497873</v>
      </c>
      <c r="AZ22" s="141">
        <f t="shared" ref="AZ22:AZ30" si="5">SUM($D22:$AY22)</f>
        <v>15881.768818685672</v>
      </c>
    </row>
    <row r="23" spans="1:52">
      <c r="A23" s="160" t="s">
        <v>307</v>
      </c>
      <c r="B23" s="124">
        <v>2000</v>
      </c>
      <c r="C23" s="100" t="s">
        <v>293</v>
      </c>
      <c r="D23" s="100">
        <f>D$21*$B$23</f>
        <v>215404.55519602008</v>
      </c>
      <c r="E23" s="100">
        <f t="shared" ref="E23:AY23" si="6">E$21*$B$23</f>
        <v>515701.91705004254</v>
      </c>
      <c r="F23" s="100">
        <f t="shared" si="6"/>
        <v>515701.91705004254</v>
      </c>
      <c r="G23" s="100">
        <f t="shared" si="6"/>
        <v>515701.91705004254</v>
      </c>
      <c r="H23" s="100">
        <f t="shared" si="6"/>
        <v>515701.91705004254</v>
      </c>
      <c r="I23" s="100">
        <f t="shared" si="6"/>
        <v>515701.91705004254</v>
      </c>
      <c r="J23" s="100">
        <f t="shared" si="6"/>
        <v>515701.91705004254</v>
      </c>
      <c r="K23" s="100">
        <f t="shared" si="6"/>
        <v>515701.91705004254</v>
      </c>
      <c r="L23" s="100">
        <f t="shared" si="6"/>
        <v>515701.91705004254</v>
      </c>
      <c r="M23" s="100">
        <f t="shared" si="6"/>
        <v>515701.91705004254</v>
      </c>
      <c r="N23" s="100">
        <f t="shared" si="6"/>
        <v>515701.91705004254</v>
      </c>
      <c r="O23" s="100">
        <f t="shared" si="6"/>
        <v>515701.91705004254</v>
      </c>
      <c r="P23" s="100">
        <f t="shared" si="6"/>
        <v>515701.91705004254</v>
      </c>
      <c r="Q23" s="100">
        <f t="shared" si="6"/>
        <v>515701.91705004254</v>
      </c>
      <c r="R23" s="100">
        <f t="shared" si="6"/>
        <v>515701.91705004254</v>
      </c>
      <c r="S23" s="100">
        <f t="shared" si="6"/>
        <v>515701.91705004254</v>
      </c>
      <c r="T23" s="100">
        <f t="shared" si="6"/>
        <v>515701.91705004254</v>
      </c>
      <c r="U23" s="100">
        <f t="shared" si="6"/>
        <v>515701.91705004254</v>
      </c>
      <c r="V23" s="100">
        <f t="shared" si="6"/>
        <v>515701.91705004254</v>
      </c>
      <c r="W23" s="100">
        <f t="shared" si="6"/>
        <v>515701.91705004254</v>
      </c>
      <c r="X23" s="100">
        <f t="shared" si="6"/>
        <v>515701.91705004254</v>
      </c>
      <c r="Y23" s="100">
        <f t="shared" si="6"/>
        <v>515701.91705004254</v>
      </c>
      <c r="Z23" s="100">
        <f t="shared" si="6"/>
        <v>515701.91705004254</v>
      </c>
      <c r="AA23" s="100">
        <f t="shared" si="6"/>
        <v>515701.91705004254</v>
      </c>
      <c r="AB23" s="100">
        <f t="shared" si="6"/>
        <v>515701.91705004254</v>
      </c>
      <c r="AC23" s="100">
        <f t="shared" si="6"/>
        <v>515701.91705004254</v>
      </c>
      <c r="AD23" s="100">
        <f t="shared" si="6"/>
        <v>515701.91705004254</v>
      </c>
      <c r="AE23" s="100">
        <f t="shared" si="6"/>
        <v>515701.91705004254</v>
      </c>
      <c r="AF23" s="100">
        <f t="shared" si="6"/>
        <v>515701.91705004254</v>
      </c>
      <c r="AG23" s="100">
        <f t="shared" si="6"/>
        <v>515701.91705004254</v>
      </c>
      <c r="AH23" s="100">
        <f t="shared" si="6"/>
        <v>515701.91705004254</v>
      </c>
      <c r="AI23" s="100">
        <f t="shared" si="6"/>
        <v>515701.91705004254</v>
      </c>
      <c r="AJ23" s="100">
        <f t="shared" si="6"/>
        <v>515701.91705004254</v>
      </c>
      <c r="AK23" s="100">
        <f t="shared" si="6"/>
        <v>515701.91705004254</v>
      </c>
      <c r="AL23" s="100">
        <f t="shared" si="6"/>
        <v>515701.91705004254</v>
      </c>
      <c r="AM23" s="100">
        <f t="shared" si="6"/>
        <v>515701.91705004254</v>
      </c>
      <c r="AN23" s="100">
        <f t="shared" si="6"/>
        <v>515701.91705004254</v>
      </c>
      <c r="AO23" s="100">
        <f t="shared" si="6"/>
        <v>515701.91705004254</v>
      </c>
      <c r="AP23" s="100">
        <f t="shared" si="6"/>
        <v>515701.91705004254</v>
      </c>
      <c r="AQ23" s="100">
        <f t="shared" si="6"/>
        <v>515701.91705004254</v>
      </c>
      <c r="AR23" s="100">
        <f t="shared" si="6"/>
        <v>515701.91705004254</v>
      </c>
      <c r="AS23" s="100">
        <f t="shared" si="6"/>
        <v>515701.91705004254</v>
      </c>
      <c r="AT23" s="100">
        <f t="shared" si="6"/>
        <v>0</v>
      </c>
      <c r="AU23" s="100">
        <f t="shared" si="6"/>
        <v>515701.91705004254</v>
      </c>
      <c r="AV23" s="100">
        <f t="shared" si="6"/>
        <v>515701.91705004254</v>
      </c>
      <c r="AW23" s="100">
        <f t="shared" si="6"/>
        <v>515701.91705004254</v>
      </c>
      <c r="AX23" s="100">
        <f t="shared" si="6"/>
        <v>515701.91705004254</v>
      </c>
      <c r="AY23" s="100">
        <f t="shared" si="6"/>
        <v>515701.91705004254</v>
      </c>
      <c r="AZ23" s="139">
        <f t="shared" si="5"/>
        <v>23937692.739497967</v>
      </c>
    </row>
    <row r="24" spans="1:52" s="110" customFormat="1">
      <c r="A24" s="161" t="s">
        <v>308</v>
      </c>
      <c r="B24" s="162">
        <v>1000</v>
      </c>
      <c r="C24" s="156" t="s">
        <v>293</v>
      </c>
      <c r="D24" s="106">
        <f>D$22*$B$24</f>
        <v>142912.91083665041</v>
      </c>
      <c r="E24" s="106">
        <f t="shared" ref="E24:AY24" si="7">E$22*$B$24</f>
        <v>342149.04147497873</v>
      </c>
      <c r="F24" s="106">
        <f t="shared" si="7"/>
        <v>342149.04147497873</v>
      </c>
      <c r="G24" s="106">
        <f t="shared" si="7"/>
        <v>342149.04147497873</v>
      </c>
      <c r="H24" s="106">
        <f t="shared" si="7"/>
        <v>342149.04147497873</v>
      </c>
      <c r="I24" s="106">
        <f t="shared" si="7"/>
        <v>342149.04147497873</v>
      </c>
      <c r="J24" s="106">
        <f t="shared" si="7"/>
        <v>342149.04147497873</v>
      </c>
      <c r="K24" s="106">
        <f t="shared" si="7"/>
        <v>342149.04147497873</v>
      </c>
      <c r="L24" s="106">
        <f t="shared" si="7"/>
        <v>342149.04147497873</v>
      </c>
      <c r="M24" s="106">
        <f t="shared" si="7"/>
        <v>342149.04147497873</v>
      </c>
      <c r="N24" s="106">
        <f t="shared" si="7"/>
        <v>342149.04147497873</v>
      </c>
      <c r="O24" s="106">
        <f t="shared" si="7"/>
        <v>342149.04147497873</v>
      </c>
      <c r="P24" s="106">
        <f t="shared" si="7"/>
        <v>342149.04147497873</v>
      </c>
      <c r="Q24" s="106">
        <f t="shared" si="7"/>
        <v>342149.04147497873</v>
      </c>
      <c r="R24" s="106">
        <f t="shared" si="7"/>
        <v>342149.04147497873</v>
      </c>
      <c r="S24" s="106">
        <f t="shared" si="7"/>
        <v>342149.04147497873</v>
      </c>
      <c r="T24" s="106">
        <f t="shared" si="7"/>
        <v>342149.04147497873</v>
      </c>
      <c r="U24" s="106">
        <f t="shared" si="7"/>
        <v>342149.04147497873</v>
      </c>
      <c r="V24" s="106">
        <f t="shared" si="7"/>
        <v>342149.04147497873</v>
      </c>
      <c r="W24" s="106">
        <f t="shared" si="7"/>
        <v>342149.04147497873</v>
      </c>
      <c r="X24" s="106">
        <f t="shared" si="7"/>
        <v>342149.04147497873</v>
      </c>
      <c r="Y24" s="106">
        <f t="shared" si="7"/>
        <v>342149.04147497873</v>
      </c>
      <c r="Z24" s="106">
        <f t="shared" si="7"/>
        <v>342149.04147497873</v>
      </c>
      <c r="AA24" s="106">
        <f t="shared" si="7"/>
        <v>342149.04147497873</v>
      </c>
      <c r="AB24" s="106">
        <f t="shared" si="7"/>
        <v>342149.04147497873</v>
      </c>
      <c r="AC24" s="106">
        <f t="shared" si="7"/>
        <v>342149.04147497873</v>
      </c>
      <c r="AD24" s="106">
        <f t="shared" si="7"/>
        <v>342149.04147497873</v>
      </c>
      <c r="AE24" s="106">
        <f t="shared" si="7"/>
        <v>342149.04147497873</v>
      </c>
      <c r="AF24" s="106">
        <f t="shared" si="7"/>
        <v>342149.04147497873</v>
      </c>
      <c r="AG24" s="106">
        <f t="shared" si="7"/>
        <v>342149.04147497873</v>
      </c>
      <c r="AH24" s="106">
        <f t="shared" si="7"/>
        <v>342149.04147497873</v>
      </c>
      <c r="AI24" s="106">
        <f t="shared" si="7"/>
        <v>342149.04147497873</v>
      </c>
      <c r="AJ24" s="106">
        <f t="shared" si="7"/>
        <v>342149.04147497873</v>
      </c>
      <c r="AK24" s="106">
        <f t="shared" si="7"/>
        <v>342149.04147497873</v>
      </c>
      <c r="AL24" s="106">
        <f t="shared" si="7"/>
        <v>342149.04147497873</v>
      </c>
      <c r="AM24" s="106">
        <f t="shared" si="7"/>
        <v>342149.04147497873</v>
      </c>
      <c r="AN24" s="106">
        <f t="shared" si="7"/>
        <v>342149.04147497873</v>
      </c>
      <c r="AO24" s="106">
        <f t="shared" si="7"/>
        <v>342149.04147497873</v>
      </c>
      <c r="AP24" s="106">
        <f t="shared" si="7"/>
        <v>342149.04147497873</v>
      </c>
      <c r="AQ24" s="106">
        <f t="shared" si="7"/>
        <v>342149.04147497873</v>
      </c>
      <c r="AR24" s="106">
        <f t="shared" si="7"/>
        <v>342149.04147497873</v>
      </c>
      <c r="AS24" s="106">
        <f t="shared" si="7"/>
        <v>342149.04147497873</v>
      </c>
      <c r="AT24" s="106">
        <f t="shared" si="7"/>
        <v>0</v>
      </c>
      <c r="AU24" s="106">
        <f t="shared" si="7"/>
        <v>342149.04147497873</v>
      </c>
      <c r="AV24" s="106">
        <f t="shared" si="7"/>
        <v>342149.04147497873</v>
      </c>
      <c r="AW24" s="106">
        <f t="shared" si="7"/>
        <v>342149.04147497873</v>
      </c>
      <c r="AX24" s="106">
        <f t="shared" si="7"/>
        <v>342149.04147497873</v>
      </c>
      <c r="AY24" s="106">
        <f t="shared" si="7"/>
        <v>342149.04147497873</v>
      </c>
      <c r="AZ24" s="141">
        <f t="shared" si="5"/>
        <v>15881768.818685682</v>
      </c>
    </row>
    <row r="25" spans="1:52"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06"/>
    </row>
    <row r="26" spans="1:52">
      <c r="A26" s="163" t="s">
        <v>18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</row>
    <row r="27" spans="1:52">
      <c r="B27" s="135" t="s">
        <v>309</v>
      </c>
      <c r="C27" s="124">
        <v>17</v>
      </c>
      <c r="D27" s="124">
        <f>C$27-C$28+C$29</f>
        <v>5</v>
      </c>
      <c r="E27" s="124">
        <f t="shared" ref="E27:AY27" si="8">D27-D28+D29</f>
        <v>17</v>
      </c>
      <c r="F27" s="124">
        <f t="shared" si="8"/>
        <v>5</v>
      </c>
      <c r="G27" s="124">
        <f t="shared" si="8"/>
        <v>17</v>
      </c>
      <c r="H27" s="124">
        <f t="shared" si="8"/>
        <v>5</v>
      </c>
      <c r="I27" s="124">
        <f t="shared" si="8"/>
        <v>17</v>
      </c>
      <c r="J27" s="124">
        <f t="shared" si="8"/>
        <v>5</v>
      </c>
      <c r="K27" s="124">
        <f t="shared" si="8"/>
        <v>17</v>
      </c>
      <c r="L27" s="124">
        <f t="shared" si="8"/>
        <v>5</v>
      </c>
      <c r="M27" s="124">
        <f t="shared" si="8"/>
        <v>17</v>
      </c>
      <c r="N27" s="124">
        <f t="shared" si="8"/>
        <v>5</v>
      </c>
      <c r="O27" s="124">
        <f t="shared" si="8"/>
        <v>17</v>
      </c>
      <c r="P27" s="124">
        <f t="shared" si="8"/>
        <v>5</v>
      </c>
      <c r="Q27" s="124">
        <f t="shared" si="8"/>
        <v>17</v>
      </c>
      <c r="R27" s="124">
        <f t="shared" si="8"/>
        <v>5</v>
      </c>
      <c r="S27" s="124">
        <f t="shared" si="8"/>
        <v>17</v>
      </c>
      <c r="T27" s="124">
        <f t="shared" si="8"/>
        <v>5</v>
      </c>
      <c r="U27" s="124">
        <f t="shared" si="8"/>
        <v>17</v>
      </c>
      <c r="V27" s="124">
        <f t="shared" si="8"/>
        <v>5</v>
      </c>
      <c r="W27" s="124">
        <f t="shared" si="8"/>
        <v>17</v>
      </c>
      <c r="X27" s="124">
        <f t="shared" si="8"/>
        <v>5</v>
      </c>
      <c r="Y27" s="124">
        <f t="shared" si="8"/>
        <v>17</v>
      </c>
      <c r="Z27" s="124">
        <f t="shared" si="8"/>
        <v>5</v>
      </c>
      <c r="AA27" s="124">
        <f t="shared" si="8"/>
        <v>17</v>
      </c>
      <c r="AB27" s="124">
        <f t="shared" si="8"/>
        <v>5</v>
      </c>
      <c r="AC27" s="124">
        <f t="shared" si="8"/>
        <v>17</v>
      </c>
      <c r="AD27" s="124">
        <f t="shared" si="8"/>
        <v>5</v>
      </c>
      <c r="AE27" s="124">
        <f t="shared" si="8"/>
        <v>17</v>
      </c>
      <c r="AF27" s="124">
        <f t="shared" si="8"/>
        <v>5</v>
      </c>
      <c r="AG27" s="124">
        <f t="shared" si="8"/>
        <v>17</v>
      </c>
      <c r="AH27" s="124">
        <f t="shared" si="8"/>
        <v>5</v>
      </c>
      <c r="AI27" s="124">
        <f t="shared" si="8"/>
        <v>17</v>
      </c>
      <c r="AJ27" s="124">
        <f t="shared" si="8"/>
        <v>5</v>
      </c>
      <c r="AK27" s="124">
        <f t="shared" si="8"/>
        <v>17</v>
      </c>
      <c r="AL27" s="124">
        <f t="shared" si="8"/>
        <v>5</v>
      </c>
      <c r="AM27" s="124">
        <f t="shared" si="8"/>
        <v>17</v>
      </c>
      <c r="AN27" s="124">
        <f t="shared" si="8"/>
        <v>5</v>
      </c>
      <c r="AO27" s="124">
        <f t="shared" si="8"/>
        <v>17</v>
      </c>
      <c r="AP27" s="124">
        <f t="shared" si="8"/>
        <v>5</v>
      </c>
      <c r="AQ27" s="124">
        <f t="shared" si="8"/>
        <v>17</v>
      </c>
      <c r="AR27" s="124">
        <f t="shared" si="8"/>
        <v>5</v>
      </c>
      <c r="AS27" s="124">
        <f t="shared" si="8"/>
        <v>17</v>
      </c>
      <c r="AT27" s="124">
        <f t="shared" si="8"/>
        <v>5</v>
      </c>
      <c r="AU27" s="124">
        <f t="shared" si="8"/>
        <v>22</v>
      </c>
      <c r="AV27" s="124">
        <f t="shared" si="8"/>
        <v>1</v>
      </c>
      <c r="AW27" s="124">
        <f t="shared" si="8"/>
        <v>21</v>
      </c>
      <c r="AX27" s="124">
        <f t="shared" si="8"/>
        <v>1</v>
      </c>
      <c r="AY27" s="164">
        <f t="shared" si="8"/>
        <v>21</v>
      </c>
      <c r="AZ27" s="106"/>
    </row>
    <row r="28" spans="1:52">
      <c r="B28" s="165" t="s">
        <v>310</v>
      </c>
      <c r="C28" s="110">
        <v>17</v>
      </c>
      <c r="D28" s="110">
        <v>5</v>
      </c>
      <c r="E28" s="110">
        <v>17</v>
      </c>
      <c r="F28" s="110">
        <v>5</v>
      </c>
      <c r="G28" s="110">
        <v>17</v>
      </c>
      <c r="H28" s="110">
        <v>5</v>
      </c>
      <c r="I28" s="110">
        <v>17</v>
      </c>
      <c r="J28" s="110">
        <v>5</v>
      </c>
      <c r="K28" s="110">
        <v>17</v>
      </c>
      <c r="L28" s="110">
        <v>5</v>
      </c>
      <c r="M28" s="110">
        <v>17</v>
      </c>
      <c r="N28" s="110">
        <v>5</v>
      </c>
      <c r="O28" s="110">
        <v>17</v>
      </c>
      <c r="P28" s="110">
        <v>5</v>
      </c>
      <c r="Q28" s="110">
        <v>17</v>
      </c>
      <c r="R28" s="110">
        <v>5</v>
      </c>
      <c r="S28" s="110">
        <v>17</v>
      </c>
      <c r="T28" s="110">
        <v>5</v>
      </c>
      <c r="U28" s="110">
        <v>17</v>
      </c>
      <c r="V28" s="110">
        <v>5</v>
      </c>
      <c r="W28" s="110">
        <v>17</v>
      </c>
      <c r="X28" s="110">
        <v>5</v>
      </c>
      <c r="Y28" s="110">
        <v>17</v>
      </c>
      <c r="Z28" s="110">
        <v>5</v>
      </c>
      <c r="AA28" s="110">
        <v>17</v>
      </c>
      <c r="AB28" s="110">
        <v>5</v>
      </c>
      <c r="AC28" s="110">
        <v>17</v>
      </c>
      <c r="AD28" s="110">
        <v>5</v>
      </c>
      <c r="AE28" s="110">
        <v>17</v>
      </c>
      <c r="AF28" s="110">
        <v>5</v>
      </c>
      <c r="AG28" s="110">
        <v>17</v>
      </c>
      <c r="AH28" s="110">
        <v>5</v>
      </c>
      <c r="AI28" s="110">
        <v>17</v>
      </c>
      <c r="AJ28" s="110">
        <v>5</v>
      </c>
      <c r="AK28" s="110">
        <v>17</v>
      </c>
      <c r="AL28" s="110">
        <v>5</v>
      </c>
      <c r="AM28" s="110">
        <v>17</v>
      </c>
      <c r="AN28" s="110">
        <v>5</v>
      </c>
      <c r="AO28" s="110">
        <v>17</v>
      </c>
      <c r="AP28" s="110">
        <v>5</v>
      </c>
      <c r="AQ28" s="110">
        <v>17</v>
      </c>
      <c r="AR28" s="110">
        <v>5</v>
      </c>
      <c r="AS28" s="110">
        <v>17</v>
      </c>
      <c r="AT28" s="110">
        <v>0</v>
      </c>
      <c r="AU28" s="110">
        <v>21</v>
      </c>
      <c r="AV28" s="110">
        <v>1</v>
      </c>
      <c r="AW28" s="110">
        <v>21</v>
      </c>
      <c r="AX28" s="110">
        <v>1</v>
      </c>
      <c r="AY28" s="166">
        <v>21</v>
      </c>
      <c r="AZ28" s="106"/>
    </row>
    <row r="29" spans="1:52">
      <c r="B29" s="136" t="s">
        <v>311</v>
      </c>
      <c r="C29" s="125">
        <v>5</v>
      </c>
      <c r="D29" s="125">
        <f>C$28</f>
        <v>17</v>
      </c>
      <c r="E29" s="125">
        <f t="shared" ref="E29:AY29" si="9">D$28</f>
        <v>5</v>
      </c>
      <c r="F29" s="125">
        <f t="shared" si="9"/>
        <v>17</v>
      </c>
      <c r="G29" s="125">
        <f t="shared" si="9"/>
        <v>5</v>
      </c>
      <c r="H29" s="125">
        <f t="shared" si="9"/>
        <v>17</v>
      </c>
      <c r="I29" s="125">
        <f t="shared" si="9"/>
        <v>5</v>
      </c>
      <c r="J29" s="125">
        <f t="shared" si="9"/>
        <v>17</v>
      </c>
      <c r="K29" s="125">
        <f t="shared" si="9"/>
        <v>5</v>
      </c>
      <c r="L29" s="125">
        <f t="shared" si="9"/>
        <v>17</v>
      </c>
      <c r="M29" s="125">
        <f t="shared" si="9"/>
        <v>5</v>
      </c>
      <c r="N29" s="125">
        <f t="shared" si="9"/>
        <v>17</v>
      </c>
      <c r="O29" s="125">
        <f t="shared" si="9"/>
        <v>5</v>
      </c>
      <c r="P29" s="125">
        <f t="shared" si="9"/>
        <v>17</v>
      </c>
      <c r="Q29" s="125">
        <f t="shared" si="9"/>
        <v>5</v>
      </c>
      <c r="R29" s="125">
        <f t="shared" si="9"/>
        <v>17</v>
      </c>
      <c r="S29" s="125">
        <f t="shared" si="9"/>
        <v>5</v>
      </c>
      <c r="T29" s="125">
        <f t="shared" si="9"/>
        <v>17</v>
      </c>
      <c r="U29" s="125">
        <f t="shared" si="9"/>
        <v>5</v>
      </c>
      <c r="V29" s="125">
        <f t="shared" si="9"/>
        <v>17</v>
      </c>
      <c r="W29" s="125">
        <f t="shared" si="9"/>
        <v>5</v>
      </c>
      <c r="X29" s="125">
        <f t="shared" si="9"/>
        <v>17</v>
      </c>
      <c r="Y29" s="125">
        <f t="shared" si="9"/>
        <v>5</v>
      </c>
      <c r="Z29" s="125">
        <f t="shared" si="9"/>
        <v>17</v>
      </c>
      <c r="AA29" s="125">
        <f t="shared" si="9"/>
        <v>5</v>
      </c>
      <c r="AB29" s="125">
        <f t="shared" si="9"/>
        <v>17</v>
      </c>
      <c r="AC29" s="125">
        <f t="shared" si="9"/>
        <v>5</v>
      </c>
      <c r="AD29" s="125">
        <f t="shared" si="9"/>
        <v>17</v>
      </c>
      <c r="AE29" s="125">
        <f t="shared" si="9"/>
        <v>5</v>
      </c>
      <c r="AF29" s="125">
        <f t="shared" si="9"/>
        <v>17</v>
      </c>
      <c r="AG29" s="125">
        <f t="shared" si="9"/>
        <v>5</v>
      </c>
      <c r="AH29" s="125">
        <f t="shared" si="9"/>
        <v>17</v>
      </c>
      <c r="AI29" s="125">
        <f t="shared" si="9"/>
        <v>5</v>
      </c>
      <c r="AJ29" s="125">
        <f t="shared" si="9"/>
        <v>17</v>
      </c>
      <c r="AK29" s="125">
        <f t="shared" si="9"/>
        <v>5</v>
      </c>
      <c r="AL29" s="125">
        <f t="shared" si="9"/>
        <v>17</v>
      </c>
      <c r="AM29" s="125">
        <f t="shared" si="9"/>
        <v>5</v>
      </c>
      <c r="AN29" s="125">
        <f t="shared" si="9"/>
        <v>17</v>
      </c>
      <c r="AO29" s="125">
        <f t="shared" si="9"/>
        <v>5</v>
      </c>
      <c r="AP29" s="125">
        <f t="shared" si="9"/>
        <v>17</v>
      </c>
      <c r="AQ29" s="125">
        <f t="shared" si="9"/>
        <v>5</v>
      </c>
      <c r="AR29" s="125">
        <f t="shared" si="9"/>
        <v>17</v>
      </c>
      <c r="AS29" s="125">
        <f t="shared" si="9"/>
        <v>5</v>
      </c>
      <c r="AT29" s="125">
        <f t="shared" si="9"/>
        <v>17</v>
      </c>
      <c r="AU29" s="125">
        <f t="shared" si="9"/>
        <v>0</v>
      </c>
      <c r="AV29" s="125">
        <f t="shared" si="9"/>
        <v>21</v>
      </c>
      <c r="AW29" s="125">
        <f t="shared" si="9"/>
        <v>1</v>
      </c>
      <c r="AX29" s="125">
        <f t="shared" si="9"/>
        <v>21</v>
      </c>
      <c r="AY29" s="167">
        <f t="shared" si="9"/>
        <v>1</v>
      </c>
      <c r="AZ29" s="168"/>
    </row>
    <row r="30" spans="1:52">
      <c r="A30" s="169" t="s">
        <v>312</v>
      </c>
      <c r="B30" s="144">
        <v>10</v>
      </c>
      <c r="C30" s="117" t="s">
        <v>293</v>
      </c>
      <c r="D30" s="117">
        <f>D$27*$B$30</f>
        <v>50</v>
      </c>
      <c r="E30" s="117">
        <f t="shared" ref="E30:AY30" si="10">E$27*$B$30</f>
        <v>170</v>
      </c>
      <c r="F30" s="117">
        <f t="shared" si="10"/>
        <v>50</v>
      </c>
      <c r="G30" s="117">
        <f t="shared" si="10"/>
        <v>170</v>
      </c>
      <c r="H30" s="117">
        <f t="shared" si="10"/>
        <v>50</v>
      </c>
      <c r="I30" s="117">
        <f t="shared" si="10"/>
        <v>170</v>
      </c>
      <c r="J30" s="117">
        <f t="shared" si="10"/>
        <v>50</v>
      </c>
      <c r="K30" s="117">
        <f t="shared" si="10"/>
        <v>170</v>
      </c>
      <c r="L30" s="117">
        <f t="shared" si="10"/>
        <v>50</v>
      </c>
      <c r="M30" s="117">
        <f t="shared" si="10"/>
        <v>170</v>
      </c>
      <c r="N30" s="117">
        <f t="shared" si="10"/>
        <v>50</v>
      </c>
      <c r="O30" s="117">
        <f t="shared" si="10"/>
        <v>170</v>
      </c>
      <c r="P30" s="117">
        <f t="shared" si="10"/>
        <v>50</v>
      </c>
      <c r="Q30" s="117">
        <f t="shared" si="10"/>
        <v>170</v>
      </c>
      <c r="R30" s="117">
        <f>R$27*$B$30</f>
        <v>50</v>
      </c>
      <c r="S30" s="117">
        <f t="shared" si="10"/>
        <v>170</v>
      </c>
      <c r="T30" s="117">
        <f t="shared" si="10"/>
        <v>50</v>
      </c>
      <c r="U30" s="117">
        <f t="shared" si="10"/>
        <v>170</v>
      </c>
      <c r="V30" s="117">
        <f t="shared" si="10"/>
        <v>50</v>
      </c>
      <c r="W30" s="117">
        <f t="shared" si="10"/>
        <v>170</v>
      </c>
      <c r="X30" s="117">
        <f t="shared" si="10"/>
        <v>50</v>
      </c>
      <c r="Y30" s="117">
        <f t="shared" si="10"/>
        <v>170</v>
      </c>
      <c r="Z30" s="117">
        <f t="shared" si="10"/>
        <v>50</v>
      </c>
      <c r="AA30" s="117">
        <f t="shared" si="10"/>
        <v>170</v>
      </c>
      <c r="AB30" s="117">
        <f t="shared" si="10"/>
        <v>50</v>
      </c>
      <c r="AC30" s="117">
        <f t="shared" si="10"/>
        <v>170</v>
      </c>
      <c r="AD30" s="117">
        <f t="shared" si="10"/>
        <v>50</v>
      </c>
      <c r="AE30" s="117">
        <f>AE$27*$B$30</f>
        <v>170</v>
      </c>
      <c r="AF30" s="117">
        <f t="shared" si="10"/>
        <v>50</v>
      </c>
      <c r="AG30" s="117">
        <f t="shared" si="10"/>
        <v>170</v>
      </c>
      <c r="AH30" s="117">
        <f t="shared" si="10"/>
        <v>50</v>
      </c>
      <c r="AI30" s="117">
        <f t="shared" si="10"/>
        <v>170</v>
      </c>
      <c r="AJ30" s="117">
        <f t="shared" si="10"/>
        <v>50</v>
      </c>
      <c r="AK30" s="117">
        <f t="shared" si="10"/>
        <v>170</v>
      </c>
      <c r="AL30" s="117">
        <f t="shared" si="10"/>
        <v>50</v>
      </c>
      <c r="AM30" s="117">
        <f t="shared" si="10"/>
        <v>170</v>
      </c>
      <c r="AN30" s="117">
        <f t="shared" si="10"/>
        <v>50</v>
      </c>
      <c r="AO30" s="117">
        <f t="shared" si="10"/>
        <v>170</v>
      </c>
      <c r="AP30" s="117">
        <f t="shared" si="10"/>
        <v>50</v>
      </c>
      <c r="AQ30" s="117">
        <f t="shared" si="10"/>
        <v>170</v>
      </c>
      <c r="AR30" s="117">
        <f t="shared" si="10"/>
        <v>50</v>
      </c>
      <c r="AS30" s="117">
        <f t="shared" si="10"/>
        <v>170</v>
      </c>
      <c r="AT30" s="117">
        <f t="shared" si="10"/>
        <v>50</v>
      </c>
      <c r="AU30" s="117">
        <f t="shared" si="10"/>
        <v>220</v>
      </c>
      <c r="AV30" s="117">
        <f t="shared" si="10"/>
        <v>10</v>
      </c>
      <c r="AW30" s="117">
        <f t="shared" si="10"/>
        <v>210</v>
      </c>
      <c r="AX30" s="117">
        <f t="shared" si="10"/>
        <v>10</v>
      </c>
      <c r="AY30" s="117">
        <f t="shared" si="10"/>
        <v>210</v>
      </c>
      <c r="AZ30" s="141">
        <f t="shared" si="5"/>
        <v>5330</v>
      </c>
    </row>
    <row r="32" spans="1:52">
      <c r="A32" s="102" t="s">
        <v>300</v>
      </c>
    </row>
    <row r="33" spans="1:52">
      <c r="A33" s="135" t="s">
        <v>22</v>
      </c>
      <c r="B33" s="135" t="s">
        <v>341</v>
      </c>
      <c r="C33" s="124"/>
      <c r="D33" s="124">
        <f>D$21*shipping_manufacturing!$D$27/100</f>
        <v>36.694640874856638</v>
      </c>
      <c r="E33" s="124">
        <f>E$21*shipping_manufacturing!$D$27/100</f>
        <v>87.850958525022222</v>
      </c>
      <c r="F33" s="124">
        <f>F$21*shipping_manufacturing!$D$27/100</f>
        <v>87.850958525022222</v>
      </c>
      <c r="G33" s="124">
        <f>G$21*shipping_manufacturing!$D$27/100</f>
        <v>87.850958525022222</v>
      </c>
      <c r="H33" s="124">
        <f>H$21*shipping_manufacturing!$D$27/100</f>
        <v>87.850958525022222</v>
      </c>
      <c r="I33" s="124">
        <f>I$21*shipping_manufacturing!$D$27/100</f>
        <v>87.850958525022222</v>
      </c>
      <c r="J33" s="124">
        <f>J$21*shipping_manufacturing!$D$27/100</f>
        <v>87.850958525022222</v>
      </c>
      <c r="K33" s="124">
        <f>K$21*shipping_manufacturing!$D$27/100</f>
        <v>87.850958525022222</v>
      </c>
      <c r="L33" s="124">
        <f>L$21*shipping_manufacturing!$D$27/100</f>
        <v>87.850958525022222</v>
      </c>
      <c r="M33" s="124">
        <f>M$21*shipping_manufacturing!$D$27/100</f>
        <v>87.850958525022222</v>
      </c>
      <c r="N33" s="124">
        <f>N$21*shipping_manufacturing!$D$27/100</f>
        <v>87.850958525022222</v>
      </c>
      <c r="O33" s="124">
        <f>O$21*shipping_manufacturing!$D$27/100</f>
        <v>87.850958525022222</v>
      </c>
      <c r="P33" s="124">
        <f>P$21*shipping_manufacturing!$D$27/100</f>
        <v>87.850958525022222</v>
      </c>
      <c r="Q33" s="124">
        <f>Q$21*shipping_manufacturing!$D$27/100</f>
        <v>87.850958525022222</v>
      </c>
      <c r="R33" s="124">
        <f>R$21*shipping_manufacturing!$D$27/100</f>
        <v>87.850958525022222</v>
      </c>
      <c r="S33" s="124">
        <f>S$21*shipping_manufacturing!$D$27/100</f>
        <v>87.850958525022222</v>
      </c>
      <c r="T33" s="124">
        <f>T$21*shipping_manufacturing!$D$27/100</f>
        <v>87.850958525022222</v>
      </c>
      <c r="U33" s="124">
        <f>U$21*shipping_manufacturing!$D$27/100</f>
        <v>87.850958525022222</v>
      </c>
      <c r="V33" s="124">
        <f>V$21*shipping_manufacturing!$D$27/100</f>
        <v>87.850958525022222</v>
      </c>
      <c r="W33" s="124">
        <f>W$21*shipping_manufacturing!$D$27/100</f>
        <v>87.850958525022222</v>
      </c>
      <c r="X33" s="124">
        <f>X$21*shipping_manufacturing!$D$27/100</f>
        <v>87.850958525022222</v>
      </c>
      <c r="Y33" s="124">
        <f>Y$21*shipping_manufacturing!$D$27/100</f>
        <v>87.850958525022222</v>
      </c>
      <c r="Z33" s="124">
        <f>Z$21*shipping_manufacturing!$D$27/100</f>
        <v>87.850958525022222</v>
      </c>
      <c r="AA33" s="124">
        <f>AA$21*shipping_manufacturing!$D$27/100</f>
        <v>87.850958525022222</v>
      </c>
      <c r="AB33" s="124">
        <f>AB$21*shipping_manufacturing!$D$27/100</f>
        <v>87.850958525022222</v>
      </c>
      <c r="AC33" s="124">
        <f>AC$21*shipping_manufacturing!$D$27/100</f>
        <v>87.850958525022222</v>
      </c>
      <c r="AD33" s="124">
        <f>AD$21*shipping_manufacturing!$D$27/100</f>
        <v>87.850958525022222</v>
      </c>
      <c r="AE33" s="124">
        <f>AE$21*shipping_manufacturing!$D$27/100</f>
        <v>87.850958525022222</v>
      </c>
      <c r="AF33" s="124">
        <f>AF$21*shipping_manufacturing!$D$27/100</f>
        <v>87.850958525022222</v>
      </c>
      <c r="AG33" s="124">
        <f>AG$21*shipping_manufacturing!$D$27/100</f>
        <v>87.850958525022222</v>
      </c>
      <c r="AH33" s="124">
        <f>AH$21*shipping_manufacturing!$D$27/100</f>
        <v>87.850958525022222</v>
      </c>
      <c r="AI33" s="124">
        <f>AI$21*shipping_manufacturing!$D$27/100</f>
        <v>87.850958525022222</v>
      </c>
      <c r="AJ33" s="124">
        <f>AJ$21*shipping_manufacturing!$D$27/100</f>
        <v>87.850958525022222</v>
      </c>
      <c r="AK33" s="124">
        <f>AK$21*shipping_manufacturing!$D$27/100</f>
        <v>87.850958525022222</v>
      </c>
      <c r="AL33" s="124">
        <f>AL$21*shipping_manufacturing!$D$27/100</f>
        <v>87.850958525022222</v>
      </c>
      <c r="AM33" s="124">
        <f>AM$21*shipping_manufacturing!$D$27/100</f>
        <v>87.850958525022222</v>
      </c>
      <c r="AN33" s="124">
        <f>AN$21*shipping_manufacturing!$D$27/100</f>
        <v>87.850958525022222</v>
      </c>
      <c r="AO33" s="124">
        <f>AO$21*shipping_manufacturing!$D$27/100</f>
        <v>87.850958525022222</v>
      </c>
      <c r="AP33" s="124">
        <f>AP$21*shipping_manufacturing!$D$27/100</f>
        <v>87.850958525022222</v>
      </c>
      <c r="AQ33" s="124">
        <f>AQ$21*shipping_manufacturing!$D$27/100</f>
        <v>87.850958525022222</v>
      </c>
      <c r="AR33" s="124">
        <f>AR$21*shipping_manufacturing!$D$27/100</f>
        <v>87.850958525022222</v>
      </c>
      <c r="AS33" s="124">
        <f>AS$21*shipping_manufacturing!$D$27/100</f>
        <v>87.850958525022222</v>
      </c>
      <c r="AT33" s="124">
        <f>AT$21*shipping_manufacturing!$D$27/100</f>
        <v>0</v>
      </c>
      <c r="AU33" s="124">
        <f>AU$21*shipping_manufacturing!$D$27/100</f>
        <v>87.850958525022222</v>
      </c>
      <c r="AV33" s="124">
        <f>AV$21*shipping_manufacturing!$D$27/100</f>
        <v>87.850958525022222</v>
      </c>
      <c r="AW33" s="124">
        <f>AW$21*shipping_manufacturing!$D$27/100</f>
        <v>87.850958525022222</v>
      </c>
      <c r="AX33" s="124">
        <f>AX$21*shipping_manufacturing!$D$27/100</f>
        <v>87.850958525022222</v>
      </c>
      <c r="AY33" s="124">
        <f>AY$21*shipping_manufacturing!$D$27/100</f>
        <v>87.850958525022222</v>
      </c>
    </row>
    <row r="34" spans="1:52">
      <c r="A34" s="113" t="s">
        <v>340</v>
      </c>
      <c r="B34" s="165" t="s">
        <v>342</v>
      </c>
      <c r="C34" s="110"/>
      <c r="D34" s="110">
        <f>D$22*shipping_manufacturing!$E$27/100</f>
        <v>41.196395173504662</v>
      </c>
      <c r="E34" s="110">
        <f>E$22*shipping_manufacturing!$E$27/100</f>
        <v>98.628647603084715</v>
      </c>
      <c r="F34" s="110">
        <f>F$22*shipping_manufacturing!$E$27/100</f>
        <v>98.628647603084715</v>
      </c>
      <c r="G34" s="110">
        <f>G$22*shipping_manufacturing!$E$27/100</f>
        <v>98.628647603084715</v>
      </c>
      <c r="H34" s="110">
        <f>H$22*shipping_manufacturing!$E$27/100</f>
        <v>98.628647603084715</v>
      </c>
      <c r="I34" s="110">
        <f>I$22*shipping_manufacturing!$E$27/100</f>
        <v>98.628647603084715</v>
      </c>
      <c r="J34" s="110">
        <f>J$22*shipping_manufacturing!$E$27/100</f>
        <v>98.628647603084715</v>
      </c>
      <c r="K34" s="110">
        <f>K$22*shipping_manufacturing!$E$27/100</f>
        <v>98.628647603084715</v>
      </c>
      <c r="L34" s="110">
        <f>L$22*shipping_manufacturing!$E$27/100</f>
        <v>98.628647603084715</v>
      </c>
      <c r="M34" s="110">
        <f>M$22*shipping_manufacturing!$E$27/100</f>
        <v>98.628647603084715</v>
      </c>
      <c r="N34" s="110">
        <f>N$22*shipping_manufacturing!$E$27/100</f>
        <v>98.628647603084715</v>
      </c>
      <c r="O34" s="110">
        <f>O$22*shipping_manufacturing!$E$27/100</f>
        <v>98.628647603084715</v>
      </c>
      <c r="P34" s="110">
        <f>P$22*shipping_manufacturing!$E$27/100</f>
        <v>98.628647603084715</v>
      </c>
      <c r="Q34" s="110">
        <f>Q$22*shipping_manufacturing!$E$27/100</f>
        <v>98.628647603084715</v>
      </c>
      <c r="R34" s="110">
        <f>R$22*shipping_manufacturing!$E$27/100</f>
        <v>98.628647603084715</v>
      </c>
      <c r="S34" s="110">
        <f>S$22*shipping_manufacturing!$E$27/100</f>
        <v>98.628647603084715</v>
      </c>
      <c r="T34" s="110">
        <f>T$22*shipping_manufacturing!$E$27/100</f>
        <v>98.628647603084715</v>
      </c>
      <c r="U34" s="110">
        <f>U$22*shipping_manufacturing!$E$27/100</f>
        <v>98.628647603084715</v>
      </c>
      <c r="V34" s="110">
        <f>V$22*shipping_manufacturing!$E$27/100</f>
        <v>98.628647603084715</v>
      </c>
      <c r="W34" s="110">
        <f>W$22*shipping_manufacturing!$E$27/100</f>
        <v>98.628647603084715</v>
      </c>
      <c r="X34" s="110">
        <f>X$22*shipping_manufacturing!$E$27/100</f>
        <v>98.628647603084715</v>
      </c>
      <c r="Y34" s="110">
        <f>Y$22*shipping_manufacturing!$E$27/100</f>
        <v>98.628647603084715</v>
      </c>
      <c r="Z34" s="110">
        <f>Z$22*shipping_manufacturing!$E$27/100</f>
        <v>98.628647603084715</v>
      </c>
      <c r="AA34" s="110">
        <f>AA$22*shipping_manufacturing!$E$27/100</f>
        <v>98.628647603084715</v>
      </c>
      <c r="AB34" s="110">
        <f>AB$22*shipping_manufacturing!$E$27/100</f>
        <v>98.628647603084715</v>
      </c>
      <c r="AC34" s="110">
        <f>AC$22*shipping_manufacturing!$E$27/100</f>
        <v>98.628647603084715</v>
      </c>
      <c r="AD34" s="110">
        <f>AD$22*shipping_manufacturing!$E$27/100</f>
        <v>98.628647603084715</v>
      </c>
      <c r="AE34" s="110">
        <f>AE$22*shipping_manufacturing!$E$27/100</f>
        <v>98.628647603084715</v>
      </c>
      <c r="AF34" s="110">
        <f>AF$22*shipping_manufacturing!$E$27/100</f>
        <v>98.628647603084715</v>
      </c>
      <c r="AG34" s="110">
        <f>AG$22*shipping_manufacturing!$E$27/100</f>
        <v>98.628647603084715</v>
      </c>
      <c r="AH34" s="110">
        <f>AH$22*shipping_manufacturing!$E$27/100</f>
        <v>98.628647603084715</v>
      </c>
      <c r="AI34" s="110">
        <f>AI$22*shipping_manufacturing!$E$27/100</f>
        <v>98.628647603084715</v>
      </c>
      <c r="AJ34" s="110">
        <f>AJ$22*shipping_manufacturing!$E$27/100</f>
        <v>98.628647603084715</v>
      </c>
      <c r="AK34" s="110">
        <f>AK$22*shipping_manufacturing!$E$27/100</f>
        <v>98.628647603084715</v>
      </c>
      <c r="AL34" s="110">
        <f>AL$22*shipping_manufacturing!$E$27/100</f>
        <v>98.628647603084715</v>
      </c>
      <c r="AM34" s="110">
        <f>AM$22*shipping_manufacturing!$E$27/100</f>
        <v>98.628647603084715</v>
      </c>
      <c r="AN34" s="110">
        <f>AN$22*shipping_manufacturing!$E$27/100</f>
        <v>98.628647603084715</v>
      </c>
      <c r="AO34" s="110">
        <f>AO$22*shipping_manufacturing!$E$27/100</f>
        <v>98.628647603084715</v>
      </c>
      <c r="AP34" s="110">
        <f>AP$22*shipping_manufacturing!$E$27/100</f>
        <v>98.628647603084715</v>
      </c>
      <c r="AQ34" s="110">
        <f>AQ$22*shipping_manufacturing!$E$27/100</f>
        <v>98.628647603084715</v>
      </c>
      <c r="AR34" s="110">
        <f>AR$22*shipping_manufacturing!$E$27/100</f>
        <v>98.628647603084715</v>
      </c>
      <c r="AS34" s="110">
        <f>AS$22*shipping_manufacturing!$E$27/100</f>
        <v>98.628647603084715</v>
      </c>
      <c r="AT34" s="110">
        <f>AT$22*shipping_manufacturing!$E$27/100</f>
        <v>0</v>
      </c>
      <c r="AU34" s="110">
        <f>AU$22*shipping_manufacturing!$E$27/100</f>
        <v>98.628647603084715</v>
      </c>
      <c r="AV34" s="110">
        <f>AV$22*shipping_manufacturing!$E$27/100</f>
        <v>98.628647603084715</v>
      </c>
      <c r="AW34" s="110">
        <f>AW$22*shipping_manufacturing!$E$27/100</f>
        <v>98.628647603084715</v>
      </c>
      <c r="AX34" s="110">
        <f>AX$22*shipping_manufacturing!$E$27/100</f>
        <v>98.628647603084715</v>
      </c>
      <c r="AY34" s="110">
        <f>AY$22*shipping_manufacturing!$E$27/100</f>
        <v>98.628647603084715</v>
      </c>
    </row>
    <row r="35" spans="1:52">
      <c r="A35" s="110">
        <v>1225</v>
      </c>
      <c r="B35" s="165" t="s">
        <v>343</v>
      </c>
      <c r="C35" s="110"/>
      <c r="D35" s="110">
        <f>SUM(D33:D34)</f>
        <v>77.8910360483613</v>
      </c>
      <c r="E35" s="110">
        <f t="shared" ref="E35:AY35" si="11">SUM(E33:E34)</f>
        <v>186.47960612810692</v>
      </c>
      <c r="F35" s="110">
        <f t="shared" si="11"/>
        <v>186.47960612810692</v>
      </c>
      <c r="G35" s="110">
        <f t="shared" si="11"/>
        <v>186.47960612810692</v>
      </c>
      <c r="H35" s="110">
        <f t="shared" si="11"/>
        <v>186.47960612810692</v>
      </c>
      <c r="I35" s="110">
        <f t="shared" si="11"/>
        <v>186.47960612810692</v>
      </c>
      <c r="J35" s="110">
        <f t="shared" si="11"/>
        <v>186.47960612810692</v>
      </c>
      <c r="K35" s="110">
        <f t="shared" si="11"/>
        <v>186.47960612810692</v>
      </c>
      <c r="L35" s="110">
        <f t="shared" si="11"/>
        <v>186.47960612810692</v>
      </c>
      <c r="M35" s="110">
        <f t="shared" si="11"/>
        <v>186.47960612810692</v>
      </c>
      <c r="N35" s="110">
        <f t="shared" si="11"/>
        <v>186.47960612810692</v>
      </c>
      <c r="O35" s="110">
        <f t="shared" si="11"/>
        <v>186.47960612810692</v>
      </c>
      <c r="P35" s="110">
        <f t="shared" si="11"/>
        <v>186.47960612810692</v>
      </c>
      <c r="Q35" s="110">
        <f t="shared" si="11"/>
        <v>186.47960612810692</v>
      </c>
      <c r="R35" s="110">
        <f t="shared" si="11"/>
        <v>186.47960612810692</v>
      </c>
      <c r="S35" s="110">
        <f t="shared" si="11"/>
        <v>186.47960612810692</v>
      </c>
      <c r="T35" s="110">
        <f t="shared" si="11"/>
        <v>186.47960612810692</v>
      </c>
      <c r="U35" s="110">
        <f t="shared" si="11"/>
        <v>186.47960612810692</v>
      </c>
      <c r="V35" s="110">
        <f t="shared" si="11"/>
        <v>186.47960612810692</v>
      </c>
      <c r="W35" s="110">
        <f t="shared" si="11"/>
        <v>186.47960612810692</v>
      </c>
      <c r="X35" s="110">
        <f t="shared" si="11"/>
        <v>186.47960612810692</v>
      </c>
      <c r="Y35" s="110">
        <f t="shared" si="11"/>
        <v>186.47960612810692</v>
      </c>
      <c r="Z35" s="110">
        <f t="shared" si="11"/>
        <v>186.47960612810692</v>
      </c>
      <c r="AA35" s="110">
        <f t="shared" si="11"/>
        <v>186.47960612810692</v>
      </c>
      <c r="AB35" s="110">
        <f t="shared" si="11"/>
        <v>186.47960612810692</v>
      </c>
      <c r="AC35" s="110">
        <f t="shared" si="11"/>
        <v>186.47960612810692</v>
      </c>
      <c r="AD35" s="110">
        <f t="shared" si="11"/>
        <v>186.47960612810692</v>
      </c>
      <c r="AE35" s="110">
        <f t="shared" si="11"/>
        <v>186.47960612810692</v>
      </c>
      <c r="AF35" s="110">
        <f t="shared" si="11"/>
        <v>186.47960612810692</v>
      </c>
      <c r="AG35" s="110">
        <f t="shared" si="11"/>
        <v>186.47960612810692</v>
      </c>
      <c r="AH35" s="110">
        <f t="shared" si="11"/>
        <v>186.47960612810692</v>
      </c>
      <c r="AI35" s="110">
        <f t="shared" si="11"/>
        <v>186.47960612810692</v>
      </c>
      <c r="AJ35" s="110">
        <f t="shared" si="11"/>
        <v>186.47960612810692</v>
      </c>
      <c r="AK35" s="110">
        <f t="shared" si="11"/>
        <v>186.47960612810692</v>
      </c>
      <c r="AL35" s="110">
        <f t="shared" si="11"/>
        <v>186.47960612810692</v>
      </c>
      <c r="AM35" s="110">
        <f t="shared" si="11"/>
        <v>186.47960612810692</v>
      </c>
      <c r="AN35" s="110">
        <f t="shared" si="11"/>
        <v>186.47960612810692</v>
      </c>
      <c r="AO35" s="110">
        <f t="shared" si="11"/>
        <v>186.47960612810692</v>
      </c>
      <c r="AP35" s="110">
        <f t="shared" si="11"/>
        <v>186.47960612810692</v>
      </c>
      <c r="AQ35" s="110">
        <f t="shared" si="11"/>
        <v>186.47960612810692</v>
      </c>
      <c r="AR35" s="110">
        <f t="shared" si="11"/>
        <v>186.47960612810692</v>
      </c>
      <c r="AS35" s="110">
        <f t="shared" si="11"/>
        <v>186.47960612810692</v>
      </c>
      <c r="AT35" s="110">
        <f t="shared" si="11"/>
        <v>0</v>
      </c>
      <c r="AU35" s="110">
        <f t="shared" si="11"/>
        <v>186.47960612810692</v>
      </c>
      <c r="AV35" s="110">
        <f t="shared" si="11"/>
        <v>186.47960612810692</v>
      </c>
      <c r="AW35" s="110">
        <f t="shared" si="11"/>
        <v>186.47960612810692</v>
      </c>
      <c r="AX35" s="110">
        <f t="shared" si="11"/>
        <v>186.47960612810692</v>
      </c>
      <c r="AY35" s="110">
        <f t="shared" si="11"/>
        <v>186.47960612810692</v>
      </c>
    </row>
    <row r="36" spans="1:52">
      <c r="A36" s="110"/>
      <c r="B36" s="165" t="s">
        <v>344</v>
      </c>
      <c r="C36" s="110"/>
      <c r="D36" s="110">
        <v>14.133066936767996</v>
      </c>
      <c r="E36" s="110">
        <v>70.665334683839973</v>
      </c>
      <c r="F36" s="110"/>
      <c r="G36" s="110">
        <v>70.665334683839973</v>
      </c>
      <c r="H36" s="110"/>
      <c r="I36" s="110">
        <v>70.665334683839973</v>
      </c>
      <c r="J36" s="110"/>
      <c r="K36" s="110">
        <v>70.665334683839973</v>
      </c>
      <c r="L36" s="110"/>
      <c r="M36" s="110">
        <v>70.665334683839973</v>
      </c>
      <c r="N36" s="110"/>
      <c r="O36" s="110">
        <v>70.665334683839973</v>
      </c>
      <c r="P36" s="110"/>
      <c r="Q36" s="110">
        <v>70.665334683839973</v>
      </c>
      <c r="R36" s="110"/>
      <c r="S36" s="110">
        <v>70.665334683839973</v>
      </c>
      <c r="T36" s="110"/>
      <c r="U36" s="110">
        <v>70.665334683839973</v>
      </c>
      <c r="V36" s="110"/>
      <c r="W36" s="110">
        <v>70.665334683839973</v>
      </c>
      <c r="X36" s="110"/>
      <c r="Y36" s="110">
        <v>70.665334683839973</v>
      </c>
      <c r="Z36" s="110"/>
      <c r="AA36" s="110">
        <v>70.665334683839973</v>
      </c>
      <c r="AB36" s="110"/>
      <c r="AC36" s="110">
        <v>70.665334683839973</v>
      </c>
      <c r="AD36" s="110"/>
      <c r="AE36" s="110">
        <v>70.665334683839973</v>
      </c>
      <c r="AF36" s="110"/>
      <c r="AG36" s="110">
        <v>70.665334683839973</v>
      </c>
      <c r="AH36" s="110"/>
      <c r="AI36" s="110">
        <v>70.665334683839973</v>
      </c>
      <c r="AJ36" s="110"/>
      <c r="AK36" s="110">
        <v>70.665334683839973</v>
      </c>
      <c r="AL36" s="110"/>
      <c r="AM36" s="110">
        <v>70.665334683839973</v>
      </c>
      <c r="AN36" s="110"/>
      <c r="AO36" s="110">
        <v>70.665334683839973</v>
      </c>
      <c r="AP36" s="110"/>
      <c r="AQ36" s="110">
        <v>70.665334683839973</v>
      </c>
      <c r="AR36" s="110"/>
      <c r="AS36" s="110">
        <v>70.665334683839973</v>
      </c>
      <c r="AT36" s="110"/>
      <c r="AU36" s="110">
        <v>87.850958525022207</v>
      </c>
      <c r="AV36" s="110"/>
      <c r="AW36" s="110">
        <v>87.850958525022207</v>
      </c>
      <c r="AX36" s="110"/>
      <c r="AY36" s="110">
        <v>87.850958525022207</v>
      </c>
    </row>
    <row r="37" spans="1:52">
      <c r="A37" s="110"/>
      <c r="B37" s="165" t="s">
        <v>345</v>
      </c>
      <c r="C37" s="110"/>
      <c r="D37" s="110">
        <v>15.866933063232004</v>
      </c>
      <c r="E37" s="110">
        <v>79.334665316160013</v>
      </c>
      <c r="F37" s="110"/>
      <c r="G37" s="110">
        <v>79.334665316160013</v>
      </c>
      <c r="H37" s="110"/>
      <c r="I37" s="110">
        <v>79.334665316160013</v>
      </c>
      <c r="J37" s="110"/>
      <c r="K37" s="110">
        <v>79.334665316160013</v>
      </c>
      <c r="L37" s="110"/>
      <c r="M37" s="110">
        <v>79.334665316160013</v>
      </c>
      <c r="N37" s="110"/>
      <c r="O37" s="110">
        <v>79.334665316160013</v>
      </c>
      <c r="P37" s="110"/>
      <c r="Q37" s="110">
        <v>79.334665316160013</v>
      </c>
      <c r="R37" s="110"/>
      <c r="S37" s="110">
        <v>79.334665316160013</v>
      </c>
      <c r="T37" s="110"/>
      <c r="U37" s="110">
        <v>79.334665316160013</v>
      </c>
      <c r="V37" s="110"/>
      <c r="W37" s="110">
        <v>79.334665316160013</v>
      </c>
      <c r="X37" s="110"/>
      <c r="Y37" s="110">
        <v>79.334665316160013</v>
      </c>
      <c r="Z37" s="110"/>
      <c r="AA37" s="110">
        <v>79.334665316160013</v>
      </c>
      <c r="AB37" s="110"/>
      <c r="AC37" s="110">
        <v>79.334665316160013</v>
      </c>
      <c r="AD37" s="110"/>
      <c r="AE37" s="110">
        <v>79.334665316160013</v>
      </c>
      <c r="AF37" s="110"/>
      <c r="AG37" s="110">
        <v>79.334665316160013</v>
      </c>
      <c r="AH37" s="110"/>
      <c r="AI37" s="110">
        <v>79.334665316160013</v>
      </c>
      <c r="AJ37" s="110"/>
      <c r="AK37" s="110">
        <v>79.334665316160013</v>
      </c>
      <c r="AL37" s="110"/>
      <c r="AM37" s="110">
        <v>79.334665316160013</v>
      </c>
      <c r="AN37" s="110"/>
      <c r="AO37" s="110">
        <v>79.334665316160013</v>
      </c>
      <c r="AP37" s="110"/>
      <c r="AQ37" s="110">
        <v>79.334665316160013</v>
      </c>
      <c r="AR37" s="110"/>
      <c r="AS37" s="110">
        <v>79.334665316160013</v>
      </c>
      <c r="AT37" s="110"/>
      <c r="AU37" s="110">
        <v>98.628647603084687</v>
      </c>
      <c r="AV37" s="110"/>
      <c r="AW37" s="110">
        <v>98.628647603084687</v>
      </c>
      <c r="AX37" s="110"/>
      <c r="AY37" s="110">
        <v>98.628647603084687</v>
      </c>
    </row>
    <row r="38" spans="1:52">
      <c r="A38" s="110"/>
      <c r="B38" s="165" t="s">
        <v>346</v>
      </c>
      <c r="C38" s="110"/>
      <c r="D38" s="110">
        <v>1</v>
      </c>
      <c r="E38" s="110">
        <v>5</v>
      </c>
      <c r="F38" s="110"/>
      <c r="G38" s="110">
        <v>5</v>
      </c>
      <c r="H38" s="110"/>
      <c r="I38" s="110">
        <v>5</v>
      </c>
      <c r="J38" s="110"/>
      <c r="K38" s="110">
        <v>5</v>
      </c>
      <c r="L38" s="110"/>
      <c r="M38" s="110">
        <v>5</v>
      </c>
      <c r="N38" s="110"/>
      <c r="O38" s="110">
        <v>5</v>
      </c>
      <c r="P38" s="110"/>
      <c r="Q38" s="110">
        <v>5</v>
      </c>
      <c r="R38" s="110"/>
      <c r="S38" s="110">
        <v>5</v>
      </c>
      <c r="T38" s="110"/>
      <c r="U38" s="110">
        <v>5</v>
      </c>
      <c r="V38" s="110"/>
      <c r="W38" s="110">
        <v>5</v>
      </c>
      <c r="X38" s="110"/>
      <c r="Y38" s="110">
        <v>5</v>
      </c>
      <c r="Z38" s="110"/>
      <c r="AA38" s="110">
        <v>5</v>
      </c>
      <c r="AB38" s="110"/>
      <c r="AC38" s="110">
        <v>5</v>
      </c>
      <c r="AD38" s="110"/>
      <c r="AE38" s="110">
        <v>5</v>
      </c>
      <c r="AF38" s="110"/>
      <c r="AG38" s="110">
        <v>5</v>
      </c>
      <c r="AH38" s="110"/>
      <c r="AI38" s="110">
        <v>5</v>
      </c>
      <c r="AJ38" s="110"/>
      <c r="AK38" s="110">
        <v>5</v>
      </c>
      <c r="AL38" s="110"/>
      <c r="AM38" s="110">
        <v>5</v>
      </c>
      <c r="AN38" s="110"/>
      <c r="AO38" s="110">
        <v>5</v>
      </c>
      <c r="AP38" s="110"/>
      <c r="AQ38" s="110">
        <v>5</v>
      </c>
      <c r="AR38" s="110"/>
      <c r="AS38" s="110">
        <v>5</v>
      </c>
      <c r="AT38" s="110"/>
      <c r="AU38" s="110">
        <v>7</v>
      </c>
      <c r="AV38" s="110"/>
      <c r="AW38" s="110">
        <v>7</v>
      </c>
      <c r="AX38" s="110"/>
      <c r="AY38" s="110">
        <v>7</v>
      </c>
    </row>
    <row r="39" spans="1:52">
      <c r="A39" s="110"/>
      <c r="B39" s="165" t="s">
        <v>347</v>
      </c>
      <c r="C39" s="110"/>
      <c r="D39" s="110">
        <f>D33-D36</f>
        <v>22.561573938088642</v>
      </c>
      <c r="E39" s="110">
        <f t="shared" ref="E39:AY39" si="12">E33-E36</f>
        <v>17.185623841182249</v>
      </c>
      <c r="F39" s="110">
        <f t="shared" si="12"/>
        <v>87.850958525022222</v>
      </c>
      <c r="G39" s="110">
        <f t="shared" si="12"/>
        <v>17.185623841182249</v>
      </c>
      <c r="H39" s="110">
        <f t="shared" si="12"/>
        <v>87.850958525022222</v>
      </c>
      <c r="I39" s="110">
        <f t="shared" si="12"/>
        <v>17.185623841182249</v>
      </c>
      <c r="J39" s="110">
        <f t="shared" si="12"/>
        <v>87.850958525022222</v>
      </c>
      <c r="K39" s="110">
        <f t="shared" si="12"/>
        <v>17.185623841182249</v>
      </c>
      <c r="L39" s="110">
        <f t="shared" si="12"/>
        <v>87.850958525022222</v>
      </c>
      <c r="M39" s="110">
        <f t="shared" si="12"/>
        <v>17.185623841182249</v>
      </c>
      <c r="N39" s="110">
        <f t="shared" si="12"/>
        <v>87.850958525022222</v>
      </c>
      <c r="O39" s="110">
        <f t="shared" si="12"/>
        <v>17.185623841182249</v>
      </c>
      <c r="P39" s="110">
        <f t="shared" si="12"/>
        <v>87.850958525022222</v>
      </c>
      <c r="Q39" s="110">
        <f t="shared" si="12"/>
        <v>17.185623841182249</v>
      </c>
      <c r="R39" s="110">
        <f t="shared" si="12"/>
        <v>87.850958525022222</v>
      </c>
      <c r="S39" s="110">
        <f t="shared" si="12"/>
        <v>17.185623841182249</v>
      </c>
      <c r="T39" s="110">
        <f t="shared" si="12"/>
        <v>87.850958525022222</v>
      </c>
      <c r="U39" s="110">
        <f t="shared" si="12"/>
        <v>17.185623841182249</v>
      </c>
      <c r="V39" s="110">
        <f t="shared" si="12"/>
        <v>87.850958525022222</v>
      </c>
      <c r="W39" s="110">
        <f t="shared" si="12"/>
        <v>17.185623841182249</v>
      </c>
      <c r="X39" s="110">
        <f t="shared" si="12"/>
        <v>87.850958525022222</v>
      </c>
      <c r="Y39" s="110">
        <f t="shared" si="12"/>
        <v>17.185623841182249</v>
      </c>
      <c r="Z39" s="110">
        <f t="shared" si="12"/>
        <v>87.850958525022222</v>
      </c>
      <c r="AA39" s="110">
        <f t="shared" si="12"/>
        <v>17.185623841182249</v>
      </c>
      <c r="AB39" s="110">
        <f t="shared" si="12"/>
        <v>87.850958525022222</v>
      </c>
      <c r="AC39" s="110">
        <f t="shared" si="12"/>
        <v>17.185623841182249</v>
      </c>
      <c r="AD39" s="110">
        <f t="shared" si="12"/>
        <v>87.850958525022222</v>
      </c>
      <c r="AE39" s="110">
        <f t="shared" si="12"/>
        <v>17.185623841182249</v>
      </c>
      <c r="AF39" s="110">
        <f t="shared" si="12"/>
        <v>87.850958525022222</v>
      </c>
      <c r="AG39" s="110">
        <f t="shared" si="12"/>
        <v>17.185623841182249</v>
      </c>
      <c r="AH39" s="110">
        <f t="shared" si="12"/>
        <v>87.850958525022222</v>
      </c>
      <c r="AI39" s="110">
        <f t="shared" si="12"/>
        <v>17.185623841182249</v>
      </c>
      <c r="AJ39" s="110">
        <f t="shared" si="12"/>
        <v>87.850958525022222</v>
      </c>
      <c r="AK39" s="110">
        <f t="shared" si="12"/>
        <v>17.185623841182249</v>
      </c>
      <c r="AL39" s="110">
        <f t="shared" si="12"/>
        <v>87.850958525022222</v>
      </c>
      <c r="AM39" s="110">
        <f t="shared" si="12"/>
        <v>17.185623841182249</v>
      </c>
      <c r="AN39" s="110">
        <f t="shared" si="12"/>
        <v>87.850958525022222</v>
      </c>
      <c r="AO39" s="110">
        <f t="shared" si="12"/>
        <v>17.185623841182249</v>
      </c>
      <c r="AP39" s="110">
        <f t="shared" si="12"/>
        <v>87.850958525022222</v>
      </c>
      <c r="AQ39" s="110">
        <f t="shared" si="12"/>
        <v>17.185623841182249</v>
      </c>
      <c r="AR39" s="110">
        <f t="shared" si="12"/>
        <v>87.850958525022222</v>
      </c>
      <c r="AS39" s="110">
        <f t="shared" si="12"/>
        <v>17.185623841182249</v>
      </c>
      <c r="AT39" s="110">
        <f t="shared" si="12"/>
        <v>0</v>
      </c>
      <c r="AU39" s="110">
        <f t="shared" si="12"/>
        <v>0</v>
      </c>
      <c r="AV39" s="110">
        <f t="shared" si="12"/>
        <v>87.850958525022222</v>
      </c>
      <c r="AW39" s="110">
        <f t="shared" si="12"/>
        <v>0</v>
      </c>
      <c r="AX39" s="110">
        <f t="shared" si="12"/>
        <v>87.850958525022222</v>
      </c>
      <c r="AY39" s="110">
        <f t="shared" si="12"/>
        <v>0</v>
      </c>
    </row>
    <row r="40" spans="1:52">
      <c r="A40" s="110"/>
      <c r="B40" s="165" t="s">
        <v>348</v>
      </c>
      <c r="C40" s="110"/>
      <c r="D40" s="110">
        <f>D34-D37</f>
        <v>25.329462110272658</v>
      </c>
      <c r="E40" s="110">
        <f t="shared" ref="E40:AY40" si="13">E34-E37</f>
        <v>19.293982286924702</v>
      </c>
      <c r="F40" s="110">
        <f t="shared" si="13"/>
        <v>98.628647603084715</v>
      </c>
      <c r="G40" s="110">
        <f t="shared" si="13"/>
        <v>19.293982286924702</v>
      </c>
      <c r="H40" s="110">
        <f t="shared" si="13"/>
        <v>98.628647603084715</v>
      </c>
      <c r="I40" s="110">
        <f t="shared" si="13"/>
        <v>19.293982286924702</v>
      </c>
      <c r="J40" s="110">
        <f t="shared" si="13"/>
        <v>98.628647603084715</v>
      </c>
      <c r="K40" s="110">
        <f t="shared" si="13"/>
        <v>19.293982286924702</v>
      </c>
      <c r="L40" s="110">
        <f t="shared" si="13"/>
        <v>98.628647603084715</v>
      </c>
      <c r="M40" s="110">
        <f t="shared" si="13"/>
        <v>19.293982286924702</v>
      </c>
      <c r="N40" s="110">
        <f t="shared" si="13"/>
        <v>98.628647603084715</v>
      </c>
      <c r="O40" s="110">
        <f t="shared" si="13"/>
        <v>19.293982286924702</v>
      </c>
      <c r="P40" s="110">
        <f t="shared" si="13"/>
        <v>98.628647603084715</v>
      </c>
      <c r="Q40" s="110">
        <f t="shared" si="13"/>
        <v>19.293982286924702</v>
      </c>
      <c r="R40" s="110">
        <f t="shared" si="13"/>
        <v>98.628647603084715</v>
      </c>
      <c r="S40" s="110">
        <f t="shared" si="13"/>
        <v>19.293982286924702</v>
      </c>
      <c r="T40" s="110">
        <f t="shared" si="13"/>
        <v>98.628647603084715</v>
      </c>
      <c r="U40" s="110">
        <f t="shared" si="13"/>
        <v>19.293982286924702</v>
      </c>
      <c r="V40" s="110">
        <f t="shared" si="13"/>
        <v>98.628647603084715</v>
      </c>
      <c r="W40" s="110">
        <f t="shared" si="13"/>
        <v>19.293982286924702</v>
      </c>
      <c r="X40" s="110">
        <f t="shared" si="13"/>
        <v>98.628647603084715</v>
      </c>
      <c r="Y40" s="110">
        <f t="shared" si="13"/>
        <v>19.293982286924702</v>
      </c>
      <c r="Z40" s="110">
        <f t="shared" si="13"/>
        <v>98.628647603084715</v>
      </c>
      <c r="AA40" s="110">
        <f t="shared" si="13"/>
        <v>19.293982286924702</v>
      </c>
      <c r="AB40" s="110">
        <f t="shared" si="13"/>
        <v>98.628647603084715</v>
      </c>
      <c r="AC40" s="110">
        <f t="shared" si="13"/>
        <v>19.293982286924702</v>
      </c>
      <c r="AD40" s="110">
        <f t="shared" si="13"/>
        <v>98.628647603084715</v>
      </c>
      <c r="AE40" s="110">
        <f t="shared" si="13"/>
        <v>19.293982286924702</v>
      </c>
      <c r="AF40" s="110">
        <f t="shared" si="13"/>
        <v>98.628647603084715</v>
      </c>
      <c r="AG40" s="110">
        <f t="shared" si="13"/>
        <v>19.293982286924702</v>
      </c>
      <c r="AH40" s="110">
        <f t="shared" si="13"/>
        <v>98.628647603084715</v>
      </c>
      <c r="AI40" s="110">
        <f t="shared" si="13"/>
        <v>19.293982286924702</v>
      </c>
      <c r="AJ40" s="110">
        <f t="shared" si="13"/>
        <v>98.628647603084715</v>
      </c>
      <c r="AK40" s="110">
        <f t="shared" si="13"/>
        <v>19.293982286924702</v>
      </c>
      <c r="AL40" s="110">
        <f t="shared" si="13"/>
        <v>98.628647603084715</v>
      </c>
      <c r="AM40" s="110">
        <f t="shared" si="13"/>
        <v>19.293982286924702</v>
      </c>
      <c r="AN40" s="110">
        <f t="shared" si="13"/>
        <v>98.628647603084715</v>
      </c>
      <c r="AO40" s="110">
        <f t="shared" si="13"/>
        <v>19.293982286924702</v>
      </c>
      <c r="AP40" s="110">
        <f t="shared" si="13"/>
        <v>98.628647603084715</v>
      </c>
      <c r="AQ40" s="110">
        <f t="shared" si="13"/>
        <v>19.293982286924702</v>
      </c>
      <c r="AR40" s="110">
        <f t="shared" si="13"/>
        <v>98.628647603084715</v>
      </c>
      <c r="AS40" s="110">
        <f t="shared" si="13"/>
        <v>19.293982286924702</v>
      </c>
      <c r="AT40" s="110">
        <f t="shared" si="13"/>
        <v>0</v>
      </c>
      <c r="AU40" s="110">
        <f t="shared" si="13"/>
        <v>0</v>
      </c>
      <c r="AV40" s="110">
        <f t="shared" si="13"/>
        <v>98.628647603084715</v>
      </c>
      <c r="AW40" s="110">
        <f t="shared" si="13"/>
        <v>0</v>
      </c>
      <c r="AX40" s="110">
        <f t="shared" si="13"/>
        <v>98.628647603084715</v>
      </c>
      <c r="AY40" s="110">
        <f t="shared" si="13"/>
        <v>0</v>
      </c>
    </row>
    <row r="41" spans="1:52">
      <c r="A41" s="110"/>
      <c r="B41" s="165" t="s">
        <v>349</v>
      </c>
      <c r="C41" s="110"/>
      <c r="D41" s="110">
        <v>2</v>
      </c>
      <c r="E41" s="110">
        <v>1</v>
      </c>
      <c r="F41" s="110">
        <v>2</v>
      </c>
      <c r="G41" s="110">
        <v>1</v>
      </c>
      <c r="H41" s="110">
        <v>1</v>
      </c>
      <c r="I41" s="110">
        <v>1</v>
      </c>
      <c r="J41" s="110">
        <v>2</v>
      </c>
      <c r="K41" s="110">
        <v>2</v>
      </c>
      <c r="L41" s="110">
        <v>2</v>
      </c>
      <c r="M41" s="110">
        <v>2</v>
      </c>
      <c r="N41" s="110">
        <v>3</v>
      </c>
      <c r="O41" s="110">
        <v>2</v>
      </c>
      <c r="P41" s="110">
        <v>1</v>
      </c>
      <c r="Q41" s="110">
        <v>1</v>
      </c>
      <c r="R41" s="110">
        <v>1</v>
      </c>
      <c r="S41" s="110">
        <v>2</v>
      </c>
      <c r="T41" s="110">
        <v>1</v>
      </c>
      <c r="U41" s="110">
        <v>1</v>
      </c>
      <c r="V41" s="110">
        <v>3</v>
      </c>
      <c r="W41" s="110">
        <v>1</v>
      </c>
      <c r="X41" s="110">
        <v>1</v>
      </c>
      <c r="Y41" s="110">
        <v>1</v>
      </c>
      <c r="Z41" s="110">
        <v>2</v>
      </c>
      <c r="AA41" s="110">
        <v>1</v>
      </c>
      <c r="AB41" s="110">
        <v>1</v>
      </c>
      <c r="AC41" s="110">
        <v>1</v>
      </c>
      <c r="AD41" s="110">
        <v>1</v>
      </c>
      <c r="AE41" s="110">
        <v>1</v>
      </c>
      <c r="AF41" s="110">
        <v>1</v>
      </c>
      <c r="AG41" s="110">
        <v>2</v>
      </c>
      <c r="AH41" s="110">
        <v>3</v>
      </c>
      <c r="AI41" s="110">
        <v>1</v>
      </c>
      <c r="AJ41" s="110">
        <v>1</v>
      </c>
      <c r="AK41" s="110">
        <v>2</v>
      </c>
      <c r="AL41" s="110">
        <v>1</v>
      </c>
      <c r="AM41" s="110">
        <v>1</v>
      </c>
      <c r="AN41" s="110">
        <v>2</v>
      </c>
      <c r="AO41" s="110">
        <v>1</v>
      </c>
      <c r="AP41" s="110">
        <v>3</v>
      </c>
      <c r="AQ41" s="110">
        <v>1</v>
      </c>
      <c r="AR41" s="110">
        <v>1</v>
      </c>
      <c r="AS41" s="110">
        <v>2</v>
      </c>
      <c r="AT41" s="110">
        <v>2</v>
      </c>
      <c r="AU41" s="110">
        <v>1</v>
      </c>
      <c r="AV41" s="110">
        <v>2</v>
      </c>
      <c r="AW41" s="110">
        <v>2</v>
      </c>
      <c r="AX41" s="110">
        <v>1</v>
      </c>
      <c r="AY41" s="110">
        <v>2</v>
      </c>
    </row>
    <row r="42" spans="1:52">
      <c r="A42" s="110"/>
      <c r="B42" s="178" t="s">
        <v>350</v>
      </c>
      <c r="C42" s="110"/>
      <c r="D42" s="110">
        <v>44100</v>
      </c>
      <c r="E42" s="110">
        <v>220500</v>
      </c>
      <c r="F42" s="110">
        <v>0</v>
      </c>
      <c r="G42" s="110">
        <v>220500</v>
      </c>
      <c r="H42" s="110">
        <v>0</v>
      </c>
      <c r="I42" s="110">
        <v>220500</v>
      </c>
      <c r="J42" s="110">
        <v>0</v>
      </c>
      <c r="K42" s="110">
        <v>220500</v>
      </c>
      <c r="L42" s="110">
        <v>0</v>
      </c>
      <c r="M42" s="110">
        <v>220500</v>
      </c>
      <c r="N42" s="110">
        <v>0</v>
      </c>
      <c r="O42" s="110">
        <v>220500</v>
      </c>
      <c r="P42" s="110">
        <v>0</v>
      </c>
      <c r="Q42" s="110">
        <v>220500</v>
      </c>
      <c r="R42" s="110">
        <v>0</v>
      </c>
      <c r="S42" s="110">
        <v>220500</v>
      </c>
      <c r="T42" s="110">
        <v>0</v>
      </c>
      <c r="U42" s="110">
        <v>220500</v>
      </c>
      <c r="V42" s="110">
        <v>0</v>
      </c>
      <c r="W42" s="110">
        <v>220500</v>
      </c>
      <c r="X42" s="110">
        <v>0</v>
      </c>
      <c r="Y42" s="110">
        <v>220500</v>
      </c>
      <c r="Z42" s="110">
        <v>0</v>
      </c>
      <c r="AA42" s="110">
        <v>220500</v>
      </c>
      <c r="AB42" s="110">
        <v>0</v>
      </c>
      <c r="AC42" s="110">
        <v>220500</v>
      </c>
      <c r="AD42" s="110">
        <v>0</v>
      </c>
      <c r="AE42" s="110">
        <v>220500</v>
      </c>
      <c r="AF42" s="110">
        <v>0</v>
      </c>
      <c r="AG42" s="110">
        <v>220500</v>
      </c>
      <c r="AH42" s="110">
        <v>0</v>
      </c>
      <c r="AI42" s="110">
        <v>220500</v>
      </c>
      <c r="AJ42" s="110">
        <v>0</v>
      </c>
      <c r="AK42" s="110">
        <v>220500</v>
      </c>
      <c r="AL42" s="110">
        <v>0</v>
      </c>
      <c r="AM42" s="110">
        <v>220500</v>
      </c>
      <c r="AN42" s="110">
        <v>0</v>
      </c>
      <c r="AO42" s="110">
        <v>220500</v>
      </c>
      <c r="AP42" s="110">
        <v>0</v>
      </c>
      <c r="AQ42" s="110">
        <v>220500</v>
      </c>
      <c r="AR42" s="110">
        <v>0</v>
      </c>
      <c r="AS42" s="110">
        <v>220500</v>
      </c>
      <c r="AT42" s="110">
        <v>0</v>
      </c>
      <c r="AU42" s="110">
        <v>308700</v>
      </c>
      <c r="AV42" s="110">
        <v>0</v>
      </c>
      <c r="AW42" s="110">
        <v>308700</v>
      </c>
      <c r="AX42" s="110">
        <v>0</v>
      </c>
      <c r="AY42" s="110">
        <v>308700</v>
      </c>
      <c r="AZ42" s="100">
        <f>SUM($D$42:$AY$42)</f>
        <v>5600700</v>
      </c>
    </row>
    <row r="43" spans="1:52">
      <c r="A43" s="110"/>
      <c r="B43" s="178" t="s">
        <v>351</v>
      </c>
      <c r="C43" s="110"/>
      <c r="D43" s="110">
        <v>38133.237453507689</v>
      </c>
      <c r="E43" s="110">
        <v>29046.886379505158</v>
      </c>
      <c r="F43" s="110">
        <v>148484.38637950513</v>
      </c>
      <c r="G43" s="110">
        <v>29046.886379505158</v>
      </c>
      <c r="H43" s="110">
        <v>148484.38637950513</v>
      </c>
      <c r="I43" s="110">
        <v>29046.886379505158</v>
      </c>
      <c r="J43" s="110">
        <v>148484.38637950513</v>
      </c>
      <c r="K43" s="110">
        <v>29046.886379505158</v>
      </c>
      <c r="L43" s="110">
        <v>148484.38637950513</v>
      </c>
      <c r="M43" s="110">
        <v>29046.886379505158</v>
      </c>
      <c r="N43" s="110">
        <v>148484.38637950513</v>
      </c>
      <c r="O43" s="110">
        <v>29046.886379505158</v>
      </c>
      <c r="P43" s="110">
        <v>148484.38637950513</v>
      </c>
      <c r="Q43" s="110">
        <v>29046.886379505158</v>
      </c>
      <c r="R43" s="110">
        <v>148484.38637950513</v>
      </c>
      <c r="S43" s="110">
        <v>29046.886379505158</v>
      </c>
      <c r="T43" s="110">
        <v>148484.38637950513</v>
      </c>
      <c r="U43" s="110">
        <v>29046.886379505158</v>
      </c>
      <c r="V43" s="110">
        <v>148484.38637950513</v>
      </c>
      <c r="W43" s="110">
        <v>29046.886379505158</v>
      </c>
      <c r="X43" s="110">
        <v>148484.38637950513</v>
      </c>
      <c r="Y43" s="110">
        <v>29046.886379505158</v>
      </c>
      <c r="Z43" s="110">
        <v>148484.38637950513</v>
      </c>
      <c r="AA43" s="110">
        <v>29046.886379505158</v>
      </c>
      <c r="AB43" s="110">
        <v>148484.38637950513</v>
      </c>
      <c r="AC43" s="110">
        <v>29046.886379505158</v>
      </c>
      <c r="AD43" s="110">
        <v>148484.38637950513</v>
      </c>
      <c r="AE43" s="110">
        <v>29046.886379505158</v>
      </c>
      <c r="AF43" s="110">
        <v>148484.38637950513</v>
      </c>
      <c r="AG43" s="110">
        <v>29046.886379505158</v>
      </c>
      <c r="AH43" s="110">
        <v>148484.38637950513</v>
      </c>
      <c r="AI43" s="110">
        <v>29046.886379505158</v>
      </c>
      <c r="AJ43" s="110">
        <v>148484.38637950513</v>
      </c>
      <c r="AK43" s="110">
        <v>29046.886379505158</v>
      </c>
      <c r="AL43" s="110">
        <v>148484.38637950513</v>
      </c>
      <c r="AM43" s="110">
        <v>29046.886379505158</v>
      </c>
      <c r="AN43" s="110">
        <v>148484.38637950513</v>
      </c>
      <c r="AO43" s="110">
        <v>29046.886379505158</v>
      </c>
      <c r="AP43" s="110">
        <v>148484.38637950513</v>
      </c>
      <c r="AQ43" s="110">
        <v>29046.886379505158</v>
      </c>
      <c r="AR43" s="110">
        <v>148484.38637950513</v>
      </c>
      <c r="AS43" s="110">
        <v>29046.886379505158</v>
      </c>
      <c r="AT43" s="110">
        <v>0</v>
      </c>
      <c r="AU43" s="110">
        <v>0</v>
      </c>
      <c r="AV43" s="110">
        <v>148484.38637950513</v>
      </c>
      <c r="AW43" s="110">
        <v>0</v>
      </c>
      <c r="AX43" s="110">
        <v>148484.38637950513</v>
      </c>
      <c r="AY43" s="110">
        <v>0</v>
      </c>
      <c r="AZ43" s="100">
        <f>SUM($D$43:$AY$43)</f>
        <v>3914774.3517722259</v>
      </c>
    </row>
    <row r="44" spans="1:52">
      <c r="A44" s="135" t="s">
        <v>46</v>
      </c>
      <c r="B44" s="135" t="s">
        <v>341</v>
      </c>
      <c r="C44" s="124"/>
      <c r="D44" s="124">
        <f>D$21*shipping_manufacturing!$D$28/100</f>
        <v>71.007636723153382</v>
      </c>
      <c r="E44" s="124">
        <f>E$21*shipping_manufacturing!$D$28/100</f>
        <v>169.99999999999901</v>
      </c>
      <c r="F44" s="124">
        <f>F$21*shipping_manufacturing!$D$28/100</f>
        <v>169.99999999999901</v>
      </c>
      <c r="G44" s="124">
        <f>G$21*shipping_manufacturing!$D$28/100</f>
        <v>169.99999999999901</v>
      </c>
      <c r="H44" s="124">
        <f>H$21*shipping_manufacturing!$D$28/100</f>
        <v>169.99999999999901</v>
      </c>
      <c r="I44" s="124">
        <f>I$21*shipping_manufacturing!$D$28/100</f>
        <v>169.99999999999901</v>
      </c>
      <c r="J44" s="124">
        <f>J$21*shipping_manufacturing!$D$28/100</f>
        <v>169.99999999999901</v>
      </c>
      <c r="K44" s="124">
        <f>K$21*shipping_manufacturing!$D$28/100</f>
        <v>169.99999999999901</v>
      </c>
      <c r="L44" s="124">
        <f>L$21*shipping_manufacturing!$D$28/100</f>
        <v>169.99999999999901</v>
      </c>
      <c r="M44" s="124">
        <f>M$21*shipping_manufacturing!$D$28/100</f>
        <v>169.99999999999901</v>
      </c>
      <c r="N44" s="124">
        <f>N$21*shipping_manufacturing!$D$28/100</f>
        <v>169.99999999999901</v>
      </c>
      <c r="O44" s="124">
        <f>O$21*shipping_manufacturing!$D$28/100</f>
        <v>169.99999999999901</v>
      </c>
      <c r="P44" s="124">
        <f>P$21*shipping_manufacturing!$D$28/100</f>
        <v>169.99999999999901</v>
      </c>
      <c r="Q44" s="124">
        <f>Q$21*shipping_manufacturing!$D$28/100</f>
        <v>169.99999999999901</v>
      </c>
      <c r="R44" s="124">
        <f>R$21*shipping_manufacturing!$D$28/100</f>
        <v>169.99999999999901</v>
      </c>
      <c r="S44" s="124">
        <f>S$21*shipping_manufacturing!$D$28/100</f>
        <v>169.99999999999901</v>
      </c>
      <c r="T44" s="124">
        <f>T$21*shipping_manufacturing!$D$28/100</f>
        <v>169.99999999999901</v>
      </c>
      <c r="U44" s="124">
        <f>U$21*shipping_manufacturing!$D$28/100</f>
        <v>169.99999999999901</v>
      </c>
      <c r="V44" s="124">
        <f>V$21*shipping_manufacturing!$D$28/100</f>
        <v>169.99999999999901</v>
      </c>
      <c r="W44" s="124">
        <f>W$21*shipping_manufacturing!$D$28/100</f>
        <v>169.99999999999901</v>
      </c>
      <c r="X44" s="124">
        <f>X$21*shipping_manufacturing!$D$28/100</f>
        <v>169.99999999999901</v>
      </c>
      <c r="Y44" s="124">
        <f>Y$21*shipping_manufacturing!$D$28/100</f>
        <v>169.99999999999901</v>
      </c>
      <c r="Z44" s="124">
        <f>Z$21*shipping_manufacturing!$D$28/100</f>
        <v>169.99999999999901</v>
      </c>
      <c r="AA44" s="124">
        <f>AA$21*shipping_manufacturing!$D$28/100</f>
        <v>169.99999999999901</v>
      </c>
      <c r="AB44" s="124">
        <f>AB$21*shipping_manufacturing!$D$28/100</f>
        <v>169.99999999999901</v>
      </c>
      <c r="AC44" s="124">
        <f>AC$21*shipping_manufacturing!$D$28/100</f>
        <v>169.99999999999901</v>
      </c>
      <c r="AD44" s="124">
        <f>AD$21*shipping_manufacturing!$D$28/100</f>
        <v>169.99999999999901</v>
      </c>
      <c r="AE44" s="124">
        <f>AE$21*shipping_manufacturing!$D$28/100</f>
        <v>169.99999999999901</v>
      </c>
      <c r="AF44" s="124">
        <f>AF$21*shipping_manufacturing!$D$28/100</f>
        <v>169.99999999999901</v>
      </c>
      <c r="AG44" s="124">
        <f>AG$21*shipping_manufacturing!$D$28/100</f>
        <v>169.99999999999901</v>
      </c>
      <c r="AH44" s="124">
        <f>AH$21*shipping_manufacturing!$D$28/100</f>
        <v>169.99999999999901</v>
      </c>
      <c r="AI44" s="124">
        <f>AI$21*shipping_manufacturing!$D$28/100</f>
        <v>169.99999999999901</v>
      </c>
      <c r="AJ44" s="124">
        <f>AJ$21*shipping_manufacturing!$D$28/100</f>
        <v>169.99999999999901</v>
      </c>
      <c r="AK44" s="124">
        <f>AK$21*shipping_manufacturing!$D$28/100</f>
        <v>169.99999999999901</v>
      </c>
      <c r="AL44" s="124">
        <f>AL$21*shipping_manufacturing!$D$28/100</f>
        <v>169.99999999999901</v>
      </c>
      <c r="AM44" s="124">
        <f>AM$21*shipping_manufacturing!$D$28/100</f>
        <v>169.99999999999901</v>
      </c>
      <c r="AN44" s="124">
        <f>AN$21*shipping_manufacturing!$D$28/100</f>
        <v>169.99999999999901</v>
      </c>
      <c r="AO44" s="124">
        <f>AO$21*shipping_manufacturing!$D$28/100</f>
        <v>169.99999999999901</v>
      </c>
      <c r="AP44" s="124">
        <f>AP$21*shipping_manufacturing!$D$28/100</f>
        <v>169.99999999999901</v>
      </c>
      <c r="AQ44" s="124">
        <f>AQ$21*shipping_manufacturing!$D$28/100</f>
        <v>169.99999999999901</v>
      </c>
      <c r="AR44" s="124">
        <f>AR$21*shipping_manufacturing!$D$28/100</f>
        <v>169.99999999999901</v>
      </c>
      <c r="AS44" s="124">
        <f>AS$21*shipping_manufacturing!$D$28/100</f>
        <v>169.99999999999901</v>
      </c>
      <c r="AT44" s="124">
        <f>AT$21*shipping_manufacturing!$D$28/100</f>
        <v>0</v>
      </c>
      <c r="AU44" s="124">
        <f>AU$21*shipping_manufacturing!$D$28/100</f>
        <v>169.99999999999901</v>
      </c>
      <c r="AV44" s="124">
        <f>AV$21*shipping_manufacturing!$D$28/100</f>
        <v>169.99999999999901</v>
      </c>
      <c r="AW44" s="124">
        <f>AW$21*shipping_manufacturing!$D$28/100</f>
        <v>169.99999999999901</v>
      </c>
      <c r="AX44" s="124">
        <f>AX$21*shipping_manufacturing!$D$28/100</f>
        <v>169.99999999999901</v>
      </c>
      <c r="AY44" s="124">
        <f>AY$21*shipping_manufacturing!$D$28/100</f>
        <v>169.99999999999901</v>
      </c>
    </row>
    <row r="45" spans="1:52">
      <c r="A45" s="113" t="s">
        <v>340</v>
      </c>
      <c r="B45" s="165" t="s">
        <v>342</v>
      </c>
      <c r="C45" s="110"/>
      <c r="D45" s="110">
        <f>D$22*shipping_manufacturing!$E$28/100</f>
        <v>101.71651566314574</v>
      </c>
      <c r="E45" s="110">
        <f>E$22*shipping_manufacturing!$E$28/100</f>
        <v>243.52039387189402</v>
      </c>
      <c r="F45" s="110">
        <f>F$22*shipping_manufacturing!$E$28/100</f>
        <v>243.52039387189402</v>
      </c>
      <c r="G45" s="110">
        <f>G$22*shipping_manufacturing!$E$28/100</f>
        <v>243.52039387189402</v>
      </c>
      <c r="H45" s="110">
        <f>H$22*shipping_manufacturing!$E$28/100</f>
        <v>243.52039387189402</v>
      </c>
      <c r="I45" s="110">
        <f>I$22*shipping_manufacturing!$E$28/100</f>
        <v>243.52039387189402</v>
      </c>
      <c r="J45" s="110">
        <f>J$22*shipping_manufacturing!$E$28/100</f>
        <v>243.52039387189402</v>
      </c>
      <c r="K45" s="110">
        <f>K$22*shipping_manufacturing!$E$28/100</f>
        <v>243.52039387189402</v>
      </c>
      <c r="L45" s="110">
        <f>L$22*shipping_manufacturing!$E$28/100</f>
        <v>243.52039387189402</v>
      </c>
      <c r="M45" s="110">
        <f>M$22*shipping_manufacturing!$E$28/100</f>
        <v>243.52039387189402</v>
      </c>
      <c r="N45" s="110">
        <f>N$22*shipping_manufacturing!$E$28/100</f>
        <v>243.52039387189402</v>
      </c>
      <c r="O45" s="110">
        <f>O$22*shipping_manufacturing!$E$28/100</f>
        <v>243.52039387189402</v>
      </c>
      <c r="P45" s="110">
        <f>P$22*shipping_manufacturing!$E$28/100</f>
        <v>243.52039387189402</v>
      </c>
      <c r="Q45" s="110">
        <f>Q$22*shipping_manufacturing!$E$28/100</f>
        <v>243.52039387189402</v>
      </c>
      <c r="R45" s="110">
        <f>R$22*shipping_manufacturing!$E$28/100</f>
        <v>243.52039387189402</v>
      </c>
      <c r="S45" s="110">
        <f>S$22*shipping_manufacturing!$E$28/100</f>
        <v>243.52039387189402</v>
      </c>
      <c r="T45" s="110">
        <f>T$22*shipping_manufacturing!$E$28/100</f>
        <v>243.52039387189402</v>
      </c>
      <c r="U45" s="110">
        <f>U$22*shipping_manufacturing!$E$28/100</f>
        <v>243.52039387189402</v>
      </c>
      <c r="V45" s="110">
        <f>V$22*shipping_manufacturing!$E$28/100</f>
        <v>243.52039387189402</v>
      </c>
      <c r="W45" s="110">
        <f>W$22*shipping_manufacturing!$E$28/100</f>
        <v>243.52039387189402</v>
      </c>
      <c r="X45" s="110">
        <f>X$22*shipping_manufacturing!$E$28/100</f>
        <v>243.52039387189402</v>
      </c>
      <c r="Y45" s="110">
        <f>Y$22*shipping_manufacturing!$E$28/100</f>
        <v>243.52039387189402</v>
      </c>
      <c r="Z45" s="110">
        <f>Z$22*shipping_manufacturing!$E$28/100</f>
        <v>243.52039387189402</v>
      </c>
      <c r="AA45" s="110">
        <f>AA$22*shipping_manufacturing!$E$28/100</f>
        <v>243.52039387189402</v>
      </c>
      <c r="AB45" s="110">
        <f>AB$22*shipping_manufacturing!$E$28/100</f>
        <v>243.52039387189402</v>
      </c>
      <c r="AC45" s="110">
        <f>AC$22*shipping_manufacturing!$E$28/100</f>
        <v>243.52039387189402</v>
      </c>
      <c r="AD45" s="110">
        <f>AD$22*shipping_manufacturing!$E$28/100</f>
        <v>243.52039387189402</v>
      </c>
      <c r="AE45" s="110">
        <f>AE$22*shipping_manufacturing!$E$28/100</f>
        <v>243.52039387189402</v>
      </c>
      <c r="AF45" s="110">
        <f>AF$22*shipping_manufacturing!$E$28/100</f>
        <v>243.52039387189402</v>
      </c>
      <c r="AG45" s="110">
        <f>AG$22*shipping_manufacturing!$E$28/100</f>
        <v>243.52039387189402</v>
      </c>
      <c r="AH45" s="110">
        <f>AH$22*shipping_manufacturing!$E$28/100</f>
        <v>243.52039387189402</v>
      </c>
      <c r="AI45" s="110">
        <f>AI$22*shipping_manufacturing!$E$28/100</f>
        <v>243.52039387189402</v>
      </c>
      <c r="AJ45" s="110">
        <f>AJ$22*shipping_manufacturing!$E$28/100</f>
        <v>243.52039387189402</v>
      </c>
      <c r="AK45" s="110">
        <f>AK$22*shipping_manufacturing!$E$28/100</f>
        <v>243.52039387189402</v>
      </c>
      <c r="AL45" s="110">
        <f>AL$22*shipping_manufacturing!$E$28/100</f>
        <v>243.52039387189402</v>
      </c>
      <c r="AM45" s="110">
        <f>AM$22*shipping_manufacturing!$E$28/100</f>
        <v>243.52039387189402</v>
      </c>
      <c r="AN45" s="110">
        <f>AN$22*shipping_manufacturing!$E$28/100</f>
        <v>243.52039387189402</v>
      </c>
      <c r="AO45" s="110">
        <f>AO$22*shipping_manufacturing!$E$28/100</f>
        <v>243.52039387189402</v>
      </c>
      <c r="AP45" s="110">
        <f>AP$22*shipping_manufacturing!$E$28/100</f>
        <v>243.52039387189402</v>
      </c>
      <c r="AQ45" s="110">
        <f>AQ$22*shipping_manufacturing!$E$28/100</f>
        <v>243.52039387189402</v>
      </c>
      <c r="AR45" s="110">
        <f>AR$22*shipping_manufacturing!$E$28/100</f>
        <v>243.52039387189402</v>
      </c>
      <c r="AS45" s="110">
        <f>AS$22*shipping_manufacturing!$E$28/100</f>
        <v>243.52039387189402</v>
      </c>
      <c r="AT45" s="110">
        <f>AT$22*shipping_manufacturing!$E$28/100</f>
        <v>0</v>
      </c>
      <c r="AU45" s="110">
        <f>AU$22*shipping_manufacturing!$E$28/100</f>
        <v>243.52039387189402</v>
      </c>
      <c r="AV45" s="110">
        <f>AV$22*shipping_manufacturing!$E$28/100</f>
        <v>243.52039387189402</v>
      </c>
      <c r="AW45" s="110">
        <f>AW$22*shipping_manufacturing!$E$28/100</f>
        <v>243.52039387189402</v>
      </c>
      <c r="AX45" s="110">
        <f>AX$22*shipping_manufacturing!$E$28/100</f>
        <v>243.52039387189402</v>
      </c>
      <c r="AY45" s="110">
        <f>AY$22*shipping_manufacturing!$E$28/100</f>
        <v>243.52039387189402</v>
      </c>
    </row>
    <row r="46" spans="1:52">
      <c r="A46" s="110">
        <v>89</v>
      </c>
      <c r="B46" s="165" t="s">
        <v>343</v>
      </c>
      <c r="C46" s="110"/>
      <c r="D46" s="110">
        <f>SUM(D44:D45)</f>
        <v>172.72415238629912</v>
      </c>
      <c r="E46" s="110">
        <f t="shared" ref="E46:AY46" si="14">SUM(E44:E45)</f>
        <v>413.52039387189302</v>
      </c>
      <c r="F46" s="110">
        <f t="shared" si="14"/>
        <v>413.52039387189302</v>
      </c>
      <c r="G46" s="110">
        <f t="shared" si="14"/>
        <v>413.52039387189302</v>
      </c>
      <c r="H46" s="110">
        <f t="shared" si="14"/>
        <v>413.52039387189302</v>
      </c>
      <c r="I46" s="110">
        <f t="shared" si="14"/>
        <v>413.52039387189302</v>
      </c>
      <c r="J46" s="110">
        <f t="shared" si="14"/>
        <v>413.52039387189302</v>
      </c>
      <c r="K46" s="110">
        <f t="shared" si="14"/>
        <v>413.52039387189302</v>
      </c>
      <c r="L46" s="110">
        <f t="shared" si="14"/>
        <v>413.52039387189302</v>
      </c>
      <c r="M46" s="110">
        <f t="shared" si="14"/>
        <v>413.52039387189302</v>
      </c>
      <c r="N46" s="110">
        <f t="shared" si="14"/>
        <v>413.52039387189302</v>
      </c>
      <c r="O46" s="110">
        <f t="shared" si="14"/>
        <v>413.52039387189302</v>
      </c>
      <c r="P46" s="110">
        <f t="shared" si="14"/>
        <v>413.52039387189302</v>
      </c>
      <c r="Q46" s="110">
        <f t="shared" si="14"/>
        <v>413.52039387189302</v>
      </c>
      <c r="R46" s="110">
        <f t="shared" si="14"/>
        <v>413.52039387189302</v>
      </c>
      <c r="S46" s="110">
        <f t="shared" si="14"/>
        <v>413.52039387189302</v>
      </c>
      <c r="T46" s="110">
        <f t="shared" si="14"/>
        <v>413.52039387189302</v>
      </c>
      <c r="U46" s="110">
        <f t="shared" si="14"/>
        <v>413.52039387189302</v>
      </c>
      <c r="V46" s="110">
        <f t="shared" si="14"/>
        <v>413.52039387189302</v>
      </c>
      <c r="W46" s="110">
        <f t="shared" si="14"/>
        <v>413.52039387189302</v>
      </c>
      <c r="X46" s="110">
        <f t="shared" si="14"/>
        <v>413.52039387189302</v>
      </c>
      <c r="Y46" s="110">
        <f t="shared" si="14"/>
        <v>413.52039387189302</v>
      </c>
      <c r="Z46" s="110">
        <f t="shared" si="14"/>
        <v>413.52039387189302</v>
      </c>
      <c r="AA46" s="110">
        <f t="shared" si="14"/>
        <v>413.52039387189302</v>
      </c>
      <c r="AB46" s="110">
        <f t="shared" si="14"/>
        <v>413.52039387189302</v>
      </c>
      <c r="AC46" s="110">
        <f t="shared" si="14"/>
        <v>413.52039387189302</v>
      </c>
      <c r="AD46" s="110">
        <f t="shared" si="14"/>
        <v>413.52039387189302</v>
      </c>
      <c r="AE46" s="110">
        <f t="shared" si="14"/>
        <v>413.52039387189302</v>
      </c>
      <c r="AF46" s="110">
        <f t="shared" si="14"/>
        <v>413.52039387189302</v>
      </c>
      <c r="AG46" s="110">
        <f t="shared" si="14"/>
        <v>413.52039387189302</v>
      </c>
      <c r="AH46" s="110">
        <f t="shared" si="14"/>
        <v>413.52039387189302</v>
      </c>
      <c r="AI46" s="110">
        <f t="shared" si="14"/>
        <v>413.52039387189302</v>
      </c>
      <c r="AJ46" s="110">
        <f t="shared" si="14"/>
        <v>413.52039387189302</v>
      </c>
      <c r="AK46" s="110">
        <f t="shared" si="14"/>
        <v>413.52039387189302</v>
      </c>
      <c r="AL46" s="110">
        <f t="shared" si="14"/>
        <v>413.52039387189302</v>
      </c>
      <c r="AM46" s="110">
        <f t="shared" si="14"/>
        <v>413.52039387189302</v>
      </c>
      <c r="AN46" s="110">
        <f t="shared" si="14"/>
        <v>413.52039387189302</v>
      </c>
      <c r="AO46" s="110">
        <f t="shared" si="14"/>
        <v>413.52039387189302</v>
      </c>
      <c r="AP46" s="110">
        <f t="shared" si="14"/>
        <v>413.52039387189302</v>
      </c>
      <c r="AQ46" s="110">
        <f t="shared" si="14"/>
        <v>413.52039387189302</v>
      </c>
      <c r="AR46" s="110">
        <f t="shared" si="14"/>
        <v>413.52039387189302</v>
      </c>
      <c r="AS46" s="110">
        <f t="shared" si="14"/>
        <v>413.52039387189302</v>
      </c>
      <c r="AT46" s="110">
        <f t="shared" si="14"/>
        <v>0</v>
      </c>
      <c r="AU46" s="110">
        <f t="shared" si="14"/>
        <v>413.52039387189302</v>
      </c>
      <c r="AV46" s="110">
        <f t="shared" si="14"/>
        <v>413.52039387189302</v>
      </c>
      <c r="AW46" s="110">
        <f t="shared" si="14"/>
        <v>413.52039387189302</v>
      </c>
      <c r="AX46" s="110">
        <f t="shared" si="14"/>
        <v>413.52039387189302</v>
      </c>
      <c r="AY46" s="110">
        <f t="shared" si="14"/>
        <v>413.52039387189302</v>
      </c>
    </row>
    <row r="47" spans="1:52">
      <c r="A47" s="110"/>
      <c r="B47" s="165" t="s">
        <v>344</v>
      </c>
      <c r="C47" s="110"/>
      <c r="D47" s="110">
        <v>49.332512500749161</v>
      </c>
      <c r="E47" s="110">
        <v>147.99753750224747</v>
      </c>
      <c r="F47" s="110">
        <v>61.665640625936447</v>
      </c>
      <c r="G47" s="110">
        <v>147.99753750224747</v>
      </c>
      <c r="H47" s="110">
        <v>61.665640625936447</v>
      </c>
      <c r="I47" s="110">
        <v>147.99753750224747</v>
      </c>
      <c r="J47" s="110">
        <v>61.665640625936447</v>
      </c>
      <c r="K47" s="110">
        <v>147.99753750224747</v>
      </c>
      <c r="L47" s="110">
        <v>61.665640625936447</v>
      </c>
      <c r="M47" s="110">
        <v>147.99753750224747</v>
      </c>
      <c r="N47" s="110">
        <v>61.665640625936447</v>
      </c>
      <c r="O47" s="110">
        <v>147.99753750224747</v>
      </c>
      <c r="P47" s="110">
        <v>61.665640625936447</v>
      </c>
      <c r="Q47" s="110">
        <v>147.99753750224747</v>
      </c>
      <c r="R47" s="110">
        <v>61.665640625936447</v>
      </c>
      <c r="S47" s="110">
        <v>147.99753750224747</v>
      </c>
      <c r="T47" s="110">
        <v>61.665640625936447</v>
      </c>
      <c r="U47" s="110">
        <v>147.99753750224747</v>
      </c>
      <c r="V47" s="110">
        <v>61.665640625936447</v>
      </c>
      <c r="W47" s="110">
        <v>147.99753750224747</v>
      </c>
      <c r="X47" s="110">
        <v>61.665640625936447</v>
      </c>
      <c r="Y47" s="110">
        <v>147.99753750224747</v>
      </c>
      <c r="Z47" s="110">
        <v>61.665640625936447</v>
      </c>
      <c r="AA47" s="110">
        <v>147.99753750224747</v>
      </c>
      <c r="AB47" s="110">
        <v>61.665640625936447</v>
      </c>
      <c r="AC47" s="110">
        <v>147.99753750224747</v>
      </c>
      <c r="AD47" s="110">
        <v>61.665640625936447</v>
      </c>
      <c r="AE47" s="110">
        <v>147.99753750224747</v>
      </c>
      <c r="AF47" s="110">
        <v>61.665640625936447</v>
      </c>
      <c r="AG47" s="110">
        <v>147.99753750224747</v>
      </c>
      <c r="AH47" s="110">
        <v>61.665640625936447</v>
      </c>
      <c r="AI47" s="110">
        <v>147.99753750224747</v>
      </c>
      <c r="AJ47" s="110">
        <v>61.665640625936447</v>
      </c>
      <c r="AK47" s="110">
        <v>147.99753750224747</v>
      </c>
      <c r="AL47" s="110">
        <v>61.665640625936447</v>
      </c>
      <c r="AM47" s="110">
        <v>147.99753750224747</v>
      </c>
      <c r="AN47" s="110">
        <v>61.665640625936447</v>
      </c>
      <c r="AO47" s="110">
        <v>147.99753750224747</v>
      </c>
      <c r="AP47" s="110">
        <v>61.665640625936447</v>
      </c>
      <c r="AQ47" s="110">
        <v>147.99753750224747</v>
      </c>
      <c r="AR47" s="110">
        <v>61.665640625936447</v>
      </c>
      <c r="AS47" s="110">
        <v>147.99753750224747</v>
      </c>
      <c r="AT47" s="110"/>
      <c r="AU47" s="110">
        <v>169.99999999999898</v>
      </c>
      <c r="AV47" s="110">
        <v>12.333128125187292</v>
      </c>
      <c r="AW47" s="110">
        <v>169.99999999999898</v>
      </c>
      <c r="AX47" s="110">
        <v>12.333128125187292</v>
      </c>
      <c r="AY47" s="110">
        <v>169.99999999999898</v>
      </c>
    </row>
    <row r="48" spans="1:52">
      <c r="A48" s="110"/>
      <c r="B48" s="165" t="s">
        <v>345</v>
      </c>
      <c r="C48" s="110"/>
      <c r="D48" s="110">
        <v>70.667487499250825</v>
      </c>
      <c r="E48" s="110">
        <v>212.00246249775259</v>
      </c>
      <c r="F48" s="110">
        <v>88.334359374063553</v>
      </c>
      <c r="G48" s="110">
        <v>212.00246249775259</v>
      </c>
      <c r="H48" s="110">
        <v>88.334359374063553</v>
      </c>
      <c r="I48" s="110">
        <v>212.00246249775259</v>
      </c>
      <c r="J48" s="110">
        <v>88.334359374063553</v>
      </c>
      <c r="K48" s="110">
        <v>212.00246249775259</v>
      </c>
      <c r="L48" s="110">
        <v>88.334359374063553</v>
      </c>
      <c r="M48" s="110">
        <v>212.00246249775259</v>
      </c>
      <c r="N48" s="110">
        <v>88.334359374063553</v>
      </c>
      <c r="O48" s="110">
        <v>212.00246249775259</v>
      </c>
      <c r="P48" s="110">
        <v>88.334359374063553</v>
      </c>
      <c r="Q48" s="110">
        <v>212.00246249775259</v>
      </c>
      <c r="R48" s="110">
        <v>88.334359374063553</v>
      </c>
      <c r="S48" s="110">
        <v>212.00246249775259</v>
      </c>
      <c r="T48" s="110">
        <v>88.334359374063553</v>
      </c>
      <c r="U48" s="110">
        <v>212.00246249775259</v>
      </c>
      <c r="V48" s="110">
        <v>88.334359374063553</v>
      </c>
      <c r="W48" s="110">
        <v>212.00246249775259</v>
      </c>
      <c r="X48" s="110">
        <v>88.334359374063553</v>
      </c>
      <c r="Y48" s="110">
        <v>212.00246249775259</v>
      </c>
      <c r="Z48" s="110">
        <v>88.334359374063553</v>
      </c>
      <c r="AA48" s="110">
        <v>212.00246249775259</v>
      </c>
      <c r="AB48" s="110">
        <v>88.334359374063553</v>
      </c>
      <c r="AC48" s="110">
        <v>212.00246249775259</v>
      </c>
      <c r="AD48" s="110">
        <v>88.334359374063553</v>
      </c>
      <c r="AE48" s="110">
        <v>212.00246249775259</v>
      </c>
      <c r="AF48" s="110">
        <v>88.334359374063553</v>
      </c>
      <c r="AG48" s="110">
        <v>212.00246249775259</v>
      </c>
      <c r="AH48" s="110">
        <v>88.334359374063553</v>
      </c>
      <c r="AI48" s="110">
        <v>212.00246249775259</v>
      </c>
      <c r="AJ48" s="110">
        <v>88.334359374063553</v>
      </c>
      <c r="AK48" s="110">
        <v>212.00246249775259</v>
      </c>
      <c r="AL48" s="110">
        <v>88.334359374063553</v>
      </c>
      <c r="AM48" s="110">
        <v>212.00246249775259</v>
      </c>
      <c r="AN48" s="110">
        <v>88.334359374063553</v>
      </c>
      <c r="AO48" s="110">
        <v>212.00246249775259</v>
      </c>
      <c r="AP48" s="110">
        <v>88.334359374063553</v>
      </c>
      <c r="AQ48" s="110">
        <v>212.00246249775259</v>
      </c>
      <c r="AR48" s="110">
        <v>88.334359374063553</v>
      </c>
      <c r="AS48" s="110">
        <v>212.00246249775259</v>
      </c>
      <c r="AT48" s="110"/>
      <c r="AU48" s="110">
        <v>243.5203938718941</v>
      </c>
      <c r="AV48" s="110">
        <v>17.66687187481271</v>
      </c>
      <c r="AW48" s="110">
        <v>243.5203938718941</v>
      </c>
      <c r="AX48" s="110">
        <v>17.66687187481271</v>
      </c>
      <c r="AY48" s="110">
        <v>243.5203938718941</v>
      </c>
    </row>
    <row r="49" spans="1:52">
      <c r="A49" s="110"/>
      <c r="B49" s="165" t="s">
        <v>346</v>
      </c>
      <c r="C49" s="110"/>
      <c r="D49" s="110">
        <v>4</v>
      </c>
      <c r="E49" s="110">
        <v>12</v>
      </c>
      <c r="F49" s="110">
        <v>5</v>
      </c>
      <c r="G49" s="110">
        <v>12</v>
      </c>
      <c r="H49" s="110">
        <v>5</v>
      </c>
      <c r="I49" s="110">
        <v>12</v>
      </c>
      <c r="J49" s="110">
        <v>5</v>
      </c>
      <c r="K49" s="110">
        <v>12</v>
      </c>
      <c r="L49" s="110">
        <v>5</v>
      </c>
      <c r="M49" s="110">
        <v>12</v>
      </c>
      <c r="N49" s="110">
        <v>5</v>
      </c>
      <c r="O49" s="110">
        <v>12</v>
      </c>
      <c r="P49" s="110">
        <v>5</v>
      </c>
      <c r="Q49" s="110">
        <v>12</v>
      </c>
      <c r="R49" s="110">
        <v>5</v>
      </c>
      <c r="S49" s="110">
        <v>12</v>
      </c>
      <c r="T49" s="110">
        <v>5</v>
      </c>
      <c r="U49" s="110">
        <v>12</v>
      </c>
      <c r="V49" s="110">
        <v>5</v>
      </c>
      <c r="W49" s="110">
        <v>12</v>
      </c>
      <c r="X49" s="110">
        <v>5</v>
      </c>
      <c r="Y49" s="110">
        <v>12</v>
      </c>
      <c r="Z49" s="110">
        <v>5</v>
      </c>
      <c r="AA49" s="110">
        <v>12</v>
      </c>
      <c r="AB49" s="110">
        <v>5</v>
      </c>
      <c r="AC49" s="110">
        <v>12</v>
      </c>
      <c r="AD49" s="110">
        <v>5</v>
      </c>
      <c r="AE49" s="110">
        <v>12</v>
      </c>
      <c r="AF49" s="110">
        <v>5</v>
      </c>
      <c r="AG49" s="110">
        <v>12</v>
      </c>
      <c r="AH49" s="110">
        <v>5</v>
      </c>
      <c r="AI49" s="110">
        <v>12</v>
      </c>
      <c r="AJ49" s="110">
        <v>5</v>
      </c>
      <c r="AK49" s="110">
        <v>12</v>
      </c>
      <c r="AL49" s="110">
        <v>5</v>
      </c>
      <c r="AM49" s="110">
        <v>12</v>
      </c>
      <c r="AN49" s="110">
        <v>5</v>
      </c>
      <c r="AO49" s="110">
        <v>12</v>
      </c>
      <c r="AP49" s="110">
        <v>5</v>
      </c>
      <c r="AQ49" s="110">
        <v>12</v>
      </c>
      <c r="AR49" s="110">
        <v>5</v>
      </c>
      <c r="AS49" s="110">
        <v>12</v>
      </c>
      <c r="AT49" s="110"/>
      <c r="AU49" s="110">
        <v>14</v>
      </c>
      <c r="AV49" s="110">
        <v>1</v>
      </c>
      <c r="AW49" s="110">
        <v>14</v>
      </c>
      <c r="AX49" s="110">
        <v>1</v>
      </c>
      <c r="AY49" s="110">
        <v>14</v>
      </c>
    </row>
    <row r="50" spans="1:52">
      <c r="A50" s="110"/>
      <c r="B50" s="165" t="s">
        <v>347</v>
      </c>
      <c r="C50" s="110"/>
      <c r="D50" s="110">
        <f>D44-D47</f>
        <v>21.675124222404222</v>
      </c>
      <c r="E50" s="110">
        <f t="shared" ref="E50:AY50" si="15">E44-E47</f>
        <v>22.002462497751537</v>
      </c>
      <c r="F50" s="110">
        <f t="shared" si="15"/>
        <v>108.33435937406256</v>
      </c>
      <c r="G50" s="110">
        <f t="shared" si="15"/>
        <v>22.002462497751537</v>
      </c>
      <c r="H50" s="110">
        <f t="shared" si="15"/>
        <v>108.33435937406256</v>
      </c>
      <c r="I50" s="110">
        <f t="shared" si="15"/>
        <v>22.002462497751537</v>
      </c>
      <c r="J50" s="110">
        <f t="shared" si="15"/>
        <v>108.33435937406256</v>
      </c>
      <c r="K50" s="110">
        <f t="shared" si="15"/>
        <v>22.002462497751537</v>
      </c>
      <c r="L50" s="110">
        <f t="shared" si="15"/>
        <v>108.33435937406256</v>
      </c>
      <c r="M50" s="110">
        <f t="shared" si="15"/>
        <v>22.002462497751537</v>
      </c>
      <c r="N50" s="110">
        <f t="shared" si="15"/>
        <v>108.33435937406256</v>
      </c>
      <c r="O50" s="110">
        <f t="shared" si="15"/>
        <v>22.002462497751537</v>
      </c>
      <c r="P50" s="110">
        <f t="shared" si="15"/>
        <v>108.33435937406256</v>
      </c>
      <c r="Q50" s="110">
        <f t="shared" si="15"/>
        <v>22.002462497751537</v>
      </c>
      <c r="R50" s="110">
        <f t="shared" si="15"/>
        <v>108.33435937406256</v>
      </c>
      <c r="S50" s="110">
        <f t="shared" si="15"/>
        <v>22.002462497751537</v>
      </c>
      <c r="T50" s="110">
        <f t="shared" si="15"/>
        <v>108.33435937406256</v>
      </c>
      <c r="U50" s="110">
        <f t="shared" si="15"/>
        <v>22.002462497751537</v>
      </c>
      <c r="V50" s="110">
        <f t="shared" si="15"/>
        <v>108.33435937406256</v>
      </c>
      <c r="W50" s="110">
        <f t="shared" si="15"/>
        <v>22.002462497751537</v>
      </c>
      <c r="X50" s="110">
        <f t="shared" si="15"/>
        <v>108.33435937406256</v>
      </c>
      <c r="Y50" s="110">
        <f t="shared" si="15"/>
        <v>22.002462497751537</v>
      </c>
      <c r="Z50" s="110">
        <f t="shared" si="15"/>
        <v>108.33435937406256</v>
      </c>
      <c r="AA50" s="110">
        <f t="shared" si="15"/>
        <v>22.002462497751537</v>
      </c>
      <c r="AB50" s="110">
        <f t="shared" si="15"/>
        <v>108.33435937406256</v>
      </c>
      <c r="AC50" s="110">
        <f t="shared" si="15"/>
        <v>22.002462497751537</v>
      </c>
      <c r="AD50" s="110">
        <f t="shared" si="15"/>
        <v>108.33435937406256</v>
      </c>
      <c r="AE50" s="110">
        <f t="shared" si="15"/>
        <v>22.002462497751537</v>
      </c>
      <c r="AF50" s="110">
        <f t="shared" si="15"/>
        <v>108.33435937406256</v>
      </c>
      <c r="AG50" s="110">
        <f t="shared" si="15"/>
        <v>22.002462497751537</v>
      </c>
      <c r="AH50" s="110">
        <f t="shared" si="15"/>
        <v>108.33435937406256</v>
      </c>
      <c r="AI50" s="110">
        <f t="shared" si="15"/>
        <v>22.002462497751537</v>
      </c>
      <c r="AJ50" s="110">
        <f t="shared" si="15"/>
        <v>108.33435937406256</v>
      </c>
      <c r="AK50" s="110">
        <f t="shared" si="15"/>
        <v>22.002462497751537</v>
      </c>
      <c r="AL50" s="110">
        <f t="shared" si="15"/>
        <v>108.33435937406256</v>
      </c>
      <c r="AM50" s="110">
        <f t="shared" si="15"/>
        <v>22.002462497751537</v>
      </c>
      <c r="AN50" s="110">
        <f t="shared" si="15"/>
        <v>108.33435937406256</v>
      </c>
      <c r="AO50" s="110">
        <f t="shared" si="15"/>
        <v>22.002462497751537</v>
      </c>
      <c r="AP50" s="110">
        <f t="shared" si="15"/>
        <v>108.33435937406256</v>
      </c>
      <c r="AQ50" s="110">
        <f t="shared" si="15"/>
        <v>22.002462497751537</v>
      </c>
      <c r="AR50" s="110">
        <f t="shared" si="15"/>
        <v>108.33435937406256</v>
      </c>
      <c r="AS50" s="110">
        <f t="shared" si="15"/>
        <v>22.002462497751537</v>
      </c>
      <c r="AT50" s="110">
        <f t="shared" si="15"/>
        <v>0</v>
      </c>
      <c r="AU50" s="110">
        <f t="shared" si="15"/>
        <v>0</v>
      </c>
      <c r="AV50" s="110">
        <f t="shared" si="15"/>
        <v>157.6668718748117</v>
      </c>
      <c r="AW50" s="110">
        <f t="shared" si="15"/>
        <v>0</v>
      </c>
      <c r="AX50" s="110">
        <f t="shared" si="15"/>
        <v>157.6668718748117</v>
      </c>
      <c r="AY50" s="110">
        <f t="shared" si="15"/>
        <v>0</v>
      </c>
    </row>
    <row r="51" spans="1:52">
      <c r="A51" s="110"/>
      <c r="B51" s="165" t="s">
        <v>348</v>
      </c>
      <c r="C51" s="110"/>
      <c r="D51" s="110">
        <f>D45-D48</f>
        <v>31.049028163894917</v>
      </c>
      <c r="E51" s="110">
        <f t="shared" ref="E51:AY51" si="16">E45-E48</f>
        <v>31.517931374141426</v>
      </c>
      <c r="F51" s="110">
        <f t="shared" si="16"/>
        <v>155.18603449783046</v>
      </c>
      <c r="G51" s="110">
        <f t="shared" si="16"/>
        <v>31.517931374141426</v>
      </c>
      <c r="H51" s="110">
        <f t="shared" si="16"/>
        <v>155.18603449783046</v>
      </c>
      <c r="I51" s="110">
        <f t="shared" si="16"/>
        <v>31.517931374141426</v>
      </c>
      <c r="J51" s="110">
        <f t="shared" si="16"/>
        <v>155.18603449783046</v>
      </c>
      <c r="K51" s="110">
        <f t="shared" si="16"/>
        <v>31.517931374141426</v>
      </c>
      <c r="L51" s="110">
        <f t="shared" si="16"/>
        <v>155.18603449783046</v>
      </c>
      <c r="M51" s="110">
        <f t="shared" si="16"/>
        <v>31.517931374141426</v>
      </c>
      <c r="N51" s="110">
        <f t="shared" si="16"/>
        <v>155.18603449783046</v>
      </c>
      <c r="O51" s="110">
        <f t="shared" si="16"/>
        <v>31.517931374141426</v>
      </c>
      <c r="P51" s="110">
        <f t="shared" si="16"/>
        <v>155.18603449783046</v>
      </c>
      <c r="Q51" s="110">
        <f t="shared" si="16"/>
        <v>31.517931374141426</v>
      </c>
      <c r="R51" s="110">
        <f t="shared" si="16"/>
        <v>155.18603449783046</v>
      </c>
      <c r="S51" s="110">
        <f t="shared" si="16"/>
        <v>31.517931374141426</v>
      </c>
      <c r="T51" s="110">
        <f t="shared" si="16"/>
        <v>155.18603449783046</v>
      </c>
      <c r="U51" s="110">
        <f t="shared" si="16"/>
        <v>31.517931374141426</v>
      </c>
      <c r="V51" s="110">
        <f t="shared" si="16"/>
        <v>155.18603449783046</v>
      </c>
      <c r="W51" s="110">
        <f t="shared" si="16"/>
        <v>31.517931374141426</v>
      </c>
      <c r="X51" s="110">
        <f t="shared" si="16"/>
        <v>155.18603449783046</v>
      </c>
      <c r="Y51" s="110">
        <f t="shared" si="16"/>
        <v>31.517931374141426</v>
      </c>
      <c r="Z51" s="110">
        <f t="shared" si="16"/>
        <v>155.18603449783046</v>
      </c>
      <c r="AA51" s="110">
        <f t="shared" si="16"/>
        <v>31.517931374141426</v>
      </c>
      <c r="AB51" s="110">
        <f t="shared" si="16"/>
        <v>155.18603449783046</v>
      </c>
      <c r="AC51" s="110">
        <f t="shared" si="16"/>
        <v>31.517931374141426</v>
      </c>
      <c r="AD51" s="110">
        <f t="shared" si="16"/>
        <v>155.18603449783046</v>
      </c>
      <c r="AE51" s="110">
        <f t="shared" si="16"/>
        <v>31.517931374141426</v>
      </c>
      <c r="AF51" s="110">
        <f t="shared" si="16"/>
        <v>155.18603449783046</v>
      </c>
      <c r="AG51" s="110">
        <f t="shared" si="16"/>
        <v>31.517931374141426</v>
      </c>
      <c r="AH51" s="110">
        <f t="shared" si="16"/>
        <v>155.18603449783046</v>
      </c>
      <c r="AI51" s="110">
        <f t="shared" si="16"/>
        <v>31.517931374141426</v>
      </c>
      <c r="AJ51" s="110">
        <f t="shared" si="16"/>
        <v>155.18603449783046</v>
      </c>
      <c r="AK51" s="110">
        <f t="shared" si="16"/>
        <v>31.517931374141426</v>
      </c>
      <c r="AL51" s="110">
        <f t="shared" si="16"/>
        <v>155.18603449783046</v>
      </c>
      <c r="AM51" s="110">
        <f t="shared" si="16"/>
        <v>31.517931374141426</v>
      </c>
      <c r="AN51" s="110">
        <f t="shared" si="16"/>
        <v>155.18603449783046</v>
      </c>
      <c r="AO51" s="110">
        <f t="shared" si="16"/>
        <v>31.517931374141426</v>
      </c>
      <c r="AP51" s="110">
        <f t="shared" si="16"/>
        <v>155.18603449783046</v>
      </c>
      <c r="AQ51" s="110">
        <f t="shared" si="16"/>
        <v>31.517931374141426</v>
      </c>
      <c r="AR51" s="110">
        <f t="shared" si="16"/>
        <v>155.18603449783046</v>
      </c>
      <c r="AS51" s="110">
        <f t="shared" si="16"/>
        <v>31.517931374141426</v>
      </c>
      <c r="AT51" s="110">
        <f t="shared" si="16"/>
        <v>0</v>
      </c>
      <c r="AU51" s="110">
        <f t="shared" si="16"/>
        <v>0</v>
      </c>
      <c r="AV51" s="110">
        <f t="shared" si="16"/>
        <v>225.85352199708132</v>
      </c>
      <c r="AW51" s="110">
        <f t="shared" si="16"/>
        <v>0</v>
      </c>
      <c r="AX51" s="110">
        <f t="shared" si="16"/>
        <v>225.85352199708132</v>
      </c>
      <c r="AY51" s="110">
        <f t="shared" si="16"/>
        <v>0</v>
      </c>
    </row>
    <row r="52" spans="1:52">
      <c r="A52" s="110"/>
      <c r="B52" s="165" t="s">
        <v>349</v>
      </c>
      <c r="C52" s="110"/>
      <c r="D52" s="110">
        <v>2</v>
      </c>
      <c r="E52" s="110">
        <v>2</v>
      </c>
      <c r="F52" s="110">
        <v>1</v>
      </c>
      <c r="G52" s="110">
        <v>1</v>
      </c>
      <c r="H52" s="110">
        <v>1</v>
      </c>
      <c r="I52" s="110">
        <v>3</v>
      </c>
      <c r="J52" s="110">
        <v>1</v>
      </c>
      <c r="K52" s="110">
        <v>2</v>
      </c>
      <c r="L52" s="110">
        <v>1</v>
      </c>
      <c r="M52" s="110">
        <v>1</v>
      </c>
      <c r="N52" s="110">
        <v>3</v>
      </c>
      <c r="O52" s="110">
        <v>1</v>
      </c>
      <c r="P52" s="110">
        <v>2</v>
      </c>
      <c r="Q52" s="110">
        <v>1</v>
      </c>
      <c r="R52" s="110">
        <v>2</v>
      </c>
      <c r="S52" s="110">
        <v>1</v>
      </c>
      <c r="T52" s="110">
        <v>1</v>
      </c>
      <c r="U52" s="110">
        <v>1</v>
      </c>
      <c r="V52" s="110">
        <v>1</v>
      </c>
      <c r="W52" s="110">
        <v>1</v>
      </c>
      <c r="X52" s="110">
        <v>1</v>
      </c>
      <c r="Y52" s="110">
        <v>2</v>
      </c>
      <c r="Z52" s="110">
        <v>1</v>
      </c>
      <c r="AA52" s="110">
        <v>3</v>
      </c>
      <c r="AB52" s="110">
        <v>1</v>
      </c>
      <c r="AC52" s="110">
        <v>1</v>
      </c>
      <c r="AD52" s="110">
        <v>1</v>
      </c>
      <c r="AE52" s="110">
        <v>2</v>
      </c>
      <c r="AF52" s="110">
        <v>2</v>
      </c>
      <c r="AG52" s="110">
        <v>1</v>
      </c>
      <c r="AH52" s="110">
        <v>1</v>
      </c>
      <c r="AI52" s="110">
        <v>1</v>
      </c>
      <c r="AJ52" s="110">
        <v>1</v>
      </c>
      <c r="AK52" s="110">
        <v>2</v>
      </c>
      <c r="AL52" s="110">
        <v>2</v>
      </c>
      <c r="AM52" s="110">
        <v>1</v>
      </c>
      <c r="AN52" s="110">
        <v>1</v>
      </c>
      <c r="AO52" s="110">
        <v>1</v>
      </c>
      <c r="AP52" s="110">
        <v>2</v>
      </c>
      <c r="AQ52" s="110">
        <v>1</v>
      </c>
      <c r="AR52" s="110">
        <v>3</v>
      </c>
      <c r="AS52" s="110">
        <v>2</v>
      </c>
      <c r="AT52" s="110">
        <v>1</v>
      </c>
      <c r="AU52" s="110">
        <v>3</v>
      </c>
      <c r="AV52" s="110">
        <v>3</v>
      </c>
      <c r="AW52" s="110">
        <v>1</v>
      </c>
      <c r="AX52" s="110">
        <v>2</v>
      </c>
      <c r="AY52" s="110">
        <v>1</v>
      </c>
    </row>
    <row r="53" spans="1:52">
      <c r="A53" s="110"/>
      <c r="B53" s="178" t="s">
        <v>350</v>
      </c>
      <c r="C53" s="110"/>
      <c r="D53" s="110">
        <v>12816</v>
      </c>
      <c r="E53" s="110">
        <v>38448</v>
      </c>
      <c r="F53" s="110">
        <v>16020</v>
      </c>
      <c r="G53" s="110">
        <v>38448</v>
      </c>
      <c r="H53" s="110">
        <v>16020</v>
      </c>
      <c r="I53" s="110">
        <v>38448</v>
      </c>
      <c r="J53" s="110">
        <v>16020</v>
      </c>
      <c r="K53" s="110">
        <v>38448</v>
      </c>
      <c r="L53" s="110">
        <v>16020</v>
      </c>
      <c r="M53" s="110">
        <v>38448</v>
      </c>
      <c r="N53" s="110">
        <v>16020</v>
      </c>
      <c r="O53" s="110">
        <v>38448</v>
      </c>
      <c r="P53" s="110">
        <v>16020</v>
      </c>
      <c r="Q53" s="110">
        <v>38448</v>
      </c>
      <c r="R53" s="110">
        <v>16020</v>
      </c>
      <c r="S53" s="110">
        <v>38448</v>
      </c>
      <c r="T53" s="110">
        <v>16020</v>
      </c>
      <c r="U53" s="110">
        <v>38448</v>
      </c>
      <c r="V53" s="110">
        <v>16020</v>
      </c>
      <c r="W53" s="110">
        <v>38448</v>
      </c>
      <c r="X53" s="110">
        <v>16020</v>
      </c>
      <c r="Y53" s="110">
        <v>38448</v>
      </c>
      <c r="Z53" s="110">
        <v>16020</v>
      </c>
      <c r="AA53" s="110">
        <v>38448</v>
      </c>
      <c r="AB53" s="110">
        <v>16020</v>
      </c>
      <c r="AC53" s="110">
        <v>38448</v>
      </c>
      <c r="AD53" s="110">
        <v>16020</v>
      </c>
      <c r="AE53" s="110">
        <v>38448</v>
      </c>
      <c r="AF53" s="110">
        <v>16020</v>
      </c>
      <c r="AG53" s="110">
        <v>38448</v>
      </c>
      <c r="AH53" s="110">
        <v>16020</v>
      </c>
      <c r="AI53" s="110">
        <v>38448</v>
      </c>
      <c r="AJ53" s="110">
        <v>16020</v>
      </c>
      <c r="AK53" s="110">
        <v>38448</v>
      </c>
      <c r="AL53" s="110">
        <v>16020</v>
      </c>
      <c r="AM53" s="110">
        <v>38448</v>
      </c>
      <c r="AN53" s="110">
        <v>16020</v>
      </c>
      <c r="AO53" s="110">
        <v>38448</v>
      </c>
      <c r="AP53" s="110">
        <v>16020</v>
      </c>
      <c r="AQ53" s="110">
        <v>38448</v>
      </c>
      <c r="AR53" s="110">
        <v>16020</v>
      </c>
      <c r="AS53" s="110">
        <v>38448</v>
      </c>
      <c r="AT53" s="110">
        <v>0</v>
      </c>
      <c r="AU53" s="110">
        <v>44856</v>
      </c>
      <c r="AV53" s="110">
        <v>3204</v>
      </c>
      <c r="AW53" s="110">
        <v>44856</v>
      </c>
      <c r="AX53" s="110">
        <v>3204</v>
      </c>
      <c r="AY53" s="110">
        <v>44856</v>
      </c>
      <c r="AZ53" s="100">
        <f>SUM($D$53:$AY$53)</f>
        <v>1281600</v>
      </c>
    </row>
    <row r="54" spans="1:52">
      <c r="A54" s="110"/>
      <c r="B54" s="178" t="s">
        <v>351</v>
      </c>
      <c r="C54" s="110"/>
      <c r="D54" s="110">
        <v>3050.0922155474054</v>
      </c>
      <c r="E54" s="110">
        <v>3096.1547854890077</v>
      </c>
      <c r="F54" s="110">
        <v>15244.654785489012</v>
      </c>
      <c r="G54" s="110">
        <v>3096.1547854890077</v>
      </c>
      <c r="H54" s="110">
        <v>15244.654785489012</v>
      </c>
      <c r="I54" s="110">
        <v>3096.1547854890077</v>
      </c>
      <c r="J54" s="110">
        <v>15244.654785489012</v>
      </c>
      <c r="K54" s="110">
        <v>3096.1547854890077</v>
      </c>
      <c r="L54" s="110">
        <v>15244.654785489012</v>
      </c>
      <c r="M54" s="110">
        <v>3096.1547854890077</v>
      </c>
      <c r="N54" s="110">
        <v>15244.654785489012</v>
      </c>
      <c r="O54" s="110">
        <v>3096.1547854890077</v>
      </c>
      <c r="P54" s="110">
        <v>15244.654785489012</v>
      </c>
      <c r="Q54" s="110">
        <v>3096.1547854890077</v>
      </c>
      <c r="R54" s="110">
        <v>15244.654785489012</v>
      </c>
      <c r="S54" s="110">
        <v>3096.1547854890077</v>
      </c>
      <c r="T54" s="110">
        <v>15244.654785489012</v>
      </c>
      <c r="U54" s="110">
        <v>3096.1547854890077</v>
      </c>
      <c r="V54" s="110">
        <v>15244.654785489012</v>
      </c>
      <c r="W54" s="110">
        <v>3096.1547854890077</v>
      </c>
      <c r="X54" s="110">
        <v>15244.654785489012</v>
      </c>
      <c r="Y54" s="110">
        <v>3096.1547854890077</v>
      </c>
      <c r="Z54" s="110">
        <v>15244.654785489012</v>
      </c>
      <c r="AA54" s="110">
        <v>3096.1547854890077</v>
      </c>
      <c r="AB54" s="110">
        <v>15244.654785489012</v>
      </c>
      <c r="AC54" s="110">
        <v>3096.1547854890077</v>
      </c>
      <c r="AD54" s="110">
        <v>15244.654785489012</v>
      </c>
      <c r="AE54" s="110">
        <v>3096.1547854890077</v>
      </c>
      <c r="AF54" s="110">
        <v>15244.654785489012</v>
      </c>
      <c r="AG54" s="110">
        <v>3096.1547854890077</v>
      </c>
      <c r="AH54" s="110">
        <v>15244.654785489012</v>
      </c>
      <c r="AI54" s="110">
        <v>3096.1547854890077</v>
      </c>
      <c r="AJ54" s="110">
        <v>15244.654785489012</v>
      </c>
      <c r="AK54" s="110">
        <v>3096.1547854890077</v>
      </c>
      <c r="AL54" s="110">
        <v>15244.654785489012</v>
      </c>
      <c r="AM54" s="110">
        <v>3096.1547854890077</v>
      </c>
      <c r="AN54" s="110">
        <v>15244.654785489012</v>
      </c>
      <c r="AO54" s="110">
        <v>3096.1547854890077</v>
      </c>
      <c r="AP54" s="110">
        <v>15244.654785489012</v>
      </c>
      <c r="AQ54" s="110">
        <v>3096.1547854890077</v>
      </c>
      <c r="AR54" s="110">
        <v>15244.654785489012</v>
      </c>
      <c r="AS54" s="110">
        <v>3096.1547854890077</v>
      </c>
      <c r="AT54" s="110">
        <v>0</v>
      </c>
      <c r="AU54" s="110">
        <v>0</v>
      </c>
      <c r="AV54" s="110">
        <v>22186.654785489009</v>
      </c>
      <c r="AW54" s="110">
        <v>0</v>
      </c>
      <c r="AX54" s="110">
        <v>22186.654785489009</v>
      </c>
      <c r="AY54" s="110">
        <v>0</v>
      </c>
      <c r="AZ54" s="100">
        <f>SUM($D$54:$AY$54)</f>
        <v>417335.74799157499</v>
      </c>
    </row>
    <row r="55" spans="1:52">
      <c r="A55" s="135" t="s">
        <v>59</v>
      </c>
      <c r="B55" s="135" t="s">
        <v>341</v>
      </c>
      <c r="C55" s="124"/>
      <c r="D55" s="124">
        <f>D$21*shipping_manufacturing!$D$29/100</f>
        <v>0</v>
      </c>
      <c r="E55" s="124">
        <f>E$21*shipping_manufacturing!$D$29/100</f>
        <v>0</v>
      </c>
      <c r="F55" s="124">
        <f>F$21*shipping_manufacturing!$D$29/100</f>
        <v>0</v>
      </c>
      <c r="G55" s="124">
        <f>G$21*shipping_manufacturing!$D$29/100</f>
        <v>0</v>
      </c>
      <c r="H55" s="124">
        <f>H$21*shipping_manufacturing!$D$29/100</f>
        <v>0</v>
      </c>
      <c r="I55" s="124">
        <f>I$21*shipping_manufacturing!$D$29/100</f>
        <v>0</v>
      </c>
      <c r="J55" s="124">
        <f>J$21*shipping_manufacturing!$D$29/100</f>
        <v>0</v>
      </c>
      <c r="K55" s="124">
        <f>K$21*shipping_manufacturing!$D$29/100</f>
        <v>0</v>
      </c>
      <c r="L55" s="124">
        <f>L$21*shipping_manufacturing!$D$29/100</f>
        <v>0</v>
      </c>
      <c r="M55" s="124">
        <f>M$21*shipping_manufacturing!$D$29/100</f>
        <v>0</v>
      </c>
      <c r="N55" s="124">
        <f>N$21*shipping_manufacturing!$D$29/100</f>
        <v>0</v>
      </c>
      <c r="O55" s="124">
        <f>O$21*shipping_manufacturing!$D$29/100</f>
        <v>0</v>
      </c>
      <c r="P55" s="124">
        <f>P$21*shipping_manufacturing!$D$29/100</f>
        <v>0</v>
      </c>
      <c r="Q55" s="124">
        <f>Q$21*shipping_manufacturing!$D$29/100</f>
        <v>0</v>
      </c>
      <c r="R55" s="124">
        <f>R$21*shipping_manufacturing!$D$29/100</f>
        <v>0</v>
      </c>
      <c r="S55" s="124">
        <f>S$21*shipping_manufacturing!$D$29/100</f>
        <v>0</v>
      </c>
      <c r="T55" s="124">
        <f>T$21*shipping_manufacturing!$D$29/100</f>
        <v>0</v>
      </c>
      <c r="U55" s="124">
        <f>U$21*shipping_manufacturing!$D$29/100</f>
        <v>0</v>
      </c>
      <c r="V55" s="124">
        <f>V$21*shipping_manufacturing!$D$29/100</f>
        <v>0</v>
      </c>
      <c r="W55" s="124">
        <f>W$21*shipping_manufacturing!$D$29/100</f>
        <v>0</v>
      </c>
      <c r="X55" s="124">
        <f>X$21*shipping_manufacturing!$D$29/100</f>
        <v>0</v>
      </c>
      <c r="Y55" s="124">
        <f>Y$21*shipping_manufacturing!$D$29/100</f>
        <v>0</v>
      </c>
      <c r="Z55" s="124">
        <f>Z$21*shipping_manufacturing!$D$29/100</f>
        <v>0</v>
      </c>
      <c r="AA55" s="124">
        <f>AA$21*shipping_manufacturing!$D$29/100</f>
        <v>0</v>
      </c>
      <c r="AB55" s="124">
        <f>AB$21*shipping_manufacturing!$D$29/100</f>
        <v>0</v>
      </c>
      <c r="AC55" s="124">
        <f>AC$21*shipping_manufacturing!$D$29/100</f>
        <v>0</v>
      </c>
      <c r="AD55" s="124">
        <f>AD$21*shipping_manufacturing!$D$29/100</f>
        <v>0</v>
      </c>
      <c r="AE55" s="124">
        <f>AE$21*shipping_manufacturing!$D$29/100</f>
        <v>0</v>
      </c>
      <c r="AF55" s="124">
        <f>AF$21*shipping_manufacturing!$D$29/100</f>
        <v>0</v>
      </c>
      <c r="AG55" s="124">
        <f>AG$21*shipping_manufacturing!$D$29/100</f>
        <v>0</v>
      </c>
      <c r="AH55" s="124">
        <f>AH$21*shipping_manufacturing!$D$29/100</f>
        <v>0</v>
      </c>
      <c r="AI55" s="124">
        <f>AI$21*shipping_manufacturing!$D$29/100</f>
        <v>0</v>
      </c>
      <c r="AJ55" s="124">
        <f>AJ$21*shipping_manufacturing!$D$29/100</f>
        <v>0</v>
      </c>
      <c r="AK55" s="124">
        <f>AK$21*shipping_manufacturing!$D$29/100</f>
        <v>0</v>
      </c>
      <c r="AL55" s="124">
        <f>AL$21*shipping_manufacturing!$D$29/100</f>
        <v>0</v>
      </c>
      <c r="AM55" s="124">
        <f>AM$21*shipping_manufacturing!$D$29/100</f>
        <v>0</v>
      </c>
      <c r="AN55" s="124">
        <f>AN$21*shipping_manufacturing!$D$29/100</f>
        <v>0</v>
      </c>
      <c r="AO55" s="124">
        <f>AO$21*shipping_manufacturing!$D$29/100</f>
        <v>0</v>
      </c>
      <c r="AP55" s="124">
        <f>AP$21*shipping_manufacturing!$D$29/100</f>
        <v>0</v>
      </c>
      <c r="AQ55" s="124">
        <f>AQ$21*shipping_manufacturing!$D$29/100</f>
        <v>0</v>
      </c>
      <c r="AR55" s="124">
        <f>AR$21*shipping_manufacturing!$D$29/100</f>
        <v>0</v>
      </c>
      <c r="AS55" s="124">
        <f>AS$21*shipping_manufacturing!$D$29/100</f>
        <v>0</v>
      </c>
      <c r="AT55" s="124">
        <f>AT$21*shipping_manufacturing!$D$29/100</f>
        <v>0</v>
      </c>
      <c r="AU55" s="124">
        <f>AU$21*shipping_manufacturing!$D$29/100</f>
        <v>0</v>
      </c>
      <c r="AV55" s="124">
        <f>AV$21*shipping_manufacturing!$D$29/100</f>
        <v>0</v>
      </c>
      <c r="AW55" s="124">
        <f>AW$21*shipping_manufacturing!$D$29/100</f>
        <v>0</v>
      </c>
      <c r="AX55" s="124">
        <f>AX$21*shipping_manufacturing!$D$29/100</f>
        <v>0</v>
      </c>
      <c r="AY55" s="124">
        <f>AY$21*shipping_manufacturing!$D$29/100</f>
        <v>0</v>
      </c>
    </row>
    <row r="56" spans="1:52">
      <c r="A56" s="113" t="s">
        <v>340</v>
      </c>
      <c r="B56" s="165" t="s">
        <v>342</v>
      </c>
      <c r="C56" s="110"/>
      <c r="D56" s="110">
        <f>D$22*shipping_manufacturing!$E$29/100</f>
        <v>0</v>
      </c>
      <c r="E56" s="110">
        <f>E$22*shipping_manufacturing!$E$29/100</f>
        <v>0</v>
      </c>
      <c r="F56" s="110">
        <f>F$22*shipping_manufacturing!$E$29/100</f>
        <v>0</v>
      </c>
      <c r="G56" s="110">
        <f>G$22*shipping_manufacturing!$E$29/100</f>
        <v>0</v>
      </c>
      <c r="H56" s="110">
        <f>H$22*shipping_manufacturing!$E$29/100</f>
        <v>0</v>
      </c>
      <c r="I56" s="110">
        <f>I$22*shipping_manufacturing!$E$29/100</f>
        <v>0</v>
      </c>
      <c r="J56" s="110">
        <f>J$22*shipping_manufacturing!$E$29/100</f>
        <v>0</v>
      </c>
      <c r="K56" s="110">
        <f>K$22*shipping_manufacturing!$E$29/100</f>
        <v>0</v>
      </c>
      <c r="L56" s="110">
        <f>L$22*shipping_manufacturing!$E$29/100</f>
        <v>0</v>
      </c>
      <c r="M56" s="110">
        <f>M$22*shipping_manufacturing!$E$29/100</f>
        <v>0</v>
      </c>
      <c r="N56" s="110">
        <f>N$22*shipping_manufacturing!$E$29/100</f>
        <v>0</v>
      </c>
      <c r="O56" s="110">
        <f>O$22*shipping_manufacturing!$E$29/100</f>
        <v>0</v>
      </c>
      <c r="P56" s="110">
        <f>P$22*shipping_manufacturing!$E$29/100</f>
        <v>0</v>
      </c>
      <c r="Q56" s="110">
        <f>Q$22*shipping_manufacturing!$E$29/100</f>
        <v>0</v>
      </c>
      <c r="R56" s="110">
        <f>R$22*shipping_manufacturing!$E$29/100</f>
        <v>0</v>
      </c>
      <c r="S56" s="110">
        <f>S$22*shipping_manufacturing!$E$29/100</f>
        <v>0</v>
      </c>
      <c r="T56" s="110">
        <f>T$22*shipping_manufacturing!$E$29/100</f>
        <v>0</v>
      </c>
      <c r="U56" s="110">
        <f>U$22*shipping_manufacturing!$E$29/100</f>
        <v>0</v>
      </c>
      <c r="V56" s="110">
        <f>V$22*shipping_manufacturing!$E$29/100</f>
        <v>0</v>
      </c>
      <c r="W56" s="110">
        <f>W$22*shipping_manufacturing!$E$29/100</f>
        <v>0</v>
      </c>
      <c r="X56" s="110">
        <f>X$22*shipping_manufacturing!$E$29/100</f>
        <v>0</v>
      </c>
      <c r="Y56" s="110">
        <f>Y$22*shipping_manufacturing!$E$29/100</f>
        <v>0</v>
      </c>
      <c r="Z56" s="110">
        <f>Z$22*shipping_manufacturing!$E$29/100</f>
        <v>0</v>
      </c>
      <c r="AA56" s="110">
        <f>AA$22*shipping_manufacturing!$E$29/100</f>
        <v>0</v>
      </c>
      <c r="AB56" s="110">
        <f>AB$22*shipping_manufacturing!$E$29/100</f>
        <v>0</v>
      </c>
      <c r="AC56" s="110">
        <f>AC$22*shipping_manufacturing!$E$29/100</f>
        <v>0</v>
      </c>
      <c r="AD56" s="110">
        <f>AD$22*shipping_manufacturing!$E$29/100</f>
        <v>0</v>
      </c>
      <c r="AE56" s="110">
        <f>AE$22*shipping_manufacturing!$E$29/100</f>
        <v>0</v>
      </c>
      <c r="AF56" s="110">
        <f>AF$22*shipping_manufacturing!$E$29/100</f>
        <v>0</v>
      </c>
      <c r="AG56" s="110">
        <f>AG$22*shipping_manufacturing!$E$29/100</f>
        <v>0</v>
      </c>
      <c r="AH56" s="110">
        <f>AH$22*shipping_manufacturing!$E$29/100</f>
        <v>0</v>
      </c>
      <c r="AI56" s="110">
        <f>AI$22*shipping_manufacturing!$E$29/100</f>
        <v>0</v>
      </c>
      <c r="AJ56" s="110">
        <f>AJ$22*shipping_manufacturing!$E$29/100</f>
        <v>0</v>
      </c>
      <c r="AK56" s="110">
        <f>AK$22*shipping_manufacturing!$E$29/100</f>
        <v>0</v>
      </c>
      <c r="AL56" s="110">
        <f>AL$22*shipping_manufacturing!$E$29/100</f>
        <v>0</v>
      </c>
      <c r="AM56" s="110">
        <f>AM$22*shipping_manufacturing!$E$29/100</f>
        <v>0</v>
      </c>
      <c r="AN56" s="110">
        <f>AN$22*shipping_manufacturing!$E$29/100</f>
        <v>0</v>
      </c>
      <c r="AO56" s="110">
        <f>AO$22*shipping_manufacturing!$E$29/100</f>
        <v>0</v>
      </c>
      <c r="AP56" s="110">
        <f>AP$22*shipping_manufacturing!$E$29/100</f>
        <v>0</v>
      </c>
      <c r="AQ56" s="110">
        <f>AQ$22*shipping_manufacturing!$E$29/100</f>
        <v>0</v>
      </c>
      <c r="AR56" s="110">
        <f>AR$22*shipping_manufacturing!$E$29/100</f>
        <v>0</v>
      </c>
      <c r="AS56" s="110">
        <f>AS$22*shipping_manufacturing!$E$29/100</f>
        <v>0</v>
      </c>
      <c r="AT56" s="110">
        <f>AT$22*shipping_manufacturing!$E$29/100</f>
        <v>0</v>
      </c>
      <c r="AU56" s="110">
        <f>AU$22*shipping_manufacturing!$E$29/100</f>
        <v>0</v>
      </c>
      <c r="AV56" s="110">
        <f>AV$22*shipping_manufacturing!$E$29/100</f>
        <v>0</v>
      </c>
      <c r="AW56" s="110">
        <f>AW$22*shipping_manufacturing!$E$29/100</f>
        <v>0</v>
      </c>
      <c r="AX56" s="110">
        <f>AX$22*shipping_manufacturing!$E$29/100</f>
        <v>0</v>
      </c>
      <c r="AY56" s="110">
        <f>AY$22*shipping_manufacturing!$E$29/100</f>
        <v>0</v>
      </c>
    </row>
    <row r="57" spans="1:52">
      <c r="A57" s="110">
        <v>2339</v>
      </c>
      <c r="B57" s="165" t="s">
        <v>343</v>
      </c>
      <c r="C57" s="110"/>
      <c r="D57" s="110">
        <f>SUM(D55:D56)</f>
        <v>0</v>
      </c>
      <c r="E57" s="110">
        <f t="shared" ref="E57:AY57" si="17">SUM(E55:E56)</f>
        <v>0</v>
      </c>
      <c r="F57" s="110">
        <f t="shared" si="17"/>
        <v>0</v>
      </c>
      <c r="G57" s="110">
        <f t="shared" si="17"/>
        <v>0</v>
      </c>
      <c r="H57" s="110">
        <f t="shared" si="17"/>
        <v>0</v>
      </c>
      <c r="I57" s="110">
        <f t="shared" si="17"/>
        <v>0</v>
      </c>
      <c r="J57" s="110">
        <f t="shared" si="17"/>
        <v>0</v>
      </c>
      <c r="K57" s="110">
        <f t="shared" si="17"/>
        <v>0</v>
      </c>
      <c r="L57" s="110">
        <f t="shared" si="17"/>
        <v>0</v>
      </c>
      <c r="M57" s="110">
        <f t="shared" si="17"/>
        <v>0</v>
      </c>
      <c r="N57" s="110">
        <f t="shared" si="17"/>
        <v>0</v>
      </c>
      <c r="O57" s="110">
        <f t="shared" si="17"/>
        <v>0</v>
      </c>
      <c r="P57" s="110">
        <f t="shared" si="17"/>
        <v>0</v>
      </c>
      <c r="Q57" s="110">
        <f t="shared" si="17"/>
        <v>0</v>
      </c>
      <c r="R57" s="110">
        <f t="shared" si="17"/>
        <v>0</v>
      </c>
      <c r="S57" s="110">
        <f t="shared" si="17"/>
        <v>0</v>
      </c>
      <c r="T57" s="110">
        <f t="shared" si="17"/>
        <v>0</v>
      </c>
      <c r="U57" s="110">
        <f t="shared" si="17"/>
        <v>0</v>
      </c>
      <c r="V57" s="110">
        <f t="shared" si="17"/>
        <v>0</v>
      </c>
      <c r="W57" s="110">
        <f t="shared" si="17"/>
        <v>0</v>
      </c>
      <c r="X57" s="110">
        <f t="shared" si="17"/>
        <v>0</v>
      </c>
      <c r="Y57" s="110">
        <f t="shared" si="17"/>
        <v>0</v>
      </c>
      <c r="Z57" s="110">
        <f t="shared" si="17"/>
        <v>0</v>
      </c>
      <c r="AA57" s="110">
        <f t="shared" si="17"/>
        <v>0</v>
      </c>
      <c r="AB57" s="110">
        <f t="shared" si="17"/>
        <v>0</v>
      </c>
      <c r="AC57" s="110">
        <f t="shared" si="17"/>
        <v>0</v>
      </c>
      <c r="AD57" s="110">
        <f t="shared" si="17"/>
        <v>0</v>
      </c>
      <c r="AE57" s="110">
        <f t="shared" si="17"/>
        <v>0</v>
      </c>
      <c r="AF57" s="110">
        <f t="shared" si="17"/>
        <v>0</v>
      </c>
      <c r="AG57" s="110">
        <f t="shared" si="17"/>
        <v>0</v>
      </c>
      <c r="AH57" s="110">
        <f t="shared" si="17"/>
        <v>0</v>
      </c>
      <c r="AI57" s="110">
        <f t="shared" si="17"/>
        <v>0</v>
      </c>
      <c r="AJ57" s="110">
        <f t="shared" si="17"/>
        <v>0</v>
      </c>
      <c r="AK57" s="110">
        <f t="shared" si="17"/>
        <v>0</v>
      </c>
      <c r="AL57" s="110">
        <f t="shared" si="17"/>
        <v>0</v>
      </c>
      <c r="AM57" s="110">
        <f t="shared" si="17"/>
        <v>0</v>
      </c>
      <c r="AN57" s="110">
        <f t="shared" si="17"/>
        <v>0</v>
      </c>
      <c r="AO57" s="110">
        <f t="shared" si="17"/>
        <v>0</v>
      </c>
      <c r="AP57" s="110">
        <f t="shared" si="17"/>
        <v>0</v>
      </c>
      <c r="AQ57" s="110">
        <f t="shared" si="17"/>
        <v>0</v>
      </c>
      <c r="AR57" s="110">
        <f t="shared" si="17"/>
        <v>0</v>
      </c>
      <c r="AS57" s="110">
        <f t="shared" si="17"/>
        <v>0</v>
      </c>
      <c r="AT57" s="110">
        <f t="shared" si="17"/>
        <v>0</v>
      </c>
      <c r="AU57" s="110">
        <f t="shared" si="17"/>
        <v>0</v>
      </c>
      <c r="AV57" s="110">
        <f t="shared" si="17"/>
        <v>0</v>
      </c>
      <c r="AW57" s="110">
        <f t="shared" si="17"/>
        <v>0</v>
      </c>
      <c r="AX57" s="110">
        <f t="shared" si="17"/>
        <v>0</v>
      </c>
      <c r="AY57" s="110">
        <f t="shared" si="17"/>
        <v>0</v>
      </c>
    </row>
    <row r="58" spans="1:52">
      <c r="A58" s="110"/>
      <c r="B58" s="165" t="s">
        <v>344</v>
      </c>
      <c r="C58" s="110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2">
      <c r="A59" s="110"/>
      <c r="B59" s="165" t="s">
        <v>345</v>
      </c>
      <c r="C59" s="110"/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2">
      <c r="A60" s="110"/>
      <c r="B60" s="165" t="s">
        <v>346</v>
      </c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2">
      <c r="A61" s="110"/>
      <c r="B61" s="165" t="s">
        <v>347</v>
      </c>
      <c r="C61" s="110"/>
      <c r="D61" s="110">
        <f>D55-D58</f>
        <v>0</v>
      </c>
      <c r="E61" s="110">
        <f t="shared" ref="E61:AY61" si="18">E55-E58</f>
        <v>0</v>
      </c>
      <c r="F61" s="110">
        <f t="shared" si="18"/>
        <v>0</v>
      </c>
      <c r="G61" s="110">
        <f t="shared" si="18"/>
        <v>0</v>
      </c>
      <c r="H61" s="110">
        <f t="shared" si="18"/>
        <v>0</v>
      </c>
      <c r="I61" s="110">
        <f t="shared" si="18"/>
        <v>0</v>
      </c>
      <c r="J61" s="110">
        <f t="shared" si="18"/>
        <v>0</v>
      </c>
      <c r="K61" s="110">
        <f t="shared" si="18"/>
        <v>0</v>
      </c>
      <c r="L61" s="110">
        <f t="shared" si="18"/>
        <v>0</v>
      </c>
      <c r="M61" s="110">
        <f t="shared" si="18"/>
        <v>0</v>
      </c>
      <c r="N61" s="110">
        <f t="shared" si="18"/>
        <v>0</v>
      </c>
      <c r="O61" s="110">
        <f t="shared" si="18"/>
        <v>0</v>
      </c>
      <c r="P61" s="110">
        <f t="shared" si="18"/>
        <v>0</v>
      </c>
      <c r="Q61" s="110">
        <f t="shared" si="18"/>
        <v>0</v>
      </c>
      <c r="R61" s="110">
        <f t="shared" si="18"/>
        <v>0</v>
      </c>
      <c r="S61" s="110">
        <f t="shared" si="18"/>
        <v>0</v>
      </c>
      <c r="T61" s="110">
        <f t="shared" si="18"/>
        <v>0</v>
      </c>
      <c r="U61" s="110">
        <f t="shared" si="18"/>
        <v>0</v>
      </c>
      <c r="V61" s="110">
        <f t="shared" si="18"/>
        <v>0</v>
      </c>
      <c r="W61" s="110">
        <f t="shared" si="18"/>
        <v>0</v>
      </c>
      <c r="X61" s="110">
        <f t="shared" si="18"/>
        <v>0</v>
      </c>
      <c r="Y61" s="110">
        <f t="shared" si="18"/>
        <v>0</v>
      </c>
      <c r="Z61" s="110">
        <f t="shared" si="18"/>
        <v>0</v>
      </c>
      <c r="AA61" s="110">
        <f t="shared" si="18"/>
        <v>0</v>
      </c>
      <c r="AB61" s="110">
        <f t="shared" si="18"/>
        <v>0</v>
      </c>
      <c r="AC61" s="110">
        <f t="shared" si="18"/>
        <v>0</v>
      </c>
      <c r="AD61" s="110">
        <f t="shared" si="18"/>
        <v>0</v>
      </c>
      <c r="AE61" s="110">
        <f t="shared" si="18"/>
        <v>0</v>
      </c>
      <c r="AF61" s="110">
        <f t="shared" si="18"/>
        <v>0</v>
      </c>
      <c r="AG61" s="110">
        <f t="shared" si="18"/>
        <v>0</v>
      </c>
      <c r="AH61" s="110">
        <f t="shared" si="18"/>
        <v>0</v>
      </c>
      <c r="AI61" s="110">
        <f t="shared" si="18"/>
        <v>0</v>
      </c>
      <c r="AJ61" s="110">
        <f t="shared" si="18"/>
        <v>0</v>
      </c>
      <c r="AK61" s="110">
        <f t="shared" si="18"/>
        <v>0</v>
      </c>
      <c r="AL61" s="110">
        <f t="shared" si="18"/>
        <v>0</v>
      </c>
      <c r="AM61" s="110">
        <f t="shared" si="18"/>
        <v>0</v>
      </c>
      <c r="AN61" s="110">
        <f t="shared" si="18"/>
        <v>0</v>
      </c>
      <c r="AO61" s="110">
        <f t="shared" si="18"/>
        <v>0</v>
      </c>
      <c r="AP61" s="110">
        <f t="shared" si="18"/>
        <v>0</v>
      </c>
      <c r="AQ61" s="110">
        <f t="shared" si="18"/>
        <v>0</v>
      </c>
      <c r="AR61" s="110">
        <f t="shared" si="18"/>
        <v>0</v>
      </c>
      <c r="AS61" s="110">
        <f t="shared" si="18"/>
        <v>0</v>
      </c>
      <c r="AT61" s="110">
        <f t="shared" si="18"/>
        <v>0</v>
      </c>
      <c r="AU61" s="110">
        <f t="shared" si="18"/>
        <v>0</v>
      </c>
      <c r="AV61" s="110">
        <f t="shared" si="18"/>
        <v>0</v>
      </c>
      <c r="AW61" s="110">
        <f t="shared" si="18"/>
        <v>0</v>
      </c>
      <c r="AX61" s="110">
        <f t="shared" si="18"/>
        <v>0</v>
      </c>
      <c r="AY61" s="110">
        <f t="shared" si="18"/>
        <v>0</v>
      </c>
    </row>
    <row r="62" spans="1:52">
      <c r="A62" s="110"/>
      <c r="B62" s="165" t="s">
        <v>348</v>
      </c>
      <c r="C62" s="110"/>
      <c r="D62" s="110">
        <f>D56-D59</f>
        <v>0</v>
      </c>
      <c r="E62" s="110">
        <f t="shared" ref="E62:AY62" si="19">E56-E59</f>
        <v>0</v>
      </c>
      <c r="F62" s="110">
        <f t="shared" si="19"/>
        <v>0</v>
      </c>
      <c r="G62" s="110">
        <f t="shared" si="19"/>
        <v>0</v>
      </c>
      <c r="H62" s="110">
        <f t="shared" si="19"/>
        <v>0</v>
      </c>
      <c r="I62" s="110">
        <f t="shared" si="19"/>
        <v>0</v>
      </c>
      <c r="J62" s="110">
        <f t="shared" si="19"/>
        <v>0</v>
      </c>
      <c r="K62" s="110">
        <f t="shared" si="19"/>
        <v>0</v>
      </c>
      <c r="L62" s="110">
        <f t="shared" si="19"/>
        <v>0</v>
      </c>
      <c r="M62" s="110">
        <f t="shared" si="19"/>
        <v>0</v>
      </c>
      <c r="N62" s="110">
        <f t="shared" si="19"/>
        <v>0</v>
      </c>
      <c r="O62" s="110">
        <f t="shared" si="19"/>
        <v>0</v>
      </c>
      <c r="P62" s="110">
        <f t="shared" si="19"/>
        <v>0</v>
      </c>
      <c r="Q62" s="110">
        <f t="shared" si="19"/>
        <v>0</v>
      </c>
      <c r="R62" s="110">
        <f t="shared" si="19"/>
        <v>0</v>
      </c>
      <c r="S62" s="110">
        <f t="shared" si="19"/>
        <v>0</v>
      </c>
      <c r="T62" s="110">
        <f t="shared" si="19"/>
        <v>0</v>
      </c>
      <c r="U62" s="110">
        <f t="shared" si="19"/>
        <v>0</v>
      </c>
      <c r="V62" s="110">
        <f t="shared" si="19"/>
        <v>0</v>
      </c>
      <c r="W62" s="110">
        <f t="shared" si="19"/>
        <v>0</v>
      </c>
      <c r="X62" s="110">
        <f t="shared" si="19"/>
        <v>0</v>
      </c>
      <c r="Y62" s="110">
        <f t="shared" si="19"/>
        <v>0</v>
      </c>
      <c r="Z62" s="110">
        <f t="shared" si="19"/>
        <v>0</v>
      </c>
      <c r="AA62" s="110">
        <f t="shared" si="19"/>
        <v>0</v>
      </c>
      <c r="AB62" s="110">
        <f t="shared" si="19"/>
        <v>0</v>
      </c>
      <c r="AC62" s="110">
        <f t="shared" si="19"/>
        <v>0</v>
      </c>
      <c r="AD62" s="110">
        <f t="shared" si="19"/>
        <v>0</v>
      </c>
      <c r="AE62" s="110">
        <f t="shared" si="19"/>
        <v>0</v>
      </c>
      <c r="AF62" s="110">
        <f t="shared" si="19"/>
        <v>0</v>
      </c>
      <c r="AG62" s="110">
        <f t="shared" si="19"/>
        <v>0</v>
      </c>
      <c r="AH62" s="110">
        <f t="shared" si="19"/>
        <v>0</v>
      </c>
      <c r="AI62" s="110">
        <f t="shared" si="19"/>
        <v>0</v>
      </c>
      <c r="AJ62" s="110">
        <f t="shared" si="19"/>
        <v>0</v>
      </c>
      <c r="AK62" s="110">
        <f t="shared" si="19"/>
        <v>0</v>
      </c>
      <c r="AL62" s="110">
        <f t="shared" si="19"/>
        <v>0</v>
      </c>
      <c r="AM62" s="110">
        <f t="shared" si="19"/>
        <v>0</v>
      </c>
      <c r="AN62" s="110">
        <f t="shared" si="19"/>
        <v>0</v>
      </c>
      <c r="AO62" s="110">
        <f t="shared" si="19"/>
        <v>0</v>
      </c>
      <c r="AP62" s="110">
        <f t="shared" si="19"/>
        <v>0</v>
      </c>
      <c r="AQ62" s="110">
        <f t="shared" si="19"/>
        <v>0</v>
      </c>
      <c r="AR62" s="110">
        <f t="shared" si="19"/>
        <v>0</v>
      </c>
      <c r="AS62" s="110">
        <f t="shared" si="19"/>
        <v>0</v>
      </c>
      <c r="AT62" s="110">
        <f t="shared" si="19"/>
        <v>0</v>
      </c>
      <c r="AU62" s="110">
        <f t="shared" si="19"/>
        <v>0</v>
      </c>
      <c r="AV62" s="110">
        <f t="shared" si="19"/>
        <v>0</v>
      </c>
      <c r="AW62" s="110">
        <f t="shared" si="19"/>
        <v>0</v>
      </c>
      <c r="AX62" s="110">
        <f t="shared" si="19"/>
        <v>0</v>
      </c>
      <c r="AY62" s="110">
        <f t="shared" si="19"/>
        <v>0</v>
      </c>
    </row>
    <row r="63" spans="1:52">
      <c r="A63" s="110"/>
      <c r="B63" s="165" t="s">
        <v>349</v>
      </c>
      <c r="C63" s="110"/>
      <c r="D63" s="110">
        <v>4</v>
      </c>
      <c r="E63" s="110">
        <v>3</v>
      </c>
      <c r="F63" s="110">
        <v>2</v>
      </c>
      <c r="G63" s="110">
        <v>2</v>
      </c>
      <c r="H63" s="110">
        <v>2</v>
      </c>
      <c r="I63" s="110">
        <v>2</v>
      </c>
      <c r="J63" s="110">
        <v>2</v>
      </c>
      <c r="K63" s="110">
        <v>2</v>
      </c>
      <c r="L63" s="110">
        <v>2</v>
      </c>
      <c r="M63" s="110">
        <v>2</v>
      </c>
      <c r="N63" s="110">
        <v>2</v>
      </c>
      <c r="O63" s="110">
        <v>3</v>
      </c>
      <c r="P63" s="110">
        <v>2</v>
      </c>
      <c r="Q63" s="110">
        <v>4</v>
      </c>
      <c r="R63" s="110">
        <v>2</v>
      </c>
      <c r="S63" s="110">
        <v>4</v>
      </c>
      <c r="T63" s="110">
        <v>3</v>
      </c>
      <c r="U63" s="110">
        <v>2</v>
      </c>
      <c r="V63" s="110">
        <v>2</v>
      </c>
      <c r="W63" s="110">
        <v>2</v>
      </c>
      <c r="X63" s="110">
        <v>3</v>
      </c>
      <c r="Y63" s="110">
        <v>3</v>
      </c>
      <c r="Z63" s="110">
        <v>2</v>
      </c>
      <c r="AA63" s="110">
        <v>2</v>
      </c>
      <c r="AB63" s="110">
        <v>2</v>
      </c>
      <c r="AC63" s="110">
        <v>2</v>
      </c>
      <c r="AD63" s="110">
        <v>2</v>
      </c>
      <c r="AE63" s="110">
        <v>3</v>
      </c>
      <c r="AF63" s="110">
        <v>2</v>
      </c>
      <c r="AG63" s="110">
        <v>2</v>
      </c>
      <c r="AH63" s="110">
        <v>2</v>
      </c>
      <c r="AI63" s="110">
        <v>2</v>
      </c>
      <c r="AJ63" s="110">
        <v>2</v>
      </c>
      <c r="AK63" s="110">
        <v>3</v>
      </c>
      <c r="AL63" s="110">
        <v>4</v>
      </c>
      <c r="AM63" s="110">
        <v>3</v>
      </c>
      <c r="AN63" s="110">
        <v>3</v>
      </c>
      <c r="AO63" s="110">
        <v>2</v>
      </c>
      <c r="AP63" s="110">
        <v>2</v>
      </c>
      <c r="AQ63" s="110">
        <v>2</v>
      </c>
      <c r="AR63" s="110">
        <v>2</v>
      </c>
      <c r="AS63" s="110">
        <v>3</v>
      </c>
      <c r="AT63" s="110">
        <v>2</v>
      </c>
      <c r="AU63" s="110">
        <v>2</v>
      </c>
      <c r="AV63" s="110">
        <v>2</v>
      </c>
      <c r="AW63" s="110">
        <v>2</v>
      </c>
      <c r="AX63" s="110">
        <v>3</v>
      </c>
      <c r="AY63" s="110">
        <v>2</v>
      </c>
    </row>
    <row r="64" spans="1:52">
      <c r="A64" s="110"/>
      <c r="B64" s="178" t="s">
        <v>350</v>
      </c>
      <c r="C64" s="110"/>
      <c r="D64" s="110">
        <v>0</v>
      </c>
      <c r="E64" s="110">
        <v>0</v>
      </c>
      <c r="F64" s="110">
        <v>0</v>
      </c>
      <c r="G64" s="110">
        <v>0</v>
      </c>
      <c r="H64" s="110">
        <v>0</v>
      </c>
      <c r="I64" s="110">
        <v>0</v>
      </c>
      <c r="J64" s="110">
        <v>0</v>
      </c>
      <c r="K64" s="110">
        <v>0</v>
      </c>
      <c r="L64" s="110">
        <v>0</v>
      </c>
      <c r="M64" s="110">
        <v>0</v>
      </c>
      <c r="N64" s="110">
        <v>0</v>
      </c>
      <c r="O64" s="110">
        <v>0</v>
      </c>
      <c r="P64" s="110">
        <v>0</v>
      </c>
      <c r="Q64" s="110">
        <v>0</v>
      </c>
      <c r="R64" s="110">
        <v>0</v>
      </c>
      <c r="S64" s="110">
        <v>0</v>
      </c>
      <c r="T64" s="110">
        <v>0</v>
      </c>
      <c r="U64" s="110">
        <v>0</v>
      </c>
      <c r="V64" s="110">
        <v>0</v>
      </c>
      <c r="W64" s="110">
        <v>0</v>
      </c>
      <c r="X64" s="110">
        <v>0</v>
      </c>
      <c r="Y64" s="110">
        <v>0</v>
      </c>
      <c r="Z64" s="110">
        <v>0</v>
      </c>
      <c r="AA64" s="110">
        <v>0</v>
      </c>
      <c r="AB64" s="110">
        <v>0</v>
      </c>
      <c r="AC64" s="110">
        <v>0</v>
      </c>
      <c r="AD64" s="110">
        <v>0</v>
      </c>
      <c r="AE64" s="110">
        <v>0</v>
      </c>
      <c r="AF64" s="110">
        <v>0</v>
      </c>
      <c r="AG64" s="110">
        <v>0</v>
      </c>
      <c r="AH64" s="110">
        <v>0</v>
      </c>
      <c r="AI64" s="110">
        <v>0</v>
      </c>
      <c r="AJ64" s="110">
        <v>0</v>
      </c>
      <c r="AK64" s="110">
        <v>0</v>
      </c>
      <c r="AL64" s="110">
        <v>0</v>
      </c>
      <c r="AM64" s="110">
        <v>0</v>
      </c>
      <c r="AN64" s="110">
        <v>0</v>
      </c>
      <c r="AO64" s="110">
        <v>0</v>
      </c>
      <c r="AP64" s="110">
        <v>0</v>
      </c>
      <c r="AQ64" s="110">
        <v>0</v>
      </c>
      <c r="AR64" s="110">
        <v>0</v>
      </c>
      <c r="AS64" s="110">
        <v>0</v>
      </c>
      <c r="AT64" s="110">
        <v>0</v>
      </c>
      <c r="AU64" s="110">
        <v>0</v>
      </c>
      <c r="AV64" s="110">
        <v>0</v>
      </c>
      <c r="AW64" s="110">
        <v>0</v>
      </c>
      <c r="AX64" s="110">
        <v>0</v>
      </c>
      <c r="AY64" s="110">
        <v>0</v>
      </c>
      <c r="AZ64" s="100">
        <f>SUM($D$64:$AY$64)</f>
        <v>0</v>
      </c>
    </row>
    <row r="65" spans="1:52">
      <c r="A65" s="125"/>
      <c r="B65" s="140" t="s">
        <v>351</v>
      </c>
      <c r="C65" s="125"/>
      <c r="D65" s="125">
        <v>0</v>
      </c>
      <c r="E65" s="125">
        <v>0</v>
      </c>
      <c r="F65" s="125">
        <v>0</v>
      </c>
      <c r="G65" s="125">
        <v>0</v>
      </c>
      <c r="H65" s="125">
        <v>0</v>
      </c>
      <c r="I65" s="125">
        <v>0</v>
      </c>
      <c r="J65" s="125">
        <v>0</v>
      </c>
      <c r="K65" s="125">
        <v>0</v>
      </c>
      <c r="L65" s="125">
        <v>0</v>
      </c>
      <c r="M65" s="125">
        <v>0</v>
      </c>
      <c r="N65" s="125">
        <v>0</v>
      </c>
      <c r="O65" s="125">
        <v>0</v>
      </c>
      <c r="P65" s="125">
        <v>0</v>
      </c>
      <c r="Q65" s="125">
        <v>0</v>
      </c>
      <c r="R65" s="125">
        <v>0</v>
      </c>
      <c r="S65" s="125">
        <v>0</v>
      </c>
      <c r="T65" s="125">
        <v>0</v>
      </c>
      <c r="U65" s="125">
        <v>0</v>
      </c>
      <c r="V65" s="125">
        <v>0</v>
      </c>
      <c r="W65" s="125">
        <v>0</v>
      </c>
      <c r="X65" s="125">
        <v>0</v>
      </c>
      <c r="Y65" s="125">
        <v>0</v>
      </c>
      <c r="Z65" s="125">
        <v>0</v>
      </c>
      <c r="AA65" s="125">
        <v>0</v>
      </c>
      <c r="AB65" s="125">
        <v>0</v>
      </c>
      <c r="AC65" s="125">
        <v>0</v>
      </c>
      <c r="AD65" s="125">
        <v>0</v>
      </c>
      <c r="AE65" s="125">
        <v>0</v>
      </c>
      <c r="AF65" s="125">
        <v>0</v>
      </c>
      <c r="AG65" s="125">
        <v>0</v>
      </c>
      <c r="AH65" s="125">
        <v>0</v>
      </c>
      <c r="AI65" s="125">
        <v>0</v>
      </c>
      <c r="AJ65" s="125">
        <v>0</v>
      </c>
      <c r="AK65" s="125">
        <v>0</v>
      </c>
      <c r="AL65" s="125">
        <v>0</v>
      </c>
      <c r="AM65" s="125">
        <v>0</v>
      </c>
      <c r="AN65" s="125">
        <v>0</v>
      </c>
      <c r="AO65" s="125">
        <v>0</v>
      </c>
      <c r="AP65" s="125">
        <v>0</v>
      </c>
      <c r="AQ65" s="125">
        <v>0</v>
      </c>
      <c r="AR65" s="125">
        <v>0</v>
      </c>
      <c r="AS65" s="125">
        <v>0</v>
      </c>
      <c r="AT65" s="125">
        <v>0</v>
      </c>
      <c r="AU65" s="125">
        <v>0</v>
      </c>
      <c r="AV65" s="125">
        <v>0</v>
      </c>
      <c r="AW65" s="125">
        <v>0</v>
      </c>
      <c r="AX65" s="125">
        <v>0</v>
      </c>
      <c r="AY65" s="125">
        <v>0</v>
      </c>
      <c r="AZ65" s="100">
        <f>SUM($D$65:$AY$65)</f>
        <v>0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100" customWidth="1"/>
    <col min="2" max="2" width="17.6640625" style="100" customWidth="1"/>
    <col min="3" max="51" width="8.83203125" style="100"/>
    <col min="52" max="52" width="10.6640625" style="100" customWidth="1"/>
    <col min="53" max="16384" width="8.83203125" style="100"/>
  </cols>
  <sheetData>
    <row r="1" spans="1:52">
      <c r="A1" s="102" t="s">
        <v>118</v>
      </c>
    </row>
    <row r="2" spans="1:52">
      <c r="A2" s="100" t="s">
        <v>303</v>
      </c>
      <c r="B2" s="107" t="s">
        <v>12</v>
      </c>
      <c r="E2" s="110"/>
    </row>
    <row r="3" spans="1:52">
      <c r="A3" s="100" t="s">
        <v>286</v>
      </c>
      <c r="B3" s="107">
        <v>3589</v>
      </c>
      <c r="E3" s="110"/>
    </row>
    <row r="4" spans="1:52">
      <c r="A4" s="102"/>
      <c r="C4" s="111" t="s">
        <v>287</v>
      </c>
    </row>
    <row r="5" spans="1:52">
      <c r="B5" s="106"/>
      <c r="C5" s="112">
        <v>0</v>
      </c>
      <c r="D5" s="112">
        <v>1</v>
      </c>
      <c r="E5" s="112">
        <v>2</v>
      </c>
      <c r="F5" s="112">
        <v>3</v>
      </c>
      <c r="G5" s="112">
        <v>4</v>
      </c>
      <c r="H5" s="112">
        <v>5</v>
      </c>
      <c r="I5" s="112">
        <v>6</v>
      </c>
      <c r="J5" s="112">
        <v>7</v>
      </c>
      <c r="K5" s="112">
        <v>8</v>
      </c>
      <c r="L5" s="112">
        <v>9</v>
      </c>
      <c r="M5" s="112">
        <v>10</v>
      </c>
      <c r="N5" s="112">
        <v>11</v>
      </c>
      <c r="O5" s="112">
        <v>12</v>
      </c>
      <c r="P5" s="112">
        <v>13</v>
      </c>
      <c r="Q5" s="112">
        <v>14</v>
      </c>
      <c r="R5" s="112">
        <v>15</v>
      </c>
      <c r="S5" s="112">
        <v>16</v>
      </c>
      <c r="T5" s="112">
        <v>17</v>
      </c>
      <c r="U5" s="112">
        <v>18</v>
      </c>
      <c r="V5" s="112">
        <v>19</v>
      </c>
      <c r="W5" s="112">
        <v>20</v>
      </c>
      <c r="X5" s="112">
        <v>21</v>
      </c>
      <c r="Y5" s="112">
        <v>22</v>
      </c>
      <c r="Z5" s="112">
        <v>23</v>
      </c>
      <c r="AA5" s="112">
        <v>24</v>
      </c>
      <c r="AB5" s="112">
        <v>25</v>
      </c>
      <c r="AC5" s="112">
        <v>26</v>
      </c>
      <c r="AD5" s="112">
        <v>27</v>
      </c>
      <c r="AE5" s="112">
        <v>28</v>
      </c>
      <c r="AF5" s="112">
        <v>29</v>
      </c>
      <c r="AG5" s="112">
        <v>30</v>
      </c>
      <c r="AH5" s="112">
        <v>31</v>
      </c>
      <c r="AI5" s="112">
        <v>32</v>
      </c>
      <c r="AJ5" s="112">
        <v>33</v>
      </c>
      <c r="AK5" s="112">
        <v>34</v>
      </c>
      <c r="AL5" s="112">
        <v>35</v>
      </c>
      <c r="AM5" s="112">
        <v>36</v>
      </c>
      <c r="AN5" s="112">
        <v>37</v>
      </c>
      <c r="AO5" s="112">
        <v>38</v>
      </c>
      <c r="AP5" s="112">
        <v>39</v>
      </c>
      <c r="AQ5" s="112">
        <v>40</v>
      </c>
      <c r="AR5" s="112">
        <v>41</v>
      </c>
      <c r="AS5" s="112">
        <v>42</v>
      </c>
      <c r="AT5" s="112">
        <v>43</v>
      </c>
      <c r="AU5" s="112">
        <v>44</v>
      </c>
      <c r="AV5" s="112">
        <v>45</v>
      </c>
      <c r="AW5" s="112">
        <v>46</v>
      </c>
      <c r="AX5" s="112">
        <v>47</v>
      </c>
      <c r="AY5" s="112">
        <v>48</v>
      </c>
    </row>
    <row r="6" spans="1:52">
      <c r="A6" s="102" t="s">
        <v>304</v>
      </c>
      <c r="B6" s="114"/>
      <c r="C6" s="113" t="s">
        <v>288</v>
      </c>
      <c r="D6" s="112" t="s">
        <v>289</v>
      </c>
      <c r="E6" s="112" t="s">
        <v>289</v>
      </c>
      <c r="F6" s="112" t="s">
        <v>289</v>
      </c>
      <c r="G6" s="112" t="s">
        <v>289</v>
      </c>
      <c r="H6" s="112" t="s">
        <v>289</v>
      </c>
      <c r="I6" s="112" t="s">
        <v>289</v>
      </c>
      <c r="J6" s="112" t="s">
        <v>289</v>
      </c>
      <c r="K6" s="112" t="s">
        <v>289</v>
      </c>
      <c r="L6" s="112" t="s">
        <v>289</v>
      </c>
      <c r="M6" s="112" t="s">
        <v>289</v>
      </c>
      <c r="N6" s="112" t="s">
        <v>289</v>
      </c>
      <c r="O6" s="112" t="s">
        <v>289</v>
      </c>
      <c r="P6" s="112" t="s">
        <v>289</v>
      </c>
      <c r="Q6" s="112" t="s">
        <v>289</v>
      </c>
      <c r="R6" s="112" t="s">
        <v>289</v>
      </c>
      <c r="S6" s="112" t="s">
        <v>289</v>
      </c>
      <c r="T6" s="112" t="s">
        <v>289</v>
      </c>
      <c r="U6" s="112" t="s">
        <v>289</v>
      </c>
      <c r="V6" s="112" t="s">
        <v>289</v>
      </c>
      <c r="W6" s="112" t="s">
        <v>289</v>
      </c>
      <c r="X6" s="112" t="s">
        <v>289</v>
      </c>
      <c r="Y6" s="112" t="s">
        <v>289</v>
      </c>
      <c r="Z6" s="112" t="s">
        <v>289</v>
      </c>
      <c r="AA6" s="112" t="s">
        <v>289</v>
      </c>
      <c r="AB6" s="112" t="s">
        <v>289</v>
      </c>
      <c r="AC6" s="112" t="s">
        <v>289</v>
      </c>
      <c r="AD6" s="112" t="s">
        <v>289</v>
      </c>
      <c r="AE6" s="112" t="s">
        <v>289</v>
      </c>
      <c r="AF6" s="112" t="s">
        <v>289</v>
      </c>
      <c r="AG6" s="112" t="s">
        <v>289</v>
      </c>
      <c r="AH6" s="112" t="s">
        <v>289</v>
      </c>
      <c r="AI6" s="112" t="s">
        <v>289</v>
      </c>
      <c r="AJ6" s="112" t="s">
        <v>289</v>
      </c>
      <c r="AK6" s="112" t="s">
        <v>289</v>
      </c>
      <c r="AL6" s="112" t="s">
        <v>289</v>
      </c>
      <c r="AM6" s="112" t="s">
        <v>289</v>
      </c>
      <c r="AN6" s="112" t="s">
        <v>289</v>
      </c>
      <c r="AO6" s="112" t="s">
        <v>289</v>
      </c>
      <c r="AP6" s="112" t="s">
        <v>289</v>
      </c>
      <c r="AQ6" s="112" t="s">
        <v>289</v>
      </c>
      <c r="AR6" s="112" t="s">
        <v>289</v>
      </c>
      <c r="AS6" s="112" t="s">
        <v>289</v>
      </c>
      <c r="AT6" s="112" t="s">
        <v>289</v>
      </c>
      <c r="AU6" s="112" t="s">
        <v>289</v>
      </c>
      <c r="AV6" s="112" t="s">
        <v>289</v>
      </c>
      <c r="AW6" s="112" t="s">
        <v>289</v>
      </c>
      <c r="AX6" s="112" t="s">
        <v>289</v>
      </c>
      <c r="AY6" s="111" t="s">
        <v>290</v>
      </c>
      <c r="AZ6" s="142" t="s">
        <v>150</v>
      </c>
    </row>
    <row r="7" spans="1:52">
      <c r="A7" s="115" t="s">
        <v>125</v>
      </c>
      <c r="B7" s="143">
        <v>1</v>
      </c>
      <c r="C7" s="144" t="s">
        <v>293</v>
      </c>
      <c r="D7" s="144">
        <v>1628.0837939863113</v>
      </c>
      <c r="E7" s="144">
        <v>1628.0837939863113</v>
      </c>
      <c r="F7" s="144">
        <v>1628.0837939863113</v>
      </c>
      <c r="G7" s="144">
        <v>1628.0837939863113</v>
      </c>
      <c r="H7" s="144">
        <v>1628.0837939863113</v>
      </c>
      <c r="I7" s="144">
        <v>1628.0837939863113</v>
      </c>
      <c r="J7" s="144">
        <v>1628.0837939863113</v>
      </c>
      <c r="K7" s="144">
        <v>1628.0837939863113</v>
      </c>
      <c r="L7" s="144">
        <v>1628.0837939863113</v>
      </c>
      <c r="M7" s="144">
        <v>1628.0837939863113</v>
      </c>
      <c r="N7" s="144">
        <v>1628.0837939863113</v>
      </c>
      <c r="O7" s="144">
        <v>1628.0837939863113</v>
      </c>
      <c r="P7" s="144">
        <v>1302.4761510823307</v>
      </c>
      <c r="Q7" s="144">
        <v>1302.4761510823307</v>
      </c>
      <c r="R7" s="144">
        <v>1302.4761510823307</v>
      </c>
      <c r="S7" s="144">
        <v>1302.4761510823307</v>
      </c>
      <c r="T7" s="144">
        <v>1628.0837939863113</v>
      </c>
      <c r="U7" s="144">
        <v>1628.0837939863113</v>
      </c>
      <c r="V7" s="144">
        <v>1628.0837939863113</v>
      </c>
      <c r="W7" s="144">
        <v>1628.0837939863113</v>
      </c>
      <c r="X7" s="144">
        <v>1628.0837939863113</v>
      </c>
      <c r="Y7" s="144">
        <v>1628.0837939863113</v>
      </c>
      <c r="Z7" s="144">
        <v>1628.0837939863113</v>
      </c>
      <c r="AA7" s="144">
        <v>1628.0837939863113</v>
      </c>
      <c r="AB7" s="144">
        <v>1628.0837939863113</v>
      </c>
      <c r="AC7" s="144">
        <v>1628.0837939863113</v>
      </c>
      <c r="AD7" s="144">
        <v>1628.0837939863113</v>
      </c>
      <c r="AE7" s="144">
        <v>1628.0837939863113</v>
      </c>
      <c r="AF7" s="144">
        <v>1628.0837939863113</v>
      </c>
      <c r="AG7" s="144">
        <v>1628.0837939863113</v>
      </c>
      <c r="AH7" s="144">
        <v>1628.0837939863113</v>
      </c>
      <c r="AI7" s="144">
        <v>1628.0837939863113</v>
      </c>
      <c r="AJ7" s="144">
        <v>1628.0837939863113</v>
      </c>
      <c r="AK7" s="144">
        <v>1628.0837939863113</v>
      </c>
      <c r="AL7" s="144">
        <v>1628.0837939863113</v>
      </c>
      <c r="AM7" s="144">
        <v>1628.0837939863113</v>
      </c>
      <c r="AN7" s="144">
        <v>1628.0837939863113</v>
      </c>
      <c r="AO7" s="144">
        <v>1628.0837939863113</v>
      </c>
      <c r="AP7" s="144">
        <v>1628.0837939863113</v>
      </c>
      <c r="AQ7" s="144">
        <v>1628.0837939863113</v>
      </c>
      <c r="AR7" s="144">
        <v>1628.0837939863113</v>
      </c>
      <c r="AS7" s="144">
        <v>1628.0837939863113</v>
      </c>
      <c r="AT7" s="144">
        <v>1628.0837939863113</v>
      </c>
      <c r="AU7" s="144">
        <v>1628.0837939863113</v>
      </c>
      <c r="AV7" s="144">
        <v>1628.0837939863113</v>
      </c>
      <c r="AW7" s="144">
        <v>1628.0837939863113</v>
      </c>
      <c r="AX7" s="144">
        <v>1628.0837939863113</v>
      </c>
      <c r="AY7" s="144">
        <v>1628.0837939863113</v>
      </c>
      <c r="AZ7" s="106"/>
    </row>
    <row r="8" spans="1:52">
      <c r="A8" s="145"/>
      <c r="B8" s="146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7"/>
    </row>
    <row r="9" spans="1:52">
      <c r="A9" s="102" t="s">
        <v>294</v>
      </c>
      <c r="B9" s="148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</row>
    <row r="10" spans="1:52">
      <c r="A10" s="149" t="s">
        <v>125</v>
      </c>
      <c r="B10" s="150">
        <v>1</v>
      </c>
      <c r="C10" s="144" t="s">
        <v>293</v>
      </c>
      <c r="D10" s="144">
        <f t="shared" ref="D10:AY10" si="0">MAX(SUM(D$14:D$16)+D$7-$B$3,0)</f>
        <v>0</v>
      </c>
      <c r="E10" s="144">
        <f t="shared" si="0"/>
        <v>0</v>
      </c>
      <c r="F10" s="144">
        <f t="shared" si="0"/>
        <v>0</v>
      </c>
      <c r="G10" s="144">
        <f t="shared" si="0"/>
        <v>0</v>
      </c>
      <c r="H10" s="144">
        <f t="shared" si="0"/>
        <v>0</v>
      </c>
      <c r="I10" s="144">
        <f t="shared" si="0"/>
        <v>0</v>
      </c>
      <c r="J10" s="144">
        <f t="shared" si="0"/>
        <v>0</v>
      </c>
      <c r="K10" s="144">
        <f t="shared" si="0"/>
        <v>0</v>
      </c>
      <c r="L10" s="144">
        <f t="shared" si="0"/>
        <v>0</v>
      </c>
      <c r="M10" s="144">
        <f t="shared" si="0"/>
        <v>0</v>
      </c>
      <c r="N10" s="144">
        <f t="shared" si="0"/>
        <v>0</v>
      </c>
      <c r="O10" s="144">
        <f t="shared" si="0"/>
        <v>0</v>
      </c>
      <c r="P10" s="144">
        <f t="shared" si="0"/>
        <v>0</v>
      </c>
      <c r="Q10" s="144">
        <f t="shared" si="0"/>
        <v>0</v>
      </c>
      <c r="R10" s="144">
        <f t="shared" si="0"/>
        <v>0</v>
      </c>
      <c r="S10" s="144">
        <f t="shared" si="0"/>
        <v>0</v>
      </c>
      <c r="T10" s="144">
        <f t="shared" si="0"/>
        <v>0</v>
      </c>
      <c r="U10" s="144">
        <f t="shared" si="0"/>
        <v>0</v>
      </c>
      <c r="V10" s="144">
        <f t="shared" si="0"/>
        <v>0</v>
      </c>
      <c r="W10" s="144">
        <f t="shared" si="0"/>
        <v>0</v>
      </c>
      <c r="X10" s="144">
        <f t="shared" si="0"/>
        <v>0</v>
      </c>
      <c r="Y10" s="144">
        <f t="shared" si="0"/>
        <v>0</v>
      </c>
      <c r="Z10" s="144">
        <f t="shared" si="0"/>
        <v>0</v>
      </c>
      <c r="AA10" s="144">
        <f t="shared" si="0"/>
        <v>0</v>
      </c>
      <c r="AB10" s="144">
        <f t="shared" si="0"/>
        <v>0</v>
      </c>
      <c r="AC10" s="144">
        <f t="shared" si="0"/>
        <v>0</v>
      </c>
      <c r="AD10" s="144">
        <f t="shared" si="0"/>
        <v>0</v>
      </c>
      <c r="AE10" s="144">
        <f t="shared" si="0"/>
        <v>0</v>
      </c>
      <c r="AF10" s="144">
        <f t="shared" si="0"/>
        <v>0</v>
      </c>
      <c r="AG10" s="144">
        <f t="shared" si="0"/>
        <v>0</v>
      </c>
      <c r="AH10" s="144">
        <f t="shared" si="0"/>
        <v>0</v>
      </c>
      <c r="AI10" s="144">
        <f t="shared" si="0"/>
        <v>0</v>
      </c>
      <c r="AJ10" s="144">
        <f t="shared" si="0"/>
        <v>0</v>
      </c>
      <c r="AK10" s="144">
        <f t="shared" si="0"/>
        <v>0</v>
      </c>
      <c r="AL10" s="144">
        <f t="shared" si="0"/>
        <v>0</v>
      </c>
      <c r="AM10" s="144">
        <f t="shared" si="0"/>
        <v>0</v>
      </c>
      <c r="AN10" s="144">
        <f t="shared" si="0"/>
        <v>0</v>
      </c>
      <c r="AO10" s="144">
        <f t="shared" si="0"/>
        <v>0</v>
      </c>
      <c r="AP10" s="144">
        <f t="shared" si="0"/>
        <v>0</v>
      </c>
      <c r="AQ10" s="144">
        <f t="shared" si="0"/>
        <v>0</v>
      </c>
      <c r="AR10" s="144">
        <f t="shared" si="0"/>
        <v>0</v>
      </c>
      <c r="AS10" s="144">
        <f t="shared" si="0"/>
        <v>0</v>
      </c>
      <c r="AT10" s="144">
        <f t="shared" si="0"/>
        <v>0</v>
      </c>
      <c r="AU10" s="144">
        <f t="shared" si="0"/>
        <v>0</v>
      </c>
      <c r="AV10" s="144">
        <f t="shared" si="0"/>
        <v>0</v>
      </c>
      <c r="AW10" s="144">
        <f t="shared" si="0"/>
        <v>0</v>
      </c>
      <c r="AX10" s="144">
        <f t="shared" si="0"/>
        <v>0</v>
      </c>
      <c r="AY10" s="144">
        <f t="shared" si="0"/>
        <v>0</v>
      </c>
      <c r="AZ10" s="151">
        <f>SUM($D10:$AY10)</f>
        <v>0</v>
      </c>
    </row>
    <row r="11" spans="1:52">
      <c r="C11" s="110"/>
    </row>
    <row r="12" spans="1:52">
      <c r="A12" s="152" t="s">
        <v>295</v>
      </c>
      <c r="B12" s="146"/>
      <c r="C12" s="110"/>
    </row>
    <row r="13" spans="1:52">
      <c r="A13" s="122" t="s">
        <v>125</v>
      </c>
      <c r="B13" s="123">
        <v>1</v>
      </c>
      <c r="C13" s="124">
        <v>1598.9370904843595</v>
      </c>
      <c r="D13" s="138">
        <f t="shared" ref="D13:AY13" si="1">D$7-D$10</f>
        <v>1628.0837939863113</v>
      </c>
      <c r="E13" s="138">
        <f t="shared" si="1"/>
        <v>1628.0837939863113</v>
      </c>
      <c r="F13" s="138">
        <f t="shared" si="1"/>
        <v>1628.0837939863113</v>
      </c>
      <c r="G13" s="138">
        <f t="shared" si="1"/>
        <v>1628.0837939863113</v>
      </c>
      <c r="H13" s="138">
        <f t="shared" si="1"/>
        <v>1628.0837939863113</v>
      </c>
      <c r="I13" s="138">
        <f t="shared" si="1"/>
        <v>1628.0837939863113</v>
      </c>
      <c r="J13" s="138">
        <f t="shared" si="1"/>
        <v>1628.0837939863113</v>
      </c>
      <c r="K13" s="138">
        <f t="shared" si="1"/>
        <v>1628.0837939863113</v>
      </c>
      <c r="L13" s="138">
        <f t="shared" si="1"/>
        <v>1628.0837939863113</v>
      </c>
      <c r="M13" s="138">
        <f t="shared" si="1"/>
        <v>1628.0837939863113</v>
      </c>
      <c r="N13" s="138">
        <f t="shared" si="1"/>
        <v>1628.0837939863113</v>
      </c>
      <c r="O13" s="138">
        <f t="shared" si="1"/>
        <v>1628.0837939863113</v>
      </c>
      <c r="P13" s="138">
        <f t="shared" si="1"/>
        <v>1302.4761510823307</v>
      </c>
      <c r="Q13" s="138">
        <f t="shared" si="1"/>
        <v>1302.4761510823307</v>
      </c>
      <c r="R13" s="138">
        <f t="shared" si="1"/>
        <v>1302.4761510823307</v>
      </c>
      <c r="S13" s="138">
        <f t="shared" si="1"/>
        <v>1302.4761510823307</v>
      </c>
      <c r="T13" s="138">
        <f t="shared" si="1"/>
        <v>1628.0837939863113</v>
      </c>
      <c r="U13" s="138">
        <f t="shared" si="1"/>
        <v>1628.0837939863113</v>
      </c>
      <c r="V13" s="138">
        <f t="shared" si="1"/>
        <v>1628.0837939863113</v>
      </c>
      <c r="W13" s="138">
        <f t="shared" si="1"/>
        <v>1628.0837939863113</v>
      </c>
      <c r="X13" s="138">
        <f t="shared" si="1"/>
        <v>1628.0837939863113</v>
      </c>
      <c r="Y13" s="138">
        <f t="shared" si="1"/>
        <v>1628.0837939863113</v>
      </c>
      <c r="Z13" s="138">
        <f t="shared" si="1"/>
        <v>1628.0837939863113</v>
      </c>
      <c r="AA13" s="138">
        <f t="shared" si="1"/>
        <v>1628.0837939863113</v>
      </c>
      <c r="AB13" s="138">
        <f t="shared" si="1"/>
        <v>1628.0837939863113</v>
      </c>
      <c r="AC13" s="138">
        <f t="shared" si="1"/>
        <v>1628.0837939863113</v>
      </c>
      <c r="AD13" s="138">
        <f t="shared" si="1"/>
        <v>1628.0837939863113</v>
      </c>
      <c r="AE13" s="138">
        <f t="shared" si="1"/>
        <v>1628.0837939863113</v>
      </c>
      <c r="AF13" s="138">
        <f t="shared" si="1"/>
        <v>1628.0837939863113</v>
      </c>
      <c r="AG13" s="138">
        <f t="shared" si="1"/>
        <v>1628.0837939863113</v>
      </c>
      <c r="AH13" s="138">
        <f t="shared" si="1"/>
        <v>1628.0837939863113</v>
      </c>
      <c r="AI13" s="138">
        <f t="shared" si="1"/>
        <v>1628.0837939863113</v>
      </c>
      <c r="AJ13" s="138">
        <f t="shared" si="1"/>
        <v>1628.0837939863113</v>
      </c>
      <c r="AK13" s="138">
        <f t="shared" si="1"/>
        <v>1628.0837939863113</v>
      </c>
      <c r="AL13" s="138">
        <f t="shared" si="1"/>
        <v>1628.0837939863113</v>
      </c>
      <c r="AM13" s="138">
        <f t="shared" si="1"/>
        <v>1628.0837939863113</v>
      </c>
      <c r="AN13" s="138">
        <f t="shared" si="1"/>
        <v>1628.0837939863113</v>
      </c>
      <c r="AO13" s="138">
        <f t="shared" si="1"/>
        <v>1628.0837939863113</v>
      </c>
      <c r="AP13" s="138">
        <f t="shared" si="1"/>
        <v>1628.0837939863113</v>
      </c>
      <c r="AQ13" s="138">
        <f t="shared" si="1"/>
        <v>1628.0837939863113</v>
      </c>
      <c r="AR13" s="138">
        <f t="shared" si="1"/>
        <v>1628.0837939863113</v>
      </c>
      <c r="AS13" s="138">
        <f t="shared" si="1"/>
        <v>1628.0837939863113</v>
      </c>
      <c r="AT13" s="138">
        <f t="shared" si="1"/>
        <v>1628.0837939863113</v>
      </c>
      <c r="AU13" s="138">
        <f t="shared" si="1"/>
        <v>1628.0837939863113</v>
      </c>
      <c r="AV13" s="138">
        <f t="shared" si="1"/>
        <v>1628.0837939863113</v>
      </c>
      <c r="AW13" s="138">
        <f t="shared" si="1"/>
        <v>1628.0837939863113</v>
      </c>
      <c r="AX13" s="138">
        <f t="shared" si="1"/>
        <v>1628.0837939863113</v>
      </c>
      <c r="AY13" s="138">
        <f t="shared" si="1"/>
        <v>1628.0837939863113</v>
      </c>
      <c r="AZ13" s="109"/>
    </row>
    <row r="14" spans="1:52">
      <c r="A14" s="110"/>
      <c r="B14" s="120">
        <v>2</v>
      </c>
      <c r="C14" s="110">
        <v>1598.9370904843595</v>
      </c>
      <c r="D14" s="106">
        <f>IF(C$20="Yes",C13,0)</f>
        <v>0</v>
      </c>
      <c r="E14" s="106">
        <f t="shared" ref="E14:AY17" si="2">IF(D$20="Yes",D13,0)</f>
        <v>0</v>
      </c>
      <c r="F14" s="106">
        <f t="shared" si="2"/>
        <v>0</v>
      </c>
      <c r="G14" s="106">
        <f t="shared" si="2"/>
        <v>0</v>
      </c>
      <c r="H14" s="106">
        <f t="shared" si="2"/>
        <v>0</v>
      </c>
      <c r="I14" s="106">
        <f t="shared" si="2"/>
        <v>0</v>
      </c>
      <c r="J14" s="106">
        <f t="shared" si="2"/>
        <v>0</v>
      </c>
      <c r="K14" s="106">
        <f t="shared" si="2"/>
        <v>0</v>
      </c>
      <c r="L14" s="106">
        <f t="shared" si="2"/>
        <v>0</v>
      </c>
      <c r="M14" s="106">
        <f t="shared" si="2"/>
        <v>0</v>
      </c>
      <c r="N14" s="106">
        <f t="shared" si="2"/>
        <v>0</v>
      </c>
      <c r="O14" s="106">
        <f t="shared" si="2"/>
        <v>0</v>
      </c>
      <c r="P14" s="106">
        <f t="shared" si="2"/>
        <v>0</v>
      </c>
      <c r="Q14" s="106">
        <f t="shared" si="2"/>
        <v>1302.4761510823307</v>
      </c>
      <c r="R14" s="106">
        <f t="shared" si="2"/>
        <v>0</v>
      </c>
      <c r="S14" s="106">
        <f t="shared" si="2"/>
        <v>0</v>
      </c>
      <c r="T14" s="106">
        <f t="shared" si="2"/>
        <v>1302.4761510823307</v>
      </c>
      <c r="U14" s="106">
        <f t="shared" si="2"/>
        <v>0</v>
      </c>
      <c r="V14" s="106">
        <f t="shared" si="2"/>
        <v>0</v>
      </c>
      <c r="W14" s="106">
        <f t="shared" si="2"/>
        <v>0</v>
      </c>
      <c r="X14" s="106">
        <f t="shared" si="2"/>
        <v>0</v>
      </c>
      <c r="Y14" s="106">
        <f t="shared" si="2"/>
        <v>0</v>
      </c>
      <c r="Z14" s="106">
        <f t="shared" si="2"/>
        <v>0</v>
      </c>
      <c r="AA14" s="106">
        <f t="shared" si="2"/>
        <v>0</v>
      </c>
      <c r="AB14" s="106">
        <f t="shared" si="2"/>
        <v>0</v>
      </c>
      <c r="AC14" s="106">
        <f t="shared" si="2"/>
        <v>0</v>
      </c>
      <c r="AD14" s="106">
        <f t="shared" si="2"/>
        <v>0</v>
      </c>
      <c r="AE14" s="106">
        <f t="shared" si="2"/>
        <v>0</v>
      </c>
      <c r="AF14" s="106">
        <f t="shared" si="2"/>
        <v>0</v>
      </c>
      <c r="AG14" s="106">
        <f t="shared" si="2"/>
        <v>0</v>
      </c>
      <c r="AH14" s="106">
        <f t="shared" si="2"/>
        <v>0</v>
      </c>
      <c r="AI14" s="106">
        <f t="shared" si="2"/>
        <v>0</v>
      </c>
      <c r="AJ14" s="106">
        <f t="shared" si="2"/>
        <v>0</v>
      </c>
      <c r="AK14" s="106">
        <f t="shared" si="2"/>
        <v>0</v>
      </c>
      <c r="AL14" s="106">
        <f t="shared" si="2"/>
        <v>0</v>
      </c>
      <c r="AM14" s="106">
        <f t="shared" si="2"/>
        <v>0</v>
      </c>
      <c r="AN14" s="106">
        <f t="shared" si="2"/>
        <v>0</v>
      </c>
      <c r="AO14" s="106">
        <f t="shared" si="2"/>
        <v>0</v>
      </c>
      <c r="AP14" s="106">
        <f t="shared" si="2"/>
        <v>0</v>
      </c>
      <c r="AQ14" s="106">
        <f t="shared" si="2"/>
        <v>0</v>
      </c>
      <c r="AR14" s="106">
        <f t="shared" si="2"/>
        <v>0</v>
      </c>
      <c r="AS14" s="106">
        <f t="shared" si="2"/>
        <v>0</v>
      </c>
      <c r="AT14" s="106">
        <f t="shared" si="2"/>
        <v>0</v>
      </c>
      <c r="AU14" s="106">
        <f t="shared" si="2"/>
        <v>0</v>
      </c>
      <c r="AV14" s="106">
        <f t="shared" si="2"/>
        <v>0</v>
      </c>
      <c r="AW14" s="106">
        <f t="shared" si="2"/>
        <v>0</v>
      </c>
      <c r="AX14" s="106">
        <f t="shared" si="2"/>
        <v>0</v>
      </c>
      <c r="AY14" s="106">
        <f t="shared" si="2"/>
        <v>1628.0837939863113</v>
      </c>
      <c r="AZ14" s="109"/>
    </row>
    <row r="15" spans="1:52">
      <c r="A15" s="110"/>
      <c r="B15" s="127">
        <v>3</v>
      </c>
      <c r="C15" s="110">
        <v>0</v>
      </c>
      <c r="D15" s="106">
        <f>IF(C$20="Yes",C14,0)</f>
        <v>0</v>
      </c>
      <c r="E15" s="106">
        <f t="shared" si="2"/>
        <v>0</v>
      </c>
      <c r="F15" s="106">
        <f t="shared" si="2"/>
        <v>0</v>
      </c>
      <c r="G15" s="106">
        <f t="shared" si="2"/>
        <v>0</v>
      </c>
      <c r="H15" s="106">
        <f t="shared" si="2"/>
        <v>0</v>
      </c>
      <c r="I15" s="106">
        <f t="shared" si="2"/>
        <v>0</v>
      </c>
      <c r="J15" s="106">
        <f t="shared" si="2"/>
        <v>0</v>
      </c>
      <c r="K15" s="106">
        <f t="shared" si="2"/>
        <v>0</v>
      </c>
      <c r="L15" s="106">
        <f t="shared" si="2"/>
        <v>0</v>
      </c>
      <c r="M15" s="106">
        <f t="shared" si="2"/>
        <v>0</v>
      </c>
      <c r="N15" s="106">
        <f t="shared" si="2"/>
        <v>0</v>
      </c>
      <c r="O15" s="106">
        <f t="shared" si="2"/>
        <v>0</v>
      </c>
      <c r="P15" s="106">
        <f t="shared" si="2"/>
        <v>0</v>
      </c>
      <c r="Q15" s="106">
        <f t="shared" si="2"/>
        <v>0</v>
      </c>
      <c r="R15" s="106">
        <f t="shared" si="2"/>
        <v>0</v>
      </c>
      <c r="S15" s="106">
        <f t="shared" si="2"/>
        <v>0</v>
      </c>
      <c r="T15" s="106">
        <f t="shared" si="2"/>
        <v>0</v>
      </c>
      <c r="U15" s="106">
        <f t="shared" si="2"/>
        <v>0</v>
      </c>
      <c r="V15" s="106">
        <f t="shared" si="2"/>
        <v>0</v>
      </c>
      <c r="W15" s="106">
        <f t="shared" si="2"/>
        <v>0</v>
      </c>
      <c r="X15" s="106">
        <f t="shared" si="2"/>
        <v>0</v>
      </c>
      <c r="Y15" s="106">
        <f t="shared" si="2"/>
        <v>0</v>
      </c>
      <c r="Z15" s="106">
        <f t="shared" si="2"/>
        <v>0</v>
      </c>
      <c r="AA15" s="106">
        <f t="shared" si="2"/>
        <v>0</v>
      </c>
      <c r="AB15" s="106">
        <f t="shared" si="2"/>
        <v>0</v>
      </c>
      <c r="AC15" s="106">
        <f t="shared" si="2"/>
        <v>0</v>
      </c>
      <c r="AD15" s="106">
        <f t="shared" si="2"/>
        <v>0</v>
      </c>
      <c r="AE15" s="106">
        <f t="shared" si="2"/>
        <v>0</v>
      </c>
      <c r="AF15" s="106">
        <f t="shared" si="2"/>
        <v>0</v>
      </c>
      <c r="AG15" s="106">
        <f t="shared" si="2"/>
        <v>0</v>
      </c>
      <c r="AH15" s="106">
        <f t="shared" si="2"/>
        <v>0</v>
      </c>
      <c r="AI15" s="106">
        <f t="shared" si="2"/>
        <v>0</v>
      </c>
      <c r="AJ15" s="106">
        <f t="shared" si="2"/>
        <v>0</v>
      </c>
      <c r="AK15" s="106">
        <f t="shared" si="2"/>
        <v>0</v>
      </c>
      <c r="AL15" s="106">
        <f t="shared" si="2"/>
        <v>0</v>
      </c>
      <c r="AM15" s="106">
        <f t="shared" si="2"/>
        <v>0</v>
      </c>
      <c r="AN15" s="106">
        <f t="shared" si="2"/>
        <v>0</v>
      </c>
      <c r="AO15" s="106">
        <f t="shared" si="2"/>
        <v>0</v>
      </c>
      <c r="AP15" s="106">
        <f t="shared" si="2"/>
        <v>0</v>
      </c>
      <c r="AQ15" s="106">
        <f t="shared" si="2"/>
        <v>0</v>
      </c>
      <c r="AR15" s="106">
        <f t="shared" si="2"/>
        <v>0</v>
      </c>
      <c r="AS15" s="106">
        <f t="shared" si="2"/>
        <v>0</v>
      </c>
      <c r="AT15" s="106">
        <f t="shared" si="2"/>
        <v>0</v>
      </c>
      <c r="AU15" s="106">
        <f t="shared" si="2"/>
        <v>0</v>
      </c>
      <c r="AV15" s="106">
        <f t="shared" si="2"/>
        <v>0</v>
      </c>
      <c r="AW15" s="106">
        <f t="shared" si="2"/>
        <v>0</v>
      </c>
      <c r="AX15" s="106">
        <f t="shared" si="2"/>
        <v>0</v>
      </c>
      <c r="AY15" s="106">
        <f t="shared" si="2"/>
        <v>0</v>
      </c>
      <c r="AZ15" s="109"/>
    </row>
    <row r="16" spans="1:52">
      <c r="A16" s="110"/>
      <c r="B16" s="130">
        <v>4</v>
      </c>
      <c r="C16" s="110">
        <v>0</v>
      </c>
      <c r="D16" s="106">
        <f>IF(C$20="Yes",C15,0)</f>
        <v>0</v>
      </c>
      <c r="E16" s="106">
        <f t="shared" si="2"/>
        <v>0</v>
      </c>
      <c r="F16" s="106">
        <f t="shared" si="2"/>
        <v>0</v>
      </c>
      <c r="G16" s="106">
        <f t="shared" si="2"/>
        <v>0</v>
      </c>
      <c r="H16" s="106">
        <f t="shared" si="2"/>
        <v>0</v>
      </c>
      <c r="I16" s="106">
        <f t="shared" si="2"/>
        <v>0</v>
      </c>
      <c r="J16" s="106">
        <f t="shared" si="2"/>
        <v>0</v>
      </c>
      <c r="K16" s="106">
        <f t="shared" si="2"/>
        <v>0</v>
      </c>
      <c r="L16" s="106">
        <f t="shared" si="2"/>
        <v>0</v>
      </c>
      <c r="M16" s="106">
        <f t="shared" si="2"/>
        <v>0</v>
      </c>
      <c r="N16" s="106">
        <f t="shared" si="2"/>
        <v>0</v>
      </c>
      <c r="O16" s="106">
        <f t="shared" si="2"/>
        <v>0</v>
      </c>
      <c r="P16" s="106">
        <f t="shared" si="2"/>
        <v>0</v>
      </c>
      <c r="Q16" s="106">
        <f t="shared" si="2"/>
        <v>0</v>
      </c>
      <c r="R16" s="106">
        <f t="shared" si="2"/>
        <v>0</v>
      </c>
      <c r="S16" s="106">
        <f t="shared" si="2"/>
        <v>0</v>
      </c>
      <c r="T16" s="106">
        <f t="shared" si="2"/>
        <v>0</v>
      </c>
      <c r="U16" s="106">
        <f t="shared" si="2"/>
        <v>0</v>
      </c>
      <c r="V16" s="106">
        <f t="shared" si="2"/>
        <v>0</v>
      </c>
      <c r="W16" s="106">
        <f t="shared" si="2"/>
        <v>0</v>
      </c>
      <c r="X16" s="106">
        <f t="shared" si="2"/>
        <v>0</v>
      </c>
      <c r="Y16" s="106">
        <f t="shared" si="2"/>
        <v>0</v>
      </c>
      <c r="Z16" s="106">
        <f t="shared" si="2"/>
        <v>0</v>
      </c>
      <c r="AA16" s="106">
        <f t="shared" si="2"/>
        <v>0</v>
      </c>
      <c r="AB16" s="106">
        <f t="shared" si="2"/>
        <v>0</v>
      </c>
      <c r="AC16" s="106">
        <f t="shared" si="2"/>
        <v>0</v>
      </c>
      <c r="AD16" s="106">
        <f t="shared" si="2"/>
        <v>0</v>
      </c>
      <c r="AE16" s="106">
        <f t="shared" si="2"/>
        <v>0</v>
      </c>
      <c r="AF16" s="106">
        <f t="shared" si="2"/>
        <v>0</v>
      </c>
      <c r="AG16" s="106">
        <f t="shared" si="2"/>
        <v>0</v>
      </c>
      <c r="AH16" s="106">
        <f t="shared" si="2"/>
        <v>0</v>
      </c>
      <c r="AI16" s="106">
        <f t="shared" si="2"/>
        <v>0</v>
      </c>
      <c r="AJ16" s="106">
        <f t="shared" si="2"/>
        <v>0</v>
      </c>
      <c r="AK16" s="106">
        <f t="shared" si="2"/>
        <v>0</v>
      </c>
      <c r="AL16" s="106">
        <f t="shared" si="2"/>
        <v>0</v>
      </c>
      <c r="AM16" s="106">
        <f t="shared" si="2"/>
        <v>0</v>
      </c>
      <c r="AN16" s="106">
        <f t="shared" si="2"/>
        <v>0</v>
      </c>
      <c r="AO16" s="106">
        <f t="shared" si="2"/>
        <v>0</v>
      </c>
      <c r="AP16" s="106">
        <f t="shared" si="2"/>
        <v>0</v>
      </c>
      <c r="AQ16" s="106">
        <f t="shared" si="2"/>
        <v>0</v>
      </c>
      <c r="AR16" s="106">
        <f t="shared" si="2"/>
        <v>0</v>
      </c>
      <c r="AS16" s="106">
        <f t="shared" si="2"/>
        <v>0</v>
      </c>
      <c r="AT16" s="106">
        <f t="shared" si="2"/>
        <v>0</v>
      </c>
      <c r="AU16" s="106">
        <f t="shared" si="2"/>
        <v>0</v>
      </c>
      <c r="AV16" s="106">
        <f t="shared" si="2"/>
        <v>0</v>
      </c>
      <c r="AW16" s="106">
        <f t="shared" si="2"/>
        <v>0</v>
      </c>
      <c r="AX16" s="106">
        <f t="shared" si="2"/>
        <v>0</v>
      </c>
      <c r="AY16" s="106">
        <f t="shared" si="2"/>
        <v>0</v>
      </c>
      <c r="AZ16" s="128"/>
    </row>
    <row r="17" spans="1:52">
      <c r="A17" s="125"/>
      <c r="B17" s="132" t="s">
        <v>296</v>
      </c>
      <c r="C17" s="125">
        <v>0</v>
      </c>
      <c r="D17" s="114">
        <f>IF(C$20="Yes",C16,0)</f>
        <v>0</v>
      </c>
      <c r="E17" s="114">
        <f t="shared" si="2"/>
        <v>0</v>
      </c>
      <c r="F17" s="114">
        <f t="shared" si="2"/>
        <v>0</v>
      </c>
      <c r="G17" s="114">
        <f t="shared" si="2"/>
        <v>0</v>
      </c>
      <c r="H17" s="114">
        <f t="shared" si="2"/>
        <v>0</v>
      </c>
      <c r="I17" s="114">
        <f t="shared" si="2"/>
        <v>0</v>
      </c>
      <c r="J17" s="114">
        <f t="shared" si="2"/>
        <v>0</v>
      </c>
      <c r="K17" s="114">
        <f t="shared" si="2"/>
        <v>0</v>
      </c>
      <c r="L17" s="114">
        <f t="shared" si="2"/>
        <v>0</v>
      </c>
      <c r="M17" s="114">
        <f t="shared" si="2"/>
        <v>0</v>
      </c>
      <c r="N17" s="114">
        <f t="shared" si="2"/>
        <v>0</v>
      </c>
      <c r="O17" s="114">
        <f t="shared" si="2"/>
        <v>0</v>
      </c>
      <c r="P17" s="114">
        <f t="shared" si="2"/>
        <v>0</v>
      </c>
      <c r="Q17" s="114">
        <f t="shared" si="2"/>
        <v>0</v>
      </c>
      <c r="R17" s="114">
        <f t="shared" si="2"/>
        <v>0</v>
      </c>
      <c r="S17" s="114">
        <f t="shared" si="2"/>
        <v>0</v>
      </c>
      <c r="T17" s="114">
        <f t="shared" si="2"/>
        <v>0</v>
      </c>
      <c r="U17" s="114">
        <f t="shared" si="2"/>
        <v>0</v>
      </c>
      <c r="V17" s="114">
        <f t="shared" si="2"/>
        <v>0</v>
      </c>
      <c r="W17" s="114">
        <f t="shared" si="2"/>
        <v>0</v>
      </c>
      <c r="X17" s="114">
        <f t="shared" si="2"/>
        <v>0</v>
      </c>
      <c r="Y17" s="114">
        <f t="shared" si="2"/>
        <v>0</v>
      </c>
      <c r="Z17" s="114">
        <f t="shared" si="2"/>
        <v>0</v>
      </c>
      <c r="AA17" s="114">
        <f t="shared" si="2"/>
        <v>0</v>
      </c>
      <c r="AB17" s="114">
        <f t="shared" si="2"/>
        <v>0</v>
      </c>
      <c r="AC17" s="114">
        <f t="shared" si="2"/>
        <v>0</v>
      </c>
      <c r="AD17" s="114">
        <f t="shared" si="2"/>
        <v>0</v>
      </c>
      <c r="AE17" s="114">
        <f t="shared" si="2"/>
        <v>0</v>
      </c>
      <c r="AF17" s="114">
        <f t="shared" si="2"/>
        <v>0</v>
      </c>
      <c r="AG17" s="114">
        <f t="shared" si="2"/>
        <v>0</v>
      </c>
      <c r="AH17" s="114">
        <f t="shared" si="2"/>
        <v>0</v>
      </c>
      <c r="AI17" s="114">
        <f t="shared" si="2"/>
        <v>0</v>
      </c>
      <c r="AJ17" s="114">
        <f t="shared" si="2"/>
        <v>0</v>
      </c>
      <c r="AK17" s="114">
        <f t="shared" si="2"/>
        <v>0</v>
      </c>
      <c r="AL17" s="114">
        <f t="shared" si="2"/>
        <v>0</v>
      </c>
      <c r="AM17" s="114">
        <f t="shared" si="2"/>
        <v>0</v>
      </c>
      <c r="AN17" s="114">
        <f t="shared" si="2"/>
        <v>0</v>
      </c>
      <c r="AO17" s="114">
        <f t="shared" si="2"/>
        <v>0</v>
      </c>
      <c r="AP17" s="114">
        <f t="shared" si="2"/>
        <v>0</v>
      </c>
      <c r="AQ17" s="114">
        <f t="shared" si="2"/>
        <v>0</v>
      </c>
      <c r="AR17" s="114">
        <f t="shared" si="2"/>
        <v>0</v>
      </c>
      <c r="AS17" s="114">
        <f t="shared" si="2"/>
        <v>0</v>
      </c>
      <c r="AT17" s="114">
        <f t="shared" si="2"/>
        <v>0</v>
      </c>
      <c r="AU17" s="114">
        <f t="shared" si="2"/>
        <v>0</v>
      </c>
      <c r="AV17" s="114">
        <f t="shared" si="2"/>
        <v>0</v>
      </c>
      <c r="AW17" s="114">
        <f t="shared" si="2"/>
        <v>0</v>
      </c>
      <c r="AX17" s="114">
        <f t="shared" si="2"/>
        <v>0</v>
      </c>
      <c r="AY17" s="114">
        <f t="shared" si="2"/>
        <v>0</v>
      </c>
      <c r="AZ17" s="151">
        <f>SUM($D$17:$AY$17)</f>
        <v>0</v>
      </c>
    </row>
    <row r="18" spans="1:52">
      <c r="A18" s="106"/>
      <c r="B18" s="153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06"/>
    </row>
    <row r="19" spans="1:52">
      <c r="A19" s="102" t="s">
        <v>116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</row>
    <row r="20" spans="1:52" s="110" customFormat="1">
      <c r="A20" s="115" t="s">
        <v>305</v>
      </c>
      <c r="B20" s="154" t="s">
        <v>306</v>
      </c>
      <c r="C20" s="117"/>
      <c r="D20" s="117"/>
      <c r="E20" s="117"/>
      <c r="F20" s="117"/>
      <c r="G20" s="117"/>
      <c r="H20" s="117"/>
      <c r="I20" s="117"/>
      <c r="J20" s="117"/>
      <c r="K20" s="117"/>
      <c r="L20" s="117"/>
      <c r="M20" s="117"/>
      <c r="N20" s="117"/>
      <c r="O20" s="117"/>
      <c r="P20" s="117" t="s">
        <v>339</v>
      </c>
      <c r="Q20" s="117"/>
      <c r="R20" s="117"/>
      <c r="S20" s="117" t="s">
        <v>339</v>
      </c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7"/>
      <c r="AH20" s="117"/>
      <c r="AI20" s="117"/>
      <c r="AJ20" s="117"/>
      <c r="AK20" s="117"/>
      <c r="AL20" s="117"/>
      <c r="AM20" s="117"/>
      <c r="AN20" s="117"/>
      <c r="AO20" s="117"/>
      <c r="AP20" s="117"/>
      <c r="AQ20" s="117"/>
      <c r="AR20" s="117"/>
      <c r="AS20" s="117"/>
      <c r="AT20" s="117"/>
      <c r="AU20" s="117"/>
      <c r="AV20" s="117"/>
      <c r="AW20" s="117"/>
      <c r="AX20" s="117" t="s">
        <v>339</v>
      </c>
      <c r="AY20" s="117"/>
      <c r="AZ20" s="107"/>
    </row>
    <row r="21" spans="1:52" s="110" customFormat="1">
      <c r="A21" s="155" t="s">
        <v>133</v>
      </c>
      <c r="B21" s="156">
        <f>shipping_manufacturing!$E$19/100</f>
        <v>0.42964521025206309</v>
      </c>
      <c r="C21" s="156" t="s">
        <v>293</v>
      </c>
      <c r="D21" s="106">
        <f>IF(C$20="Yes",0,SUM(C$13:C$16)*$B$21)</f>
        <v>1373.9513248419494</v>
      </c>
      <c r="E21" s="106">
        <f t="shared" ref="E21:AY21" si="3">IF(D$20="Yes",0,SUM(D$13:D$16)*$B$21)</f>
        <v>699.4984039752253</v>
      </c>
      <c r="F21" s="106">
        <f t="shared" si="3"/>
        <v>699.4984039752253</v>
      </c>
      <c r="G21" s="106">
        <f t="shared" si="3"/>
        <v>699.4984039752253</v>
      </c>
      <c r="H21" s="106">
        <f t="shared" si="3"/>
        <v>699.4984039752253</v>
      </c>
      <c r="I21" s="106">
        <f t="shared" si="3"/>
        <v>699.4984039752253</v>
      </c>
      <c r="J21" s="106">
        <f t="shared" si="3"/>
        <v>699.4984039752253</v>
      </c>
      <c r="K21" s="106">
        <f t="shared" si="3"/>
        <v>699.4984039752253</v>
      </c>
      <c r="L21" s="106">
        <f t="shared" si="3"/>
        <v>699.4984039752253</v>
      </c>
      <c r="M21" s="106">
        <f t="shared" si="3"/>
        <v>699.4984039752253</v>
      </c>
      <c r="N21" s="106">
        <f t="shared" si="3"/>
        <v>699.4984039752253</v>
      </c>
      <c r="O21" s="106">
        <f t="shared" si="3"/>
        <v>699.4984039752253</v>
      </c>
      <c r="P21" s="106">
        <f t="shared" si="3"/>
        <v>699.4984039752253</v>
      </c>
      <c r="Q21" s="106">
        <f t="shared" si="3"/>
        <v>0</v>
      </c>
      <c r="R21" s="106">
        <f t="shared" si="3"/>
        <v>1119.2052795601317</v>
      </c>
      <c r="S21" s="106">
        <f t="shared" si="3"/>
        <v>559.60263978006583</v>
      </c>
      <c r="T21" s="106">
        <f t="shared" si="3"/>
        <v>0</v>
      </c>
      <c r="U21" s="106">
        <f t="shared" si="3"/>
        <v>1259.1010437552914</v>
      </c>
      <c r="V21" s="106">
        <f t="shared" si="3"/>
        <v>699.4984039752253</v>
      </c>
      <c r="W21" s="106">
        <f t="shared" si="3"/>
        <v>699.4984039752253</v>
      </c>
      <c r="X21" s="106">
        <f t="shared" si="3"/>
        <v>699.4984039752253</v>
      </c>
      <c r="Y21" s="106">
        <f t="shared" si="3"/>
        <v>699.4984039752253</v>
      </c>
      <c r="Z21" s="106">
        <f t="shared" si="3"/>
        <v>699.4984039752253</v>
      </c>
      <c r="AA21" s="106">
        <f t="shared" si="3"/>
        <v>699.4984039752253</v>
      </c>
      <c r="AB21" s="106">
        <f t="shared" si="3"/>
        <v>699.4984039752253</v>
      </c>
      <c r="AC21" s="106">
        <f t="shared" si="3"/>
        <v>699.4984039752253</v>
      </c>
      <c r="AD21" s="106">
        <f t="shared" si="3"/>
        <v>699.4984039752253</v>
      </c>
      <c r="AE21" s="106">
        <f t="shared" si="3"/>
        <v>699.4984039752253</v>
      </c>
      <c r="AF21" s="106">
        <f t="shared" si="3"/>
        <v>699.4984039752253</v>
      </c>
      <c r="AG21" s="106">
        <f t="shared" si="3"/>
        <v>699.4984039752253</v>
      </c>
      <c r="AH21" s="106">
        <f t="shared" si="3"/>
        <v>699.4984039752253</v>
      </c>
      <c r="AI21" s="106">
        <f t="shared" si="3"/>
        <v>699.4984039752253</v>
      </c>
      <c r="AJ21" s="106">
        <f t="shared" si="3"/>
        <v>699.4984039752253</v>
      </c>
      <c r="AK21" s="106">
        <f t="shared" si="3"/>
        <v>699.4984039752253</v>
      </c>
      <c r="AL21" s="106">
        <f t="shared" si="3"/>
        <v>699.4984039752253</v>
      </c>
      <c r="AM21" s="106">
        <f t="shared" si="3"/>
        <v>699.4984039752253</v>
      </c>
      <c r="AN21" s="106">
        <f t="shared" si="3"/>
        <v>699.4984039752253</v>
      </c>
      <c r="AO21" s="106">
        <f t="shared" si="3"/>
        <v>699.4984039752253</v>
      </c>
      <c r="AP21" s="106">
        <f t="shared" si="3"/>
        <v>699.4984039752253</v>
      </c>
      <c r="AQ21" s="106">
        <f t="shared" si="3"/>
        <v>699.4984039752253</v>
      </c>
      <c r="AR21" s="106">
        <f t="shared" si="3"/>
        <v>699.4984039752253</v>
      </c>
      <c r="AS21" s="106">
        <f t="shared" si="3"/>
        <v>699.4984039752253</v>
      </c>
      <c r="AT21" s="106">
        <f t="shared" si="3"/>
        <v>699.4984039752253</v>
      </c>
      <c r="AU21" s="106">
        <f t="shared" si="3"/>
        <v>699.4984039752253</v>
      </c>
      <c r="AV21" s="106">
        <f t="shared" si="3"/>
        <v>699.4984039752253</v>
      </c>
      <c r="AW21" s="106">
        <f t="shared" si="3"/>
        <v>699.4984039752253</v>
      </c>
      <c r="AX21" s="106">
        <f t="shared" si="3"/>
        <v>699.4984039752253</v>
      </c>
      <c r="AY21" s="106">
        <f t="shared" si="3"/>
        <v>0</v>
      </c>
      <c r="AZ21" s="157">
        <f>SUM($D21:$AY21)</f>
        <v>32991.294850921637</v>
      </c>
    </row>
    <row r="22" spans="1:52" s="110" customFormat="1">
      <c r="A22" s="158" t="s">
        <v>123</v>
      </c>
      <c r="B22" s="159">
        <f>1-$B$21</f>
        <v>0.57035478974793685</v>
      </c>
      <c r="C22" s="159" t="s">
        <v>293</v>
      </c>
      <c r="D22" s="114">
        <f>IF(C$20="Yes",0,SUM(C$13:C$16)*$B$22)</f>
        <v>1823.9228561267694</v>
      </c>
      <c r="E22" s="114">
        <f t="shared" ref="E22:AY22" si="4">IF(D$20="Yes",0,SUM(D$13:D$16)*$B$22)</f>
        <v>928.58539001108591</v>
      </c>
      <c r="F22" s="114">
        <f t="shared" si="4"/>
        <v>928.58539001108591</v>
      </c>
      <c r="G22" s="114">
        <f t="shared" si="4"/>
        <v>928.58539001108591</v>
      </c>
      <c r="H22" s="114">
        <f t="shared" si="4"/>
        <v>928.58539001108591</v>
      </c>
      <c r="I22" s="114">
        <f t="shared" si="4"/>
        <v>928.58539001108591</v>
      </c>
      <c r="J22" s="114">
        <f t="shared" si="4"/>
        <v>928.58539001108591</v>
      </c>
      <c r="K22" s="114">
        <f t="shared" si="4"/>
        <v>928.58539001108591</v>
      </c>
      <c r="L22" s="114">
        <f t="shared" si="4"/>
        <v>928.58539001108591</v>
      </c>
      <c r="M22" s="114">
        <f t="shared" si="4"/>
        <v>928.58539001108591</v>
      </c>
      <c r="N22" s="114">
        <f t="shared" si="4"/>
        <v>928.58539001108591</v>
      </c>
      <c r="O22" s="114">
        <f t="shared" si="4"/>
        <v>928.58539001108591</v>
      </c>
      <c r="P22" s="114">
        <f t="shared" si="4"/>
        <v>928.58539001108591</v>
      </c>
      <c r="Q22" s="114">
        <f t="shared" si="4"/>
        <v>0</v>
      </c>
      <c r="R22" s="114">
        <f t="shared" si="4"/>
        <v>1485.7470226045295</v>
      </c>
      <c r="S22" s="114">
        <f t="shared" si="4"/>
        <v>742.87351130226477</v>
      </c>
      <c r="T22" s="114">
        <f t="shared" si="4"/>
        <v>0</v>
      </c>
      <c r="U22" s="114">
        <f t="shared" si="4"/>
        <v>1671.4589013133509</v>
      </c>
      <c r="V22" s="114">
        <f t="shared" si="4"/>
        <v>928.58539001108591</v>
      </c>
      <c r="W22" s="114">
        <f t="shared" si="4"/>
        <v>928.58539001108591</v>
      </c>
      <c r="X22" s="114">
        <f t="shared" si="4"/>
        <v>928.58539001108591</v>
      </c>
      <c r="Y22" s="114">
        <f t="shared" si="4"/>
        <v>928.58539001108591</v>
      </c>
      <c r="Z22" s="114">
        <f t="shared" si="4"/>
        <v>928.58539001108591</v>
      </c>
      <c r="AA22" s="114">
        <f t="shared" si="4"/>
        <v>928.58539001108591</v>
      </c>
      <c r="AB22" s="114">
        <f t="shared" si="4"/>
        <v>928.58539001108591</v>
      </c>
      <c r="AC22" s="114">
        <f t="shared" si="4"/>
        <v>928.58539001108591</v>
      </c>
      <c r="AD22" s="114">
        <f t="shared" si="4"/>
        <v>928.58539001108591</v>
      </c>
      <c r="AE22" s="114">
        <f t="shared" si="4"/>
        <v>928.58539001108591</v>
      </c>
      <c r="AF22" s="114">
        <f t="shared" si="4"/>
        <v>928.58539001108591</v>
      </c>
      <c r="AG22" s="114">
        <f t="shared" si="4"/>
        <v>928.58539001108591</v>
      </c>
      <c r="AH22" s="114">
        <f t="shared" si="4"/>
        <v>928.58539001108591</v>
      </c>
      <c r="AI22" s="114">
        <f t="shared" si="4"/>
        <v>928.58539001108591</v>
      </c>
      <c r="AJ22" s="114">
        <f t="shared" si="4"/>
        <v>928.58539001108591</v>
      </c>
      <c r="AK22" s="114">
        <f t="shared" si="4"/>
        <v>928.58539001108591</v>
      </c>
      <c r="AL22" s="114">
        <f t="shared" si="4"/>
        <v>928.58539001108591</v>
      </c>
      <c r="AM22" s="114">
        <f t="shared" si="4"/>
        <v>928.58539001108591</v>
      </c>
      <c r="AN22" s="114">
        <f t="shared" si="4"/>
        <v>928.58539001108591</v>
      </c>
      <c r="AO22" s="114">
        <f t="shared" si="4"/>
        <v>928.58539001108591</v>
      </c>
      <c r="AP22" s="114">
        <f t="shared" si="4"/>
        <v>928.58539001108591</v>
      </c>
      <c r="AQ22" s="114">
        <f t="shared" si="4"/>
        <v>928.58539001108591</v>
      </c>
      <c r="AR22" s="114">
        <f t="shared" si="4"/>
        <v>928.58539001108591</v>
      </c>
      <c r="AS22" s="114">
        <f t="shared" si="4"/>
        <v>928.58539001108591</v>
      </c>
      <c r="AT22" s="114">
        <f t="shared" si="4"/>
        <v>928.58539001108591</v>
      </c>
      <c r="AU22" s="114">
        <f t="shared" si="4"/>
        <v>928.58539001108591</v>
      </c>
      <c r="AV22" s="114">
        <f t="shared" si="4"/>
        <v>928.58539001108591</v>
      </c>
      <c r="AW22" s="114">
        <f t="shared" si="4"/>
        <v>928.58539001108591</v>
      </c>
      <c r="AX22" s="114">
        <f t="shared" si="4"/>
        <v>928.58539001108591</v>
      </c>
      <c r="AY22" s="114">
        <f t="shared" si="4"/>
        <v>0</v>
      </c>
      <c r="AZ22" s="141">
        <f t="shared" ref="AZ22:AZ30" si="5">SUM($D22:$AY22)</f>
        <v>43796.003281801452</v>
      </c>
    </row>
    <row r="23" spans="1:52">
      <c r="A23" s="160" t="s">
        <v>307</v>
      </c>
      <c r="B23" s="124">
        <v>2000</v>
      </c>
      <c r="C23" s="100" t="s">
        <v>293</v>
      </c>
      <c r="D23" s="100">
        <f>D$21*$B$23</f>
        <v>2747902.6496838988</v>
      </c>
      <c r="E23" s="100">
        <f t="shared" ref="E23:AY23" si="6">E$21*$B$23</f>
        <v>1398996.8079504506</v>
      </c>
      <c r="F23" s="100">
        <f t="shared" si="6"/>
        <v>1398996.8079504506</v>
      </c>
      <c r="G23" s="100">
        <f t="shared" si="6"/>
        <v>1398996.8079504506</v>
      </c>
      <c r="H23" s="100">
        <f t="shared" si="6"/>
        <v>1398996.8079504506</v>
      </c>
      <c r="I23" s="100">
        <f t="shared" si="6"/>
        <v>1398996.8079504506</v>
      </c>
      <c r="J23" s="100">
        <f t="shared" si="6"/>
        <v>1398996.8079504506</v>
      </c>
      <c r="K23" s="100">
        <f t="shared" si="6"/>
        <v>1398996.8079504506</v>
      </c>
      <c r="L23" s="100">
        <f t="shared" si="6"/>
        <v>1398996.8079504506</v>
      </c>
      <c r="M23" s="100">
        <f t="shared" si="6"/>
        <v>1398996.8079504506</v>
      </c>
      <c r="N23" s="100">
        <f t="shared" si="6"/>
        <v>1398996.8079504506</v>
      </c>
      <c r="O23" s="100">
        <f t="shared" si="6"/>
        <v>1398996.8079504506</v>
      </c>
      <c r="P23" s="100">
        <f t="shared" si="6"/>
        <v>1398996.8079504506</v>
      </c>
      <c r="Q23" s="100">
        <f t="shared" si="6"/>
        <v>0</v>
      </c>
      <c r="R23" s="100">
        <f t="shared" si="6"/>
        <v>2238410.5591202634</v>
      </c>
      <c r="S23" s="100">
        <f t="shared" si="6"/>
        <v>1119205.2795601317</v>
      </c>
      <c r="T23" s="100">
        <f t="shared" si="6"/>
        <v>0</v>
      </c>
      <c r="U23" s="100">
        <f t="shared" si="6"/>
        <v>2518202.0875105825</v>
      </c>
      <c r="V23" s="100">
        <f t="shared" si="6"/>
        <v>1398996.8079504506</v>
      </c>
      <c r="W23" s="100">
        <f t="shared" si="6"/>
        <v>1398996.8079504506</v>
      </c>
      <c r="X23" s="100">
        <f t="shared" si="6"/>
        <v>1398996.8079504506</v>
      </c>
      <c r="Y23" s="100">
        <f t="shared" si="6"/>
        <v>1398996.8079504506</v>
      </c>
      <c r="Z23" s="100">
        <f t="shared" si="6"/>
        <v>1398996.8079504506</v>
      </c>
      <c r="AA23" s="100">
        <f t="shared" si="6"/>
        <v>1398996.8079504506</v>
      </c>
      <c r="AB23" s="100">
        <f t="shared" si="6"/>
        <v>1398996.8079504506</v>
      </c>
      <c r="AC23" s="100">
        <f t="shared" si="6"/>
        <v>1398996.8079504506</v>
      </c>
      <c r="AD23" s="100">
        <f t="shared" si="6"/>
        <v>1398996.8079504506</v>
      </c>
      <c r="AE23" s="100">
        <f t="shared" si="6"/>
        <v>1398996.8079504506</v>
      </c>
      <c r="AF23" s="100">
        <f t="shared" si="6"/>
        <v>1398996.8079504506</v>
      </c>
      <c r="AG23" s="100">
        <f t="shared" si="6"/>
        <v>1398996.8079504506</v>
      </c>
      <c r="AH23" s="100">
        <f t="shared" si="6"/>
        <v>1398996.8079504506</v>
      </c>
      <c r="AI23" s="100">
        <f t="shared" si="6"/>
        <v>1398996.8079504506</v>
      </c>
      <c r="AJ23" s="100">
        <f t="shared" si="6"/>
        <v>1398996.8079504506</v>
      </c>
      <c r="AK23" s="100">
        <f t="shared" si="6"/>
        <v>1398996.8079504506</v>
      </c>
      <c r="AL23" s="100">
        <f t="shared" si="6"/>
        <v>1398996.8079504506</v>
      </c>
      <c r="AM23" s="100">
        <f t="shared" si="6"/>
        <v>1398996.8079504506</v>
      </c>
      <c r="AN23" s="100">
        <f t="shared" si="6"/>
        <v>1398996.8079504506</v>
      </c>
      <c r="AO23" s="100">
        <f t="shared" si="6"/>
        <v>1398996.8079504506</v>
      </c>
      <c r="AP23" s="100">
        <f t="shared" si="6"/>
        <v>1398996.8079504506</v>
      </c>
      <c r="AQ23" s="100">
        <f t="shared" si="6"/>
        <v>1398996.8079504506</v>
      </c>
      <c r="AR23" s="100">
        <f t="shared" si="6"/>
        <v>1398996.8079504506</v>
      </c>
      <c r="AS23" s="100">
        <f t="shared" si="6"/>
        <v>1398996.8079504506</v>
      </c>
      <c r="AT23" s="100">
        <f t="shared" si="6"/>
        <v>1398996.8079504506</v>
      </c>
      <c r="AU23" s="100">
        <f t="shared" si="6"/>
        <v>1398996.8079504506</v>
      </c>
      <c r="AV23" s="100">
        <f t="shared" si="6"/>
        <v>1398996.8079504506</v>
      </c>
      <c r="AW23" s="100">
        <f t="shared" si="6"/>
        <v>1398996.8079504506</v>
      </c>
      <c r="AX23" s="100">
        <f t="shared" si="6"/>
        <v>1398996.8079504506</v>
      </c>
      <c r="AY23" s="100">
        <f t="shared" si="6"/>
        <v>0</v>
      </c>
      <c r="AZ23" s="139">
        <f t="shared" si="5"/>
        <v>65982589.701843388</v>
      </c>
    </row>
    <row r="24" spans="1:52" s="110" customFormat="1">
      <c r="A24" s="161" t="s">
        <v>308</v>
      </c>
      <c r="B24" s="162">
        <v>1000</v>
      </c>
      <c r="C24" s="156" t="s">
        <v>293</v>
      </c>
      <c r="D24" s="106">
        <f>D$22*$B$24</f>
        <v>1823922.8561267694</v>
      </c>
      <c r="E24" s="106">
        <f t="shared" ref="E24:AY24" si="7">E$22*$B$24</f>
        <v>928585.3900110859</v>
      </c>
      <c r="F24" s="106">
        <f t="shared" si="7"/>
        <v>928585.3900110859</v>
      </c>
      <c r="G24" s="106">
        <f t="shared" si="7"/>
        <v>928585.3900110859</v>
      </c>
      <c r="H24" s="106">
        <f t="shared" si="7"/>
        <v>928585.3900110859</v>
      </c>
      <c r="I24" s="106">
        <f t="shared" si="7"/>
        <v>928585.3900110859</v>
      </c>
      <c r="J24" s="106">
        <f t="shared" si="7"/>
        <v>928585.3900110859</v>
      </c>
      <c r="K24" s="106">
        <f t="shared" si="7"/>
        <v>928585.3900110859</v>
      </c>
      <c r="L24" s="106">
        <f t="shared" si="7"/>
        <v>928585.3900110859</v>
      </c>
      <c r="M24" s="106">
        <f t="shared" si="7"/>
        <v>928585.3900110859</v>
      </c>
      <c r="N24" s="106">
        <f t="shared" si="7"/>
        <v>928585.3900110859</v>
      </c>
      <c r="O24" s="106">
        <f t="shared" si="7"/>
        <v>928585.3900110859</v>
      </c>
      <c r="P24" s="106">
        <f t="shared" si="7"/>
        <v>928585.3900110859</v>
      </c>
      <c r="Q24" s="106">
        <f t="shared" si="7"/>
        <v>0</v>
      </c>
      <c r="R24" s="106">
        <f t="shared" si="7"/>
        <v>1485747.0226045295</v>
      </c>
      <c r="S24" s="106">
        <f t="shared" si="7"/>
        <v>742873.51130226476</v>
      </c>
      <c r="T24" s="106">
        <f t="shared" si="7"/>
        <v>0</v>
      </c>
      <c r="U24" s="106">
        <f t="shared" si="7"/>
        <v>1671458.901313351</v>
      </c>
      <c r="V24" s="106">
        <f t="shared" si="7"/>
        <v>928585.3900110859</v>
      </c>
      <c r="W24" s="106">
        <f t="shared" si="7"/>
        <v>928585.3900110859</v>
      </c>
      <c r="X24" s="106">
        <f t="shared" si="7"/>
        <v>928585.3900110859</v>
      </c>
      <c r="Y24" s="106">
        <f t="shared" si="7"/>
        <v>928585.3900110859</v>
      </c>
      <c r="Z24" s="106">
        <f t="shared" si="7"/>
        <v>928585.3900110859</v>
      </c>
      <c r="AA24" s="106">
        <f t="shared" si="7"/>
        <v>928585.3900110859</v>
      </c>
      <c r="AB24" s="106">
        <f t="shared" si="7"/>
        <v>928585.3900110859</v>
      </c>
      <c r="AC24" s="106">
        <f t="shared" si="7"/>
        <v>928585.3900110859</v>
      </c>
      <c r="AD24" s="106">
        <f t="shared" si="7"/>
        <v>928585.3900110859</v>
      </c>
      <c r="AE24" s="106">
        <f t="shared" si="7"/>
        <v>928585.3900110859</v>
      </c>
      <c r="AF24" s="106">
        <f t="shared" si="7"/>
        <v>928585.3900110859</v>
      </c>
      <c r="AG24" s="106">
        <f t="shared" si="7"/>
        <v>928585.3900110859</v>
      </c>
      <c r="AH24" s="106">
        <f t="shared" si="7"/>
        <v>928585.3900110859</v>
      </c>
      <c r="AI24" s="106">
        <f t="shared" si="7"/>
        <v>928585.3900110859</v>
      </c>
      <c r="AJ24" s="106">
        <f t="shared" si="7"/>
        <v>928585.3900110859</v>
      </c>
      <c r="AK24" s="106">
        <f t="shared" si="7"/>
        <v>928585.3900110859</v>
      </c>
      <c r="AL24" s="106">
        <f t="shared" si="7"/>
        <v>928585.3900110859</v>
      </c>
      <c r="AM24" s="106">
        <f t="shared" si="7"/>
        <v>928585.3900110859</v>
      </c>
      <c r="AN24" s="106">
        <f t="shared" si="7"/>
        <v>928585.3900110859</v>
      </c>
      <c r="AO24" s="106">
        <f t="shared" si="7"/>
        <v>928585.3900110859</v>
      </c>
      <c r="AP24" s="106">
        <f t="shared" si="7"/>
        <v>928585.3900110859</v>
      </c>
      <c r="AQ24" s="106">
        <f t="shared" si="7"/>
        <v>928585.3900110859</v>
      </c>
      <c r="AR24" s="106">
        <f t="shared" si="7"/>
        <v>928585.3900110859</v>
      </c>
      <c r="AS24" s="106">
        <f t="shared" si="7"/>
        <v>928585.3900110859</v>
      </c>
      <c r="AT24" s="106">
        <f t="shared" si="7"/>
        <v>928585.3900110859</v>
      </c>
      <c r="AU24" s="106">
        <f t="shared" si="7"/>
        <v>928585.3900110859</v>
      </c>
      <c r="AV24" s="106">
        <f t="shared" si="7"/>
        <v>928585.3900110859</v>
      </c>
      <c r="AW24" s="106">
        <f t="shared" si="7"/>
        <v>928585.3900110859</v>
      </c>
      <c r="AX24" s="106">
        <f t="shared" si="7"/>
        <v>928585.3900110859</v>
      </c>
      <c r="AY24" s="106">
        <f t="shared" si="7"/>
        <v>0</v>
      </c>
      <c r="AZ24" s="141">
        <f t="shared" si="5"/>
        <v>43796003.281801462</v>
      </c>
    </row>
    <row r="25" spans="1:52"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06"/>
    </row>
    <row r="26" spans="1:52">
      <c r="A26" s="163" t="s">
        <v>18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</row>
    <row r="27" spans="1:52">
      <c r="B27" s="135" t="s">
        <v>309</v>
      </c>
      <c r="C27" s="124">
        <v>15</v>
      </c>
      <c r="D27" s="124">
        <f>C$27-C$28+C$29</f>
        <v>15</v>
      </c>
      <c r="E27" s="124">
        <f t="shared" ref="E27:AY27" si="8">D27-D28+D29</f>
        <v>0</v>
      </c>
      <c r="F27" s="124">
        <f t="shared" si="8"/>
        <v>15</v>
      </c>
      <c r="G27" s="124">
        <f t="shared" si="8"/>
        <v>0</v>
      </c>
      <c r="H27" s="124">
        <f t="shared" si="8"/>
        <v>15</v>
      </c>
      <c r="I27" s="124">
        <f t="shared" si="8"/>
        <v>0</v>
      </c>
      <c r="J27" s="124">
        <f t="shared" si="8"/>
        <v>15</v>
      </c>
      <c r="K27" s="124">
        <f t="shared" si="8"/>
        <v>0</v>
      </c>
      <c r="L27" s="124">
        <f t="shared" si="8"/>
        <v>15</v>
      </c>
      <c r="M27" s="124">
        <f t="shared" si="8"/>
        <v>0</v>
      </c>
      <c r="N27" s="124">
        <f t="shared" si="8"/>
        <v>15</v>
      </c>
      <c r="O27" s="124">
        <f t="shared" si="8"/>
        <v>0</v>
      </c>
      <c r="P27" s="124">
        <f t="shared" si="8"/>
        <v>15</v>
      </c>
      <c r="Q27" s="124">
        <f t="shared" si="8"/>
        <v>0</v>
      </c>
      <c r="R27" s="124">
        <f t="shared" si="8"/>
        <v>15</v>
      </c>
      <c r="S27" s="124">
        <f t="shared" si="8"/>
        <v>0</v>
      </c>
      <c r="T27" s="124">
        <f t="shared" si="8"/>
        <v>15</v>
      </c>
      <c r="U27" s="124">
        <f t="shared" si="8"/>
        <v>15</v>
      </c>
      <c r="V27" s="124">
        <f t="shared" si="8"/>
        <v>0</v>
      </c>
      <c r="W27" s="124">
        <f t="shared" si="8"/>
        <v>15</v>
      </c>
      <c r="X27" s="124">
        <f t="shared" si="8"/>
        <v>0</v>
      </c>
      <c r="Y27" s="124">
        <f t="shared" si="8"/>
        <v>15</v>
      </c>
      <c r="Z27" s="124">
        <f t="shared" si="8"/>
        <v>0</v>
      </c>
      <c r="AA27" s="124">
        <f t="shared" si="8"/>
        <v>15</v>
      </c>
      <c r="AB27" s="124">
        <f t="shared" si="8"/>
        <v>0</v>
      </c>
      <c r="AC27" s="124">
        <f t="shared" si="8"/>
        <v>15</v>
      </c>
      <c r="AD27" s="124">
        <f t="shared" si="8"/>
        <v>0</v>
      </c>
      <c r="AE27" s="124">
        <f t="shared" si="8"/>
        <v>15</v>
      </c>
      <c r="AF27" s="124">
        <f t="shared" si="8"/>
        <v>0</v>
      </c>
      <c r="AG27" s="124">
        <f t="shared" si="8"/>
        <v>15</v>
      </c>
      <c r="AH27" s="124">
        <f t="shared" si="8"/>
        <v>0</v>
      </c>
      <c r="AI27" s="124">
        <f t="shared" si="8"/>
        <v>15</v>
      </c>
      <c r="AJ27" s="124">
        <f t="shared" si="8"/>
        <v>0</v>
      </c>
      <c r="AK27" s="124">
        <f t="shared" si="8"/>
        <v>15</v>
      </c>
      <c r="AL27" s="124">
        <f t="shared" si="8"/>
        <v>0</v>
      </c>
      <c r="AM27" s="124">
        <f t="shared" si="8"/>
        <v>15</v>
      </c>
      <c r="AN27" s="124">
        <f t="shared" si="8"/>
        <v>0</v>
      </c>
      <c r="AO27" s="124">
        <f t="shared" si="8"/>
        <v>15</v>
      </c>
      <c r="AP27" s="124">
        <f t="shared" si="8"/>
        <v>0</v>
      </c>
      <c r="AQ27" s="124">
        <f t="shared" si="8"/>
        <v>15</v>
      </c>
      <c r="AR27" s="124">
        <f t="shared" si="8"/>
        <v>0</v>
      </c>
      <c r="AS27" s="124">
        <f t="shared" si="8"/>
        <v>15</v>
      </c>
      <c r="AT27" s="124">
        <f t="shared" si="8"/>
        <v>0</v>
      </c>
      <c r="AU27" s="124">
        <f t="shared" si="8"/>
        <v>15</v>
      </c>
      <c r="AV27" s="124">
        <f t="shared" si="8"/>
        <v>0</v>
      </c>
      <c r="AW27" s="124">
        <f t="shared" si="8"/>
        <v>15</v>
      </c>
      <c r="AX27" s="124">
        <f t="shared" si="8"/>
        <v>0</v>
      </c>
      <c r="AY27" s="164">
        <f t="shared" si="8"/>
        <v>15</v>
      </c>
      <c r="AZ27" s="106"/>
    </row>
    <row r="28" spans="1:52">
      <c r="B28" s="165" t="s">
        <v>310</v>
      </c>
      <c r="C28" s="110">
        <v>0</v>
      </c>
      <c r="D28" s="110">
        <v>15</v>
      </c>
      <c r="E28" s="110">
        <v>0</v>
      </c>
      <c r="F28" s="110">
        <v>15</v>
      </c>
      <c r="G28" s="110">
        <v>0</v>
      </c>
      <c r="H28" s="110">
        <v>15</v>
      </c>
      <c r="I28" s="110">
        <v>0</v>
      </c>
      <c r="J28" s="110">
        <v>15</v>
      </c>
      <c r="K28" s="110">
        <v>0</v>
      </c>
      <c r="L28" s="110">
        <v>15</v>
      </c>
      <c r="M28" s="110">
        <v>0</v>
      </c>
      <c r="N28" s="110">
        <v>15</v>
      </c>
      <c r="O28" s="110">
        <v>0</v>
      </c>
      <c r="P28" s="110">
        <v>15</v>
      </c>
      <c r="Q28" s="110">
        <v>0</v>
      </c>
      <c r="R28" s="110">
        <v>15</v>
      </c>
      <c r="S28" s="110">
        <v>0</v>
      </c>
      <c r="T28" s="110">
        <v>0</v>
      </c>
      <c r="U28" s="110">
        <v>15</v>
      </c>
      <c r="V28" s="110">
        <v>0</v>
      </c>
      <c r="W28" s="110">
        <v>15</v>
      </c>
      <c r="X28" s="110">
        <v>0</v>
      </c>
      <c r="Y28" s="110">
        <v>15</v>
      </c>
      <c r="Z28" s="110">
        <v>0</v>
      </c>
      <c r="AA28" s="110">
        <v>15</v>
      </c>
      <c r="AB28" s="110">
        <v>0</v>
      </c>
      <c r="AC28" s="110">
        <v>15</v>
      </c>
      <c r="AD28" s="110">
        <v>0</v>
      </c>
      <c r="AE28" s="110">
        <v>15</v>
      </c>
      <c r="AF28" s="110">
        <v>0</v>
      </c>
      <c r="AG28" s="110">
        <v>15</v>
      </c>
      <c r="AH28" s="110">
        <v>0</v>
      </c>
      <c r="AI28" s="110">
        <v>15</v>
      </c>
      <c r="AJ28" s="110">
        <v>0</v>
      </c>
      <c r="AK28" s="110">
        <v>15</v>
      </c>
      <c r="AL28" s="110">
        <v>0</v>
      </c>
      <c r="AM28" s="110">
        <v>15</v>
      </c>
      <c r="AN28" s="110">
        <v>0</v>
      </c>
      <c r="AO28" s="110">
        <v>15</v>
      </c>
      <c r="AP28" s="110">
        <v>0</v>
      </c>
      <c r="AQ28" s="110">
        <v>15</v>
      </c>
      <c r="AR28" s="110">
        <v>0</v>
      </c>
      <c r="AS28" s="110">
        <v>15</v>
      </c>
      <c r="AT28" s="110">
        <v>0</v>
      </c>
      <c r="AU28" s="110">
        <v>15</v>
      </c>
      <c r="AV28" s="110">
        <v>0</v>
      </c>
      <c r="AW28" s="110">
        <v>15</v>
      </c>
      <c r="AX28" s="110">
        <v>0</v>
      </c>
      <c r="AY28" s="166">
        <v>0</v>
      </c>
      <c r="AZ28" s="106"/>
    </row>
    <row r="29" spans="1:52">
      <c r="B29" s="136" t="s">
        <v>311</v>
      </c>
      <c r="C29" s="125">
        <v>0</v>
      </c>
      <c r="D29" s="125">
        <f>C$28</f>
        <v>0</v>
      </c>
      <c r="E29" s="125">
        <f t="shared" ref="E29:AY29" si="9">D$28</f>
        <v>15</v>
      </c>
      <c r="F29" s="125">
        <f t="shared" si="9"/>
        <v>0</v>
      </c>
      <c r="G29" s="125">
        <f t="shared" si="9"/>
        <v>15</v>
      </c>
      <c r="H29" s="125">
        <f t="shared" si="9"/>
        <v>0</v>
      </c>
      <c r="I29" s="125">
        <f t="shared" si="9"/>
        <v>15</v>
      </c>
      <c r="J29" s="125">
        <f t="shared" si="9"/>
        <v>0</v>
      </c>
      <c r="K29" s="125">
        <f t="shared" si="9"/>
        <v>15</v>
      </c>
      <c r="L29" s="125">
        <f t="shared" si="9"/>
        <v>0</v>
      </c>
      <c r="M29" s="125">
        <f t="shared" si="9"/>
        <v>15</v>
      </c>
      <c r="N29" s="125">
        <f t="shared" si="9"/>
        <v>0</v>
      </c>
      <c r="O29" s="125">
        <f t="shared" si="9"/>
        <v>15</v>
      </c>
      <c r="P29" s="125">
        <f t="shared" si="9"/>
        <v>0</v>
      </c>
      <c r="Q29" s="125">
        <f t="shared" si="9"/>
        <v>15</v>
      </c>
      <c r="R29" s="125">
        <f t="shared" si="9"/>
        <v>0</v>
      </c>
      <c r="S29" s="125">
        <f t="shared" si="9"/>
        <v>15</v>
      </c>
      <c r="T29" s="125">
        <f t="shared" si="9"/>
        <v>0</v>
      </c>
      <c r="U29" s="125">
        <f t="shared" si="9"/>
        <v>0</v>
      </c>
      <c r="V29" s="125">
        <f t="shared" si="9"/>
        <v>15</v>
      </c>
      <c r="W29" s="125">
        <f t="shared" si="9"/>
        <v>0</v>
      </c>
      <c r="X29" s="125">
        <f t="shared" si="9"/>
        <v>15</v>
      </c>
      <c r="Y29" s="125">
        <f t="shared" si="9"/>
        <v>0</v>
      </c>
      <c r="Z29" s="125">
        <f t="shared" si="9"/>
        <v>15</v>
      </c>
      <c r="AA29" s="125">
        <f t="shared" si="9"/>
        <v>0</v>
      </c>
      <c r="AB29" s="125">
        <f t="shared" si="9"/>
        <v>15</v>
      </c>
      <c r="AC29" s="125">
        <f t="shared" si="9"/>
        <v>0</v>
      </c>
      <c r="AD29" s="125">
        <f t="shared" si="9"/>
        <v>15</v>
      </c>
      <c r="AE29" s="125">
        <f t="shared" si="9"/>
        <v>0</v>
      </c>
      <c r="AF29" s="125">
        <f t="shared" si="9"/>
        <v>15</v>
      </c>
      <c r="AG29" s="125">
        <f t="shared" si="9"/>
        <v>0</v>
      </c>
      <c r="AH29" s="125">
        <f t="shared" si="9"/>
        <v>15</v>
      </c>
      <c r="AI29" s="125">
        <f t="shared" si="9"/>
        <v>0</v>
      </c>
      <c r="AJ29" s="125">
        <f t="shared" si="9"/>
        <v>15</v>
      </c>
      <c r="AK29" s="125">
        <f t="shared" si="9"/>
        <v>0</v>
      </c>
      <c r="AL29" s="125">
        <f t="shared" si="9"/>
        <v>15</v>
      </c>
      <c r="AM29" s="125">
        <f t="shared" si="9"/>
        <v>0</v>
      </c>
      <c r="AN29" s="125">
        <f t="shared" si="9"/>
        <v>15</v>
      </c>
      <c r="AO29" s="125">
        <f t="shared" si="9"/>
        <v>0</v>
      </c>
      <c r="AP29" s="125">
        <f t="shared" si="9"/>
        <v>15</v>
      </c>
      <c r="AQ29" s="125">
        <f t="shared" si="9"/>
        <v>0</v>
      </c>
      <c r="AR29" s="125">
        <f t="shared" si="9"/>
        <v>15</v>
      </c>
      <c r="AS29" s="125">
        <f t="shared" si="9"/>
        <v>0</v>
      </c>
      <c r="AT29" s="125">
        <f t="shared" si="9"/>
        <v>15</v>
      </c>
      <c r="AU29" s="125">
        <f t="shared" si="9"/>
        <v>0</v>
      </c>
      <c r="AV29" s="125">
        <f t="shared" si="9"/>
        <v>15</v>
      </c>
      <c r="AW29" s="125">
        <f t="shared" si="9"/>
        <v>0</v>
      </c>
      <c r="AX29" s="125">
        <f t="shared" si="9"/>
        <v>15</v>
      </c>
      <c r="AY29" s="167">
        <f t="shared" si="9"/>
        <v>0</v>
      </c>
      <c r="AZ29" s="168"/>
    </row>
    <row r="30" spans="1:52">
      <c r="A30" s="169" t="s">
        <v>312</v>
      </c>
      <c r="B30" s="144">
        <v>10</v>
      </c>
      <c r="C30" s="117" t="s">
        <v>293</v>
      </c>
      <c r="D30" s="117">
        <f>D$27*$B$30</f>
        <v>150</v>
      </c>
      <c r="E30" s="117">
        <f t="shared" ref="E30:AY30" si="10">E$27*$B$30</f>
        <v>0</v>
      </c>
      <c r="F30" s="117">
        <f t="shared" si="10"/>
        <v>150</v>
      </c>
      <c r="G30" s="117">
        <f t="shared" si="10"/>
        <v>0</v>
      </c>
      <c r="H30" s="117">
        <f t="shared" si="10"/>
        <v>150</v>
      </c>
      <c r="I30" s="117">
        <f t="shared" si="10"/>
        <v>0</v>
      </c>
      <c r="J30" s="117">
        <f t="shared" si="10"/>
        <v>150</v>
      </c>
      <c r="K30" s="117">
        <f t="shared" si="10"/>
        <v>0</v>
      </c>
      <c r="L30" s="117">
        <f t="shared" si="10"/>
        <v>150</v>
      </c>
      <c r="M30" s="117">
        <f t="shared" si="10"/>
        <v>0</v>
      </c>
      <c r="N30" s="117">
        <f t="shared" si="10"/>
        <v>150</v>
      </c>
      <c r="O30" s="117">
        <f t="shared" si="10"/>
        <v>0</v>
      </c>
      <c r="P30" s="117">
        <f t="shared" si="10"/>
        <v>150</v>
      </c>
      <c r="Q30" s="117">
        <f t="shared" si="10"/>
        <v>0</v>
      </c>
      <c r="R30" s="117">
        <f>R$27*$B$30</f>
        <v>150</v>
      </c>
      <c r="S30" s="117">
        <f t="shared" si="10"/>
        <v>0</v>
      </c>
      <c r="T30" s="117">
        <f t="shared" si="10"/>
        <v>150</v>
      </c>
      <c r="U30" s="117">
        <f t="shared" si="10"/>
        <v>150</v>
      </c>
      <c r="V30" s="117">
        <f t="shared" si="10"/>
        <v>0</v>
      </c>
      <c r="W30" s="117">
        <f t="shared" si="10"/>
        <v>150</v>
      </c>
      <c r="X30" s="117">
        <f t="shared" si="10"/>
        <v>0</v>
      </c>
      <c r="Y30" s="117">
        <f t="shared" si="10"/>
        <v>150</v>
      </c>
      <c r="Z30" s="117">
        <f t="shared" si="10"/>
        <v>0</v>
      </c>
      <c r="AA30" s="117">
        <f t="shared" si="10"/>
        <v>150</v>
      </c>
      <c r="AB30" s="117">
        <f t="shared" si="10"/>
        <v>0</v>
      </c>
      <c r="AC30" s="117">
        <f t="shared" si="10"/>
        <v>150</v>
      </c>
      <c r="AD30" s="117">
        <f t="shared" si="10"/>
        <v>0</v>
      </c>
      <c r="AE30" s="117">
        <f>AE$27*$B$30</f>
        <v>150</v>
      </c>
      <c r="AF30" s="117">
        <f t="shared" si="10"/>
        <v>0</v>
      </c>
      <c r="AG30" s="117">
        <f t="shared" si="10"/>
        <v>150</v>
      </c>
      <c r="AH30" s="117">
        <f t="shared" si="10"/>
        <v>0</v>
      </c>
      <c r="AI30" s="117">
        <f t="shared" si="10"/>
        <v>150</v>
      </c>
      <c r="AJ30" s="117">
        <f t="shared" si="10"/>
        <v>0</v>
      </c>
      <c r="AK30" s="117">
        <f t="shared" si="10"/>
        <v>150</v>
      </c>
      <c r="AL30" s="117">
        <f t="shared" si="10"/>
        <v>0</v>
      </c>
      <c r="AM30" s="117">
        <f t="shared" si="10"/>
        <v>150</v>
      </c>
      <c r="AN30" s="117">
        <f t="shared" si="10"/>
        <v>0</v>
      </c>
      <c r="AO30" s="117">
        <f t="shared" si="10"/>
        <v>150</v>
      </c>
      <c r="AP30" s="117">
        <f t="shared" si="10"/>
        <v>0</v>
      </c>
      <c r="AQ30" s="117">
        <f t="shared" si="10"/>
        <v>150</v>
      </c>
      <c r="AR30" s="117">
        <f t="shared" si="10"/>
        <v>0</v>
      </c>
      <c r="AS30" s="117">
        <f t="shared" si="10"/>
        <v>150</v>
      </c>
      <c r="AT30" s="117">
        <f t="shared" si="10"/>
        <v>0</v>
      </c>
      <c r="AU30" s="117">
        <f t="shared" si="10"/>
        <v>150</v>
      </c>
      <c r="AV30" s="117">
        <f t="shared" si="10"/>
        <v>0</v>
      </c>
      <c r="AW30" s="117">
        <f t="shared" si="10"/>
        <v>150</v>
      </c>
      <c r="AX30" s="117">
        <f t="shared" si="10"/>
        <v>0</v>
      </c>
      <c r="AY30" s="117">
        <f t="shared" si="10"/>
        <v>150</v>
      </c>
      <c r="AZ30" s="141">
        <f t="shared" si="5"/>
        <v>3750</v>
      </c>
    </row>
    <row r="32" spans="1:52">
      <c r="A32" s="102" t="s">
        <v>300</v>
      </c>
    </row>
    <row r="33" spans="1:52">
      <c r="A33" s="135" t="s">
        <v>22</v>
      </c>
      <c r="B33" s="135" t="s">
        <v>341</v>
      </c>
      <c r="C33" s="124"/>
      <c r="D33" s="124">
        <f>D$21*shipping_manufacturing!$F$27/100</f>
        <v>180.99869406127181</v>
      </c>
      <c r="E33" s="124">
        <f>E$21*shipping_manufacturing!$F$27/100</f>
        <v>92.149041474976514</v>
      </c>
      <c r="F33" s="124">
        <f>F$21*shipping_manufacturing!$F$27/100</f>
        <v>92.149041474976514</v>
      </c>
      <c r="G33" s="124">
        <f>G$21*shipping_manufacturing!$F$27/100</f>
        <v>92.149041474976514</v>
      </c>
      <c r="H33" s="124">
        <f>H$21*shipping_manufacturing!$F$27/100</f>
        <v>92.149041474976514</v>
      </c>
      <c r="I33" s="124">
        <f>I$21*shipping_manufacturing!$F$27/100</f>
        <v>92.149041474976514</v>
      </c>
      <c r="J33" s="124">
        <f>J$21*shipping_manufacturing!$F$27/100</f>
        <v>92.149041474976514</v>
      </c>
      <c r="K33" s="124">
        <f>K$21*shipping_manufacturing!$F$27/100</f>
        <v>92.149041474976514</v>
      </c>
      <c r="L33" s="124">
        <f>L$21*shipping_manufacturing!$F$27/100</f>
        <v>92.149041474976514</v>
      </c>
      <c r="M33" s="124">
        <f>M$21*shipping_manufacturing!$F$27/100</f>
        <v>92.149041474976514</v>
      </c>
      <c r="N33" s="124">
        <f>N$21*shipping_manufacturing!$F$27/100</f>
        <v>92.149041474976514</v>
      </c>
      <c r="O33" s="124">
        <f>O$21*shipping_manufacturing!$F$27/100</f>
        <v>92.149041474976514</v>
      </c>
      <c r="P33" s="124">
        <f>P$21*shipping_manufacturing!$F$27/100</f>
        <v>92.149041474976514</v>
      </c>
      <c r="Q33" s="124">
        <f>Q$21*shipping_manufacturing!$F$27/100</f>
        <v>0</v>
      </c>
      <c r="R33" s="124">
        <f>R$21*shipping_manufacturing!$F$27/100</f>
        <v>147.43949827346859</v>
      </c>
      <c r="S33" s="124">
        <f>S$21*shipping_manufacturing!$F$27/100</f>
        <v>73.719749136734293</v>
      </c>
      <c r="T33" s="124">
        <f>T$21*shipping_manufacturing!$F$27/100</f>
        <v>0</v>
      </c>
      <c r="U33" s="124">
        <f>U$21*shipping_manufacturing!$F$27/100</f>
        <v>165.86879061171084</v>
      </c>
      <c r="V33" s="124">
        <f>V$21*shipping_manufacturing!$F$27/100</f>
        <v>92.149041474976514</v>
      </c>
      <c r="W33" s="124">
        <f>W$21*shipping_manufacturing!$F$27/100</f>
        <v>92.149041474976514</v>
      </c>
      <c r="X33" s="124">
        <f>X$21*shipping_manufacturing!$F$27/100</f>
        <v>92.149041474976514</v>
      </c>
      <c r="Y33" s="124">
        <f>Y$21*shipping_manufacturing!$F$27/100</f>
        <v>92.149041474976514</v>
      </c>
      <c r="Z33" s="124">
        <f>Z$21*shipping_manufacturing!$F$27/100</f>
        <v>92.149041474976514</v>
      </c>
      <c r="AA33" s="124">
        <f>AA$21*shipping_manufacturing!$F$27/100</f>
        <v>92.149041474976514</v>
      </c>
      <c r="AB33" s="124">
        <f>AB$21*shipping_manufacturing!$F$27/100</f>
        <v>92.149041474976514</v>
      </c>
      <c r="AC33" s="124">
        <f>AC$21*shipping_manufacturing!$F$27/100</f>
        <v>92.149041474976514</v>
      </c>
      <c r="AD33" s="124">
        <f>AD$21*shipping_manufacturing!$F$27/100</f>
        <v>92.149041474976514</v>
      </c>
      <c r="AE33" s="124">
        <f>AE$21*shipping_manufacturing!$F$27/100</f>
        <v>92.149041474976514</v>
      </c>
      <c r="AF33" s="124">
        <f>AF$21*shipping_manufacturing!$F$27/100</f>
        <v>92.149041474976514</v>
      </c>
      <c r="AG33" s="124">
        <f>AG$21*shipping_manufacturing!$F$27/100</f>
        <v>92.149041474976514</v>
      </c>
      <c r="AH33" s="124">
        <f>AH$21*shipping_manufacturing!$F$27/100</f>
        <v>92.149041474976514</v>
      </c>
      <c r="AI33" s="124">
        <f>AI$21*shipping_manufacturing!$F$27/100</f>
        <v>92.149041474976514</v>
      </c>
      <c r="AJ33" s="124">
        <f>AJ$21*shipping_manufacturing!$F$27/100</f>
        <v>92.149041474976514</v>
      </c>
      <c r="AK33" s="124">
        <f>AK$21*shipping_manufacturing!$F$27/100</f>
        <v>92.149041474976514</v>
      </c>
      <c r="AL33" s="124">
        <f>AL$21*shipping_manufacturing!$F$27/100</f>
        <v>92.149041474976514</v>
      </c>
      <c r="AM33" s="124">
        <f>AM$21*shipping_manufacturing!$F$27/100</f>
        <v>92.149041474976514</v>
      </c>
      <c r="AN33" s="124">
        <f>AN$21*shipping_manufacturing!$F$27/100</f>
        <v>92.149041474976514</v>
      </c>
      <c r="AO33" s="124">
        <f>AO$21*shipping_manufacturing!$F$27/100</f>
        <v>92.149041474976514</v>
      </c>
      <c r="AP33" s="124">
        <f>AP$21*shipping_manufacturing!$F$27/100</f>
        <v>92.149041474976514</v>
      </c>
      <c r="AQ33" s="124">
        <f>AQ$21*shipping_manufacturing!$F$27/100</f>
        <v>92.149041474976514</v>
      </c>
      <c r="AR33" s="124">
        <f>AR$21*shipping_manufacturing!$F$27/100</f>
        <v>92.149041474976514</v>
      </c>
      <c r="AS33" s="124">
        <f>AS$21*shipping_manufacturing!$F$27/100</f>
        <v>92.149041474976514</v>
      </c>
      <c r="AT33" s="124">
        <f>AT$21*shipping_manufacturing!$F$27/100</f>
        <v>92.149041474976514</v>
      </c>
      <c r="AU33" s="124">
        <f>AU$21*shipping_manufacturing!$F$27/100</f>
        <v>92.149041474976514</v>
      </c>
      <c r="AV33" s="124">
        <f>AV$21*shipping_manufacturing!$F$27/100</f>
        <v>92.149041474976514</v>
      </c>
      <c r="AW33" s="124">
        <f>AW$21*shipping_manufacturing!$F$27/100</f>
        <v>92.149041474976514</v>
      </c>
      <c r="AX33" s="124">
        <f>AX$21*shipping_manufacturing!$F$27/100</f>
        <v>92.149041474976514</v>
      </c>
      <c r="AY33" s="124">
        <f>AY$21*shipping_manufacturing!$F$27/100</f>
        <v>0</v>
      </c>
    </row>
    <row r="34" spans="1:52">
      <c r="A34" s="113" t="s">
        <v>340</v>
      </c>
      <c r="B34" s="165" t="s">
        <v>342</v>
      </c>
      <c r="C34" s="110"/>
      <c r="D34" s="110">
        <f>D$22*shipping_manufacturing!$G$27/100</f>
        <v>202.15159252589027</v>
      </c>
      <c r="E34" s="110">
        <f>E$22*shipping_manufacturing!$G$27/100</f>
        <v>102.91828667887972</v>
      </c>
      <c r="F34" s="110">
        <f>F$22*shipping_manufacturing!$G$27/100</f>
        <v>102.91828667887972</v>
      </c>
      <c r="G34" s="110">
        <f>G$22*shipping_manufacturing!$G$27/100</f>
        <v>102.91828667887972</v>
      </c>
      <c r="H34" s="110">
        <f>H$22*shipping_manufacturing!$G$27/100</f>
        <v>102.91828667887972</v>
      </c>
      <c r="I34" s="110">
        <f>I$22*shipping_manufacturing!$G$27/100</f>
        <v>102.91828667887972</v>
      </c>
      <c r="J34" s="110">
        <f>J$22*shipping_manufacturing!$G$27/100</f>
        <v>102.91828667887972</v>
      </c>
      <c r="K34" s="110">
        <f>K$22*shipping_manufacturing!$G$27/100</f>
        <v>102.91828667887972</v>
      </c>
      <c r="L34" s="110">
        <f>L$22*shipping_manufacturing!$G$27/100</f>
        <v>102.91828667887972</v>
      </c>
      <c r="M34" s="110">
        <f>M$22*shipping_manufacturing!$G$27/100</f>
        <v>102.91828667887972</v>
      </c>
      <c r="N34" s="110">
        <f>N$22*shipping_manufacturing!$G$27/100</f>
        <v>102.91828667887972</v>
      </c>
      <c r="O34" s="110">
        <f>O$22*shipping_manufacturing!$G$27/100</f>
        <v>102.91828667887972</v>
      </c>
      <c r="P34" s="110">
        <f>P$22*shipping_manufacturing!$G$27/100</f>
        <v>102.91828667887972</v>
      </c>
      <c r="Q34" s="110">
        <f>Q$22*shipping_manufacturing!$G$27/100</f>
        <v>0</v>
      </c>
      <c r="R34" s="110">
        <f>R$22*shipping_manufacturing!$G$27/100</f>
        <v>164.67041119705689</v>
      </c>
      <c r="S34" s="110">
        <f>S$22*shipping_manufacturing!$G$27/100</f>
        <v>82.335205598528447</v>
      </c>
      <c r="T34" s="110">
        <f>T$22*shipping_manufacturing!$G$27/100</f>
        <v>0</v>
      </c>
      <c r="U34" s="110">
        <f>U$22*shipping_manufacturing!$G$27/100</f>
        <v>185.25349227740818</v>
      </c>
      <c r="V34" s="110">
        <f>V$22*shipping_manufacturing!$G$27/100</f>
        <v>102.91828667887972</v>
      </c>
      <c r="W34" s="110">
        <f>W$22*shipping_manufacturing!$G$27/100</f>
        <v>102.91828667887972</v>
      </c>
      <c r="X34" s="110">
        <f>X$22*shipping_manufacturing!$G$27/100</f>
        <v>102.91828667887972</v>
      </c>
      <c r="Y34" s="110">
        <f>Y$22*shipping_manufacturing!$G$27/100</f>
        <v>102.91828667887972</v>
      </c>
      <c r="Z34" s="110">
        <f>Z$22*shipping_manufacturing!$G$27/100</f>
        <v>102.91828667887972</v>
      </c>
      <c r="AA34" s="110">
        <f>AA$22*shipping_manufacturing!$G$27/100</f>
        <v>102.91828667887972</v>
      </c>
      <c r="AB34" s="110">
        <f>AB$22*shipping_manufacturing!$G$27/100</f>
        <v>102.91828667887972</v>
      </c>
      <c r="AC34" s="110">
        <f>AC$22*shipping_manufacturing!$G$27/100</f>
        <v>102.91828667887972</v>
      </c>
      <c r="AD34" s="110">
        <f>AD$22*shipping_manufacturing!$G$27/100</f>
        <v>102.91828667887972</v>
      </c>
      <c r="AE34" s="110">
        <f>AE$22*shipping_manufacturing!$G$27/100</f>
        <v>102.91828667887972</v>
      </c>
      <c r="AF34" s="110">
        <f>AF$22*shipping_manufacturing!$G$27/100</f>
        <v>102.91828667887972</v>
      </c>
      <c r="AG34" s="110">
        <f>AG$22*shipping_manufacturing!$G$27/100</f>
        <v>102.91828667887972</v>
      </c>
      <c r="AH34" s="110">
        <f>AH$22*shipping_manufacturing!$G$27/100</f>
        <v>102.91828667887972</v>
      </c>
      <c r="AI34" s="110">
        <f>AI$22*shipping_manufacturing!$G$27/100</f>
        <v>102.91828667887972</v>
      </c>
      <c r="AJ34" s="110">
        <f>AJ$22*shipping_manufacturing!$G$27/100</f>
        <v>102.91828667887972</v>
      </c>
      <c r="AK34" s="110">
        <f>AK$22*shipping_manufacturing!$G$27/100</f>
        <v>102.91828667887972</v>
      </c>
      <c r="AL34" s="110">
        <f>AL$22*shipping_manufacturing!$G$27/100</f>
        <v>102.91828667887972</v>
      </c>
      <c r="AM34" s="110">
        <f>AM$22*shipping_manufacturing!$G$27/100</f>
        <v>102.91828667887972</v>
      </c>
      <c r="AN34" s="110">
        <f>AN$22*shipping_manufacturing!$G$27/100</f>
        <v>102.91828667887972</v>
      </c>
      <c r="AO34" s="110">
        <f>AO$22*shipping_manufacturing!$G$27/100</f>
        <v>102.91828667887972</v>
      </c>
      <c r="AP34" s="110">
        <f>AP$22*shipping_manufacturing!$G$27/100</f>
        <v>102.91828667887972</v>
      </c>
      <c r="AQ34" s="110">
        <f>AQ$22*shipping_manufacturing!$G$27/100</f>
        <v>102.91828667887972</v>
      </c>
      <c r="AR34" s="110">
        <f>AR$22*shipping_manufacturing!$G$27/100</f>
        <v>102.91828667887972</v>
      </c>
      <c r="AS34" s="110">
        <f>AS$22*shipping_manufacturing!$G$27/100</f>
        <v>102.91828667887972</v>
      </c>
      <c r="AT34" s="110">
        <f>AT$22*shipping_manufacturing!$G$27/100</f>
        <v>102.91828667887972</v>
      </c>
      <c r="AU34" s="110">
        <f>AU$22*shipping_manufacturing!$G$27/100</f>
        <v>102.91828667887972</v>
      </c>
      <c r="AV34" s="110">
        <f>AV$22*shipping_manufacturing!$G$27/100</f>
        <v>102.91828667887972</v>
      </c>
      <c r="AW34" s="110">
        <f>AW$22*shipping_manufacturing!$G$27/100</f>
        <v>102.91828667887972</v>
      </c>
      <c r="AX34" s="110">
        <f>AX$22*shipping_manufacturing!$G$27/100</f>
        <v>102.91828667887972</v>
      </c>
      <c r="AY34" s="110">
        <f>AY$22*shipping_manufacturing!$G$27/100</f>
        <v>0</v>
      </c>
    </row>
    <row r="35" spans="1:52">
      <c r="A35" s="110">
        <v>1245</v>
      </c>
      <c r="B35" s="165" t="s">
        <v>343</v>
      </c>
      <c r="C35" s="110"/>
      <c r="D35" s="110">
        <f>SUM(D33:D34)</f>
        <v>383.1502865871621</v>
      </c>
      <c r="E35" s="110">
        <f t="shared" ref="E35:AY35" si="11">SUM(E33:E34)</f>
        <v>195.06732815385624</v>
      </c>
      <c r="F35" s="110">
        <f t="shared" si="11"/>
        <v>195.06732815385624</v>
      </c>
      <c r="G35" s="110">
        <f t="shared" si="11"/>
        <v>195.06732815385624</v>
      </c>
      <c r="H35" s="110">
        <f t="shared" si="11"/>
        <v>195.06732815385624</v>
      </c>
      <c r="I35" s="110">
        <f t="shared" si="11"/>
        <v>195.06732815385624</v>
      </c>
      <c r="J35" s="110">
        <f t="shared" si="11"/>
        <v>195.06732815385624</v>
      </c>
      <c r="K35" s="110">
        <f t="shared" si="11"/>
        <v>195.06732815385624</v>
      </c>
      <c r="L35" s="110">
        <f t="shared" si="11"/>
        <v>195.06732815385624</v>
      </c>
      <c r="M35" s="110">
        <f t="shared" si="11"/>
        <v>195.06732815385624</v>
      </c>
      <c r="N35" s="110">
        <f t="shared" si="11"/>
        <v>195.06732815385624</v>
      </c>
      <c r="O35" s="110">
        <f t="shared" si="11"/>
        <v>195.06732815385624</v>
      </c>
      <c r="P35" s="110">
        <f t="shared" si="11"/>
        <v>195.06732815385624</v>
      </c>
      <c r="Q35" s="110">
        <f t="shared" si="11"/>
        <v>0</v>
      </c>
      <c r="R35" s="110">
        <f t="shared" si="11"/>
        <v>312.10990947052551</v>
      </c>
      <c r="S35" s="110">
        <f t="shared" si="11"/>
        <v>156.05495473526275</v>
      </c>
      <c r="T35" s="110">
        <f t="shared" si="11"/>
        <v>0</v>
      </c>
      <c r="U35" s="110">
        <f t="shared" si="11"/>
        <v>351.12228288911899</v>
      </c>
      <c r="V35" s="110">
        <f t="shared" si="11"/>
        <v>195.06732815385624</v>
      </c>
      <c r="W35" s="110">
        <f t="shared" si="11"/>
        <v>195.06732815385624</v>
      </c>
      <c r="X35" s="110">
        <f t="shared" si="11"/>
        <v>195.06732815385624</v>
      </c>
      <c r="Y35" s="110">
        <f t="shared" si="11"/>
        <v>195.06732815385624</v>
      </c>
      <c r="Z35" s="110">
        <f t="shared" si="11"/>
        <v>195.06732815385624</v>
      </c>
      <c r="AA35" s="110">
        <f t="shared" si="11"/>
        <v>195.06732815385624</v>
      </c>
      <c r="AB35" s="110">
        <f t="shared" si="11"/>
        <v>195.06732815385624</v>
      </c>
      <c r="AC35" s="110">
        <f t="shared" si="11"/>
        <v>195.06732815385624</v>
      </c>
      <c r="AD35" s="110">
        <f t="shared" si="11"/>
        <v>195.06732815385624</v>
      </c>
      <c r="AE35" s="110">
        <f t="shared" si="11"/>
        <v>195.06732815385624</v>
      </c>
      <c r="AF35" s="110">
        <f t="shared" si="11"/>
        <v>195.06732815385624</v>
      </c>
      <c r="AG35" s="110">
        <f t="shared" si="11"/>
        <v>195.06732815385624</v>
      </c>
      <c r="AH35" s="110">
        <f t="shared" si="11"/>
        <v>195.06732815385624</v>
      </c>
      <c r="AI35" s="110">
        <f t="shared" si="11"/>
        <v>195.06732815385624</v>
      </c>
      <c r="AJ35" s="110">
        <f t="shared" si="11"/>
        <v>195.06732815385624</v>
      </c>
      <c r="AK35" s="110">
        <f t="shared" si="11"/>
        <v>195.06732815385624</v>
      </c>
      <c r="AL35" s="110">
        <f t="shared" si="11"/>
        <v>195.06732815385624</v>
      </c>
      <c r="AM35" s="110">
        <f t="shared" si="11"/>
        <v>195.06732815385624</v>
      </c>
      <c r="AN35" s="110">
        <f t="shared" si="11"/>
        <v>195.06732815385624</v>
      </c>
      <c r="AO35" s="110">
        <f t="shared" si="11"/>
        <v>195.06732815385624</v>
      </c>
      <c r="AP35" s="110">
        <f t="shared" si="11"/>
        <v>195.06732815385624</v>
      </c>
      <c r="AQ35" s="110">
        <f t="shared" si="11"/>
        <v>195.06732815385624</v>
      </c>
      <c r="AR35" s="110">
        <f t="shared" si="11"/>
        <v>195.06732815385624</v>
      </c>
      <c r="AS35" s="110">
        <f t="shared" si="11"/>
        <v>195.06732815385624</v>
      </c>
      <c r="AT35" s="110">
        <f t="shared" si="11"/>
        <v>195.06732815385624</v>
      </c>
      <c r="AU35" s="110">
        <f t="shared" si="11"/>
        <v>195.06732815385624</v>
      </c>
      <c r="AV35" s="110">
        <f t="shared" si="11"/>
        <v>195.06732815385624</v>
      </c>
      <c r="AW35" s="110">
        <f t="shared" si="11"/>
        <v>195.06732815385624</v>
      </c>
      <c r="AX35" s="110">
        <f t="shared" si="11"/>
        <v>195.06732815385624</v>
      </c>
      <c r="AY35" s="110">
        <f t="shared" si="11"/>
        <v>0</v>
      </c>
    </row>
    <row r="36" spans="1:52">
      <c r="A36" s="110"/>
      <c r="B36" s="165" t="s">
        <v>344</v>
      </c>
      <c r="C36" s="110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</row>
    <row r="37" spans="1:52">
      <c r="A37" s="110"/>
      <c r="B37" s="165" t="s">
        <v>345</v>
      </c>
      <c r="C37" s="110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</row>
    <row r="38" spans="1:52">
      <c r="A38" s="110"/>
      <c r="B38" s="165" t="s">
        <v>346</v>
      </c>
      <c r="C38" s="110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</row>
    <row r="39" spans="1:52">
      <c r="A39" s="110"/>
      <c r="B39" s="165" t="s">
        <v>347</v>
      </c>
      <c r="C39" s="110"/>
      <c r="D39" s="110">
        <f>D33-D36</f>
        <v>180.99869406127181</v>
      </c>
      <c r="E39" s="110">
        <f t="shared" ref="E39:AY39" si="12">E33-E36</f>
        <v>92.149041474976514</v>
      </c>
      <c r="F39" s="110">
        <f t="shared" si="12"/>
        <v>92.149041474976514</v>
      </c>
      <c r="G39" s="110">
        <f t="shared" si="12"/>
        <v>92.149041474976514</v>
      </c>
      <c r="H39" s="110">
        <f t="shared" si="12"/>
        <v>92.149041474976514</v>
      </c>
      <c r="I39" s="110">
        <f t="shared" si="12"/>
        <v>92.149041474976514</v>
      </c>
      <c r="J39" s="110">
        <f t="shared" si="12"/>
        <v>92.149041474976514</v>
      </c>
      <c r="K39" s="110">
        <f t="shared" si="12"/>
        <v>92.149041474976514</v>
      </c>
      <c r="L39" s="110">
        <f t="shared" si="12"/>
        <v>92.149041474976514</v>
      </c>
      <c r="M39" s="110">
        <f t="shared" si="12"/>
        <v>92.149041474976514</v>
      </c>
      <c r="N39" s="110">
        <f t="shared" si="12"/>
        <v>92.149041474976514</v>
      </c>
      <c r="O39" s="110">
        <f t="shared" si="12"/>
        <v>92.149041474976514</v>
      </c>
      <c r="P39" s="110">
        <f t="shared" si="12"/>
        <v>92.149041474976514</v>
      </c>
      <c r="Q39" s="110">
        <f t="shared" si="12"/>
        <v>0</v>
      </c>
      <c r="R39" s="110">
        <f t="shared" si="12"/>
        <v>147.43949827346859</v>
      </c>
      <c r="S39" s="110">
        <f t="shared" si="12"/>
        <v>73.719749136734293</v>
      </c>
      <c r="T39" s="110">
        <f t="shared" si="12"/>
        <v>0</v>
      </c>
      <c r="U39" s="110">
        <f t="shared" si="12"/>
        <v>165.86879061171084</v>
      </c>
      <c r="V39" s="110">
        <f t="shared" si="12"/>
        <v>92.149041474976514</v>
      </c>
      <c r="W39" s="110">
        <f t="shared" si="12"/>
        <v>92.149041474976514</v>
      </c>
      <c r="X39" s="110">
        <f t="shared" si="12"/>
        <v>92.149041474976514</v>
      </c>
      <c r="Y39" s="110">
        <f t="shared" si="12"/>
        <v>92.149041474976514</v>
      </c>
      <c r="Z39" s="110">
        <f t="shared" si="12"/>
        <v>92.149041474976514</v>
      </c>
      <c r="AA39" s="110">
        <f t="shared" si="12"/>
        <v>92.149041474976514</v>
      </c>
      <c r="AB39" s="110">
        <f t="shared" si="12"/>
        <v>92.149041474976514</v>
      </c>
      <c r="AC39" s="110">
        <f t="shared" si="12"/>
        <v>92.149041474976514</v>
      </c>
      <c r="AD39" s="110">
        <f t="shared" si="12"/>
        <v>92.149041474976514</v>
      </c>
      <c r="AE39" s="110">
        <f t="shared" si="12"/>
        <v>92.149041474976514</v>
      </c>
      <c r="AF39" s="110">
        <f t="shared" si="12"/>
        <v>92.149041474976514</v>
      </c>
      <c r="AG39" s="110">
        <f t="shared" si="12"/>
        <v>92.149041474976514</v>
      </c>
      <c r="AH39" s="110">
        <f t="shared" si="12"/>
        <v>92.149041474976514</v>
      </c>
      <c r="AI39" s="110">
        <f t="shared" si="12"/>
        <v>92.149041474976514</v>
      </c>
      <c r="AJ39" s="110">
        <f t="shared" si="12"/>
        <v>92.149041474976514</v>
      </c>
      <c r="AK39" s="110">
        <f t="shared" si="12"/>
        <v>92.149041474976514</v>
      </c>
      <c r="AL39" s="110">
        <f t="shared" si="12"/>
        <v>92.149041474976514</v>
      </c>
      <c r="AM39" s="110">
        <f t="shared" si="12"/>
        <v>92.149041474976514</v>
      </c>
      <c r="AN39" s="110">
        <f t="shared" si="12"/>
        <v>92.149041474976514</v>
      </c>
      <c r="AO39" s="110">
        <f t="shared" si="12"/>
        <v>92.149041474976514</v>
      </c>
      <c r="AP39" s="110">
        <f t="shared" si="12"/>
        <v>92.149041474976514</v>
      </c>
      <c r="AQ39" s="110">
        <f t="shared" si="12"/>
        <v>92.149041474976514</v>
      </c>
      <c r="AR39" s="110">
        <f t="shared" si="12"/>
        <v>92.149041474976514</v>
      </c>
      <c r="AS39" s="110">
        <f t="shared" si="12"/>
        <v>92.149041474976514</v>
      </c>
      <c r="AT39" s="110">
        <f t="shared" si="12"/>
        <v>92.149041474976514</v>
      </c>
      <c r="AU39" s="110">
        <f t="shared" si="12"/>
        <v>92.149041474976514</v>
      </c>
      <c r="AV39" s="110">
        <f t="shared" si="12"/>
        <v>92.149041474976514</v>
      </c>
      <c r="AW39" s="110">
        <f t="shared" si="12"/>
        <v>92.149041474976514</v>
      </c>
      <c r="AX39" s="110">
        <f t="shared" si="12"/>
        <v>92.149041474976514</v>
      </c>
      <c r="AY39" s="110">
        <f t="shared" si="12"/>
        <v>0</v>
      </c>
    </row>
    <row r="40" spans="1:52">
      <c r="A40" s="110"/>
      <c r="B40" s="165" t="s">
        <v>348</v>
      </c>
      <c r="C40" s="110"/>
      <c r="D40" s="110">
        <f>D34-D37</f>
        <v>202.15159252589027</v>
      </c>
      <c r="E40" s="110">
        <f t="shared" ref="E40:AY40" si="13">E34-E37</f>
        <v>102.91828667887972</v>
      </c>
      <c r="F40" s="110">
        <f t="shared" si="13"/>
        <v>102.91828667887972</v>
      </c>
      <c r="G40" s="110">
        <f t="shared" si="13"/>
        <v>102.91828667887972</v>
      </c>
      <c r="H40" s="110">
        <f t="shared" si="13"/>
        <v>102.91828667887972</v>
      </c>
      <c r="I40" s="110">
        <f t="shared" si="13"/>
        <v>102.91828667887972</v>
      </c>
      <c r="J40" s="110">
        <f t="shared" si="13"/>
        <v>102.91828667887972</v>
      </c>
      <c r="K40" s="110">
        <f t="shared" si="13"/>
        <v>102.91828667887972</v>
      </c>
      <c r="L40" s="110">
        <f t="shared" si="13"/>
        <v>102.91828667887972</v>
      </c>
      <c r="M40" s="110">
        <f t="shared" si="13"/>
        <v>102.91828667887972</v>
      </c>
      <c r="N40" s="110">
        <f t="shared" si="13"/>
        <v>102.91828667887972</v>
      </c>
      <c r="O40" s="110">
        <f t="shared" si="13"/>
        <v>102.91828667887972</v>
      </c>
      <c r="P40" s="110">
        <f t="shared" si="13"/>
        <v>102.91828667887972</v>
      </c>
      <c r="Q40" s="110">
        <f t="shared" si="13"/>
        <v>0</v>
      </c>
      <c r="R40" s="110">
        <f t="shared" si="13"/>
        <v>164.67041119705689</v>
      </c>
      <c r="S40" s="110">
        <f t="shared" si="13"/>
        <v>82.335205598528447</v>
      </c>
      <c r="T40" s="110">
        <f t="shared" si="13"/>
        <v>0</v>
      </c>
      <c r="U40" s="110">
        <f t="shared" si="13"/>
        <v>185.25349227740818</v>
      </c>
      <c r="V40" s="110">
        <f t="shared" si="13"/>
        <v>102.91828667887972</v>
      </c>
      <c r="W40" s="110">
        <f t="shared" si="13"/>
        <v>102.91828667887972</v>
      </c>
      <c r="X40" s="110">
        <f t="shared" si="13"/>
        <v>102.91828667887972</v>
      </c>
      <c r="Y40" s="110">
        <f t="shared" si="13"/>
        <v>102.91828667887972</v>
      </c>
      <c r="Z40" s="110">
        <f t="shared" si="13"/>
        <v>102.91828667887972</v>
      </c>
      <c r="AA40" s="110">
        <f t="shared" si="13"/>
        <v>102.91828667887972</v>
      </c>
      <c r="AB40" s="110">
        <f t="shared" si="13"/>
        <v>102.91828667887972</v>
      </c>
      <c r="AC40" s="110">
        <f t="shared" si="13"/>
        <v>102.91828667887972</v>
      </c>
      <c r="AD40" s="110">
        <f t="shared" si="13"/>
        <v>102.91828667887972</v>
      </c>
      <c r="AE40" s="110">
        <f t="shared" si="13"/>
        <v>102.91828667887972</v>
      </c>
      <c r="AF40" s="110">
        <f t="shared" si="13"/>
        <v>102.91828667887972</v>
      </c>
      <c r="AG40" s="110">
        <f t="shared" si="13"/>
        <v>102.91828667887972</v>
      </c>
      <c r="AH40" s="110">
        <f t="shared" si="13"/>
        <v>102.91828667887972</v>
      </c>
      <c r="AI40" s="110">
        <f t="shared" si="13"/>
        <v>102.91828667887972</v>
      </c>
      <c r="AJ40" s="110">
        <f t="shared" si="13"/>
        <v>102.91828667887972</v>
      </c>
      <c r="AK40" s="110">
        <f t="shared" si="13"/>
        <v>102.91828667887972</v>
      </c>
      <c r="AL40" s="110">
        <f t="shared" si="13"/>
        <v>102.91828667887972</v>
      </c>
      <c r="AM40" s="110">
        <f t="shared" si="13"/>
        <v>102.91828667887972</v>
      </c>
      <c r="AN40" s="110">
        <f t="shared" si="13"/>
        <v>102.91828667887972</v>
      </c>
      <c r="AO40" s="110">
        <f t="shared" si="13"/>
        <v>102.91828667887972</v>
      </c>
      <c r="AP40" s="110">
        <f t="shared" si="13"/>
        <v>102.91828667887972</v>
      </c>
      <c r="AQ40" s="110">
        <f t="shared" si="13"/>
        <v>102.91828667887972</v>
      </c>
      <c r="AR40" s="110">
        <f t="shared" si="13"/>
        <v>102.91828667887972</v>
      </c>
      <c r="AS40" s="110">
        <f t="shared" si="13"/>
        <v>102.91828667887972</v>
      </c>
      <c r="AT40" s="110">
        <f t="shared" si="13"/>
        <v>102.91828667887972</v>
      </c>
      <c r="AU40" s="110">
        <f t="shared" si="13"/>
        <v>102.91828667887972</v>
      </c>
      <c r="AV40" s="110">
        <f t="shared" si="13"/>
        <v>102.91828667887972</v>
      </c>
      <c r="AW40" s="110">
        <f t="shared" si="13"/>
        <v>102.91828667887972</v>
      </c>
      <c r="AX40" s="110">
        <f t="shared" si="13"/>
        <v>102.91828667887972</v>
      </c>
      <c r="AY40" s="110">
        <f t="shared" si="13"/>
        <v>0</v>
      </c>
    </row>
    <row r="41" spans="1:52">
      <c r="A41" s="110"/>
      <c r="B41" s="165" t="s">
        <v>349</v>
      </c>
      <c r="C41" s="110"/>
      <c r="D41" s="110">
        <v>1</v>
      </c>
      <c r="E41" s="110">
        <v>1</v>
      </c>
      <c r="F41" s="110">
        <v>2</v>
      </c>
      <c r="G41" s="110">
        <v>1</v>
      </c>
      <c r="H41" s="110">
        <v>1</v>
      </c>
      <c r="I41" s="110">
        <v>1</v>
      </c>
      <c r="J41" s="110">
        <v>1</v>
      </c>
      <c r="K41" s="110">
        <v>2</v>
      </c>
      <c r="L41" s="110">
        <v>1</v>
      </c>
      <c r="M41" s="110">
        <v>2</v>
      </c>
      <c r="N41" s="110">
        <v>1</v>
      </c>
      <c r="O41" s="110">
        <v>1</v>
      </c>
      <c r="P41" s="110">
        <v>2</v>
      </c>
      <c r="Q41" s="110">
        <v>1</v>
      </c>
      <c r="R41" s="110">
        <v>1</v>
      </c>
      <c r="S41" s="110">
        <v>3</v>
      </c>
      <c r="T41" s="110">
        <v>1</v>
      </c>
      <c r="U41" s="110">
        <v>1</v>
      </c>
      <c r="V41" s="110">
        <v>1</v>
      </c>
      <c r="W41" s="110">
        <v>1</v>
      </c>
      <c r="X41" s="110">
        <v>1</v>
      </c>
      <c r="Y41" s="110">
        <v>1</v>
      </c>
      <c r="Z41" s="110">
        <v>1</v>
      </c>
      <c r="AA41" s="110">
        <v>1</v>
      </c>
      <c r="AB41" s="110">
        <v>1</v>
      </c>
      <c r="AC41" s="110">
        <v>1</v>
      </c>
      <c r="AD41" s="110">
        <v>2</v>
      </c>
      <c r="AE41" s="110">
        <v>1</v>
      </c>
      <c r="AF41" s="110">
        <v>1</v>
      </c>
      <c r="AG41" s="110">
        <v>1</v>
      </c>
      <c r="AH41" s="110">
        <v>3</v>
      </c>
      <c r="AI41" s="110">
        <v>1</v>
      </c>
      <c r="AJ41" s="110">
        <v>2</v>
      </c>
      <c r="AK41" s="110">
        <v>1</v>
      </c>
      <c r="AL41" s="110">
        <v>1</v>
      </c>
      <c r="AM41" s="110">
        <v>1</v>
      </c>
      <c r="AN41" s="110">
        <v>1</v>
      </c>
      <c r="AO41" s="110">
        <v>2</v>
      </c>
      <c r="AP41" s="110">
        <v>2</v>
      </c>
      <c r="AQ41" s="110">
        <v>2</v>
      </c>
      <c r="AR41" s="110">
        <v>1</v>
      </c>
      <c r="AS41" s="110">
        <v>1</v>
      </c>
      <c r="AT41" s="110">
        <v>1</v>
      </c>
      <c r="AU41" s="110">
        <v>1</v>
      </c>
      <c r="AV41" s="110">
        <v>1</v>
      </c>
      <c r="AW41" s="110">
        <v>1</v>
      </c>
      <c r="AX41" s="110">
        <v>1</v>
      </c>
      <c r="AY41" s="110">
        <v>3</v>
      </c>
    </row>
    <row r="42" spans="1:52">
      <c r="A42" s="110"/>
      <c r="B42" s="178" t="s">
        <v>350</v>
      </c>
      <c r="C42" s="110"/>
      <c r="D42" s="110">
        <v>0</v>
      </c>
      <c r="E42" s="110">
        <v>0</v>
      </c>
      <c r="F42" s="110">
        <v>0</v>
      </c>
      <c r="G42" s="110">
        <v>0</v>
      </c>
      <c r="H42" s="110">
        <v>0</v>
      </c>
      <c r="I42" s="110">
        <v>0</v>
      </c>
      <c r="J42" s="110">
        <v>0</v>
      </c>
      <c r="K42" s="110">
        <v>0</v>
      </c>
      <c r="L42" s="110">
        <v>0</v>
      </c>
      <c r="M42" s="110">
        <v>0</v>
      </c>
      <c r="N42" s="110">
        <v>0</v>
      </c>
      <c r="O42" s="110">
        <v>0</v>
      </c>
      <c r="P42" s="110">
        <v>0</v>
      </c>
      <c r="Q42" s="110">
        <v>0</v>
      </c>
      <c r="R42" s="110">
        <v>0</v>
      </c>
      <c r="S42" s="110">
        <v>0</v>
      </c>
      <c r="T42" s="110">
        <v>0</v>
      </c>
      <c r="U42" s="110">
        <v>0</v>
      </c>
      <c r="V42" s="110">
        <v>0</v>
      </c>
      <c r="W42" s="110">
        <v>0</v>
      </c>
      <c r="X42" s="110">
        <v>0</v>
      </c>
      <c r="Y42" s="110">
        <v>0</v>
      </c>
      <c r="Z42" s="110">
        <v>0</v>
      </c>
      <c r="AA42" s="110">
        <v>0</v>
      </c>
      <c r="AB42" s="110">
        <v>0</v>
      </c>
      <c r="AC42" s="110">
        <v>0</v>
      </c>
      <c r="AD42" s="110">
        <v>0</v>
      </c>
      <c r="AE42" s="110">
        <v>0</v>
      </c>
      <c r="AF42" s="110">
        <v>0</v>
      </c>
      <c r="AG42" s="110">
        <v>0</v>
      </c>
      <c r="AH42" s="110">
        <v>0</v>
      </c>
      <c r="AI42" s="110">
        <v>0</v>
      </c>
      <c r="AJ42" s="110">
        <v>0</v>
      </c>
      <c r="AK42" s="110">
        <v>0</v>
      </c>
      <c r="AL42" s="110">
        <v>0</v>
      </c>
      <c r="AM42" s="110">
        <v>0</v>
      </c>
      <c r="AN42" s="110">
        <v>0</v>
      </c>
      <c r="AO42" s="110">
        <v>0</v>
      </c>
      <c r="AP42" s="110">
        <v>0</v>
      </c>
      <c r="AQ42" s="110">
        <v>0</v>
      </c>
      <c r="AR42" s="110">
        <v>0</v>
      </c>
      <c r="AS42" s="110">
        <v>0</v>
      </c>
      <c r="AT42" s="110">
        <v>0</v>
      </c>
      <c r="AU42" s="110">
        <v>0</v>
      </c>
      <c r="AV42" s="110">
        <v>0</v>
      </c>
      <c r="AW42" s="110">
        <v>0</v>
      </c>
      <c r="AX42" s="110">
        <v>0</v>
      </c>
      <c r="AY42" s="110">
        <v>0</v>
      </c>
      <c r="AZ42" s="100">
        <f>SUM($D$42:$AY$42)</f>
        <v>0</v>
      </c>
    </row>
    <row r="43" spans="1:52">
      <c r="A43" s="110"/>
      <c r="B43" s="178" t="s">
        <v>351</v>
      </c>
      <c r="C43" s="110"/>
      <c r="D43" s="110">
        <v>310064.36942066095</v>
      </c>
      <c r="E43" s="110">
        <v>157858.23530850816</v>
      </c>
      <c r="F43" s="110">
        <v>157858.23530850816</v>
      </c>
      <c r="G43" s="110">
        <v>157858.23530850816</v>
      </c>
      <c r="H43" s="110">
        <v>157858.23530850816</v>
      </c>
      <c r="I43" s="110">
        <v>157858.23530850816</v>
      </c>
      <c r="J43" s="110">
        <v>157858.23530850816</v>
      </c>
      <c r="K43" s="110">
        <v>157858.23530850816</v>
      </c>
      <c r="L43" s="110">
        <v>157858.23530850816</v>
      </c>
      <c r="M43" s="110">
        <v>157858.23530850816</v>
      </c>
      <c r="N43" s="110">
        <v>157858.23530850816</v>
      </c>
      <c r="O43" s="110">
        <v>157858.23530850816</v>
      </c>
      <c r="P43" s="110">
        <v>157858.23530850816</v>
      </c>
      <c r="Q43" s="110">
        <v>0</v>
      </c>
      <c r="R43" s="110">
        <v>252574.94423902276</v>
      </c>
      <c r="S43" s="110">
        <v>126287.47211951138</v>
      </c>
      <c r="T43" s="110">
        <v>0</v>
      </c>
      <c r="U43" s="110">
        <v>284145.70742801955</v>
      </c>
      <c r="V43" s="110">
        <v>157858.23530850816</v>
      </c>
      <c r="W43" s="110">
        <v>157858.23530850816</v>
      </c>
      <c r="X43" s="110">
        <v>157858.23530850816</v>
      </c>
      <c r="Y43" s="110">
        <v>157858.23530850816</v>
      </c>
      <c r="Z43" s="110">
        <v>157858.23530850816</v>
      </c>
      <c r="AA43" s="110">
        <v>157858.23530850816</v>
      </c>
      <c r="AB43" s="110">
        <v>157858.23530850816</v>
      </c>
      <c r="AC43" s="110">
        <v>157858.23530850816</v>
      </c>
      <c r="AD43" s="110">
        <v>157858.23530850816</v>
      </c>
      <c r="AE43" s="110">
        <v>157858.23530850816</v>
      </c>
      <c r="AF43" s="110">
        <v>157858.23530850816</v>
      </c>
      <c r="AG43" s="110">
        <v>157858.23530850816</v>
      </c>
      <c r="AH43" s="110">
        <v>157858.23530850816</v>
      </c>
      <c r="AI43" s="110">
        <v>157858.23530850816</v>
      </c>
      <c r="AJ43" s="110">
        <v>157858.23530850816</v>
      </c>
      <c r="AK43" s="110">
        <v>157858.23530850816</v>
      </c>
      <c r="AL43" s="110">
        <v>157858.23530850816</v>
      </c>
      <c r="AM43" s="110">
        <v>157858.23530850816</v>
      </c>
      <c r="AN43" s="110">
        <v>157858.23530850816</v>
      </c>
      <c r="AO43" s="110">
        <v>157858.23530850816</v>
      </c>
      <c r="AP43" s="110">
        <v>157858.23530850816</v>
      </c>
      <c r="AQ43" s="110">
        <v>157858.23530850816</v>
      </c>
      <c r="AR43" s="110">
        <v>157858.23530850816</v>
      </c>
      <c r="AS43" s="110">
        <v>157858.23530850816</v>
      </c>
      <c r="AT43" s="110">
        <v>157858.23530850816</v>
      </c>
      <c r="AU43" s="110">
        <v>157858.23530850816</v>
      </c>
      <c r="AV43" s="110">
        <v>157858.23530850816</v>
      </c>
      <c r="AW43" s="110">
        <v>157858.23530850816</v>
      </c>
      <c r="AX43" s="110">
        <v>157858.23530850816</v>
      </c>
      <c r="AY43" s="110">
        <v>0</v>
      </c>
      <c r="AZ43" s="100">
        <f>SUM($D$43:$AY$43)</f>
        <v>7445260.1408560555</v>
      </c>
    </row>
    <row r="44" spans="1:52">
      <c r="A44" s="135" t="s">
        <v>46</v>
      </c>
      <c r="B44" s="135" t="s">
        <v>341</v>
      </c>
      <c r="C44" s="124"/>
      <c r="D44" s="124">
        <f>D$21*shipping_manufacturing!$F$28/100</f>
        <v>0</v>
      </c>
      <c r="E44" s="124">
        <f>E$21*shipping_manufacturing!$F$28/100</f>
        <v>0</v>
      </c>
      <c r="F44" s="124">
        <f>F$21*shipping_manufacturing!$F$28/100</f>
        <v>0</v>
      </c>
      <c r="G44" s="124">
        <f>G$21*shipping_manufacturing!$F$28/100</f>
        <v>0</v>
      </c>
      <c r="H44" s="124">
        <f>H$21*shipping_manufacturing!$F$28/100</f>
        <v>0</v>
      </c>
      <c r="I44" s="124">
        <f>I$21*shipping_manufacturing!$F$28/100</f>
        <v>0</v>
      </c>
      <c r="J44" s="124">
        <f>J$21*shipping_manufacturing!$F$28/100</f>
        <v>0</v>
      </c>
      <c r="K44" s="124">
        <f>K$21*shipping_manufacturing!$F$28/100</f>
        <v>0</v>
      </c>
      <c r="L44" s="124">
        <f>L$21*shipping_manufacturing!$F$28/100</f>
        <v>0</v>
      </c>
      <c r="M44" s="124">
        <f>M$21*shipping_manufacturing!$F$28/100</f>
        <v>0</v>
      </c>
      <c r="N44" s="124">
        <f>N$21*shipping_manufacturing!$F$28/100</f>
        <v>0</v>
      </c>
      <c r="O44" s="124">
        <f>O$21*shipping_manufacturing!$F$28/100</f>
        <v>0</v>
      </c>
      <c r="P44" s="124">
        <f>P$21*shipping_manufacturing!$F$28/100</f>
        <v>0</v>
      </c>
      <c r="Q44" s="124">
        <f>Q$21*shipping_manufacturing!$F$28/100</f>
        <v>0</v>
      </c>
      <c r="R44" s="124">
        <f>R$21*shipping_manufacturing!$F$28/100</f>
        <v>0</v>
      </c>
      <c r="S44" s="124">
        <f>S$21*shipping_manufacturing!$F$28/100</f>
        <v>0</v>
      </c>
      <c r="T44" s="124">
        <f>T$21*shipping_manufacturing!$F$28/100</f>
        <v>0</v>
      </c>
      <c r="U44" s="124">
        <f>U$21*shipping_manufacturing!$F$28/100</f>
        <v>0</v>
      </c>
      <c r="V44" s="124">
        <f>V$21*shipping_manufacturing!$F$28/100</f>
        <v>0</v>
      </c>
      <c r="W44" s="124">
        <f>W$21*shipping_manufacturing!$F$28/100</f>
        <v>0</v>
      </c>
      <c r="X44" s="124">
        <f>X$21*shipping_manufacturing!$F$28/100</f>
        <v>0</v>
      </c>
      <c r="Y44" s="124">
        <f>Y$21*shipping_manufacturing!$F$28/100</f>
        <v>0</v>
      </c>
      <c r="Z44" s="124">
        <f>Z$21*shipping_manufacturing!$F$28/100</f>
        <v>0</v>
      </c>
      <c r="AA44" s="124">
        <f>AA$21*shipping_manufacturing!$F$28/100</f>
        <v>0</v>
      </c>
      <c r="AB44" s="124">
        <f>AB$21*shipping_manufacturing!$F$28/100</f>
        <v>0</v>
      </c>
      <c r="AC44" s="124">
        <f>AC$21*shipping_manufacturing!$F$28/100</f>
        <v>0</v>
      </c>
      <c r="AD44" s="124">
        <f>AD$21*shipping_manufacturing!$F$28/100</f>
        <v>0</v>
      </c>
      <c r="AE44" s="124">
        <f>AE$21*shipping_manufacturing!$F$28/100</f>
        <v>0</v>
      </c>
      <c r="AF44" s="124">
        <f>AF$21*shipping_manufacturing!$F$28/100</f>
        <v>0</v>
      </c>
      <c r="AG44" s="124">
        <f>AG$21*shipping_manufacturing!$F$28/100</f>
        <v>0</v>
      </c>
      <c r="AH44" s="124">
        <f>AH$21*shipping_manufacturing!$F$28/100</f>
        <v>0</v>
      </c>
      <c r="AI44" s="124">
        <f>AI$21*shipping_manufacturing!$F$28/100</f>
        <v>0</v>
      </c>
      <c r="AJ44" s="124">
        <f>AJ$21*shipping_manufacturing!$F$28/100</f>
        <v>0</v>
      </c>
      <c r="AK44" s="124">
        <f>AK$21*shipping_manufacturing!$F$28/100</f>
        <v>0</v>
      </c>
      <c r="AL44" s="124">
        <f>AL$21*shipping_manufacturing!$F$28/100</f>
        <v>0</v>
      </c>
      <c r="AM44" s="124">
        <f>AM$21*shipping_manufacturing!$F$28/100</f>
        <v>0</v>
      </c>
      <c r="AN44" s="124">
        <f>AN$21*shipping_manufacturing!$F$28/100</f>
        <v>0</v>
      </c>
      <c r="AO44" s="124">
        <f>AO$21*shipping_manufacturing!$F$28/100</f>
        <v>0</v>
      </c>
      <c r="AP44" s="124">
        <f>AP$21*shipping_manufacturing!$F$28/100</f>
        <v>0</v>
      </c>
      <c r="AQ44" s="124">
        <f>AQ$21*shipping_manufacturing!$F$28/100</f>
        <v>0</v>
      </c>
      <c r="AR44" s="124">
        <f>AR$21*shipping_manufacturing!$F$28/100</f>
        <v>0</v>
      </c>
      <c r="AS44" s="124">
        <f>AS$21*shipping_manufacturing!$F$28/100</f>
        <v>0</v>
      </c>
      <c r="AT44" s="124">
        <f>AT$21*shipping_manufacturing!$F$28/100</f>
        <v>0</v>
      </c>
      <c r="AU44" s="124">
        <f>AU$21*shipping_manufacturing!$F$28/100</f>
        <v>0</v>
      </c>
      <c r="AV44" s="124">
        <f>AV$21*shipping_manufacturing!$F$28/100</f>
        <v>0</v>
      </c>
      <c r="AW44" s="124">
        <f>AW$21*shipping_manufacturing!$F$28/100</f>
        <v>0</v>
      </c>
      <c r="AX44" s="124">
        <f>AX$21*shipping_manufacturing!$F$28/100</f>
        <v>0</v>
      </c>
      <c r="AY44" s="124">
        <f>AY$21*shipping_manufacturing!$F$28/100</f>
        <v>0</v>
      </c>
    </row>
    <row r="45" spans="1:52">
      <c r="A45" s="113" t="s">
        <v>340</v>
      </c>
      <c r="B45" s="165" t="s">
        <v>342</v>
      </c>
      <c r="C45" s="110"/>
      <c r="D45" s="110">
        <f>D$22*shipping_manufacturing!$G$28/100</f>
        <v>0</v>
      </c>
      <c r="E45" s="110">
        <f>E$22*shipping_manufacturing!$G$28/100</f>
        <v>0</v>
      </c>
      <c r="F45" s="110">
        <f>F$22*shipping_manufacturing!$G$28/100</f>
        <v>0</v>
      </c>
      <c r="G45" s="110">
        <f>G$22*shipping_manufacturing!$G$28/100</f>
        <v>0</v>
      </c>
      <c r="H45" s="110">
        <f>H$22*shipping_manufacturing!$G$28/100</f>
        <v>0</v>
      </c>
      <c r="I45" s="110">
        <f>I$22*shipping_manufacturing!$G$28/100</f>
        <v>0</v>
      </c>
      <c r="J45" s="110">
        <f>J$22*shipping_manufacturing!$G$28/100</f>
        <v>0</v>
      </c>
      <c r="K45" s="110">
        <f>K$22*shipping_manufacturing!$G$28/100</f>
        <v>0</v>
      </c>
      <c r="L45" s="110">
        <f>L$22*shipping_manufacturing!$G$28/100</f>
        <v>0</v>
      </c>
      <c r="M45" s="110">
        <f>M$22*shipping_manufacturing!$G$28/100</f>
        <v>0</v>
      </c>
      <c r="N45" s="110">
        <f>N$22*shipping_manufacturing!$G$28/100</f>
        <v>0</v>
      </c>
      <c r="O45" s="110">
        <f>O$22*shipping_manufacturing!$G$28/100</f>
        <v>0</v>
      </c>
      <c r="P45" s="110">
        <f>P$22*shipping_manufacturing!$G$28/100</f>
        <v>0</v>
      </c>
      <c r="Q45" s="110">
        <f>Q$22*shipping_manufacturing!$G$28/100</f>
        <v>0</v>
      </c>
      <c r="R45" s="110">
        <f>R$22*shipping_manufacturing!$G$28/100</f>
        <v>0</v>
      </c>
      <c r="S45" s="110">
        <f>S$22*shipping_manufacturing!$G$28/100</f>
        <v>0</v>
      </c>
      <c r="T45" s="110">
        <f>T$22*shipping_manufacturing!$G$28/100</f>
        <v>0</v>
      </c>
      <c r="U45" s="110">
        <f>U$22*shipping_manufacturing!$G$28/100</f>
        <v>0</v>
      </c>
      <c r="V45" s="110">
        <f>V$22*shipping_manufacturing!$G$28/100</f>
        <v>0</v>
      </c>
      <c r="W45" s="110">
        <f>W$22*shipping_manufacturing!$G$28/100</f>
        <v>0</v>
      </c>
      <c r="X45" s="110">
        <f>X$22*shipping_manufacturing!$G$28/100</f>
        <v>0</v>
      </c>
      <c r="Y45" s="110">
        <f>Y$22*shipping_manufacturing!$G$28/100</f>
        <v>0</v>
      </c>
      <c r="Z45" s="110">
        <f>Z$22*shipping_manufacturing!$G$28/100</f>
        <v>0</v>
      </c>
      <c r="AA45" s="110">
        <f>AA$22*shipping_manufacturing!$G$28/100</f>
        <v>0</v>
      </c>
      <c r="AB45" s="110">
        <f>AB$22*shipping_manufacturing!$G$28/100</f>
        <v>0</v>
      </c>
      <c r="AC45" s="110">
        <f>AC$22*shipping_manufacturing!$G$28/100</f>
        <v>0</v>
      </c>
      <c r="AD45" s="110">
        <f>AD$22*shipping_manufacturing!$G$28/100</f>
        <v>0</v>
      </c>
      <c r="AE45" s="110">
        <f>AE$22*shipping_manufacturing!$G$28/100</f>
        <v>0</v>
      </c>
      <c r="AF45" s="110">
        <f>AF$22*shipping_manufacturing!$G$28/100</f>
        <v>0</v>
      </c>
      <c r="AG45" s="110">
        <f>AG$22*shipping_manufacturing!$G$28/100</f>
        <v>0</v>
      </c>
      <c r="AH45" s="110">
        <f>AH$22*shipping_manufacturing!$G$28/100</f>
        <v>0</v>
      </c>
      <c r="AI45" s="110">
        <f>AI$22*shipping_manufacturing!$G$28/100</f>
        <v>0</v>
      </c>
      <c r="AJ45" s="110">
        <f>AJ$22*shipping_manufacturing!$G$28/100</f>
        <v>0</v>
      </c>
      <c r="AK45" s="110">
        <f>AK$22*shipping_manufacturing!$G$28/100</f>
        <v>0</v>
      </c>
      <c r="AL45" s="110">
        <f>AL$22*shipping_manufacturing!$G$28/100</f>
        <v>0</v>
      </c>
      <c r="AM45" s="110">
        <f>AM$22*shipping_manufacturing!$G$28/100</f>
        <v>0</v>
      </c>
      <c r="AN45" s="110">
        <f>AN$22*shipping_manufacturing!$G$28/100</f>
        <v>0</v>
      </c>
      <c r="AO45" s="110">
        <f>AO$22*shipping_manufacturing!$G$28/100</f>
        <v>0</v>
      </c>
      <c r="AP45" s="110">
        <f>AP$22*shipping_manufacturing!$G$28/100</f>
        <v>0</v>
      </c>
      <c r="AQ45" s="110">
        <f>AQ$22*shipping_manufacturing!$G$28/100</f>
        <v>0</v>
      </c>
      <c r="AR45" s="110">
        <f>AR$22*shipping_manufacturing!$G$28/100</f>
        <v>0</v>
      </c>
      <c r="AS45" s="110">
        <f>AS$22*shipping_manufacturing!$G$28/100</f>
        <v>0</v>
      </c>
      <c r="AT45" s="110">
        <f>AT$22*shipping_manufacturing!$G$28/100</f>
        <v>0</v>
      </c>
      <c r="AU45" s="110">
        <f>AU$22*shipping_manufacturing!$G$28/100</f>
        <v>0</v>
      </c>
      <c r="AV45" s="110">
        <f>AV$22*shipping_manufacturing!$G$28/100</f>
        <v>0</v>
      </c>
      <c r="AW45" s="110">
        <f>AW$22*shipping_manufacturing!$G$28/100</f>
        <v>0</v>
      </c>
      <c r="AX45" s="110">
        <f>AX$22*shipping_manufacturing!$G$28/100</f>
        <v>0</v>
      </c>
      <c r="AY45" s="110">
        <f>AY$22*shipping_manufacturing!$G$28/100</f>
        <v>0</v>
      </c>
    </row>
    <row r="46" spans="1:52">
      <c r="A46" s="110">
        <v>1893</v>
      </c>
      <c r="B46" s="165" t="s">
        <v>343</v>
      </c>
      <c r="C46" s="110"/>
      <c r="D46" s="110">
        <f>SUM(D44:D45)</f>
        <v>0</v>
      </c>
      <c r="E46" s="110">
        <f t="shared" ref="E46:AY46" si="14">SUM(E44:E45)</f>
        <v>0</v>
      </c>
      <c r="F46" s="110">
        <f t="shared" si="14"/>
        <v>0</v>
      </c>
      <c r="G46" s="110">
        <f t="shared" si="14"/>
        <v>0</v>
      </c>
      <c r="H46" s="110">
        <f t="shared" si="14"/>
        <v>0</v>
      </c>
      <c r="I46" s="110">
        <f t="shared" si="14"/>
        <v>0</v>
      </c>
      <c r="J46" s="110">
        <f t="shared" si="14"/>
        <v>0</v>
      </c>
      <c r="K46" s="110">
        <f t="shared" si="14"/>
        <v>0</v>
      </c>
      <c r="L46" s="110">
        <f t="shared" si="14"/>
        <v>0</v>
      </c>
      <c r="M46" s="110">
        <f t="shared" si="14"/>
        <v>0</v>
      </c>
      <c r="N46" s="110">
        <f t="shared" si="14"/>
        <v>0</v>
      </c>
      <c r="O46" s="110">
        <f t="shared" si="14"/>
        <v>0</v>
      </c>
      <c r="P46" s="110">
        <f t="shared" si="14"/>
        <v>0</v>
      </c>
      <c r="Q46" s="110">
        <f t="shared" si="14"/>
        <v>0</v>
      </c>
      <c r="R46" s="110">
        <f t="shared" si="14"/>
        <v>0</v>
      </c>
      <c r="S46" s="110">
        <f t="shared" si="14"/>
        <v>0</v>
      </c>
      <c r="T46" s="110">
        <f t="shared" si="14"/>
        <v>0</v>
      </c>
      <c r="U46" s="110">
        <f t="shared" si="14"/>
        <v>0</v>
      </c>
      <c r="V46" s="110">
        <f t="shared" si="14"/>
        <v>0</v>
      </c>
      <c r="W46" s="110">
        <f t="shared" si="14"/>
        <v>0</v>
      </c>
      <c r="X46" s="110">
        <f t="shared" si="14"/>
        <v>0</v>
      </c>
      <c r="Y46" s="110">
        <f t="shared" si="14"/>
        <v>0</v>
      </c>
      <c r="Z46" s="110">
        <f t="shared" si="14"/>
        <v>0</v>
      </c>
      <c r="AA46" s="110">
        <f t="shared" si="14"/>
        <v>0</v>
      </c>
      <c r="AB46" s="110">
        <f t="shared" si="14"/>
        <v>0</v>
      </c>
      <c r="AC46" s="110">
        <f t="shared" si="14"/>
        <v>0</v>
      </c>
      <c r="AD46" s="110">
        <f t="shared" si="14"/>
        <v>0</v>
      </c>
      <c r="AE46" s="110">
        <f t="shared" si="14"/>
        <v>0</v>
      </c>
      <c r="AF46" s="110">
        <f t="shared" si="14"/>
        <v>0</v>
      </c>
      <c r="AG46" s="110">
        <f t="shared" si="14"/>
        <v>0</v>
      </c>
      <c r="AH46" s="110">
        <f t="shared" si="14"/>
        <v>0</v>
      </c>
      <c r="AI46" s="110">
        <f t="shared" si="14"/>
        <v>0</v>
      </c>
      <c r="AJ46" s="110">
        <f t="shared" si="14"/>
        <v>0</v>
      </c>
      <c r="AK46" s="110">
        <f t="shared" si="14"/>
        <v>0</v>
      </c>
      <c r="AL46" s="110">
        <f t="shared" si="14"/>
        <v>0</v>
      </c>
      <c r="AM46" s="110">
        <f t="shared" si="14"/>
        <v>0</v>
      </c>
      <c r="AN46" s="110">
        <f t="shared" si="14"/>
        <v>0</v>
      </c>
      <c r="AO46" s="110">
        <f t="shared" si="14"/>
        <v>0</v>
      </c>
      <c r="AP46" s="110">
        <f t="shared" si="14"/>
        <v>0</v>
      </c>
      <c r="AQ46" s="110">
        <f t="shared" si="14"/>
        <v>0</v>
      </c>
      <c r="AR46" s="110">
        <f t="shared" si="14"/>
        <v>0</v>
      </c>
      <c r="AS46" s="110">
        <f t="shared" si="14"/>
        <v>0</v>
      </c>
      <c r="AT46" s="110">
        <f t="shared" si="14"/>
        <v>0</v>
      </c>
      <c r="AU46" s="110">
        <f t="shared" si="14"/>
        <v>0</v>
      </c>
      <c r="AV46" s="110">
        <f t="shared" si="14"/>
        <v>0</v>
      </c>
      <c r="AW46" s="110">
        <f t="shared" si="14"/>
        <v>0</v>
      </c>
      <c r="AX46" s="110">
        <f t="shared" si="14"/>
        <v>0</v>
      </c>
      <c r="AY46" s="110">
        <f t="shared" si="14"/>
        <v>0</v>
      </c>
    </row>
    <row r="47" spans="1:52">
      <c r="A47" s="110"/>
      <c r="B47" s="165" t="s">
        <v>344</v>
      </c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2">
      <c r="A48" s="110"/>
      <c r="B48" s="165" t="s">
        <v>345</v>
      </c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2">
      <c r="A49" s="110"/>
      <c r="B49" s="165" t="s">
        <v>346</v>
      </c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2">
      <c r="A50" s="110"/>
      <c r="B50" s="165" t="s">
        <v>347</v>
      </c>
      <c r="C50" s="110"/>
      <c r="D50" s="110">
        <f>D44-D47</f>
        <v>0</v>
      </c>
      <c r="E50" s="110">
        <f t="shared" ref="E50:AY50" si="15">E44-E47</f>
        <v>0</v>
      </c>
      <c r="F50" s="110">
        <f t="shared" si="15"/>
        <v>0</v>
      </c>
      <c r="G50" s="110">
        <f t="shared" si="15"/>
        <v>0</v>
      </c>
      <c r="H50" s="110">
        <f t="shared" si="15"/>
        <v>0</v>
      </c>
      <c r="I50" s="110">
        <f t="shared" si="15"/>
        <v>0</v>
      </c>
      <c r="J50" s="110">
        <f t="shared" si="15"/>
        <v>0</v>
      </c>
      <c r="K50" s="110">
        <f t="shared" si="15"/>
        <v>0</v>
      </c>
      <c r="L50" s="110">
        <f t="shared" si="15"/>
        <v>0</v>
      </c>
      <c r="M50" s="110">
        <f t="shared" si="15"/>
        <v>0</v>
      </c>
      <c r="N50" s="110">
        <f t="shared" si="15"/>
        <v>0</v>
      </c>
      <c r="O50" s="110">
        <f t="shared" si="15"/>
        <v>0</v>
      </c>
      <c r="P50" s="110">
        <f t="shared" si="15"/>
        <v>0</v>
      </c>
      <c r="Q50" s="110">
        <f t="shared" si="15"/>
        <v>0</v>
      </c>
      <c r="R50" s="110">
        <f t="shared" si="15"/>
        <v>0</v>
      </c>
      <c r="S50" s="110">
        <f t="shared" si="15"/>
        <v>0</v>
      </c>
      <c r="T50" s="110">
        <f t="shared" si="15"/>
        <v>0</v>
      </c>
      <c r="U50" s="110">
        <f t="shared" si="15"/>
        <v>0</v>
      </c>
      <c r="V50" s="110">
        <f t="shared" si="15"/>
        <v>0</v>
      </c>
      <c r="W50" s="110">
        <f t="shared" si="15"/>
        <v>0</v>
      </c>
      <c r="X50" s="110">
        <f t="shared" si="15"/>
        <v>0</v>
      </c>
      <c r="Y50" s="110">
        <f t="shared" si="15"/>
        <v>0</v>
      </c>
      <c r="Z50" s="110">
        <f t="shared" si="15"/>
        <v>0</v>
      </c>
      <c r="AA50" s="110">
        <f t="shared" si="15"/>
        <v>0</v>
      </c>
      <c r="AB50" s="110">
        <f t="shared" si="15"/>
        <v>0</v>
      </c>
      <c r="AC50" s="110">
        <f t="shared" si="15"/>
        <v>0</v>
      </c>
      <c r="AD50" s="110">
        <f t="shared" si="15"/>
        <v>0</v>
      </c>
      <c r="AE50" s="110">
        <f t="shared" si="15"/>
        <v>0</v>
      </c>
      <c r="AF50" s="110">
        <f t="shared" si="15"/>
        <v>0</v>
      </c>
      <c r="AG50" s="110">
        <f t="shared" si="15"/>
        <v>0</v>
      </c>
      <c r="AH50" s="110">
        <f t="shared" si="15"/>
        <v>0</v>
      </c>
      <c r="AI50" s="110">
        <f t="shared" si="15"/>
        <v>0</v>
      </c>
      <c r="AJ50" s="110">
        <f t="shared" si="15"/>
        <v>0</v>
      </c>
      <c r="AK50" s="110">
        <f t="shared" si="15"/>
        <v>0</v>
      </c>
      <c r="AL50" s="110">
        <f t="shared" si="15"/>
        <v>0</v>
      </c>
      <c r="AM50" s="110">
        <f t="shared" si="15"/>
        <v>0</v>
      </c>
      <c r="AN50" s="110">
        <f t="shared" si="15"/>
        <v>0</v>
      </c>
      <c r="AO50" s="110">
        <f t="shared" si="15"/>
        <v>0</v>
      </c>
      <c r="AP50" s="110">
        <f t="shared" si="15"/>
        <v>0</v>
      </c>
      <c r="AQ50" s="110">
        <f t="shared" si="15"/>
        <v>0</v>
      </c>
      <c r="AR50" s="110">
        <f t="shared" si="15"/>
        <v>0</v>
      </c>
      <c r="AS50" s="110">
        <f t="shared" si="15"/>
        <v>0</v>
      </c>
      <c r="AT50" s="110">
        <f t="shared" si="15"/>
        <v>0</v>
      </c>
      <c r="AU50" s="110">
        <f t="shared" si="15"/>
        <v>0</v>
      </c>
      <c r="AV50" s="110">
        <f t="shared" si="15"/>
        <v>0</v>
      </c>
      <c r="AW50" s="110">
        <f t="shared" si="15"/>
        <v>0</v>
      </c>
      <c r="AX50" s="110">
        <f t="shared" si="15"/>
        <v>0</v>
      </c>
      <c r="AY50" s="110">
        <f t="shared" si="15"/>
        <v>0</v>
      </c>
    </row>
    <row r="51" spans="1:52">
      <c r="A51" s="110"/>
      <c r="B51" s="165" t="s">
        <v>348</v>
      </c>
      <c r="C51" s="110"/>
      <c r="D51" s="110">
        <f>D45-D48</f>
        <v>0</v>
      </c>
      <c r="E51" s="110">
        <f t="shared" ref="E51:AY51" si="16">E45-E48</f>
        <v>0</v>
      </c>
      <c r="F51" s="110">
        <f t="shared" si="16"/>
        <v>0</v>
      </c>
      <c r="G51" s="110">
        <f t="shared" si="16"/>
        <v>0</v>
      </c>
      <c r="H51" s="110">
        <f t="shared" si="16"/>
        <v>0</v>
      </c>
      <c r="I51" s="110">
        <f t="shared" si="16"/>
        <v>0</v>
      </c>
      <c r="J51" s="110">
        <f t="shared" si="16"/>
        <v>0</v>
      </c>
      <c r="K51" s="110">
        <f t="shared" si="16"/>
        <v>0</v>
      </c>
      <c r="L51" s="110">
        <f t="shared" si="16"/>
        <v>0</v>
      </c>
      <c r="M51" s="110">
        <f t="shared" si="16"/>
        <v>0</v>
      </c>
      <c r="N51" s="110">
        <f t="shared" si="16"/>
        <v>0</v>
      </c>
      <c r="O51" s="110">
        <f t="shared" si="16"/>
        <v>0</v>
      </c>
      <c r="P51" s="110">
        <f t="shared" si="16"/>
        <v>0</v>
      </c>
      <c r="Q51" s="110">
        <f t="shared" si="16"/>
        <v>0</v>
      </c>
      <c r="R51" s="110">
        <f t="shared" si="16"/>
        <v>0</v>
      </c>
      <c r="S51" s="110">
        <f t="shared" si="16"/>
        <v>0</v>
      </c>
      <c r="T51" s="110">
        <f t="shared" si="16"/>
        <v>0</v>
      </c>
      <c r="U51" s="110">
        <f t="shared" si="16"/>
        <v>0</v>
      </c>
      <c r="V51" s="110">
        <f t="shared" si="16"/>
        <v>0</v>
      </c>
      <c r="W51" s="110">
        <f t="shared" si="16"/>
        <v>0</v>
      </c>
      <c r="X51" s="110">
        <f t="shared" si="16"/>
        <v>0</v>
      </c>
      <c r="Y51" s="110">
        <f t="shared" si="16"/>
        <v>0</v>
      </c>
      <c r="Z51" s="110">
        <f t="shared" si="16"/>
        <v>0</v>
      </c>
      <c r="AA51" s="110">
        <f t="shared" si="16"/>
        <v>0</v>
      </c>
      <c r="AB51" s="110">
        <f t="shared" si="16"/>
        <v>0</v>
      </c>
      <c r="AC51" s="110">
        <f t="shared" si="16"/>
        <v>0</v>
      </c>
      <c r="AD51" s="110">
        <f t="shared" si="16"/>
        <v>0</v>
      </c>
      <c r="AE51" s="110">
        <f t="shared" si="16"/>
        <v>0</v>
      </c>
      <c r="AF51" s="110">
        <f t="shared" si="16"/>
        <v>0</v>
      </c>
      <c r="AG51" s="110">
        <f t="shared" si="16"/>
        <v>0</v>
      </c>
      <c r="AH51" s="110">
        <f t="shared" si="16"/>
        <v>0</v>
      </c>
      <c r="AI51" s="110">
        <f t="shared" si="16"/>
        <v>0</v>
      </c>
      <c r="AJ51" s="110">
        <f t="shared" si="16"/>
        <v>0</v>
      </c>
      <c r="AK51" s="110">
        <f t="shared" si="16"/>
        <v>0</v>
      </c>
      <c r="AL51" s="110">
        <f t="shared" si="16"/>
        <v>0</v>
      </c>
      <c r="AM51" s="110">
        <f t="shared" si="16"/>
        <v>0</v>
      </c>
      <c r="AN51" s="110">
        <f t="shared" si="16"/>
        <v>0</v>
      </c>
      <c r="AO51" s="110">
        <f t="shared" si="16"/>
        <v>0</v>
      </c>
      <c r="AP51" s="110">
        <f t="shared" si="16"/>
        <v>0</v>
      </c>
      <c r="AQ51" s="110">
        <f t="shared" si="16"/>
        <v>0</v>
      </c>
      <c r="AR51" s="110">
        <f t="shared" si="16"/>
        <v>0</v>
      </c>
      <c r="AS51" s="110">
        <f t="shared" si="16"/>
        <v>0</v>
      </c>
      <c r="AT51" s="110">
        <f t="shared" si="16"/>
        <v>0</v>
      </c>
      <c r="AU51" s="110">
        <f t="shared" si="16"/>
        <v>0</v>
      </c>
      <c r="AV51" s="110">
        <f t="shared" si="16"/>
        <v>0</v>
      </c>
      <c r="AW51" s="110">
        <f t="shared" si="16"/>
        <v>0</v>
      </c>
      <c r="AX51" s="110">
        <f t="shared" si="16"/>
        <v>0</v>
      </c>
      <c r="AY51" s="110">
        <f t="shared" si="16"/>
        <v>0</v>
      </c>
    </row>
    <row r="52" spans="1:52">
      <c r="A52" s="110"/>
      <c r="B52" s="165" t="s">
        <v>349</v>
      </c>
      <c r="C52" s="110"/>
      <c r="D52" s="110">
        <v>1</v>
      </c>
      <c r="E52" s="110">
        <v>2</v>
      </c>
      <c r="F52" s="110">
        <v>1</v>
      </c>
      <c r="G52" s="110">
        <v>2</v>
      </c>
      <c r="H52" s="110">
        <v>1</v>
      </c>
      <c r="I52" s="110">
        <v>2</v>
      </c>
      <c r="J52" s="110">
        <v>1</v>
      </c>
      <c r="K52" s="110">
        <v>1</v>
      </c>
      <c r="L52" s="110">
        <v>2</v>
      </c>
      <c r="M52" s="110">
        <v>1</v>
      </c>
      <c r="N52" s="110">
        <v>1</v>
      </c>
      <c r="O52" s="110">
        <v>2</v>
      </c>
      <c r="P52" s="110">
        <v>2</v>
      </c>
      <c r="Q52" s="110">
        <v>1</v>
      </c>
      <c r="R52" s="110">
        <v>1</v>
      </c>
      <c r="S52" s="110">
        <v>2</v>
      </c>
      <c r="T52" s="110">
        <v>1</v>
      </c>
      <c r="U52" s="110">
        <v>1</v>
      </c>
      <c r="V52" s="110">
        <v>1</v>
      </c>
      <c r="W52" s="110">
        <v>1</v>
      </c>
      <c r="X52" s="110">
        <v>1</v>
      </c>
      <c r="Y52" s="110">
        <v>2</v>
      </c>
      <c r="Z52" s="110">
        <v>2</v>
      </c>
      <c r="AA52" s="110">
        <v>1</v>
      </c>
      <c r="AB52" s="110">
        <v>1</v>
      </c>
      <c r="AC52" s="110">
        <v>1</v>
      </c>
      <c r="AD52" s="110">
        <v>2</v>
      </c>
      <c r="AE52" s="110">
        <v>2</v>
      </c>
      <c r="AF52" s="110">
        <v>1</v>
      </c>
      <c r="AG52" s="110">
        <v>2</v>
      </c>
      <c r="AH52" s="110">
        <v>2</v>
      </c>
      <c r="AI52" s="110">
        <v>1</v>
      </c>
      <c r="AJ52" s="110">
        <v>1</v>
      </c>
      <c r="AK52" s="110">
        <v>1</v>
      </c>
      <c r="AL52" s="110">
        <v>1</v>
      </c>
      <c r="AM52" s="110">
        <v>2</v>
      </c>
      <c r="AN52" s="110">
        <v>1</v>
      </c>
      <c r="AO52" s="110">
        <v>1</v>
      </c>
      <c r="AP52" s="110">
        <v>1</v>
      </c>
      <c r="AQ52" s="110">
        <v>1</v>
      </c>
      <c r="AR52" s="110">
        <v>1</v>
      </c>
      <c r="AS52" s="110">
        <v>2</v>
      </c>
      <c r="AT52" s="110">
        <v>1</v>
      </c>
      <c r="AU52" s="110">
        <v>1</v>
      </c>
      <c r="AV52" s="110">
        <v>1</v>
      </c>
      <c r="AW52" s="110">
        <v>2</v>
      </c>
      <c r="AX52" s="110">
        <v>1</v>
      </c>
      <c r="AY52" s="110">
        <v>2</v>
      </c>
    </row>
    <row r="53" spans="1:52">
      <c r="A53" s="110"/>
      <c r="B53" s="178" t="s">
        <v>350</v>
      </c>
      <c r="C53" s="110"/>
      <c r="D53" s="110">
        <v>0</v>
      </c>
      <c r="E53" s="110">
        <v>0</v>
      </c>
      <c r="F53" s="110">
        <v>0</v>
      </c>
      <c r="G53" s="110">
        <v>0</v>
      </c>
      <c r="H53" s="110">
        <v>0</v>
      </c>
      <c r="I53" s="110">
        <v>0</v>
      </c>
      <c r="J53" s="110">
        <v>0</v>
      </c>
      <c r="K53" s="110">
        <v>0</v>
      </c>
      <c r="L53" s="110">
        <v>0</v>
      </c>
      <c r="M53" s="110">
        <v>0</v>
      </c>
      <c r="N53" s="110">
        <v>0</v>
      </c>
      <c r="O53" s="110">
        <v>0</v>
      </c>
      <c r="P53" s="110">
        <v>0</v>
      </c>
      <c r="Q53" s="110">
        <v>0</v>
      </c>
      <c r="R53" s="110">
        <v>0</v>
      </c>
      <c r="S53" s="110">
        <v>0</v>
      </c>
      <c r="T53" s="110">
        <v>0</v>
      </c>
      <c r="U53" s="110">
        <v>0</v>
      </c>
      <c r="V53" s="110">
        <v>0</v>
      </c>
      <c r="W53" s="110">
        <v>0</v>
      </c>
      <c r="X53" s="110">
        <v>0</v>
      </c>
      <c r="Y53" s="110">
        <v>0</v>
      </c>
      <c r="Z53" s="110">
        <v>0</v>
      </c>
      <c r="AA53" s="110">
        <v>0</v>
      </c>
      <c r="AB53" s="110">
        <v>0</v>
      </c>
      <c r="AC53" s="110">
        <v>0</v>
      </c>
      <c r="AD53" s="110">
        <v>0</v>
      </c>
      <c r="AE53" s="110">
        <v>0</v>
      </c>
      <c r="AF53" s="110">
        <v>0</v>
      </c>
      <c r="AG53" s="110">
        <v>0</v>
      </c>
      <c r="AH53" s="110">
        <v>0</v>
      </c>
      <c r="AI53" s="110">
        <v>0</v>
      </c>
      <c r="AJ53" s="110">
        <v>0</v>
      </c>
      <c r="AK53" s="110">
        <v>0</v>
      </c>
      <c r="AL53" s="110">
        <v>0</v>
      </c>
      <c r="AM53" s="110">
        <v>0</v>
      </c>
      <c r="AN53" s="110">
        <v>0</v>
      </c>
      <c r="AO53" s="110">
        <v>0</v>
      </c>
      <c r="AP53" s="110">
        <v>0</v>
      </c>
      <c r="AQ53" s="110">
        <v>0</v>
      </c>
      <c r="AR53" s="110">
        <v>0</v>
      </c>
      <c r="AS53" s="110">
        <v>0</v>
      </c>
      <c r="AT53" s="110">
        <v>0</v>
      </c>
      <c r="AU53" s="110">
        <v>0</v>
      </c>
      <c r="AV53" s="110">
        <v>0</v>
      </c>
      <c r="AW53" s="110">
        <v>0</v>
      </c>
      <c r="AX53" s="110">
        <v>0</v>
      </c>
      <c r="AY53" s="110">
        <v>0</v>
      </c>
      <c r="AZ53" s="100">
        <f>SUM($D$53:$AY$53)</f>
        <v>0</v>
      </c>
    </row>
    <row r="54" spans="1:52">
      <c r="A54" s="110"/>
      <c r="B54" s="178" t="s">
        <v>351</v>
      </c>
      <c r="C54" s="110"/>
      <c r="D54" s="110">
        <v>0</v>
      </c>
      <c r="E54" s="110">
        <v>0</v>
      </c>
      <c r="F54" s="110">
        <v>0</v>
      </c>
      <c r="G54" s="110">
        <v>0</v>
      </c>
      <c r="H54" s="110">
        <v>0</v>
      </c>
      <c r="I54" s="110">
        <v>0</v>
      </c>
      <c r="J54" s="110">
        <v>0</v>
      </c>
      <c r="K54" s="110">
        <v>0</v>
      </c>
      <c r="L54" s="110">
        <v>0</v>
      </c>
      <c r="M54" s="110">
        <v>0</v>
      </c>
      <c r="N54" s="110">
        <v>0</v>
      </c>
      <c r="O54" s="110">
        <v>0</v>
      </c>
      <c r="P54" s="110">
        <v>0</v>
      </c>
      <c r="Q54" s="110">
        <v>0</v>
      </c>
      <c r="R54" s="110">
        <v>0</v>
      </c>
      <c r="S54" s="110">
        <v>0</v>
      </c>
      <c r="T54" s="110">
        <v>0</v>
      </c>
      <c r="U54" s="110">
        <v>0</v>
      </c>
      <c r="V54" s="110">
        <v>0</v>
      </c>
      <c r="W54" s="110">
        <v>0</v>
      </c>
      <c r="X54" s="110">
        <v>0</v>
      </c>
      <c r="Y54" s="110">
        <v>0</v>
      </c>
      <c r="Z54" s="110">
        <v>0</v>
      </c>
      <c r="AA54" s="110">
        <v>0</v>
      </c>
      <c r="AB54" s="110">
        <v>0</v>
      </c>
      <c r="AC54" s="110">
        <v>0</v>
      </c>
      <c r="AD54" s="110">
        <v>0</v>
      </c>
      <c r="AE54" s="110">
        <v>0</v>
      </c>
      <c r="AF54" s="110">
        <v>0</v>
      </c>
      <c r="AG54" s="110">
        <v>0</v>
      </c>
      <c r="AH54" s="110">
        <v>0</v>
      </c>
      <c r="AI54" s="110">
        <v>0</v>
      </c>
      <c r="AJ54" s="110">
        <v>0</v>
      </c>
      <c r="AK54" s="110">
        <v>0</v>
      </c>
      <c r="AL54" s="110">
        <v>0</v>
      </c>
      <c r="AM54" s="110">
        <v>0</v>
      </c>
      <c r="AN54" s="110">
        <v>0</v>
      </c>
      <c r="AO54" s="110">
        <v>0</v>
      </c>
      <c r="AP54" s="110">
        <v>0</v>
      </c>
      <c r="AQ54" s="110">
        <v>0</v>
      </c>
      <c r="AR54" s="110">
        <v>0</v>
      </c>
      <c r="AS54" s="110">
        <v>0</v>
      </c>
      <c r="AT54" s="110">
        <v>0</v>
      </c>
      <c r="AU54" s="110">
        <v>0</v>
      </c>
      <c r="AV54" s="110">
        <v>0</v>
      </c>
      <c r="AW54" s="110">
        <v>0</v>
      </c>
      <c r="AX54" s="110">
        <v>0</v>
      </c>
      <c r="AY54" s="110">
        <v>0</v>
      </c>
      <c r="AZ54" s="100">
        <f>SUM($D$54:$AY$54)</f>
        <v>0</v>
      </c>
    </row>
    <row r="55" spans="1:52">
      <c r="A55" s="135" t="s">
        <v>59</v>
      </c>
      <c r="B55" s="135" t="s">
        <v>341</v>
      </c>
      <c r="C55" s="124"/>
      <c r="D55" s="124">
        <f>D$21*shipping_manufacturing!$F$29/100</f>
        <v>1192.9526307806775</v>
      </c>
      <c r="E55" s="124">
        <f>E$21*shipping_manufacturing!$F$29/100</f>
        <v>607.34936250024873</v>
      </c>
      <c r="F55" s="124">
        <f>F$21*shipping_manufacturing!$F$29/100</f>
        <v>607.34936250024873</v>
      </c>
      <c r="G55" s="124">
        <f>G$21*shipping_manufacturing!$F$29/100</f>
        <v>607.34936250024873</v>
      </c>
      <c r="H55" s="124">
        <f>H$21*shipping_manufacturing!$F$29/100</f>
        <v>607.34936250024873</v>
      </c>
      <c r="I55" s="124">
        <f>I$21*shipping_manufacturing!$F$29/100</f>
        <v>607.34936250024873</v>
      </c>
      <c r="J55" s="124">
        <f>J$21*shipping_manufacturing!$F$29/100</f>
        <v>607.34936250024873</v>
      </c>
      <c r="K55" s="124">
        <f>K$21*shipping_manufacturing!$F$29/100</f>
        <v>607.34936250024873</v>
      </c>
      <c r="L55" s="124">
        <f>L$21*shipping_manufacturing!$F$29/100</f>
        <v>607.34936250024873</v>
      </c>
      <c r="M55" s="124">
        <f>M$21*shipping_manufacturing!$F$29/100</f>
        <v>607.34936250024873</v>
      </c>
      <c r="N55" s="124">
        <f>N$21*shipping_manufacturing!$F$29/100</f>
        <v>607.34936250024873</v>
      </c>
      <c r="O55" s="124">
        <f>O$21*shipping_manufacturing!$F$29/100</f>
        <v>607.34936250024873</v>
      </c>
      <c r="P55" s="124">
        <f>P$21*shipping_manufacturing!$F$29/100</f>
        <v>607.34936250024873</v>
      </c>
      <c r="Q55" s="124">
        <f>Q$21*shipping_manufacturing!$F$29/100</f>
        <v>0</v>
      </c>
      <c r="R55" s="124">
        <f>R$21*shipping_manufacturing!$F$29/100</f>
        <v>971.76578128666301</v>
      </c>
      <c r="S55" s="124">
        <f>S$21*shipping_manufacturing!$F$29/100</f>
        <v>485.88289064333151</v>
      </c>
      <c r="T55" s="124">
        <f>T$21*shipping_manufacturing!$F$29/100</f>
        <v>0</v>
      </c>
      <c r="U55" s="124">
        <f>U$21*shipping_manufacturing!$F$29/100</f>
        <v>1093.2322531435805</v>
      </c>
      <c r="V55" s="124">
        <f>V$21*shipping_manufacturing!$F$29/100</f>
        <v>607.34936250024873</v>
      </c>
      <c r="W55" s="124">
        <f>W$21*shipping_manufacturing!$F$29/100</f>
        <v>607.34936250024873</v>
      </c>
      <c r="X55" s="124">
        <f>X$21*shipping_manufacturing!$F$29/100</f>
        <v>607.34936250024873</v>
      </c>
      <c r="Y55" s="124">
        <f>Y$21*shipping_manufacturing!$F$29/100</f>
        <v>607.34936250024873</v>
      </c>
      <c r="Z55" s="124">
        <f>Z$21*shipping_manufacturing!$F$29/100</f>
        <v>607.34936250024873</v>
      </c>
      <c r="AA55" s="124">
        <f>AA$21*shipping_manufacturing!$F$29/100</f>
        <v>607.34936250024873</v>
      </c>
      <c r="AB55" s="124">
        <f>AB$21*shipping_manufacturing!$F$29/100</f>
        <v>607.34936250024873</v>
      </c>
      <c r="AC55" s="124">
        <f>AC$21*shipping_manufacturing!$F$29/100</f>
        <v>607.34936250024873</v>
      </c>
      <c r="AD55" s="124">
        <f>AD$21*shipping_manufacturing!$F$29/100</f>
        <v>607.34936250024873</v>
      </c>
      <c r="AE55" s="124">
        <f>AE$21*shipping_manufacturing!$F$29/100</f>
        <v>607.34936250024873</v>
      </c>
      <c r="AF55" s="124">
        <f>AF$21*shipping_manufacturing!$F$29/100</f>
        <v>607.34936250024873</v>
      </c>
      <c r="AG55" s="124">
        <f>AG$21*shipping_manufacturing!$F$29/100</f>
        <v>607.34936250024873</v>
      </c>
      <c r="AH55" s="124">
        <f>AH$21*shipping_manufacturing!$F$29/100</f>
        <v>607.34936250024873</v>
      </c>
      <c r="AI55" s="124">
        <f>AI$21*shipping_manufacturing!$F$29/100</f>
        <v>607.34936250024873</v>
      </c>
      <c r="AJ55" s="124">
        <f>AJ$21*shipping_manufacturing!$F$29/100</f>
        <v>607.34936250024873</v>
      </c>
      <c r="AK55" s="124">
        <f>AK$21*shipping_manufacturing!$F$29/100</f>
        <v>607.34936250024873</v>
      </c>
      <c r="AL55" s="124">
        <f>AL$21*shipping_manufacturing!$F$29/100</f>
        <v>607.34936250024873</v>
      </c>
      <c r="AM55" s="124">
        <f>AM$21*shipping_manufacturing!$F$29/100</f>
        <v>607.34936250024873</v>
      </c>
      <c r="AN55" s="124">
        <f>AN$21*shipping_manufacturing!$F$29/100</f>
        <v>607.34936250024873</v>
      </c>
      <c r="AO55" s="124">
        <f>AO$21*shipping_manufacturing!$F$29/100</f>
        <v>607.34936250024873</v>
      </c>
      <c r="AP55" s="124">
        <f>AP$21*shipping_manufacturing!$F$29/100</f>
        <v>607.34936250024873</v>
      </c>
      <c r="AQ55" s="124">
        <f>AQ$21*shipping_manufacturing!$F$29/100</f>
        <v>607.34936250024873</v>
      </c>
      <c r="AR55" s="124">
        <f>AR$21*shipping_manufacturing!$F$29/100</f>
        <v>607.34936250024873</v>
      </c>
      <c r="AS55" s="124">
        <f>AS$21*shipping_manufacturing!$F$29/100</f>
        <v>607.34936250024873</v>
      </c>
      <c r="AT55" s="124">
        <f>AT$21*shipping_manufacturing!$F$29/100</f>
        <v>607.34936250024873</v>
      </c>
      <c r="AU55" s="124">
        <f>AU$21*shipping_manufacturing!$F$29/100</f>
        <v>607.34936250024873</v>
      </c>
      <c r="AV55" s="124">
        <f>AV$21*shipping_manufacturing!$F$29/100</f>
        <v>607.34936250024873</v>
      </c>
      <c r="AW55" s="124">
        <f>AW$21*shipping_manufacturing!$F$29/100</f>
        <v>607.34936250024873</v>
      </c>
      <c r="AX55" s="124">
        <f>AX$21*shipping_manufacturing!$F$29/100</f>
        <v>607.34936250024873</v>
      </c>
      <c r="AY55" s="124">
        <f>AY$21*shipping_manufacturing!$F$29/100</f>
        <v>0</v>
      </c>
    </row>
    <row r="56" spans="1:52">
      <c r="A56" s="113" t="s">
        <v>340</v>
      </c>
      <c r="B56" s="165" t="s">
        <v>342</v>
      </c>
      <c r="C56" s="110"/>
      <c r="D56" s="110">
        <f>D$22*shipping_manufacturing!$G$29/100</f>
        <v>1621.7712636008794</v>
      </c>
      <c r="E56" s="110">
        <f>E$22*shipping_manufacturing!$G$29/100</f>
        <v>825.66710333220635</v>
      </c>
      <c r="F56" s="110">
        <f>F$22*shipping_manufacturing!$G$29/100</f>
        <v>825.66710333220635</v>
      </c>
      <c r="G56" s="110">
        <f>G$22*shipping_manufacturing!$G$29/100</f>
        <v>825.66710333220635</v>
      </c>
      <c r="H56" s="110">
        <f>H$22*shipping_manufacturing!$G$29/100</f>
        <v>825.66710333220635</v>
      </c>
      <c r="I56" s="110">
        <f>I$22*shipping_manufacturing!$G$29/100</f>
        <v>825.66710333220635</v>
      </c>
      <c r="J56" s="110">
        <f>J$22*shipping_manufacturing!$G$29/100</f>
        <v>825.66710333220635</v>
      </c>
      <c r="K56" s="110">
        <f>K$22*shipping_manufacturing!$G$29/100</f>
        <v>825.66710333220635</v>
      </c>
      <c r="L56" s="110">
        <f>L$22*shipping_manufacturing!$G$29/100</f>
        <v>825.66710333220635</v>
      </c>
      <c r="M56" s="110">
        <f>M$22*shipping_manufacturing!$G$29/100</f>
        <v>825.66710333220635</v>
      </c>
      <c r="N56" s="110">
        <f>N$22*shipping_manufacturing!$G$29/100</f>
        <v>825.66710333220635</v>
      </c>
      <c r="O56" s="110">
        <f>O$22*shipping_manufacturing!$G$29/100</f>
        <v>825.66710333220635</v>
      </c>
      <c r="P56" s="110">
        <f>P$22*shipping_manufacturing!$G$29/100</f>
        <v>825.66710333220635</v>
      </c>
      <c r="Q56" s="110">
        <f>Q$22*shipping_manufacturing!$G$29/100</f>
        <v>0</v>
      </c>
      <c r="R56" s="110">
        <f>R$22*shipping_manufacturing!$G$29/100</f>
        <v>1321.0766114074729</v>
      </c>
      <c r="S56" s="110">
        <f>S$22*shipping_manufacturing!$G$29/100</f>
        <v>660.53830570373646</v>
      </c>
      <c r="T56" s="110">
        <f>T$22*shipping_manufacturing!$G$29/100</f>
        <v>0</v>
      </c>
      <c r="U56" s="110">
        <f>U$22*shipping_manufacturing!$G$29/100</f>
        <v>1486.2054090359429</v>
      </c>
      <c r="V56" s="110">
        <f>V$22*shipping_manufacturing!$G$29/100</f>
        <v>825.66710333220635</v>
      </c>
      <c r="W56" s="110">
        <f>W$22*shipping_manufacturing!$G$29/100</f>
        <v>825.66710333220635</v>
      </c>
      <c r="X56" s="110">
        <f>X$22*shipping_manufacturing!$G$29/100</f>
        <v>825.66710333220635</v>
      </c>
      <c r="Y56" s="110">
        <f>Y$22*shipping_manufacturing!$G$29/100</f>
        <v>825.66710333220635</v>
      </c>
      <c r="Z56" s="110">
        <f>Z$22*shipping_manufacturing!$G$29/100</f>
        <v>825.66710333220635</v>
      </c>
      <c r="AA56" s="110">
        <f>AA$22*shipping_manufacturing!$G$29/100</f>
        <v>825.66710333220635</v>
      </c>
      <c r="AB56" s="110">
        <f>AB$22*shipping_manufacturing!$G$29/100</f>
        <v>825.66710333220635</v>
      </c>
      <c r="AC56" s="110">
        <f>AC$22*shipping_manufacturing!$G$29/100</f>
        <v>825.66710333220635</v>
      </c>
      <c r="AD56" s="110">
        <f>AD$22*shipping_manufacturing!$G$29/100</f>
        <v>825.66710333220635</v>
      </c>
      <c r="AE56" s="110">
        <f>AE$22*shipping_manufacturing!$G$29/100</f>
        <v>825.66710333220635</v>
      </c>
      <c r="AF56" s="110">
        <f>AF$22*shipping_manufacturing!$G$29/100</f>
        <v>825.66710333220635</v>
      </c>
      <c r="AG56" s="110">
        <f>AG$22*shipping_manufacturing!$G$29/100</f>
        <v>825.66710333220635</v>
      </c>
      <c r="AH56" s="110">
        <f>AH$22*shipping_manufacturing!$G$29/100</f>
        <v>825.66710333220635</v>
      </c>
      <c r="AI56" s="110">
        <f>AI$22*shipping_manufacturing!$G$29/100</f>
        <v>825.66710333220635</v>
      </c>
      <c r="AJ56" s="110">
        <f>AJ$22*shipping_manufacturing!$G$29/100</f>
        <v>825.66710333220635</v>
      </c>
      <c r="AK56" s="110">
        <f>AK$22*shipping_manufacturing!$G$29/100</f>
        <v>825.66710333220635</v>
      </c>
      <c r="AL56" s="110">
        <f>AL$22*shipping_manufacturing!$G$29/100</f>
        <v>825.66710333220635</v>
      </c>
      <c r="AM56" s="110">
        <f>AM$22*shipping_manufacturing!$G$29/100</f>
        <v>825.66710333220635</v>
      </c>
      <c r="AN56" s="110">
        <f>AN$22*shipping_manufacturing!$G$29/100</f>
        <v>825.66710333220635</v>
      </c>
      <c r="AO56" s="110">
        <f>AO$22*shipping_manufacturing!$G$29/100</f>
        <v>825.66710333220635</v>
      </c>
      <c r="AP56" s="110">
        <f>AP$22*shipping_manufacturing!$G$29/100</f>
        <v>825.66710333220635</v>
      </c>
      <c r="AQ56" s="110">
        <f>AQ$22*shipping_manufacturing!$G$29/100</f>
        <v>825.66710333220635</v>
      </c>
      <c r="AR56" s="110">
        <f>AR$22*shipping_manufacturing!$G$29/100</f>
        <v>825.66710333220635</v>
      </c>
      <c r="AS56" s="110">
        <f>AS$22*shipping_manufacturing!$G$29/100</f>
        <v>825.66710333220635</v>
      </c>
      <c r="AT56" s="110">
        <f>AT$22*shipping_manufacturing!$G$29/100</f>
        <v>825.66710333220635</v>
      </c>
      <c r="AU56" s="110">
        <f>AU$22*shipping_manufacturing!$G$29/100</f>
        <v>825.66710333220635</v>
      </c>
      <c r="AV56" s="110">
        <f>AV$22*shipping_manufacturing!$G$29/100</f>
        <v>825.66710333220635</v>
      </c>
      <c r="AW56" s="110">
        <f>AW$22*shipping_manufacturing!$G$29/100</f>
        <v>825.66710333220635</v>
      </c>
      <c r="AX56" s="110">
        <f>AX$22*shipping_manufacturing!$G$29/100</f>
        <v>825.66710333220635</v>
      </c>
      <c r="AY56" s="110">
        <f>AY$22*shipping_manufacturing!$G$29/100</f>
        <v>0</v>
      </c>
    </row>
    <row r="57" spans="1:52">
      <c r="A57" s="110">
        <v>495</v>
      </c>
      <c r="B57" s="165" t="s">
        <v>343</v>
      </c>
      <c r="C57" s="110"/>
      <c r="D57" s="110">
        <f>SUM(D55:D56)</f>
        <v>2814.7238943815569</v>
      </c>
      <c r="E57" s="110">
        <f t="shared" ref="E57:AY57" si="17">SUM(E55:E56)</f>
        <v>1433.0164658324552</v>
      </c>
      <c r="F57" s="110">
        <f t="shared" si="17"/>
        <v>1433.0164658324552</v>
      </c>
      <c r="G57" s="110">
        <f t="shared" si="17"/>
        <v>1433.0164658324552</v>
      </c>
      <c r="H57" s="110">
        <f t="shared" si="17"/>
        <v>1433.0164658324552</v>
      </c>
      <c r="I57" s="110">
        <f t="shared" si="17"/>
        <v>1433.0164658324552</v>
      </c>
      <c r="J57" s="110">
        <f t="shared" si="17"/>
        <v>1433.0164658324552</v>
      </c>
      <c r="K57" s="110">
        <f t="shared" si="17"/>
        <v>1433.0164658324552</v>
      </c>
      <c r="L57" s="110">
        <f t="shared" si="17"/>
        <v>1433.0164658324552</v>
      </c>
      <c r="M57" s="110">
        <f t="shared" si="17"/>
        <v>1433.0164658324552</v>
      </c>
      <c r="N57" s="110">
        <f t="shared" si="17"/>
        <v>1433.0164658324552</v>
      </c>
      <c r="O57" s="110">
        <f t="shared" si="17"/>
        <v>1433.0164658324552</v>
      </c>
      <c r="P57" s="110">
        <f t="shared" si="17"/>
        <v>1433.0164658324552</v>
      </c>
      <c r="Q57" s="110">
        <f t="shared" si="17"/>
        <v>0</v>
      </c>
      <c r="R57" s="110">
        <f t="shared" si="17"/>
        <v>2292.8423926941359</v>
      </c>
      <c r="S57" s="110">
        <f t="shared" si="17"/>
        <v>1146.421196347068</v>
      </c>
      <c r="T57" s="110">
        <f t="shared" si="17"/>
        <v>0</v>
      </c>
      <c r="U57" s="110">
        <f t="shared" si="17"/>
        <v>2579.4376621795236</v>
      </c>
      <c r="V57" s="110">
        <f t="shared" si="17"/>
        <v>1433.0164658324552</v>
      </c>
      <c r="W57" s="110">
        <f t="shared" si="17"/>
        <v>1433.0164658324552</v>
      </c>
      <c r="X57" s="110">
        <f t="shared" si="17"/>
        <v>1433.0164658324552</v>
      </c>
      <c r="Y57" s="110">
        <f t="shared" si="17"/>
        <v>1433.0164658324552</v>
      </c>
      <c r="Z57" s="110">
        <f t="shared" si="17"/>
        <v>1433.0164658324552</v>
      </c>
      <c r="AA57" s="110">
        <f t="shared" si="17"/>
        <v>1433.0164658324552</v>
      </c>
      <c r="AB57" s="110">
        <f t="shared" si="17"/>
        <v>1433.0164658324552</v>
      </c>
      <c r="AC57" s="110">
        <f t="shared" si="17"/>
        <v>1433.0164658324552</v>
      </c>
      <c r="AD57" s="110">
        <f t="shared" si="17"/>
        <v>1433.0164658324552</v>
      </c>
      <c r="AE57" s="110">
        <f t="shared" si="17"/>
        <v>1433.0164658324552</v>
      </c>
      <c r="AF57" s="110">
        <f t="shared" si="17"/>
        <v>1433.0164658324552</v>
      </c>
      <c r="AG57" s="110">
        <f t="shared" si="17"/>
        <v>1433.0164658324552</v>
      </c>
      <c r="AH57" s="110">
        <f t="shared" si="17"/>
        <v>1433.0164658324552</v>
      </c>
      <c r="AI57" s="110">
        <f t="shared" si="17"/>
        <v>1433.0164658324552</v>
      </c>
      <c r="AJ57" s="110">
        <f t="shared" si="17"/>
        <v>1433.0164658324552</v>
      </c>
      <c r="AK57" s="110">
        <f t="shared" si="17"/>
        <v>1433.0164658324552</v>
      </c>
      <c r="AL57" s="110">
        <f t="shared" si="17"/>
        <v>1433.0164658324552</v>
      </c>
      <c r="AM57" s="110">
        <f t="shared" si="17"/>
        <v>1433.0164658324552</v>
      </c>
      <c r="AN57" s="110">
        <f t="shared" si="17"/>
        <v>1433.0164658324552</v>
      </c>
      <c r="AO57" s="110">
        <f t="shared" si="17"/>
        <v>1433.0164658324552</v>
      </c>
      <c r="AP57" s="110">
        <f t="shared" si="17"/>
        <v>1433.0164658324552</v>
      </c>
      <c r="AQ57" s="110">
        <f t="shared" si="17"/>
        <v>1433.0164658324552</v>
      </c>
      <c r="AR57" s="110">
        <f t="shared" si="17"/>
        <v>1433.0164658324552</v>
      </c>
      <c r="AS57" s="110">
        <f t="shared" si="17"/>
        <v>1433.0164658324552</v>
      </c>
      <c r="AT57" s="110">
        <f t="shared" si="17"/>
        <v>1433.0164658324552</v>
      </c>
      <c r="AU57" s="110">
        <f t="shared" si="17"/>
        <v>1433.0164658324552</v>
      </c>
      <c r="AV57" s="110">
        <f t="shared" si="17"/>
        <v>1433.0164658324552</v>
      </c>
      <c r="AW57" s="110">
        <f t="shared" si="17"/>
        <v>1433.0164658324552</v>
      </c>
      <c r="AX57" s="110">
        <f t="shared" si="17"/>
        <v>1433.0164658324552</v>
      </c>
      <c r="AY57" s="110">
        <f t="shared" si="17"/>
        <v>0</v>
      </c>
    </row>
    <row r="58" spans="1:52">
      <c r="A58" s="110"/>
      <c r="B58" s="165" t="s">
        <v>344</v>
      </c>
      <c r="C58" s="110"/>
      <c r="D58" s="110">
        <v>190.72161391135506</v>
      </c>
      <c r="E58" s="110"/>
      <c r="F58" s="110">
        <v>190.72161391135495</v>
      </c>
      <c r="G58" s="110"/>
      <c r="H58" s="110">
        <v>190.72161391135495</v>
      </c>
      <c r="I58" s="110"/>
      <c r="J58" s="110">
        <v>190.72161391135495</v>
      </c>
      <c r="K58" s="110"/>
      <c r="L58" s="110">
        <v>190.72161391135495</v>
      </c>
      <c r="M58" s="110"/>
      <c r="N58" s="110">
        <v>190.72161391135495</v>
      </c>
      <c r="O58" s="110"/>
      <c r="P58" s="110">
        <v>190.72161391135495</v>
      </c>
      <c r="Q58" s="110"/>
      <c r="R58" s="110">
        <v>190.72161391135495</v>
      </c>
      <c r="S58" s="110"/>
      <c r="T58" s="110"/>
      <c r="U58" s="110">
        <v>190.72161391135498</v>
      </c>
      <c r="V58" s="110"/>
      <c r="W58" s="110">
        <v>190.72161391135495</v>
      </c>
      <c r="X58" s="110"/>
      <c r="Y58" s="110">
        <v>190.72161391135495</v>
      </c>
      <c r="Z58" s="110"/>
      <c r="AA58" s="110">
        <v>190.72161391135495</v>
      </c>
      <c r="AB58" s="110"/>
      <c r="AC58" s="110">
        <v>190.72161391135495</v>
      </c>
      <c r="AD58" s="110"/>
      <c r="AE58" s="110">
        <v>190.72161391135495</v>
      </c>
      <c r="AF58" s="110"/>
      <c r="AG58" s="110">
        <v>190.72161391135495</v>
      </c>
      <c r="AH58" s="110"/>
      <c r="AI58" s="110">
        <v>190.72161391135495</v>
      </c>
      <c r="AJ58" s="110"/>
      <c r="AK58" s="110">
        <v>190.72161391135495</v>
      </c>
      <c r="AL58" s="110"/>
      <c r="AM58" s="110">
        <v>190.72161391135495</v>
      </c>
      <c r="AN58" s="110"/>
      <c r="AO58" s="110">
        <v>190.72161391135495</v>
      </c>
      <c r="AP58" s="110"/>
      <c r="AQ58" s="110">
        <v>190.72161391135495</v>
      </c>
      <c r="AR58" s="110"/>
      <c r="AS58" s="110">
        <v>190.72161391135495</v>
      </c>
      <c r="AT58" s="110"/>
      <c r="AU58" s="110">
        <v>190.72161391135495</v>
      </c>
      <c r="AV58" s="110"/>
      <c r="AW58" s="110">
        <v>190.72161391135495</v>
      </c>
      <c r="AX58" s="110"/>
      <c r="AY58" s="110"/>
    </row>
    <row r="59" spans="1:52">
      <c r="A59" s="110"/>
      <c r="B59" s="165" t="s">
        <v>345</v>
      </c>
      <c r="C59" s="110"/>
      <c r="D59" s="110">
        <v>259.27838608864499</v>
      </c>
      <c r="E59" s="110"/>
      <c r="F59" s="110">
        <v>259.27838608864505</v>
      </c>
      <c r="G59" s="110"/>
      <c r="H59" s="110">
        <v>259.27838608864505</v>
      </c>
      <c r="I59" s="110"/>
      <c r="J59" s="110">
        <v>259.27838608864505</v>
      </c>
      <c r="K59" s="110"/>
      <c r="L59" s="110">
        <v>259.27838608864505</v>
      </c>
      <c r="M59" s="110"/>
      <c r="N59" s="110">
        <v>259.27838608864505</v>
      </c>
      <c r="O59" s="110"/>
      <c r="P59" s="110">
        <v>259.27838608864505</v>
      </c>
      <c r="Q59" s="110"/>
      <c r="R59" s="110">
        <v>259.27838608864499</v>
      </c>
      <c r="S59" s="110"/>
      <c r="T59" s="110"/>
      <c r="U59" s="110">
        <v>259.27838608864499</v>
      </c>
      <c r="V59" s="110"/>
      <c r="W59" s="110">
        <v>259.27838608864505</v>
      </c>
      <c r="X59" s="110"/>
      <c r="Y59" s="110">
        <v>259.27838608864505</v>
      </c>
      <c r="Z59" s="110"/>
      <c r="AA59" s="110">
        <v>259.27838608864505</v>
      </c>
      <c r="AB59" s="110"/>
      <c r="AC59" s="110">
        <v>259.27838608864505</v>
      </c>
      <c r="AD59" s="110"/>
      <c r="AE59" s="110">
        <v>259.27838608864505</v>
      </c>
      <c r="AF59" s="110"/>
      <c r="AG59" s="110">
        <v>259.27838608864505</v>
      </c>
      <c r="AH59" s="110"/>
      <c r="AI59" s="110">
        <v>259.27838608864505</v>
      </c>
      <c r="AJ59" s="110"/>
      <c r="AK59" s="110">
        <v>259.27838608864505</v>
      </c>
      <c r="AL59" s="110"/>
      <c r="AM59" s="110">
        <v>259.27838608864505</v>
      </c>
      <c r="AN59" s="110"/>
      <c r="AO59" s="110">
        <v>259.27838608864505</v>
      </c>
      <c r="AP59" s="110"/>
      <c r="AQ59" s="110">
        <v>259.27838608864505</v>
      </c>
      <c r="AR59" s="110"/>
      <c r="AS59" s="110">
        <v>259.27838608864505</v>
      </c>
      <c r="AT59" s="110"/>
      <c r="AU59" s="110">
        <v>259.27838608864505</v>
      </c>
      <c r="AV59" s="110"/>
      <c r="AW59" s="110">
        <v>259.27838608864505</v>
      </c>
      <c r="AX59" s="110"/>
      <c r="AY59" s="110"/>
    </row>
    <row r="60" spans="1:52">
      <c r="A60" s="110"/>
      <c r="B60" s="165" t="s">
        <v>346</v>
      </c>
      <c r="C60" s="110"/>
      <c r="D60" s="110">
        <v>15</v>
      </c>
      <c r="E60" s="110"/>
      <c r="F60" s="110">
        <v>15</v>
      </c>
      <c r="G60" s="110"/>
      <c r="H60" s="110">
        <v>15</v>
      </c>
      <c r="I60" s="110"/>
      <c r="J60" s="110">
        <v>15</v>
      </c>
      <c r="K60" s="110"/>
      <c r="L60" s="110">
        <v>15</v>
      </c>
      <c r="M60" s="110"/>
      <c r="N60" s="110">
        <v>15</v>
      </c>
      <c r="O60" s="110"/>
      <c r="P60" s="110">
        <v>15</v>
      </c>
      <c r="Q60" s="110"/>
      <c r="R60" s="110">
        <v>15</v>
      </c>
      <c r="S60" s="110"/>
      <c r="T60" s="110"/>
      <c r="U60" s="110">
        <v>15</v>
      </c>
      <c r="V60" s="110"/>
      <c r="W60" s="110">
        <v>15</v>
      </c>
      <c r="X60" s="110"/>
      <c r="Y60" s="110">
        <v>15</v>
      </c>
      <c r="Z60" s="110"/>
      <c r="AA60" s="110">
        <v>15</v>
      </c>
      <c r="AB60" s="110"/>
      <c r="AC60" s="110">
        <v>15</v>
      </c>
      <c r="AD60" s="110"/>
      <c r="AE60" s="110">
        <v>15</v>
      </c>
      <c r="AF60" s="110"/>
      <c r="AG60" s="110">
        <v>15</v>
      </c>
      <c r="AH60" s="110"/>
      <c r="AI60" s="110">
        <v>15</v>
      </c>
      <c r="AJ60" s="110"/>
      <c r="AK60" s="110">
        <v>15</v>
      </c>
      <c r="AL60" s="110"/>
      <c r="AM60" s="110">
        <v>15</v>
      </c>
      <c r="AN60" s="110"/>
      <c r="AO60" s="110">
        <v>15</v>
      </c>
      <c r="AP60" s="110"/>
      <c r="AQ60" s="110">
        <v>15</v>
      </c>
      <c r="AR60" s="110"/>
      <c r="AS60" s="110">
        <v>15</v>
      </c>
      <c r="AT60" s="110"/>
      <c r="AU60" s="110">
        <v>15</v>
      </c>
      <c r="AV60" s="110"/>
      <c r="AW60" s="110">
        <v>15</v>
      </c>
      <c r="AX60" s="110"/>
      <c r="AY60" s="110"/>
    </row>
    <row r="61" spans="1:52">
      <c r="A61" s="110"/>
      <c r="B61" s="165" t="s">
        <v>347</v>
      </c>
      <c r="C61" s="110"/>
      <c r="D61" s="110">
        <f>D55-D58</f>
        <v>1002.2310168693225</v>
      </c>
      <c r="E61" s="110">
        <f t="shared" ref="E61:AY61" si="18">E55-E58</f>
        <v>607.34936250024873</v>
      </c>
      <c r="F61" s="110">
        <f t="shared" si="18"/>
        <v>416.62774858889378</v>
      </c>
      <c r="G61" s="110">
        <f t="shared" si="18"/>
        <v>607.34936250024873</v>
      </c>
      <c r="H61" s="110">
        <f t="shared" si="18"/>
        <v>416.62774858889378</v>
      </c>
      <c r="I61" s="110">
        <f t="shared" si="18"/>
        <v>607.34936250024873</v>
      </c>
      <c r="J61" s="110">
        <f t="shared" si="18"/>
        <v>416.62774858889378</v>
      </c>
      <c r="K61" s="110">
        <f t="shared" si="18"/>
        <v>607.34936250024873</v>
      </c>
      <c r="L61" s="110">
        <f t="shared" si="18"/>
        <v>416.62774858889378</v>
      </c>
      <c r="M61" s="110">
        <f t="shared" si="18"/>
        <v>607.34936250024873</v>
      </c>
      <c r="N61" s="110">
        <f t="shared" si="18"/>
        <v>416.62774858889378</v>
      </c>
      <c r="O61" s="110">
        <f t="shared" si="18"/>
        <v>607.34936250024873</v>
      </c>
      <c r="P61" s="110">
        <f t="shared" si="18"/>
        <v>416.62774858889378</v>
      </c>
      <c r="Q61" s="110">
        <f t="shared" si="18"/>
        <v>0</v>
      </c>
      <c r="R61" s="110">
        <f t="shared" si="18"/>
        <v>781.04416737530801</v>
      </c>
      <c r="S61" s="110">
        <f t="shared" si="18"/>
        <v>485.88289064333151</v>
      </c>
      <c r="T61" s="110">
        <f t="shared" si="18"/>
        <v>0</v>
      </c>
      <c r="U61" s="110">
        <f t="shared" si="18"/>
        <v>902.51063923222546</v>
      </c>
      <c r="V61" s="110">
        <f t="shared" si="18"/>
        <v>607.34936250024873</v>
      </c>
      <c r="W61" s="110">
        <f t="shared" si="18"/>
        <v>416.62774858889378</v>
      </c>
      <c r="X61" s="110">
        <f t="shared" si="18"/>
        <v>607.34936250024873</v>
      </c>
      <c r="Y61" s="110">
        <f t="shared" si="18"/>
        <v>416.62774858889378</v>
      </c>
      <c r="Z61" s="110">
        <f t="shared" si="18"/>
        <v>607.34936250024873</v>
      </c>
      <c r="AA61" s="110">
        <f t="shared" si="18"/>
        <v>416.62774858889378</v>
      </c>
      <c r="AB61" s="110">
        <f t="shared" si="18"/>
        <v>607.34936250024873</v>
      </c>
      <c r="AC61" s="110">
        <f t="shared" si="18"/>
        <v>416.62774858889378</v>
      </c>
      <c r="AD61" s="110">
        <f t="shared" si="18"/>
        <v>607.34936250024873</v>
      </c>
      <c r="AE61" s="110">
        <f t="shared" si="18"/>
        <v>416.62774858889378</v>
      </c>
      <c r="AF61" s="110">
        <f t="shared" si="18"/>
        <v>607.34936250024873</v>
      </c>
      <c r="AG61" s="110">
        <f t="shared" si="18"/>
        <v>416.62774858889378</v>
      </c>
      <c r="AH61" s="110">
        <f t="shared" si="18"/>
        <v>607.34936250024873</v>
      </c>
      <c r="AI61" s="110">
        <f t="shared" si="18"/>
        <v>416.62774858889378</v>
      </c>
      <c r="AJ61" s="110">
        <f t="shared" si="18"/>
        <v>607.34936250024873</v>
      </c>
      <c r="AK61" s="110">
        <f t="shared" si="18"/>
        <v>416.62774858889378</v>
      </c>
      <c r="AL61" s="110">
        <f t="shared" si="18"/>
        <v>607.34936250024873</v>
      </c>
      <c r="AM61" s="110">
        <f t="shared" si="18"/>
        <v>416.62774858889378</v>
      </c>
      <c r="AN61" s="110">
        <f t="shared" si="18"/>
        <v>607.34936250024873</v>
      </c>
      <c r="AO61" s="110">
        <f t="shared" si="18"/>
        <v>416.62774858889378</v>
      </c>
      <c r="AP61" s="110">
        <f t="shared" si="18"/>
        <v>607.34936250024873</v>
      </c>
      <c r="AQ61" s="110">
        <f t="shared" si="18"/>
        <v>416.62774858889378</v>
      </c>
      <c r="AR61" s="110">
        <f t="shared" si="18"/>
        <v>607.34936250024873</v>
      </c>
      <c r="AS61" s="110">
        <f t="shared" si="18"/>
        <v>416.62774858889378</v>
      </c>
      <c r="AT61" s="110">
        <f t="shared" si="18"/>
        <v>607.34936250024873</v>
      </c>
      <c r="AU61" s="110">
        <f t="shared" si="18"/>
        <v>416.62774858889378</v>
      </c>
      <c r="AV61" s="110">
        <f t="shared" si="18"/>
        <v>607.34936250024873</v>
      </c>
      <c r="AW61" s="110">
        <f t="shared" si="18"/>
        <v>416.62774858889378</v>
      </c>
      <c r="AX61" s="110">
        <f t="shared" si="18"/>
        <v>607.34936250024873</v>
      </c>
      <c r="AY61" s="110">
        <f t="shared" si="18"/>
        <v>0</v>
      </c>
    </row>
    <row r="62" spans="1:52">
      <c r="A62" s="110"/>
      <c r="B62" s="165" t="s">
        <v>348</v>
      </c>
      <c r="C62" s="110"/>
      <c r="D62" s="110">
        <f>D56-D59</f>
        <v>1362.4928775122344</v>
      </c>
      <c r="E62" s="110">
        <f t="shared" ref="E62:AY62" si="19">E56-E59</f>
        <v>825.66710333220635</v>
      </c>
      <c r="F62" s="110">
        <f t="shared" si="19"/>
        <v>566.38871724356136</v>
      </c>
      <c r="G62" s="110">
        <f t="shared" si="19"/>
        <v>825.66710333220635</v>
      </c>
      <c r="H62" s="110">
        <f t="shared" si="19"/>
        <v>566.38871724356136</v>
      </c>
      <c r="I62" s="110">
        <f t="shared" si="19"/>
        <v>825.66710333220635</v>
      </c>
      <c r="J62" s="110">
        <f t="shared" si="19"/>
        <v>566.38871724356136</v>
      </c>
      <c r="K62" s="110">
        <f t="shared" si="19"/>
        <v>825.66710333220635</v>
      </c>
      <c r="L62" s="110">
        <f t="shared" si="19"/>
        <v>566.38871724356136</v>
      </c>
      <c r="M62" s="110">
        <f t="shared" si="19"/>
        <v>825.66710333220635</v>
      </c>
      <c r="N62" s="110">
        <f t="shared" si="19"/>
        <v>566.38871724356136</v>
      </c>
      <c r="O62" s="110">
        <f t="shared" si="19"/>
        <v>825.66710333220635</v>
      </c>
      <c r="P62" s="110">
        <f t="shared" si="19"/>
        <v>566.38871724356136</v>
      </c>
      <c r="Q62" s="110">
        <f t="shared" si="19"/>
        <v>0</v>
      </c>
      <c r="R62" s="110">
        <f t="shared" si="19"/>
        <v>1061.7982253188279</v>
      </c>
      <c r="S62" s="110">
        <f t="shared" si="19"/>
        <v>660.53830570373646</v>
      </c>
      <c r="T62" s="110">
        <f t="shared" si="19"/>
        <v>0</v>
      </c>
      <c r="U62" s="110">
        <f t="shared" si="19"/>
        <v>1226.9270229472979</v>
      </c>
      <c r="V62" s="110">
        <f t="shared" si="19"/>
        <v>825.66710333220635</v>
      </c>
      <c r="W62" s="110">
        <f t="shared" si="19"/>
        <v>566.38871724356136</v>
      </c>
      <c r="X62" s="110">
        <f t="shared" si="19"/>
        <v>825.66710333220635</v>
      </c>
      <c r="Y62" s="110">
        <f t="shared" si="19"/>
        <v>566.38871724356136</v>
      </c>
      <c r="Z62" s="110">
        <f t="shared" si="19"/>
        <v>825.66710333220635</v>
      </c>
      <c r="AA62" s="110">
        <f t="shared" si="19"/>
        <v>566.38871724356136</v>
      </c>
      <c r="AB62" s="110">
        <f t="shared" si="19"/>
        <v>825.66710333220635</v>
      </c>
      <c r="AC62" s="110">
        <f t="shared" si="19"/>
        <v>566.38871724356136</v>
      </c>
      <c r="AD62" s="110">
        <f t="shared" si="19"/>
        <v>825.66710333220635</v>
      </c>
      <c r="AE62" s="110">
        <f t="shared" si="19"/>
        <v>566.38871724356136</v>
      </c>
      <c r="AF62" s="110">
        <f t="shared" si="19"/>
        <v>825.66710333220635</v>
      </c>
      <c r="AG62" s="110">
        <f t="shared" si="19"/>
        <v>566.38871724356136</v>
      </c>
      <c r="AH62" s="110">
        <f t="shared" si="19"/>
        <v>825.66710333220635</v>
      </c>
      <c r="AI62" s="110">
        <f t="shared" si="19"/>
        <v>566.38871724356136</v>
      </c>
      <c r="AJ62" s="110">
        <f t="shared" si="19"/>
        <v>825.66710333220635</v>
      </c>
      <c r="AK62" s="110">
        <f t="shared" si="19"/>
        <v>566.38871724356136</v>
      </c>
      <c r="AL62" s="110">
        <f t="shared" si="19"/>
        <v>825.66710333220635</v>
      </c>
      <c r="AM62" s="110">
        <f t="shared" si="19"/>
        <v>566.38871724356136</v>
      </c>
      <c r="AN62" s="110">
        <f t="shared" si="19"/>
        <v>825.66710333220635</v>
      </c>
      <c r="AO62" s="110">
        <f t="shared" si="19"/>
        <v>566.38871724356136</v>
      </c>
      <c r="AP62" s="110">
        <f t="shared" si="19"/>
        <v>825.66710333220635</v>
      </c>
      <c r="AQ62" s="110">
        <f t="shared" si="19"/>
        <v>566.38871724356136</v>
      </c>
      <c r="AR62" s="110">
        <f t="shared" si="19"/>
        <v>825.66710333220635</v>
      </c>
      <c r="AS62" s="110">
        <f t="shared" si="19"/>
        <v>566.38871724356136</v>
      </c>
      <c r="AT62" s="110">
        <f t="shared" si="19"/>
        <v>825.66710333220635</v>
      </c>
      <c r="AU62" s="110">
        <f t="shared" si="19"/>
        <v>566.38871724356136</v>
      </c>
      <c r="AV62" s="110">
        <f t="shared" si="19"/>
        <v>825.66710333220635</v>
      </c>
      <c r="AW62" s="110">
        <f t="shared" si="19"/>
        <v>566.38871724356136</v>
      </c>
      <c r="AX62" s="110">
        <f t="shared" si="19"/>
        <v>825.66710333220635</v>
      </c>
      <c r="AY62" s="110">
        <f t="shared" si="19"/>
        <v>0</v>
      </c>
    </row>
    <row r="63" spans="1:52">
      <c r="A63" s="110"/>
      <c r="B63" s="165" t="s">
        <v>349</v>
      </c>
      <c r="C63" s="110"/>
      <c r="D63" s="110">
        <v>1</v>
      </c>
      <c r="E63" s="110">
        <v>1</v>
      </c>
      <c r="F63" s="110">
        <v>1</v>
      </c>
      <c r="G63" s="110">
        <v>1</v>
      </c>
      <c r="H63" s="110">
        <v>2</v>
      </c>
      <c r="I63" s="110">
        <v>1</v>
      </c>
      <c r="J63" s="110">
        <v>2</v>
      </c>
      <c r="K63" s="110">
        <v>1</v>
      </c>
      <c r="L63" s="110">
        <v>1</v>
      </c>
      <c r="M63" s="110">
        <v>2</v>
      </c>
      <c r="N63" s="110">
        <v>2</v>
      </c>
      <c r="O63" s="110">
        <v>2</v>
      </c>
      <c r="P63" s="110">
        <v>2</v>
      </c>
      <c r="Q63" s="110">
        <v>3</v>
      </c>
      <c r="R63" s="110">
        <v>1</v>
      </c>
      <c r="S63" s="110">
        <v>1</v>
      </c>
      <c r="T63" s="110">
        <v>1</v>
      </c>
      <c r="U63" s="110">
        <v>1</v>
      </c>
      <c r="V63" s="110">
        <v>1</v>
      </c>
      <c r="W63" s="110">
        <v>1</v>
      </c>
      <c r="X63" s="110">
        <v>1</v>
      </c>
      <c r="Y63" s="110">
        <v>1</v>
      </c>
      <c r="Z63" s="110">
        <v>1</v>
      </c>
      <c r="AA63" s="110">
        <v>2</v>
      </c>
      <c r="AB63" s="110">
        <v>1</v>
      </c>
      <c r="AC63" s="110">
        <v>1</v>
      </c>
      <c r="AD63" s="110">
        <v>1</v>
      </c>
      <c r="AE63" s="110">
        <v>2</v>
      </c>
      <c r="AF63" s="110">
        <v>1</v>
      </c>
      <c r="AG63" s="110">
        <v>1</v>
      </c>
      <c r="AH63" s="110">
        <v>1</v>
      </c>
      <c r="AI63" s="110">
        <v>1</v>
      </c>
      <c r="AJ63" s="110">
        <v>3</v>
      </c>
      <c r="AK63" s="110">
        <v>1</v>
      </c>
      <c r="AL63" s="110">
        <v>1</v>
      </c>
      <c r="AM63" s="110">
        <v>1</v>
      </c>
      <c r="AN63" s="110">
        <v>1</v>
      </c>
      <c r="AO63" s="110">
        <v>3</v>
      </c>
      <c r="AP63" s="110">
        <v>2</v>
      </c>
      <c r="AQ63" s="110">
        <v>1</v>
      </c>
      <c r="AR63" s="110">
        <v>1</v>
      </c>
      <c r="AS63" s="110">
        <v>1</v>
      </c>
      <c r="AT63" s="110">
        <v>1</v>
      </c>
      <c r="AU63" s="110">
        <v>1</v>
      </c>
      <c r="AV63" s="110">
        <v>1</v>
      </c>
      <c r="AW63" s="110">
        <v>2</v>
      </c>
      <c r="AX63" s="110">
        <v>2</v>
      </c>
      <c r="AY63" s="110">
        <v>1</v>
      </c>
    </row>
    <row r="64" spans="1:52">
      <c r="A64" s="110"/>
      <c r="B64" s="178" t="s">
        <v>350</v>
      </c>
      <c r="C64" s="110"/>
      <c r="D64" s="110">
        <v>267300</v>
      </c>
      <c r="E64" s="110">
        <v>0</v>
      </c>
      <c r="F64" s="110">
        <v>267300</v>
      </c>
      <c r="G64" s="110">
        <v>0</v>
      </c>
      <c r="H64" s="110">
        <v>267300</v>
      </c>
      <c r="I64" s="110">
        <v>0</v>
      </c>
      <c r="J64" s="110">
        <v>267300</v>
      </c>
      <c r="K64" s="110">
        <v>0</v>
      </c>
      <c r="L64" s="110">
        <v>267300</v>
      </c>
      <c r="M64" s="110">
        <v>0</v>
      </c>
      <c r="N64" s="110">
        <v>267300</v>
      </c>
      <c r="O64" s="110">
        <v>0</v>
      </c>
      <c r="P64" s="110">
        <v>267300</v>
      </c>
      <c r="Q64" s="110">
        <v>0</v>
      </c>
      <c r="R64" s="110">
        <v>267300</v>
      </c>
      <c r="S64" s="110">
        <v>0</v>
      </c>
      <c r="T64" s="110">
        <v>0</v>
      </c>
      <c r="U64" s="110">
        <v>267300</v>
      </c>
      <c r="V64" s="110">
        <v>0</v>
      </c>
      <c r="W64" s="110">
        <v>267300</v>
      </c>
      <c r="X64" s="110">
        <v>0</v>
      </c>
      <c r="Y64" s="110">
        <v>267300</v>
      </c>
      <c r="Z64" s="110">
        <v>0</v>
      </c>
      <c r="AA64" s="110">
        <v>267300</v>
      </c>
      <c r="AB64" s="110">
        <v>0</v>
      </c>
      <c r="AC64" s="110">
        <v>267300</v>
      </c>
      <c r="AD64" s="110">
        <v>0</v>
      </c>
      <c r="AE64" s="110">
        <v>267300</v>
      </c>
      <c r="AF64" s="110">
        <v>0</v>
      </c>
      <c r="AG64" s="110">
        <v>267300</v>
      </c>
      <c r="AH64" s="110">
        <v>0</v>
      </c>
      <c r="AI64" s="110">
        <v>267300</v>
      </c>
      <c r="AJ64" s="110">
        <v>0</v>
      </c>
      <c r="AK64" s="110">
        <v>267300</v>
      </c>
      <c r="AL64" s="110">
        <v>0</v>
      </c>
      <c r="AM64" s="110">
        <v>267300</v>
      </c>
      <c r="AN64" s="110">
        <v>0</v>
      </c>
      <c r="AO64" s="110">
        <v>267300</v>
      </c>
      <c r="AP64" s="110">
        <v>0</v>
      </c>
      <c r="AQ64" s="110">
        <v>267300</v>
      </c>
      <c r="AR64" s="110">
        <v>0</v>
      </c>
      <c r="AS64" s="110">
        <v>267300</v>
      </c>
      <c r="AT64" s="110">
        <v>0</v>
      </c>
      <c r="AU64" s="110">
        <v>267300</v>
      </c>
      <c r="AV64" s="110">
        <v>0</v>
      </c>
      <c r="AW64" s="110">
        <v>267300</v>
      </c>
      <c r="AX64" s="110">
        <v>0</v>
      </c>
      <c r="AY64" s="110">
        <v>0</v>
      </c>
      <c r="AZ64" s="100">
        <f>SUM($D$64:$AY$64)</f>
        <v>6147900</v>
      </c>
    </row>
    <row r="65" spans="1:52">
      <c r="A65" s="125"/>
      <c r="B65" s="140" t="s">
        <v>351</v>
      </c>
      <c r="C65" s="125"/>
      <c r="D65" s="125">
        <v>760849.91301726596</v>
      </c>
      <c r="E65" s="125">
        <v>461073.04788159253</v>
      </c>
      <c r="F65" s="125">
        <v>316285.54788159247</v>
      </c>
      <c r="G65" s="125">
        <v>461073.04788159253</v>
      </c>
      <c r="H65" s="125">
        <v>316285.54788159247</v>
      </c>
      <c r="I65" s="125">
        <v>461073.04788159253</v>
      </c>
      <c r="J65" s="125">
        <v>316285.54788159247</v>
      </c>
      <c r="K65" s="125">
        <v>461073.04788159253</v>
      </c>
      <c r="L65" s="125">
        <v>316285.54788159247</v>
      </c>
      <c r="M65" s="125">
        <v>461073.04788159253</v>
      </c>
      <c r="N65" s="125">
        <v>316285.54788159247</v>
      </c>
      <c r="O65" s="125">
        <v>461073.04788159253</v>
      </c>
      <c r="P65" s="125">
        <v>316285.54788159247</v>
      </c>
      <c r="Q65" s="125">
        <v>0</v>
      </c>
      <c r="R65" s="125">
        <v>592934.53984933824</v>
      </c>
      <c r="S65" s="125">
        <v>368861.01992466912</v>
      </c>
      <c r="T65" s="125">
        <v>0</v>
      </c>
      <c r="U65" s="125">
        <v>685146.56780626171</v>
      </c>
      <c r="V65" s="125">
        <v>461073.04788159253</v>
      </c>
      <c r="W65" s="125">
        <v>316285.54788159247</v>
      </c>
      <c r="X65" s="125">
        <v>461073.04788159253</v>
      </c>
      <c r="Y65" s="125">
        <v>316285.54788159247</v>
      </c>
      <c r="Z65" s="125">
        <v>461073.04788159253</v>
      </c>
      <c r="AA65" s="125">
        <v>316285.54788159247</v>
      </c>
      <c r="AB65" s="125">
        <v>461073.04788159253</v>
      </c>
      <c r="AC65" s="125">
        <v>316285.54788159247</v>
      </c>
      <c r="AD65" s="125">
        <v>461073.04788159253</v>
      </c>
      <c r="AE65" s="125">
        <v>316285.54788159247</v>
      </c>
      <c r="AF65" s="125">
        <v>461073.04788159253</v>
      </c>
      <c r="AG65" s="125">
        <v>316285.54788159247</v>
      </c>
      <c r="AH65" s="125">
        <v>461073.04788159253</v>
      </c>
      <c r="AI65" s="125">
        <v>316285.54788159247</v>
      </c>
      <c r="AJ65" s="125">
        <v>461073.04788159253</v>
      </c>
      <c r="AK65" s="125">
        <v>316285.54788159247</v>
      </c>
      <c r="AL65" s="125">
        <v>461073.04788159253</v>
      </c>
      <c r="AM65" s="125">
        <v>316285.54788159247</v>
      </c>
      <c r="AN65" s="125">
        <v>461073.04788159253</v>
      </c>
      <c r="AO65" s="125">
        <v>316285.54788159247</v>
      </c>
      <c r="AP65" s="125">
        <v>461073.04788159253</v>
      </c>
      <c r="AQ65" s="125">
        <v>316285.54788159247</v>
      </c>
      <c r="AR65" s="125">
        <v>461073.04788159253</v>
      </c>
      <c r="AS65" s="125">
        <v>316285.54788159247</v>
      </c>
      <c r="AT65" s="125">
        <v>461073.04788159253</v>
      </c>
      <c r="AU65" s="125">
        <v>316285.54788159247</v>
      </c>
      <c r="AV65" s="125">
        <v>461073.04788159253</v>
      </c>
      <c r="AW65" s="125">
        <v>316285.54788159247</v>
      </c>
      <c r="AX65" s="125">
        <v>461073.04788159253</v>
      </c>
      <c r="AY65" s="125">
        <v>0</v>
      </c>
      <c r="AZ65" s="100">
        <f>SUM($D$65:$AY$65)</f>
        <v>18416037.003742818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4">
      <c r="A1" s="102" t="s">
        <v>284</v>
      </c>
    </row>
    <row r="2" spans="1:54">
      <c r="A2" s="100" t="s">
        <v>285</v>
      </c>
      <c r="B2" s="107" t="s">
        <v>22</v>
      </c>
    </row>
    <row r="3" spans="1:54">
      <c r="A3" s="100" t="s">
        <v>286</v>
      </c>
      <c r="B3" s="108">
        <v>1300</v>
      </c>
      <c r="C3" s="109"/>
    </row>
    <row r="4" spans="1:54">
      <c r="B4" s="110"/>
      <c r="C4" s="110"/>
    </row>
    <row r="5" spans="1:54">
      <c r="C5" s="111" t="s">
        <v>287</v>
      </c>
    </row>
    <row r="6" spans="1:54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4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4">
      <c r="A8" s="102" t="s">
        <v>292</v>
      </c>
      <c r="B8" s="114"/>
      <c r="AY8" s="110"/>
    </row>
    <row r="9" spans="1:54">
      <c r="A9" s="115" t="s">
        <v>125</v>
      </c>
      <c r="B9" s="116">
        <v>1</v>
      </c>
      <c r="C9" s="117" t="s">
        <v>293</v>
      </c>
      <c r="D9" s="117">
        <v>112</v>
      </c>
      <c r="E9" s="117">
        <v>112</v>
      </c>
      <c r="F9" s="117">
        <v>112</v>
      </c>
      <c r="G9" s="117">
        <v>112</v>
      </c>
      <c r="H9" s="117">
        <v>140</v>
      </c>
      <c r="I9" s="117">
        <v>140</v>
      </c>
      <c r="J9" s="117">
        <v>140</v>
      </c>
      <c r="K9" s="117">
        <v>140</v>
      </c>
      <c r="L9" s="117">
        <v>140</v>
      </c>
      <c r="M9" s="117">
        <v>140</v>
      </c>
      <c r="N9" s="117">
        <v>140</v>
      </c>
      <c r="O9" s="117">
        <v>140</v>
      </c>
      <c r="P9" s="117">
        <v>112</v>
      </c>
      <c r="Q9" s="117">
        <v>112</v>
      </c>
      <c r="R9" s="117">
        <v>112</v>
      </c>
      <c r="S9" s="117">
        <v>112</v>
      </c>
      <c r="T9" s="117">
        <v>140</v>
      </c>
      <c r="U9" s="117">
        <v>140</v>
      </c>
      <c r="V9" s="117">
        <v>140</v>
      </c>
      <c r="W9" s="117">
        <v>140</v>
      </c>
      <c r="X9" s="117">
        <v>140</v>
      </c>
      <c r="Y9" s="117">
        <v>140</v>
      </c>
      <c r="Z9" s="117">
        <v>140</v>
      </c>
      <c r="AA9" s="117">
        <v>140</v>
      </c>
      <c r="AB9" s="117">
        <v>140</v>
      </c>
      <c r="AC9" s="117">
        <v>140</v>
      </c>
      <c r="AD9" s="117">
        <v>140</v>
      </c>
      <c r="AE9" s="117">
        <v>140</v>
      </c>
      <c r="AF9" s="117">
        <v>140</v>
      </c>
      <c r="AG9" s="117">
        <v>140</v>
      </c>
      <c r="AH9" s="117">
        <v>140</v>
      </c>
      <c r="AI9" s="117">
        <v>140</v>
      </c>
      <c r="AJ9" s="117">
        <v>168</v>
      </c>
      <c r="AK9" s="117">
        <v>168</v>
      </c>
      <c r="AL9" s="117">
        <v>168</v>
      </c>
      <c r="AM9" s="117">
        <v>168</v>
      </c>
      <c r="AN9" s="117">
        <v>140</v>
      </c>
      <c r="AO9" s="117">
        <v>140</v>
      </c>
      <c r="AP9" s="117">
        <v>140</v>
      </c>
      <c r="AQ9" s="117">
        <v>140</v>
      </c>
      <c r="AR9" s="117">
        <v>140</v>
      </c>
      <c r="AS9" s="117">
        <v>140</v>
      </c>
      <c r="AT9" s="117">
        <v>140</v>
      </c>
      <c r="AU9" s="117">
        <v>140</v>
      </c>
      <c r="AV9" s="117">
        <v>140</v>
      </c>
      <c r="AW9" s="117">
        <v>140</v>
      </c>
      <c r="AX9" s="117">
        <v>140</v>
      </c>
      <c r="AY9" s="117">
        <v>140</v>
      </c>
    </row>
    <row r="10" spans="1:54">
      <c r="A10" s="118" t="s">
        <v>133</v>
      </c>
      <c r="B10" s="119">
        <v>1</v>
      </c>
      <c r="C10" s="106" t="s">
        <v>293</v>
      </c>
      <c r="D10" s="100">
        <v>75.547175652597446</v>
      </c>
      <c r="E10" s="100">
        <v>195.13176099803979</v>
      </c>
      <c r="F10" s="100">
        <v>179.99999999999875</v>
      </c>
      <c r="G10" s="100">
        <v>0</v>
      </c>
      <c r="H10" s="100">
        <v>179.99999999999875</v>
      </c>
      <c r="I10" s="100">
        <v>179.99999999999875</v>
      </c>
      <c r="J10" s="100">
        <v>179.99999999999875</v>
      </c>
      <c r="K10" s="100">
        <v>92.149041474976514</v>
      </c>
      <c r="L10" s="100">
        <v>70.665334683839973</v>
      </c>
      <c r="M10" s="100">
        <v>92.149041474976514</v>
      </c>
      <c r="N10" s="100">
        <v>70.665334683839973</v>
      </c>
      <c r="O10" s="100">
        <v>92.149041474976514</v>
      </c>
      <c r="P10" s="100">
        <v>162.81437615881649</v>
      </c>
      <c r="Q10" s="100">
        <v>87.850958525022222</v>
      </c>
      <c r="R10" s="100">
        <v>87.850958525022222</v>
      </c>
      <c r="S10" s="100">
        <v>235.29045679849082</v>
      </c>
      <c r="T10" s="100">
        <v>70.665334683839973</v>
      </c>
      <c r="U10" s="100">
        <v>87.850958525022222</v>
      </c>
      <c r="V10" s="100">
        <v>253.71974913673307</v>
      </c>
      <c r="W10" s="100">
        <v>92.149041474976514</v>
      </c>
      <c r="X10" s="100">
        <v>179.99999999999875</v>
      </c>
      <c r="Y10" s="100">
        <v>179.99999999999875</v>
      </c>
      <c r="Z10" s="100">
        <v>179.99999999999875</v>
      </c>
      <c r="AA10" s="100">
        <v>92.149041474976514</v>
      </c>
      <c r="AB10" s="100">
        <v>179.99999999999875</v>
      </c>
      <c r="AC10" s="100">
        <v>179.99999999999875</v>
      </c>
      <c r="AD10" s="100">
        <v>179.99999999999875</v>
      </c>
      <c r="AE10" s="100">
        <v>87.850958525022222</v>
      </c>
      <c r="AF10" s="100">
        <v>179.99999999999875</v>
      </c>
      <c r="AG10" s="100">
        <v>179.99999999999875</v>
      </c>
      <c r="AH10" s="100">
        <v>162.81437615881649</v>
      </c>
      <c r="AI10" s="100">
        <v>0</v>
      </c>
      <c r="AJ10" s="100">
        <v>179.99999999999875</v>
      </c>
      <c r="AK10" s="100">
        <v>87.850958525022222</v>
      </c>
      <c r="AL10" s="100">
        <v>162.81437615881649</v>
      </c>
      <c r="AM10" s="100">
        <v>179.99999999999875</v>
      </c>
      <c r="AN10" s="100">
        <v>179.99999999999875</v>
      </c>
      <c r="AO10" s="100">
        <v>92.149041474976514</v>
      </c>
      <c r="AP10" s="100">
        <v>87.850958525022222</v>
      </c>
      <c r="AQ10" s="100">
        <v>0</v>
      </c>
      <c r="AR10" s="100">
        <v>87.850958525022222</v>
      </c>
      <c r="AS10" s="100">
        <v>179.99999999999875</v>
      </c>
      <c r="AT10" s="100">
        <v>162.81437615881649</v>
      </c>
      <c r="AU10" s="100">
        <v>92.149041474976514</v>
      </c>
      <c r="AV10" s="100">
        <v>179.99999999999872</v>
      </c>
      <c r="AW10" s="100">
        <v>92.149041474976514</v>
      </c>
      <c r="AX10" s="100">
        <v>179.99999999999872</v>
      </c>
      <c r="AY10" s="100">
        <v>179.99999999999875</v>
      </c>
      <c r="AZ10" s="100">
        <v>87.850958525022207</v>
      </c>
    </row>
    <row r="11" spans="1:54">
      <c r="B11" s="119">
        <v>2</v>
      </c>
      <c r="C11" s="106" t="s">
        <v>293</v>
      </c>
      <c r="E11" s="100">
        <v>0</v>
      </c>
      <c r="F11" s="100">
        <v>22.561573938088642</v>
      </c>
      <c r="H11" s="100">
        <v>179.99999999999875</v>
      </c>
      <c r="L11" s="100">
        <v>87.850958525022222</v>
      </c>
      <c r="M11" s="100">
        <v>109.33466531615876</v>
      </c>
      <c r="N11" s="100">
        <v>87.850958525022222</v>
      </c>
      <c r="O11" s="100">
        <v>109.33466531615876</v>
      </c>
      <c r="Q11" s="100">
        <v>17.185623841182249</v>
      </c>
      <c r="R11" s="100">
        <v>92.149041474976514</v>
      </c>
      <c r="U11" s="100">
        <v>17.185623841182249</v>
      </c>
      <c r="AB11" s="100">
        <v>87.850958525022222</v>
      </c>
      <c r="AF11" s="100">
        <v>92.149041474976514</v>
      </c>
      <c r="AI11" s="100">
        <v>17.185623841182249</v>
      </c>
      <c r="AL11" s="100">
        <v>92.149041474976514</v>
      </c>
      <c r="AM11" s="100">
        <v>17.185623841182249</v>
      </c>
      <c r="AP11" s="100">
        <v>87.850958525022222</v>
      </c>
      <c r="AQ11" s="100">
        <v>92.149041474976514</v>
      </c>
      <c r="AR11" s="100">
        <v>92.149041474976514</v>
      </c>
      <c r="AS11" s="100">
        <v>92.149041474976514</v>
      </c>
      <c r="AU11" s="100">
        <v>17.185623841182249</v>
      </c>
      <c r="AV11" s="100">
        <v>0</v>
      </c>
      <c r="AX11" s="100">
        <v>87.850958525022222</v>
      </c>
      <c r="AY11" s="100">
        <v>0</v>
      </c>
      <c r="BA11" s="100">
        <v>0</v>
      </c>
    </row>
    <row r="12" spans="1:54">
      <c r="B12" s="120">
        <v>3</v>
      </c>
      <c r="C12" s="106" t="s">
        <v>293</v>
      </c>
      <c r="F12" s="100">
        <v>0</v>
      </c>
      <c r="Q12" s="100">
        <v>87.850958525022222</v>
      </c>
      <c r="V12" s="100">
        <v>73.719749136734293</v>
      </c>
      <c r="Y12" s="100">
        <v>87.850958525022222</v>
      </c>
      <c r="AK12" s="100">
        <v>179.99999999999875</v>
      </c>
      <c r="AS12" s="100">
        <v>87.850958525022222</v>
      </c>
      <c r="BB12" s="100">
        <v>0</v>
      </c>
    </row>
    <row r="13" spans="1:54">
      <c r="B13" s="120">
        <v>4</v>
      </c>
      <c r="C13" s="106" t="s">
        <v>293</v>
      </c>
    </row>
    <row r="14" spans="1:54">
      <c r="A14" s="115" t="s">
        <v>134</v>
      </c>
      <c r="B14" s="121">
        <v>1</v>
      </c>
      <c r="C14" s="117" t="s">
        <v>293</v>
      </c>
      <c r="D14" s="117">
        <v>68.073862457800715</v>
      </c>
      <c r="E14" s="117">
        <f t="shared" ref="E14:AZ14" si="0">D$172*SUM(D$122:D$169)</f>
        <v>25.929544561533717</v>
      </c>
      <c r="F14" s="117">
        <f t="shared" si="0"/>
        <v>77.410458097976516</v>
      </c>
      <c r="G14" s="117">
        <f t="shared" si="0"/>
        <v>80.555342996861498</v>
      </c>
      <c r="H14" s="117">
        <f t="shared" si="0"/>
        <v>7.0507493031143396</v>
      </c>
      <c r="I14" s="117">
        <f t="shared" si="0"/>
        <v>143.1193247335971</v>
      </c>
      <c r="J14" s="117">
        <f t="shared" si="0"/>
        <v>122.86569477863368</v>
      </c>
      <c r="K14" s="117">
        <f t="shared" si="0"/>
        <v>109.26655497765597</v>
      </c>
      <c r="L14" s="117">
        <f t="shared" si="0"/>
        <v>58.022860933936499</v>
      </c>
      <c r="M14" s="117">
        <f t="shared" si="0"/>
        <v>63.189316669403389</v>
      </c>
      <c r="N14" s="117">
        <f t="shared" si="0"/>
        <v>88.026641461351275</v>
      </c>
      <c r="O14" s="117">
        <f t="shared" si="0"/>
        <v>68.482535837895043</v>
      </c>
      <c r="P14" s="117">
        <f t="shared" si="0"/>
        <v>87.535141022147315</v>
      </c>
      <c r="Q14" s="117">
        <f t="shared" si="0"/>
        <v>74.304023969942719</v>
      </c>
      <c r="R14" s="117">
        <f t="shared" si="0"/>
        <v>76.889528578605564</v>
      </c>
      <c r="S14" s="117">
        <f t="shared" si="0"/>
        <v>71.562409519048231</v>
      </c>
      <c r="T14" s="117">
        <f t="shared" si="0"/>
        <v>93.486789337614837</v>
      </c>
      <c r="U14" s="117">
        <f t="shared" si="0"/>
        <v>40.892580177375208</v>
      </c>
      <c r="V14" s="117">
        <f t="shared" si="0"/>
        <v>41.87256441885301</v>
      </c>
      <c r="W14" s="117">
        <f t="shared" si="0"/>
        <v>130.02674039241114</v>
      </c>
      <c r="X14" s="117">
        <f t="shared" si="0"/>
        <v>69.992227997957315</v>
      </c>
      <c r="Y14" s="117">
        <f t="shared" si="0"/>
        <v>80.845818477967669</v>
      </c>
      <c r="Z14" s="117">
        <f t="shared" si="0"/>
        <v>116.39448830954611</v>
      </c>
      <c r="AA14" s="117">
        <f t="shared" si="0"/>
        <v>101.54249105181398</v>
      </c>
      <c r="AB14" s="117">
        <f t="shared" si="0"/>
        <v>59.786867781001241</v>
      </c>
      <c r="AC14" s="117">
        <f t="shared" si="0"/>
        <v>106.57937367880078</v>
      </c>
      <c r="AD14" s="117">
        <f t="shared" si="0"/>
        <v>100.18265828644756</v>
      </c>
      <c r="AE14" s="117">
        <f t="shared" si="0"/>
        <v>83.275638015043128</v>
      </c>
      <c r="AF14" s="117">
        <f t="shared" si="0"/>
        <v>41.511924823794054</v>
      </c>
      <c r="AG14" s="117">
        <f t="shared" si="0"/>
        <v>108.10236057384455</v>
      </c>
      <c r="AH14" s="117">
        <f t="shared" si="0"/>
        <v>99.03469542317994</v>
      </c>
      <c r="AI14" s="117">
        <f t="shared" si="0"/>
        <v>79.235524877640302</v>
      </c>
      <c r="AJ14" s="117">
        <f t="shared" si="0"/>
        <v>6.8556002591004619</v>
      </c>
      <c r="AK14" s="117">
        <f t="shared" si="0"/>
        <v>71.562409519048231</v>
      </c>
      <c r="AL14" s="117">
        <f t="shared" si="0"/>
        <v>107.69341649553452</v>
      </c>
      <c r="AM14" s="117">
        <f t="shared" si="0"/>
        <v>113.19413310778232</v>
      </c>
      <c r="AN14" s="117">
        <f t="shared" si="0"/>
        <v>114.49437583334756</v>
      </c>
      <c r="AO14" s="117">
        <f t="shared" si="0"/>
        <v>90.020875967436098</v>
      </c>
      <c r="AP14" s="117">
        <f t="shared" si="0"/>
        <v>54.841138581224151</v>
      </c>
      <c r="AQ14" s="117">
        <f t="shared" si="0"/>
        <v>70.039422624004473</v>
      </c>
      <c r="AR14" s="117">
        <f t="shared" si="0"/>
        <v>36.545445359295691</v>
      </c>
      <c r="AS14" s="117">
        <f t="shared" si="0"/>
        <v>71.562409519048231</v>
      </c>
      <c r="AT14" s="117">
        <f t="shared" si="0"/>
        <v>153.34457524178544</v>
      </c>
      <c r="AU14" s="117">
        <f t="shared" si="0"/>
        <v>108.58269252774176</v>
      </c>
      <c r="AV14" s="117">
        <f t="shared" si="0"/>
        <v>79.698556133876707</v>
      </c>
      <c r="AW14" s="117">
        <f t="shared" si="0"/>
        <v>71.562409519048231</v>
      </c>
      <c r="AX14" s="117">
        <f t="shared" si="0"/>
        <v>42.226060881985717</v>
      </c>
      <c r="AY14" s="117">
        <f t="shared" si="0"/>
        <v>106.57937367880078</v>
      </c>
      <c r="AZ14" s="110">
        <f t="shared" si="0"/>
        <v>98.052427465438669</v>
      </c>
      <c r="BA14" s="107">
        <f>SUM($E14:$AZ14)</f>
        <v>3903.8281937794927</v>
      </c>
    </row>
    <row r="15" spans="1:54">
      <c r="A15" s="122" t="s">
        <v>123</v>
      </c>
      <c r="B15" s="123">
        <v>1</v>
      </c>
      <c r="C15" s="124" t="s">
        <v>293</v>
      </c>
      <c r="D15" s="124">
        <v>73.033056246702998</v>
      </c>
      <c r="E15" s="124">
        <v>218.0340008262051</v>
      </c>
      <c r="F15" s="124">
        <v>201.56240951904726</v>
      </c>
      <c r="G15" s="124">
        <v>1.5475237082838723E-2</v>
      </c>
      <c r="H15" s="124">
        <v>201.56240951904726</v>
      </c>
      <c r="I15" s="124">
        <v>201.56240951904726</v>
      </c>
      <c r="J15" s="124">
        <v>201.56240951904726</v>
      </c>
      <c r="K15" s="124">
        <v>102.93376191596256</v>
      </c>
      <c r="L15" s="124">
        <v>79.350140553242852</v>
      </c>
      <c r="M15" s="124">
        <v>102.93376191596256</v>
      </c>
      <c r="N15" s="124">
        <v>79.350140553242852</v>
      </c>
      <c r="O15" s="124">
        <v>102.93376191596256</v>
      </c>
      <c r="P15" s="124">
        <v>182.26842723212258</v>
      </c>
      <c r="Q15" s="124">
        <v>98.644122840167555</v>
      </c>
      <c r="R15" s="124">
        <v>98.644122840167555</v>
      </c>
      <c r="S15" s="124">
        <v>263.31453403722446</v>
      </c>
      <c r="T15" s="124">
        <v>79.350140553242852</v>
      </c>
      <c r="U15" s="124">
        <v>98.644122840167555</v>
      </c>
      <c r="V15" s="124">
        <v>283.89761511757575</v>
      </c>
      <c r="W15" s="124">
        <v>102.93376191596256</v>
      </c>
      <c r="X15" s="124">
        <v>201.56240951904726</v>
      </c>
      <c r="Y15" s="124">
        <v>201.56240951904726</v>
      </c>
      <c r="Z15" s="124">
        <v>201.56240951904726</v>
      </c>
      <c r="AA15" s="124">
        <v>102.93376191596256</v>
      </c>
      <c r="AB15" s="124">
        <v>201.56240951904726</v>
      </c>
      <c r="AC15" s="124">
        <v>201.56240951904726</v>
      </c>
      <c r="AD15" s="124">
        <v>201.56240951904726</v>
      </c>
      <c r="AE15" s="124">
        <v>98.644122840167555</v>
      </c>
      <c r="AF15" s="124">
        <v>201.56240951904726</v>
      </c>
      <c r="AG15" s="124">
        <v>201.56240951904726</v>
      </c>
      <c r="AH15" s="124">
        <v>182.26842723212258</v>
      </c>
      <c r="AI15" s="124">
        <v>1.5475237082838723E-2</v>
      </c>
      <c r="AJ15" s="124">
        <v>201.56240951904726</v>
      </c>
      <c r="AK15" s="124">
        <v>98.644122840167555</v>
      </c>
      <c r="AL15" s="124">
        <v>182.26842723212258</v>
      </c>
      <c r="AM15" s="124">
        <v>201.56240951904726</v>
      </c>
      <c r="AN15" s="124">
        <v>201.56240951904726</v>
      </c>
      <c r="AO15" s="124">
        <v>102.93376191596256</v>
      </c>
      <c r="AP15" s="124">
        <v>98.644122840167555</v>
      </c>
      <c r="AQ15" s="124">
        <v>1.5475237082838723E-2</v>
      </c>
      <c r="AR15" s="124">
        <v>98.644122840167555</v>
      </c>
      <c r="AS15" s="124">
        <v>201.56240951904726</v>
      </c>
      <c r="AT15" s="124">
        <v>182.26842723212258</v>
      </c>
      <c r="AU15" s="124">
        <v>102.93376191596256</v>
      </c>
      <c r="AV15" s="124">
        <v>201.56240951904726</v>
      </c>
      <c r="AW15" s="124">
        <v>102.93376191596256</v>
      </c>
      <c r="AX15" s="124">
        <v>201.56240951904726</v>
      </c>
      <c r="AY15" s="124">
        <v>201.56240951904726</v>
      </c>
      <c r="AZ15" s="100">
        <v>98.628647603084687</v>
      </c>
    </row>
    <row r="16" spans="1:54">
      <c r="A16" s="110"/>
      <c r="B16" s="119">
        <v>2</v>
      </c>
      <c r="C16" s="109" t="s">
        <v>293</v>
      </c>
      <c r="D16" s="106"/>
      <c r="E16" s="110">
        <v>0</v>
      </c>
      <c r="F16" s="110">
        <v>25.329462110272658</v>
      </c>
      <c r="G16" s="110"/>
      <c r="H16" s="110">
        <v>201.54693428196444</v>
      </c>
      <c r="I16" s="110"/>
      <c r="J16" s="110"/>
      <c r="K16" s="110"/>
      <c r="L16" s="110">
        <v>98.628647603084715</v>
      </c>
      <c r="M16" s="110">
        <v>122.21226896580443</v>
      </c>
      <c r="N16" s="110">
        <v>98.628647603084715</v>
      </c>
      <c r="O16" s="110">
        <v>122.21226896580443</v>
      </c>
      <c r="P16" s="110"/>
      <c r="Q16" s="110">
        <v>19.293982286924702</v>
      </c>
      <c r="R16" s="110">
        <v>102.91828667887972</v>
      </c>
      <c r="S16" s="110"/>
      <c r="T16" s="110"/>
      <c r="U16" s="110">
        <v>19.293982286924702</v>
      </c>
      <c r="V16" s="110"/>
      <c r="W16" s="110"/>
      <c r="X16" s="110"/>
      <c r="Y16" s="110"/>
      <c r="Z16" s="110"/>
      <c r="AA16" s="110"/>
      <c r="AB16" s="110">
        <v>98.628647603084715</v>
      </c>
      <c r="AC16" s="110"/>
      <c r="AD16" s="110"/>
      <c r="AE16" s="110"/>
      <c r="AF16" s="110">
        <v>102.91828667887972</v>
      </c>
      <c r="AG16" s="110"/>
      <c r="AH16" s="110"/>
      <c r="AI16" s="110">
        <v>19.293982286924702</v>
      </c>
      <c r="AJ16" s="110"/>
      <c r="AK16" s="110"/>
      <c r="AL16" s="110">
        <v>102.91828667887972</v>
      </c>
      <c r="AM16" s="110">
        <v>19.293982286924702</v>
      </c>
      <c r="AN16" s="110"/>
      <c r="AO16" s="110"/>
      <c r="AP16" s="110">
        <v>98.628647603084715</v>
      </c>
      <c r="AQ16" s="110">
        <v>102.91828667887972</v>
      </c>
      <c r="AR16" s="110">
        <v>102.91828667887972</v>
      </c>
      <c r="AS16" s="110">
        <v>102.91828667887972</v>
      </c>
      <c r="AT16" s="110"/>
      <c r="AU16" s="110">
        <v>19.293982286924702</v>
      </c>
      <c r="AV16" s="110">
        <v>0</v>
      </c>
      <c r="AW16" s="110"/>
      <c r="AX16" s="110">
        <v>98.628647603084715</v>
      </c>
      <c r="AY16" s="110">
        <v>0</v>
      </c>
      <c r="BA16" s="100">
        <v>0</v>
      </c>
    </row>
    <row r="17" spans="1:54">
      <c r="A17" s="110"/>
      <c r="B17" s="119">
        <v>3</v>
      </c>
      <c r="C17" s="109" t="s">
        <v>293</v>
      </c>
      <c r="D17" s="106"/>
      <c r="E17" s="110"/>
      <c r="F17" s="110">
        <v>0</v>
      </c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>
        <v>98.628647603084715</v>
      </c>
      <c r="R17" s="110"/>
      <c r="S17" s="110"/>
      <c r="T17" s="110"/>
      <c r="U17" s="110"/>
      <c r="V17" s="110">
        <v>82.335205598528447</v>
      </c>
      <c r="W17" s="110"/>
      <c r="X17" s="110"/>
      <c r="Y17" s="110">
        <v>98.628647603084715</v>
      </c>
      <c r="Z17" s="110"/>
      <c r="AA17" s="110"/>
      <c r="AB17" s="110"/>
      <c r="AC17" s="110"/>
      <c r="AD17" s="110"/>
      <c r="AE17" s="110"/>
      <c r="AF17" s="110"/>
      <c r="AG17" s="110"/>
      <c r="AH17" s="110"/>
      <c r="AI17" s="110"/>
      <c r="AJ17" s="110"/>
      <c r="AK17" s="110">
        <v>201.54693428196444</v>
      </c>
      <c r="AL17" s="110"/>
      <c r="AM17" s="110"/>
      <c r="AN17" s="110"/>
      <c r="AO17" s="110"/>
      <c r="AP17" s="110"/>
      <c r="AQ17" s="110"/>
      <c r="AR17" s="110"/>
      <c r="AS17" s="110">
        <v>98.628647603084715</v>
      </c>
      <c r="AT17" s="110"/>
      <c r="AU17" s="110"/>
      <c r="AV17" s="110"/>
      <c r="AW17" s="110"/>
      <c r="AX17" s="110"/>
      <c r="AY17" s="110"/>
      <c r="BB17" s="100">
        <v>0</v>
      </c>
    </row>
    <row r="18" spans="1:54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4">
      <c r="A20" s="102" t="s">
        <v>294</v>
      </c>
    </row>
    <row r="21" spans="1:54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4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4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>
        <v>0.74478122454638651</v>
      </c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4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5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4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4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4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4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4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4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4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>
        <v>0</v>
      </c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4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>
        <v>0</v>
      </c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>
        <v>0</v>
      </c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5.7447812245463865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160</v>
      </c>
      <c r="D95" s="110">
        <v>112</v>
      </c>
      <c r="E95" s="110">
        <v>112</v>
      </c>
      <c r="F95" s="110">
        <v>112</v>
      </c>
      <c r="G95" s="110">
        <v>112</v>
      </c>
      <c r="H95" s="110">
        <v>140</v>
      </c>
      <c r="I95" s="110">
        <v>140</v>
      </c>
      <c r="J95" s="110">
        <v>140</v>
      </c>
      <c r="K95" s="110">
        <v>140</v>
      </c>
      <c r="L95" s="110">
        <v>140</v>
      </c>
      <c r="M95" s="110">
        <v>140</v>
      </c>
      <c r="N95" s="110">
        <v>140</v>
      </c>
      <c r="O95" s="110">
        <v>140</v>
      </c>
      <c r="P95" s="110">
        <v>112</v>
      </c>
      <c r="Q95" s="110">
        <v>112</v>
      </c>
      <c r="R95" s="110">
        <v>112</v>
      </c>
      <c r="S95" s="110">
        <v>112</v>
      </c>
      <c r="T95" s="110">
        <v>140</v>
      </c>
      <c r="U95" s="110">
        <v>140</v>
      </c>
      <c r="V95" s="110">
        <v>140</v>
      </c>
      <c r="W95" s="110">
        <v>140</v>
      </c>
      <c r="X95" s="110">
        <v>140</v>
      </c>
      <c r="Y95" s="110">
        <v>140</v>
      </c>
      <c r="Z95" s="110">
        <v>140</v>
      </c>
      <c r="AA95" s="110">
        <v>140</v>
      </c>
      <c r="AB95" s="110">
        <v>140</v>
      </c>
      <c r="AC95" s="110">
        <v>140</v>
      </c>
      <c r="AD95" s="110">
        <v>140</v>
      </c>
      <c r="AE95" s="110">
        <v>140</v>
      </c>
      <c r="AF95" s="110">
        <v>140</v>
      </c>
      <c r="AG95" s="110">
        <v>140</v>
      </c>
      <c r="AH95" s="110">
        <v>140</v>
      </c>
      <c r="AI95" s="110">
        <v>140</v>
      </c>
      <c r="AJ95" s="110">
        <v>168</v>
      </c>
      <c r="AK95" s="110">
        <v>168</v>
      </c>
      <c r="AL95" s="110">
        <v>168</v>
      </c>
      <c r="AM95" s="110">
        <v>168</v>
      </c>
      <c r="AN95" s="110">
        <v>140</v>
      </c>
      <c r="AO95" s="110">
        <v>140</v>
      </c>
      <c r="AP95" s="110">
        <v>140</v>
      </c>
      <c r="AQ95" s="110">
        <v>140</v>
      </c>
      <c r="AR95" s="110">
        <v>140</v>
      </c>
      <c r="AS95" s="110">
        <v>140</v>
      </c>
      <c r="AT95" s="110">
        <v>140</v>
      </c>
      <c r="AU95" s="110">
        <v>140</v>
      </c>
      <c r="AV95" s="110">
        <v>140</v>
      </c>
      <c r="AW95" s="110">
        <v>140</v>
      </c>
      <c r="AX95" s="110">
        <v>140</v>
      </c>
      <c r="AY95" s="110">
        <v>140</v>
      </c>
    </row>
    <row r="96" spans="1:52">
      <c r="A96" s="109"/>
      <c r="B96" s="120">
        <v>2</v>
      </c>
      <c r="C96" s="110">
        <v>160</v>
      </c>
      <c r="D96" s="110">
        <v>160</v>
      </c>
      <c r="E96" s="110">
        <v>112</v>
      </c>
      <c r="F96" s="110">
        <v>112</v>
      </c>
      <c r="G96" s="110">
        <v>112</v>
      </c>
      <c r="H96" s="110">
        <v>112</v>
      </c>
      <c r="I96" s="110">
        <v>140</v>
      </c>
      <c r="J96" s="110">
        <v>140</v>
      </c>
      <c r="K96" s="110">
        <v>140</v>
      </c>
      <c r="L96" s="110">
        <v>140</v>
      </c>
      <c r="M96" s="110">
        <v>140</v>
      </c>
      <c r="N96" s="110">
        <v>140</v>
      </c>
      <c r="O96" s="110">
        <v>140</v>
      </c>
      <c r="P96" s="110">
        <v>140</v>
      </c>
      <c r="Q96" s="110">
        <v>112</v>
      </c>
      <c r="R96" s="110">
        <v>112</v>
      </c>
      <c r="S96" s="110">
        <v>112</v>
      </c>
      <c r="T96" s="110">
        <v>112</v>
      </c>
      <c r="U96" s="110">
        <v>140</v>
      </c>
      <c r="V96" s="110">
        <v>140</v>
      </c>
      <c r="W96" s="110">
        <v>140</v>
      </c>
      <c r="X96" s="110">
        <v>140</v>
      </c>
      <c r="Y96" s="110">
        <v>140</v>
      </c>
      <c r="Z96" s="110">
        <v>140</v>
      </c>
      <c r="AA96" s="110">
        <v>140</v>
      </c>
      <c r="AB96" s="110">
        <v>140</v>
      </c>
      <c r="AC96" s="110">
        <v>140</v>
      </c>
      <c r="AD96" s="110">
        <v>140</v>
      </c>
      <c r="AE96" s="110">
        <v>140</v>
      </c>
      <c r="AF96" s="110">
        <v>140</v>
      </c>
      <c r="AG96" s="110">
        <v>140</v>
      </c>
      <c r="AH96" s="110">
        <v>140</v>
      </c>
      <c r="AI96" s="110">
        <v>129.25521877545361</v>
      </c>
      <c r="AJ96" s="110">
        <v>86.255218775453613</v>
      </c>
      <c r="AK96" s="110">
        <v>117.25521877545361</v>
      </c>
      <c r="AL96" s="110">
        <v>148.25521877545361</v>
      </c>
      <c r="AM96" s="110">
        <v>136.25521877545361</v>
      </c>
      <c r="AN96" s="110">
        <v>129.25521877545361</v>
      </c>
      <c r="AO96" s="110">
        <v>140</v>
      </c>
      <c r="AP96" s="110">
        <v>140</v>
      </c>
      <c r="AQ96" s="110">
        <v>140</v>
      </c>
      <c r="AR96" s="110">
        <v>131.25521877545361</v>
      </c>
      <c r="AS96" s="110">
        <v>109.25521877545361</v>
      </c>
      <c r="AT96" s="110">
        <v>68.255218775453613</v>
      </c>
      <c r="AU96" s="110">
        <v>77.255218775453613</v>
      </c>
      <c r="AV96" s="110">
        <v>73.255218775453613</v>
      </c>
      <c r="AW96" s="110">
        <v>58.255218775453613</v>
      </c>
      <c r="AX96" s="110">
        <v>1.2552187754536135</v>
      </c>
      <c r="AY96" s="110">
        <v>22.255218775453613</v>
      </c>
    </row>
    <row r="97" spans="1:52">
      <c r="A97" s="109"/>
      <c r="B97" s="127">
        <v>3</v>
      </c>
      <c r="C97" s="110">
        <v>160</v>
      </c>
      <c r="D97" s="110">
        <v>160</v>
      </c>
      <c r="E97" s="110">
        <v>160</v>
      </c>
      <c r="F97" s="110">
        <v>112</v>
      </c>
      <c r="G97" s="110">
        <v>112</v>
      </c>
      <c r="H97" s="110">
        <v>112</v>
      </c>
      <c r="I97" s="110">
        <v>112</v>
      </c>
      <c r="J97" s="110">
        <v>139.25521877545361</v>
      </c>
      <c r="K97" s="110">
        <v>140</v>
      </c>
      <c r="L97" s="110">
        <v>140</v>
      </c>
      <c r="M97" s="110">
        <v>108.25521877545361</v>
      </c>
      <c r="N97" s="110">
        <v>140</v>
      </c>
      <c r="O97" s="110">
        <v>140</v>
      </c>
      <c r="P97" s="110">
        <v>140</v>
      </c>
      <c r="Q97" s="110">
        <v>140</v>
      </c>
      <c r="R97" s="110">
        <v>112</v>
      </c>
      <c r="S97" s="110">
        <v>112</v>
      </c>
      <c r="T97" s="110">
        <v>53.255218775453613</v>
      </c>
      <c r="U97" s="110">
        <v>47.255218775453613</v>
      </c>
      <c r="V97" s="110">
        <v>81.255218775453613</v>
      </c>
      <c r="W97" s="110">
        <v>61.255218775453613</v>
      </c>
      <c r="X97" s="110">
        <v>95.255218775453613</v>
      </c>
      <c r="Y97" s="110">
        <v>119.25521877545361</v>
      </c>
      <c r="Z97" s="110">
        <v>139.25521877545361</v>
      </c>
      <c r="AA97" s="110">
        <v>140</v>
      </c>
      <c r="AB97" s="110">
        <v>132.25521877545361</v>
      </c>
      <c r="AC97" s="110">
        <v>105.25521877545361</v>
      </c>
      <c r="AD97" s="110">
        <v>119.25521877545361</v>
      </c>
      <c r="AE97" s="110">
        <v>140</v>
      </c>
      <c r="AF97" s="110">
        <v>85.255218775453613</v>
      </c>
      <c r="AG97" s="110">
        <v>44.255218775453613</v>
      </c>
      <c r="AH97" s="110">
        <v>2.2552187754536135</v>
      </c>
      <c r="AI97" s="110">
        <v>0</v>
      </c>
      <c r="AJ97" s="110">
        <v>0</v>
      </c>
      <c r="AK97" s="110">
        <v>0</v>
      </c>
      <c r="AL97" s="110">
        <v>0</v>
      </c>
      <c r="AM97" s="110">
        <v>0</v>
      </c>
      <c r="AN97" s="110">
        <v>0</v>
      </c>
      <c r="AO97" s="110">
        <v>6.2552187754536135</v>
      </c>
      <c r="AP97" s="110">
        <v>30.255218775453613</v>
      </c>
      <c r="AQ97" s="110">
        <v>16.255218775453613</v>
      </c>
      <c r="AR97" s="110">
        <v>0</v>
      </c>
      <c r="AS97" s="110">
        <v>0</v>
      </c>
      <c r="AT97" s="110">
        <v>0</v>
      </c>
      <c r="AU97" s="110">
        <v>0</v>
      </c>
      <c r="AV97" s="110">
        <v>0</v>
      </c>
      <c r="AW97" s="110">
        <v>0</v>
      </c>
      <c r="AX97" s="110">
        <v>0</v>
      </c>
      <c r="AY97" s="110">
        <v>0</v>
      </c>
    </row>
    <row r="98" spans="1:52">
      <c r="A98" s="109"/>
      <c r="B98" s="130">
        <v>4</v>
      </c>
      <c r="C98" s="106">
        <v>138.13385274332791</v>
      </c>
      <c r="D98" s="110">
        <v>158.13385274332791</v>
      </c>
      <c r="E98" s="110">
        <v>160</v>
      </c>
      <c r="F98" s="110">
        <v>160</v>
      </c>
      <c r="G98" s="110">
        <v>112</v>
      </c>
      <c r="H98" s="110">
        <v>73</v>
      </c>
      <c r="I98" s="110">
        <v>27</v>
      </c>
      <c r="J98" s="110">
        <v>0</v>
      </c>
      <c r="K98" s="110">
        <v>16.255218775453613</v>
      </c>
      <c r="L98" s="110">
        <v>12.255218775453613</v>
      </c>
      <c r="M98" s="110">
        <v>0</v>
      </c>
      <c r="N98" s="110">
        <v>4.2552187754536135</v>
      </c>
      <c r="O98" s="110">
        <v>19.255218775453613</v>
      </c>
      <c r="P98" s="110">
        <v>20.255218775453613</v>
      </c>
      <c r="Q98" s="110">
        <v>26.255218775453613</v>
      </c>
      <c r="R98" s="110">
        <v>44.255218775453613</v>
      </c>
      <c r="S98" s="110">
        <v>19.255218775453613</v>
      </c>
      <c r="T98" s="110">
        <v>0</v>
      </c>
      <c r="U98" s="110">
        <v>0</v>
      </c>
      <c r="V98" s="110">
        <v>0</v>
      </c>
      <c r="W98" s="110">
        <v>0</v>
      </c>
      <c r="X98" s="110">
        <v>0</v>
      </c>
      <c r="Y98" s="110">
        <v>0</v>
      </c>
      <c r="Z98" s="110">
        <v>0</v>
      </c>
      <c r="AA98" s="110">
        <v>10.255218775453613</v>
      </c>
      <c r="AB98" s="110">
        <v>0</v>
      </c>
      <c r="AC98" s="110">
        <v>0</v>
      </c>
      <c r="AD98" s="110">
        <v>0</v>
      </c>
      <c r="AE98" s="110">
        <v>0.25521877545361349</v>
      </c>
      <c r="AF98" s="110">
        <v>0</v>
      </c>
      <c r="AG98" s="110">
        <v>0</v>
      </c>
      <c r="AH98" s="110">
        <v>0</v>
      </c>
      <c r="AI98" s="110">
        <v>0</v>
      </c>
      <c r="AJ98" s="110">
        <v>0</v>
      </c>
      <c r="AK98" s="110">
        <v>0</v>
      </c>
      <c r="AL98" s="110">
        <v>0</v>
      </c>
      <c r="AM98" s="110">
        <v>0</v>
      </c>
      <c r="AN98" s="110">
        <v>0</v>
      </c>
      <c r="AO98" s="110">
        <v>0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25.133852743327907</v>
      </c>
      <c r="F99" s="125">
        <v>4</v>
      </c>
      <c r="G99" s="125">
        <v>25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54.133852743327907</v>
      </c>
    </row>
    <row r="100" spans="1:52">
      <c r="A100" s="131" t="s">
        <v>133</v>
      </c>
      <c r="B100" s="119">
        <v>1</v>
      </c>
      <c r="C100" s="106">
        <v>161.11320608685071</v>
      </c>
      <c r="D100" s="106">
        <v>75.547175652597446</v>
      </c>
      <c r="E100" s="106">
        <v>195.13176099803979</v>
      </c>
      <c r="F100" s="106">
        <v>179.99999999999875</v>
      </c>
      <c r="G100" s="106">
        <v>0</v>
      </c>
      <c r="H100" s="106">
        <v>179.99999999999875</v>
      </c>
      <c r="I100" s="106">
        <v>179.99999999999875</v>
      </c>
      <c r="J100" s="106">
        <v>179.99999999999875</v>
      </c>
      <c r="K100" s="106">
        <v>92.149041474976514</v>
      </c>
      <c r="L100" s="106">
        <v>70.665334683839973</v>
      </c>
      <c r="M100" s="106">
        <v>92.149041474976514</v>
      </c>
      <c r="N100" s="106">
        <v>70.665334683839973</v>
      </c>
      <c r="O100" s="106">
        <v>92.149041474976514</v>
      </c>
      <c r="P100" s="106">
        <v>162.81437615881649</v>
      </c>
      <c r="Q100" s="106">
        <v>87.850958525022222</v>
      </c>
      <c r="R100" s="106">
        <v>87.850958525022222</v>
      </c>
      <c r="S100" s="106">
        <v>235.29045679849082</v>
      </c>
      <c r="T100" s="106">
        <v>70.665334683839973</v>
      </c>
      <c r="U100" s="106">
        <v>87.850958525022222</v>
      </c>
      <c r="V100" s="106">
        <v>253.71974913673307</v>
      </c>
      <c r="W100" s="106">
        <v>92.149041474976514</v>
      </c>
      <c r="X100" s="106">
        <v>179.99999999999875</v>
      </c>
      <c r="Y100" s="106">
        <v>179.99999999999875</v>
      </c>
      <c r="Z100" s="106">
        <v>179.99999999999875</v>
      </c>
      <c r="AA100" s="106">
        <v>92.149041474976514</v>
      </c>
      <c r="AB100" s="106">
        <v>179.99999999999875</v>
      </c>
      <c r="AC100" s="106">
        <v>179.99999999999875</v>
      </c>
      <c r="AD100" s="106">
        <v>179.99999999999875</v>
      </c>
      <c r="AE100" s="106">
        <v>87.850958525022222</v>
      </c>
      <c r="AF100" s="106">
        <v>179.99999999999875</v>
      </c>
      <c r="AG100" s="106">
        <v>179.99999999999875</v>
      </c>
      <c r="AH100" s="106">
        <v>162.81437615881649</v>
      </c>
      <c r="AI100" s="106">
        <v>0</v>
      </c>
      <c r="AJ100" s="106">
        <v>179.99999999999875</v>
      </c>
      <c r="AK100" s="106">
        <v>87.850958525022222</v>
      </c>
      <c r="AL100" s="106">
        <v>162.81437615881649</v>
      </c>
      <c r="AM100" s="106">
        <v>179.99999999999875</v>
      </c>
      <c r="AN100" s="106">
        <v>179.99999999999875</v>
      </c>
      <c r="AO100" s="106">
        <v>92.149041474976514</v>
      </c>
      <c r="AP100" s="106">
        <v>87.850958525022222</v>
      </c>
      <c r="AQ100" s="106">
        <v>0</v>
      </c>
      <c r="AR100" s="106">
        <v>87.850958525022222</v>
      </c>
      <c r="AS100" s="106">
        <v>179.99999999999875</v>
      </c>
      <c r="AT100" s="106">
        <v>162.81437615881649</v>
      </c>
      <c r="AU100" s="106">
        <v>92.149041474976514</v>
      </c>
      <c r="AV100" s="106">
        <v>179.99999999999872</v>
      </c>
      <c r="AW100" s="106">
        <v>92.149041474976514</v>
      </c>
      <c r="AX100" s="106">
        <v>179.99999999999872</v>
      </c>
      <c r="AY100" s="106">
        <v>179.99999999999875</v>
      </c>
    </row>
    <row r="101" spans="1:52">
      <c r="A101" s="109"/>
      <c r="B101" s="119">
        <v>2</v>
      </c>
      <c r="C101" s="106">
        <v>64.547175652597517</v>
      </c>
      <c r="D101" s="106">
        <v>26.660381739448212</v>
      </c>
      <c r="E101" s="106">
        <v>0</v>
      </c>
      <c r="F101" s="106">
        <v>64.693334936128451</v>
      </c>
      <c r="G101" s="106">
        <v>58.693334936127201</v>
      </c>
      <c r="H101" s="106">
        <v>179.99999999999875</v>
      </c>
      <c r="I101" s="106">
        <v>179.99999999999875</v>
      </c>
      <c r="J101" s="106">
        <v>179.99999999999875</v>
      </c>
      <c r="K101" s="106">
        <v>179.99999999999875</v>
      </c>
      <c r="L101" s="106">
        <v>179.99999999999875</v>
      </c>
      <c r="M101" s="106">
        <v>179.99999999999875</v>
      </c>
      <c r="N101" s="106">
        <v>179.99999999999875</v>
      </c>
      <c r="O101" s="106">
        <v>176.99999999999</v>
      </c>
      <c r="P101" s="106">
        <v>49.149041474966509</v>
      </c>
      <c r="Q101" s="106">
        <v>56.149041474965259</v>
      </c>
      <c r="R101" s="106">
        <v>145.99999999998624</v>
      </c>
      <c r="S101" s="106">
        <v>30.850958525008465</v>
      </c>
      <c r="T101" s="106">
        <v>85.141415323499302</v>
      </c>
      <c r="U101" s="106">
        <v>17.185623841182249</v>
      </c>
      <c r="V101" s="106">
        <v>0</v>
      </c>
      <c r="W101" s="106">
        <v>139.43949827346736</v>
      </c>
      <c r="X101" s="106">
        <v>18.588539748443878</v>
      </c>
      <c r="Y101" s="106">
        <v>0</v>
      </c>
      <c r="Z101" s="106">
        <v>64.850958525020971</v>
      </c>
      <c r="AA101" s="106">
        <v>103.85095852501972</v>
      </c>
      <c r="AB101" s="106">
        <v>148.85095852501848</v>
      </c>
      <c r="AC101" s="106">
        <v>86.850958525017234</v>
      </c>
      <c r="AD101" s="106">
        <v>94.850958525015983</v>
      </c>
      <c r="AE101" s="106">
        <v>69.850958525014732</v>
      </c>
      <c r="AF101" s="106">
        <v>92.149041474976528</v>
      </c>
      <c r="AG101" s="106">
        <v>60.149041474975277</v>
      </c>
      <c r="AH101" s="106">
        <v>55.149041474974027</v>
      </c>
      <c r="AI101" s="106">
        <v>100.14904147497278</v>
      </c>
      <c r="AJ101" s="106">
        <v>0</v>
      </c>
      <c r="AK101" s="106">
        <v>0</v>
      </c>
      <c r="AL101" s="106">
        <v>157.9999999999975</v>
      </c>
      <c r="AM101" s="106">
        <v>179.99999999999875</v>
      </c>
      <c r="AN101" s="106">
        <v>175.999999999995</v>
      </c>
      <c r="AO101" s="106">
        <v>179.99999999999875</v>
      </c>
      <c r="AP101" s="106">
        <v>175.9999999999925</v>
      </c>
      <c r="AQ101" s="106">
        <v>179.99999999999875</v>
      </c>
      <c r="AR101" s="106">
        <v>92.149041474976514</v>
      </c>
      <c r="AS101" s="106">
        <v>92.149041474976528</v>
      </c>
      <c r="AT101" s="106">
        <v>179.99999999999875</v>
      </c>
      <c r="AU101" s="106">
        <v>179.99999999999875</v>
      </c>
      <c r="AV101" s="106">
        <v>64.149041474972762</v>
      </c>
      <c r="AW101" s="106">
        <v>99.149041474971483</v>
      </c>
      <c r="AX101" s="106">
        <v>87.850958525022236</v>
      </c>
      <c r="AY101" s="106">
        <v>76.850958525020957</v>
      </c>
    </row>
    <row r="102" spans="1:52">
      <c r="A102" s="109"/>
      <c r="B102" s="120">
        <v>3</v>
      </c>
      <c r="C102" s="106">
        <v>0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23.999999999998749</v>
      </c>
      <c r="J102" s="106">
        <v>42.999999999997499</v>
      </c>
      <c r="K102" s="106">
        <v>86.999999999996248</v>
      </c>
      <c r="L102" s="106">
        <v>119.999999999995</v>
      </c>
      <c r="M102" s="106">
        <v>83.999999999993747</v>
      </c>
      <c r="N102" s="106">
        <v>46.999999999992497</v>
      </c>
      <c r="O102" s="106">
        <v>0</v>
      </c>
      <c r="P102" s="106">
        <v>0</v>
      </c>
      <c r="Q102" s="106">
        <v>87.850958525022236</v>
      </c>
      <c r="R102" s="106">
        <v>0</v>
      </c>
      <c r="S102" s="106">
        <v>0</v>
      </c>
      <c r="T102" s="106">
        <v>0</v>
      </c>
      <c r="U102" s="106">
        <v>0</v>
      </c>
      <c r="V102" s="106">
        <v>73.719749136734293</v>
      </c>
      <c r="W102" s="106">
        <v>0</v>
      </c>
      <c r="X102" s="106">
        <v>0</v>
      </c>
      <c r="Y102" s="106">
        <v>87.850958525022222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179.99999999999875</v>
      </c>
      <c r="AL102" s="106">
        <v>0</v>
      </c>
      <c r="AM102" s="106">
        <v>2.9999999999974989</v>
      </c>
      <c r="AN102" s="106">
        <v>0</v>
      </c>
      <c r="AO102" s="106">
        <v>13.999999999994998</v>
      </c>
      <c r="AP102" s="106">
        <v>0</v>
      </c>
      <c r="AQ102" s="106">
        <v>13.999999999992497</v>
      </c>
      <c r="AR102" s="106">
        <v>34.999999999991246</v>
      </c>
      <c r="AS102" s="106">
        <v>87.850958525022236</v>
      </c>
      <c r="AT102" s="106">
        <v>40.999999999998764</v>
      </c>
      <c r="AU102" s="106">
        <v>55.999999999997513</v>
      </c>
      <c r="AV102" s="106">
        <v>0</v>
      </c>
      <c r="AW102" s="106">
        <v>0</v>
      </c>
      <c r="AX102" s="106">
        <v>0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101.55537472663801</v>
      </c>
      <c r="D109" s="106">
        <v>68.073862457800715</v>
      </c>
      <c r="E109" s="106">
        <v>25.929544561533717</v>
      </c>
      <c r="F109" s="106">
        <v>77.410458097976516</v>
      </c>
      <c r="G109" s="106">
        <v>80.555342996861498</v>
      </c>
      <c r="H109" s="106">
        <v>7.0507493031143396</v>
      </c>
      <c r="I109" s="106">
        <v>143.1193247335971</v>
      </c>
      <c r="J109" s="106">
        <v>122.86569477863368</v>
      </c>
      <c r="K109" s="106">
        <v>109.26655497765597</v>
      </c>
      <c r="L109" s="106">
        <v>58.022860933936499</v>
      </c>
      <c r="M109" s="106">
        <v>63.189316669403389</v>
      </c>
      <c r="N109" s="106">
        <v>88.026641461351275</v>
      </c>
      <c r="O109" s="106">
        <v>68.482535837895043</v>
      </c>
      <c r="P109" s="106">
        <v>87.535141022147315</v>
      </c>
      <c r="Q109" s="106">
        <v>74.304023969942719</v>
      </c>
      <c r="R109" s="106">
        <v>76.889528578605564</v>
      </c>
      <c r="S109" s="106">
        <v>71.562409519048231</v>
      </c>
      <c r="T109" s="106">
        <v>93.486789337614837</v>
      </c>
      <c r="U109" s="106">
        <v>40.892580177375208</v>
      </c>
      <c r="V109" s="106">
        <v>41.87256441885301</v>
      </c>
      <c r="W109" s="106">
        <v>130.02674039241114</v>
      </c>
      <c r="X109" s="106">
        <v>69.992227997957315</v>
      </c>
      <c r="Y109" s="106">
        <v>80.845818477967669</v>
      </c>
      <c r="Z109" s="106">
        <v>116.39448830954611</v>
      </c>
      <c r="AA109" s="106">
        <v>101.54249105181398</v>
      </c>
      <c r="AB109" s="106">
        <v>59.786867781001241</v>
      </c>
      <c r="AC109" s="106">
        <v>106.57937367880078</v>
      </c>
      <c r="AD109" s="106">
        <v>100.18265828644756</v>
      </c>
      <c r="AE109" s="106">
        <v>83.275638015043128</v>
      </c>
      <c r="AF109" s="106">
        <v>41.511924823794054</v>
      </c>
      <c r="AG109" s="106">
        <v>108.10236057384455</v>
      </c>
      <c r="AH109" s="106">
        <v>99.03469542317994</v>
      </c>
      <c r="AI109" s="106">
        <v>79.235524877640302</v>
      </c>
      <c r="AJ109" s="106">
        <v>6.8556002591004619</v>
      </c>
      <c r="AK109" s="106">
        <v>71.562409519048231</v>
      </c>
      <c r="AL109" s="106">
        <v>107.69341649553452</v>
      </c>
      <c r="AM109" s="106">
        <v>113.19413310778232</v>
      </c>
      <c r="AN109" s="106">
        <v>114.49437583334756</v>
      </c>
      <c r="AO109" s="106">
        <v>90.020875967436098</v>
      </c>
      <c r="AP109" s="106">
        <v>54.841138581224151</v>
      </c>
      <c r="AQ109" s="106">
        <v>70.039422624004473</v>
      </c>
      <c r="AR109" s="106">
        <v>36.545445359295691</v>
      </c>
      <c r="AS109" s="106">
        <v>71.562409519048231</v>
      </c>
      <c r="AT109" s="106">
        <v>153.34457524178544</v>
      </c>
      <c r="AU109" s="106">
        <v>108.58269252774176</v>
      </c>
      <c r="AV109" s="106">
        <v>79.698556133876707</v>
      </c>
      <c r="AW109" s="106">
        <v>71.562409519048231</v>
      </c>
      <c r="AX109" s="106">
        <v>42.226060881985717</v>
      </c>
      <c r="AY109" s="106">
        <v>106.57937367880078</v>
      </c>
    </row>
    <row r="110" spans="1:52">
      <c r="A110" s="109"/>
      <c r="B110" s="119">
        <v>2</v>
      </c>
      <c r="C110" s="106">
        <v>0</v>
      </c>
      <c r="D110" s="106">
        <v>32.555374726638007</v>
      </c>
      <c r="E110" s="106">
        <v>0</v>
      </c>
      <c r="F110" s="106">
        <v>0</v>
      </c>
      <c r="G110" s="106">
        <v>0</v>
      </c>
      <c r="H110" s="106">
        <v>0</v>
      </c>
      <c r="I110" s="106">
        <v>0</v>
      </c>
      <c r="J110" s="106">
        <v>47.119324733597097</v>
      </c>
      <c r="K110" s="106">
        <v>110.98501951223078</v>
      </c>
      <c r="L110" s="106">
        <v>109.26655497765597</v>
      </c>
      <c r="M110" s="106">
        <v>58.022860933936499</v>
      </c>
      <c r="N110" s="106">
        <v>63.189316669403389</v>
      </c>
      <c r="O110" s="106">
        <v>88.026641461351275</v>
      </c>
      <c r="P110" s="106">
        <v>68.482535837895043</v>
      </c>
      <c r="Q110" s="106">
        <v>87.535141022147315</v>
      </c>
      <c r="R110" s="106">
        <v>72.812094384562997</v>
      </c>
      <c r="S110" s="106">
        <v>74.70162296316856</v>
      </c>
      <c r="T110" s="106">
        <v>71.562409519048231</v>
      </c>
      <c r="U110" s="106">
        <v>93.486789337614837</v>
      </c>
      <c r="V110" s="106">
        <v>40.892580177375208</v>
      </c>
      <c r="W110" s="106">
        <v>41.87256441885301</v>
      </c>
      <c r="X110" s="106">
        <v>90.93701591718056</v>
      </c>
      <c r="Y110" s="106">
        <v>53.710253039961657</v>
      </c>
      <c r="Z110" s="106">
        <v>61.556071517929325</v>
      </c>
      <c r="AA110" s="106">
        <v>79.950559827475431</v>
      </c>
      <c r="AB110" s="106">
        <v>101.54249105181398</v>
      </c>
      <c r="AC110" s="106">
        <v>59.786867781001241</v>
      </c>
      <c r="AD110" s="106">
        <v>103.85929233909144</v>
      </c>
      <c r="AE110" s="106">
        <v>100.18265828644756</v>
      </c>
      <c r="AF110" s="106">
        <v>83.275638015043128</v>
      </c>
      <c r="AG110" s="106">
        <v>38.57203911569723</v>
      </c>
      <c r="AH110" s="106">
        <v>81.674399689541787</v>
      </c>
      <c r="AI110" s="106">
        <v>99.03469542317994</v>
      </c>
      <c r="AJ110" s="106">
        <v>79.235524877640302</v>
      </c>
      <c r="AK110" s="106">
        <v>6.8556002591004619</v>
      </c>
      <c r="AL110" s="106">
        <v>37.714713637000763</v>
      </c>
      <c r="AM110" s="106">
        <v>72.408130132535291</v>
      </c>
      <c r="AN110" s="106">
        <v>86.602263240317612</v>
      </c>
      <c r="AO110" s="106">
        <v>113.09663907366517</v>
      </c>
      <c r="AP110" s="106">
        <v>90.020875967436098</v>
      </c>
      <c r="AQ110" s="106">
        <v>54.841138581224151</v>
      </c>
      <c r="AR110" s="106">
        <v>62.998076246329894</v>
      </c>
      <c r="AS110" s="106">
        <v>14.343923160268233</v>
      </c>
      <c r="AT110" s="106">
        <v>13.906332679316463</v>
      </c>
      <c r="AU110" s="106">
        <v>70.250907921101899</v>
      </c>
      <c r="AV110" s="106">
        <v>108.58269252774176</v>
      </c>
      <c r="AW110" s="106">
        <v>79.698556133876707</v>
      </c>
      <c r="AX110" s="106">
        <v>69.534747384327162</v>
      </c>
      <c r="AY110" s="106">
        <v>4.7608082663128783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51.985019512230778</v>
      </c>
      <c r="M111" s="106">
        <v>79.25157448988675</v>
      </c>
      <c r="N111" s="106">
        <v>46.274435423823249</v>
      </c>
      <c r="O111" s="106">
        <v>11.463752093226638</v>
      </c>
      <c r="P111" s="106">
        <v>24.490393554577913</v>
      </c>
      <c r="Q111" s="106">
        <v>16.972929392472956</v>
      </c>
      <c r="R111" s="106">
        <v>0</v>
      </c>
      <c r="S111" s="106">
        <v>0</v>
      </c>
      <c r="T111" s="106">
        <v>16.70162296316856</v>
      </c>
      <c r="U111" s="106">
        <v>29.550302287003092</v>
      </c>
      <c r="V111" s="106">
        <v>25.145130928541207</v>
      </c>
      <c r="W111" s="106">
        <v>3.7711105916415022E-2</v>
      </c>
      <c r="X111" s="106">
        <v>0</v>
      </c>
      <c r="Y111" s="106">
        <v>0</v>
      </c>
      <c r="Z111" s="106">
        <v>0</v>
      </c>
      <c r="AA111" s="106">
        <v>0</v>
      </c>
      <c r="AB111" s="106">
        <v>3.9505598274754306</v>
      </c>
      <c r="AC111" s="106">
        <v>38.493050879289413</v>
      </c>
      <c r="AD111" s="106">
        <v>0</v>
      </c>
      <c r="AE111" s="106">
        <v>7.8592923390914393</v>
      </c>
      <c r="AF111" s="106">
        <v>15.784476276860048</v>
      </c>
      <c r="AG111" s="106">
        <v>0</v>
      </c>
      <c r="AH111" s="106">
        <v>0</v>
      </c>
      <c r="AI111" s="106">
        <v>18.674399689541787</v>
      </c>
      <c r="AJ111" s="106">
        <v>31.923370235566637</v>
      </c>
      <c r="AK111" s="106">
        <v>37.296703858852069</v>
      </c>
      <c r="AL111" s="106">
        <v>0</v>
      </c>
      <c r="AM111" s="106">
        <v>0</v>
      </c>
      <c r="AN111" s="106">
        <v>0</v>
      </c>
      <c r="AO111" s="106">
        <v>0</v>
      </c>
      <c r="AP111" s="106">
        <v>4.0966390736651732</v>
      </c>
      <c r="AQ111" s="106">
        <v>15.117515041101271</v>
      </c>
      <c r="AR111" s="106">
        <v>0</v>
      </c>
      <c r="AS111" s="106">
        <v>0</v>
      </c>
      <c r="AT111" s="106">
        <v>0</v>
      </c>
      <c r="AU111" s="106">
        <v>0</v>
      </c>
      <c r="AV111" s="106">
        <v>1.2509079211018985</v>
      </c>
      <c r="AW111" s="106">
        <v>14.833600448843654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155.43726581718812</v>
      </c>
      <c r="D122" s="106">
        <v>73.033056246702998</v>
      </c>
      <c r="E122" s="106">
        <v>218.0340008262051</v>
      </c>
      <c r="F122" s="106">
        <v>201.56240951904726</v>
      </c>
      <c r="G122" s="106">
        <v>1.5475237082838723E-2</v>
      </c>
      <c r="H122" s="106">
        <v>201.56240951904726</v>
      </c>
      <c r="I122" s="106">
        <v>201.56240951904726</v>
      </c>
      <c r="J122" s="106">
        <v>201.56240951904726</v>
      </c>
      <c r="K122" s="106">
        <v>102.93376191596256</v>
      </c>
      <c r="L122" s="106">
        <v>79.350140553242852</v>
      </c>
      <c r="M122" s="106">
        <v>102.93376191596256</v>
      </c>
      <c r="N122" s="106">
        <v>79.350140553242852</v>
      </c>
      <c r="O122" s="106">
        <v>102.93376191596256</v>
      </c>
      <c r="P122" s="106">
        <v>182.26842723212258</v>
      </c>
      <c r="Q122" s="106">
        <v>98.644122840167555</v>
      </c>
      <c r="R122" s="106">
        <v>98.644122840167555</v>
      </c>
      <c r="S122" s="106">
        <v>263.31453403722446</v>
      </c>
      <c r="T122" s="106">
        <v>79.350140553242852</v>
      </c>
      <c r="U122" s="106">
        <v>98.644122840167555</v>
      </c>
      <c r="V122" s="106">
        <v>283.89761511757575</v>
      </c>
      <c r="W122" s="106">
        <v>102.93376191596256</v>
      </c>
      <c r="X122" s="106">
        <v>201.56240951904726</v>
      </c>
      <c r="Y122" s="106">
        <v>201.56240951904726</v>
      </c>
      <c r="Z122" s="106">
        <v>201.56240951904726</v>
      </c>
      <c r="AA122" s="106">
        <v>102.93376191596256</v>
      </c>
      <c r="AB122" s="106">
        <v>201.56240951904726</v>
      </c>
      <c r="AC122" s="106">
        <v>201.56240951904726</v>
      </c>
      <c r="AD122" s="106">
        <v>201.56240951904726</v>
      </c>
      <c r="AE122" s="106">
        <v>98.644122840167555</v>
      </c>
      <c r="AF122" s="106">
        <v>201.56240951904726</v>
      </c>
      <c r="AG122" s="106">
        <v>201.56240951904726</v>
      </c>
      <c r="AH122" s="106">
        <v>182.26842723212258</v>
      </c>
      <c r="AI122" s="106">
        <v>1.5475237082838723E-2</v>
      </c>
      <c r="AJ122" s="106">
        <v>201.56240951904726</v>
      </c>
      <c r="AK122" s="106">
        <v>98.644122840167555</v>
      </c>
      <c r="AL122" s="106">
        <v>182.26842723212258</v>
      </c>
      <c r="AM122" s="106">
        <v>201.56240951904726</v>
      </c>
      <c r="AN122" s="106">
        <v>201.56240951904726</v>
      </c>
      <c r="AO122" s="106">
        <v>102.93376191596256</v>
      </c>
      <c r="AP122" s="106">
        <v>98.644122840167555</v>
      </c>
      <c r="AQ122" s="106">
        <v>1.5475237082838723E-2</v>
      </c>
      <c r="AR122" s="106">
        <v>98.644122840167555</v>
      </c>
      <c r="AS122" s="106">
        <v>201.56240951904726</v>
      </c>
      <c r="AT122" s="106">
        <v>182.26842723212258</v>
      </c>
      <c r="AU122" s="106">
        <v>102.93376191596256</v>
      </c>
      <c r="AV122" s="106">
        <v>201.56240951904726</v>
      </c>
      <c r="AW122" s="106">
        <v>102.93376191596256</v>
      </c>
      <c r="AX122" s="106">
        <v>201.56240951904726</v>
      </c>
      <c r="AY122" s="106">
        <v>201.56240951904726</v>
      </c>
    </row>
    <row r="123" spans="1:52">
      <c r="A123" s="109"/>
      <c r="B123" s="119">
        <v>2</v>
      </c>
      <c r="C123" s="106">
        <v>9.9350845638246312</v>
      </c>
      <c r="D123" s="106">
        <v>0</v>
      </c>
      <c r="E123" s="106">
        <v>0</v>
      </c>
      <c r="F123" s="106">
        <v>25.329462110272658</v>
      </c>
      <c r="G123" s="106">
        <v>19.843638339468669</v>
      </c>
      <c r="H123" s="106">
        <v>201.54693428196444</v>
      </c>
      <c r="I123" s="106">
        <v>129.99999999999903</v>
      </c>
      <c r="J123" s="106">
        <v>106.19735219327326</v>
      </c>
      <c r="K123" s="106">
        <v>60.493206734664568</v>
      </c>
      <c r="L123" s="106">
        <v>98.628647603084715</v>
      </c>
      <c r="M123" s="106">
        <v>145.0017404527286</v>
      </c>
      <c r="N123" s="106">
        <v>113.5375085104246</v>
      </c>
      <c r="O123" s="106">
        <v>143.61738219157684</v>
      </c>
      <c r="P123" s="106">
        <v>27.016003085392086</v>
      </c>
      <c r="Q123" s="106">
        <v>19.293982286924688</v>
      </c>
      <c r="R123" s="106">
        <v>102.91828667887972</v>
      </c>
      <c r="S123" s="106">
        <v>0</v>
      </c>
      <c r="T123" s="106">
        <v>35.827744699609639</v>
      </c>
      <c r="U123" s="106">
        <v>19.293982286924695</v>
      </c>
      <c r="V123" s="106">
        <v>0</v>
      </c>
      <c r="W123" s="106">
        <v>94.206080323693044</v>
      </c>
      <c r="X123" s="106">
        <v>26.147614241698292</v>
      </c>
      <c r="Y123" s="106">
        <v>27.645214407601671</v>
      </c>
      <c r="Z123" s="106">
        <v>84.441783220187546</v>
      </c>
      <c r="AA123" s="106">
        <v>65.461701687420828</v>
      </c>
      <c r="AB123" s="106">
        <v>98.628647603084715</v>
      </c>
      <c r="AC123" s="106">
        <v>80.611683443331202</v>
      </c>
      <c r="AD123" s="106">
        <v>32.991434675930918</v>
      </c>
      <c r="AE123" s="106">
        <v>18.278206179935054</v>
      </c>
      <c r="AF123" s="106">
        <v>102.91828667887972</v>
      </c>
      <c r="AG123" s="106">
        <v>77.378335624082439</v>
      </c>
      <c r="AH123" s="106">
        <v>40.906049719949749</v>
      </c>
      <c r="AI123" s="106">
        <v>19.293982286924688</v>
      </c>
      <c r="AJ123" s="106">
        <v>0</v>
      </c>
      <c r="AK123" s="106">
        <v>3.1378087456441648</v>
      </c>
      <c r="AL123" s="106">
        <v>136.55373605112135</v>
      </c>
      <c r="AM123" s="106">
        <v>120.92201246238629</v>
      </c>
      <c r="AN123" s="106">
        <v>51.990046148086009</v>
      </c>
      <c r="AO123" s="106">
        <v>51.531579699697176</v>
      </c>
      <c r="AP123" s="106">
        <v>98.62864760308473</v>
      </c>
      <c r="AQ123" s="106">
        <v>102.91828667887972</v>
      </c>
      <c r="AR123" s="106">
        <v>102.91828667887972</v>
      </c>
      <c r="AS123" s="106">
        <v>131.71868823352139</v>
      </c>
      <c r="AT123" s="106">
        <v>123.56517011386796</v>
      </c>
      <c r="AU123" s="106">
        <v>121.54488710517347</v>
      </c>
      <c r="AV123" s="106">
        <v>0</v>
      </c>
      <c r="AW123" s="106">
        <v>15.999999999999034</v>
      </c>
      <c r="AX123" s="106">
        <v>98.628647603084715</v>
      </c>
      <c r="AY123" s="106">
        <v>74.611683443331202</v>
      </c>
    </row>
    <row r="124" spans="1:52">
      <c r="A124" s="109"/>
      <c r="B124" s="119">
        <v>3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14.50063745286063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98.628647603084715</v>
      </c>
      <c r="R124" s="106">
        <v>0</v>
      </c>
      <c r="S124" s="106">
        <v>0</v>
      </c>
      <c r="T124" s="106">
        <v>0</v>
      </c>
      <c r="U124" s="106">
        <v>0</v>
      </c>
      <c r="V124" s="106">
        <v>82.335205598528447</v>
      </c>
      <c r="W124" s="106">
        <v>0</v>
      </c>
      <c r="X124" s="106">
        <v>0</v>
      </c>
      <c r="Y124" s="106">
        <v>98.628647603084715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201.54693428196444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98.628647603084715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0.41163992832514418</v>
      </c>
      <c r="D172" s="134">
        <v>0.35503847016814771</v>
      </c>
      <c r="E172" s="134">
        <v>0.35503847016814771</v>
      </c>
      <c r="F172" s="134">
        <v>0.35503847016814771</v>
      </c>
      <c r="G172" s="134">
        <v>0.35503847016814771</v>
      </c>
      <c r="H172" s="134">
        <v>0.35503847016814771</v>
      </c>
      <c r="I172" s="134">
        <v>0.35503847016814771</v>
      </c>
      <c r="J172" s="134">
        <v>0.35503847016814771</v>
      </c>
      <c r="K172" s="134">
        <v>0.35503847016814771</v>
      </c>
      <c r="L172" s="134">
        <v>0.35503847016814771</v>
      </c>
      <c r="M172" s="134">
        <v>0.35503847016814771</v>
      </c>
      <c r="N172" s="134">
        <v>0.35503847016814771</v>
      </c>
      <c r="O172" s="134">
        <v>0.35503847016814771</v>
      </c>
      <c r="P172" s="134">
        <v>0.35503847016814771</v>
      </c>
      <c r="Q172" s="134">
        <v>0.35503847016814771</v>
      </c>
      <c r="R172" s="134">
        <v>0.35503847016814771</v>
      </c>
      <c r="S172" s="134">
        <v>0.35503847016814771</v>
      </c>
      <c r="T172" s="134">
        <v>0.35503847016814771</v>
      </c>
      <c r="U172" s="134">
        <v>0.35503847016814771</v>
      </c>
      <c r="V172" s="134">
        <v>0.35503847016814771</v>
      </c>
      <c r="W172" s="134">
        <v>0.35503847016814771</v>
      </c>
      <c r="X172" s="134">
        <v>0.35503847016814771</v>
      </c>
      <c r="Y172" s="134">
        <v>0.35503847016814771</v>
      </c>
      <c r="Z172" s="134">
        <v>0.35503847016814771</v>
      </c>
      <c r="AA172" s="134">
        <v>0.35503847016814771</v>
      </c>
      <c r="AB172" s="134">
        <v>0.35503847016814771</v>
      </c>
      <c r="AC172" s="134">
        <v>0.35503847016814771</v>
      </c>
      <c r="AD172" s="134">
        <v>0.35503847016814771</v>
      </c>
      <c r="AE172" s="134">
        <v>0.35503847016814771</v>
      </c>
      <c r="AF172" s="134">
        <v>0.35503847016814771</v>
      </c>
      <c r="AG172" s="134">
        <v>0.35503847016814771</v>
      </c>
      <c r="AH172" s="134">
        <v>0.35503847016814771</v>
      </c>
      <c r="AI172" s="134">
        <v>0.35503847016814771</v>
      </c>
      <c r="AJ172" s="134">
        <v>0.35503847016814771</v>
      </c>
      <c r="AK172" s="134">
        <v>0.35503847016814771</v>
      </c>
      <c r="AL172" s="134">
        <v>0.35503847016814771</v>
      </c>
      <c r="AM172" s="134">
        <v>0.35503847016814771</v>
      </c>
      <c r="AN172" s="134">
        <v>0.35503847016814771</v>
      </c>
      <c r="AO172" s="134">
        <v>0.35503847016814771</v>
      </c>
      <c r="AP172" s="134">
        <v>0.35503847016814771</v>
      </c>
      <c r="AQ172" s="134">
        <v>0.35503847016814771</v>
      </c>
      <c r="AR172" s="134">
        <v>0.35503847016814771</v>
      </c>
      <c r="AS172" s="134">
        <v>0.35503847016814771</v>
      </c>
      <c r="AT172" s="134">
        <v>0.35503847016814771</v>
      </c>
      <c r="AU172" s="134">
        <v>0.35503847016814771</v>
      </c>
      <c r="AV172" s="134">
        <v>0.35503847016814771</v>
      </c>
      <c r="AW172" s="134">
        <v>0.35503847016814771</v>
      </c>
      <c r="AX172" s="134">
        <v>0.35503847016814771</v>
      </c>
      <c r="AY172" s="134">
        <v>0.35503847016814771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590.13385274332791</v>
      </c>
      <c r="E175" s="124">
        <f t="shared" si="1"/>
        <v>544</v>
      </c>
      <c r="F175" s="124">
        <f t="shared" si="1"/>
        <v>496</v>
      </c>
      <c r="G175" s="124">
        <f t="shared" si="1"/>
        <v>448</v>
      </c>
      <c r="H175" s="124">
        <f t="shared" si="1"/>
        <v>437</v>
      </c>
      <c r="I175" s="124">
        <f t="shared" si="1"/>
        <v>419</v>
      </c>
      <c r="J175" s="124">
        <f t="shared" si="1"/>
        <v>419.25521877545361</v>
      </c>
      <c r="K175" s="124">
        <f t="shared" si="1"/>
        <v>436.25521877545361</v>
      </c>
      <c r="L175" s="124">
        <f t="shared" si="1"/>
        <v>432.25521877545361</v>
      </c>
      <c r="M175" s="124">
        <f t="shared" si="1"/>
        <v>388.25521877545361</v>
      </c>
      <c r="N175" s="124">
        <f t="shared" si="1"/>
        <v>424.25521877545361</v>
      </c>
      <c r="O175" s="124">
        <f t="shared" si="1"/>
        <v>439.25521877545361</v>
      </c>
      <c r="P175" s="124">
        <f t="shared" si="1"/>
        <v>412.25521877545361</v>
      </c>
      <c r="Q175" s="124">
        <f t="shared" si="1"/>
        <v>390.25521877545361</v>
      </c>
      <c r="R175" s="124">
        <f t="shared" si="1"/>
        <v>380.25521877545361</v>
      </c>
      <c r="S175" s="124">
        <f t="shared" si="1"/>
        <v>355.25521877545361</v>
      </c>
      <c r="T175" s="124">
        <f t="shared" si="1"/>
        <v>305.25521877545361</v>
      </c>
      <c r="U175" s="124">
        <f t="shared" si="1"/>
        <v>327.25521877545361</v>
      </c>
      <c r="V175" s="124">
        <f t="shared" si="1"/>
        <v>361.25521877545361</v>
      </c>
      <c r="W175" s="124">
        <f t="shared" si="1"/>
        <v>341.25521877545361</v>
      </c>
      <c r="X175" s="124">
        <f t="shared" si="1"/>
        <v>375.25521877545361</v>
      </c>
      <c r="Y175" s="124">
        <f t="shared" si="1"/>
        <v>399.25521877545361</v>
      </c>
      <c r="Z175" s="124">
        <f t="shared" si="1"/>
        <v>419.25521877545361</v>
      </c>
      <c r="AA175" s="124">
        <f t="shared" si="1"/>
        <v>430.25521877545361</v>
      </c>
      <c r="AB175" s="124">
        <f t="shared" si="1"/>
        <v>412.25521877545361</v>
      </c>
      <c r="AC175" s="124">
        <f t="shared" si="1"/>
        <v>385.25521877545361</v>
      </c>
      <c r="AD175" s="124">
        <f t="shared" si="1"/>
        <v>399.25521877545361</v>
      </c>
      <c r="AE175" s="124">
        <f t="shared" si="1"/>
        <v>420.25521877545361</v>
      </c>
      <c r="AF175" s="124">
        <f t="shared" si="1"/>
        <v>365.25521877545361</v>
      </c>
      <c r="AG175" s="124">
        <f t="shared" si="1"/>
        <v>324.25521877545361</v>
      </c>
      <c r="AH175" s="124">
        <f t="shared" si="1"/>
        <v>282.25521877545361</v>
      </c>
      <c r="AI175" s="124">
        <f t="shared" si="1"/>
        <v>269.25521877545361</v>
      </c>
      <c r="AJ175" s="124">
        <f t="shared" si="1"/>
        <v>254.25521877545361</v>
      </c>
      <c r="AK175" s="124">
        <f t="shared" si="1"/>
        <v>285.25521877545361</v>
      </c>
      <c r="AL175" s="124">
        <f t="shared" si="1"/>
        <v>316.25521877545361</v>
      </c>
      <c r="AM175" s="124">
        <f t="shared" si="1"/>
        <v>304.25521877545361</v>
      </c>
      <c r="AN175" s="124">
        <f t="shared" si="1"/>
        <v>269.25521877545361</v>
      </c>
      <c r="AO175" s="124">
        <f t="shared" si="1"/>
        <v>286.25521877545361</v>
      </c>
      <c r="AP175" s="124">
        <f t="shared" si="1"/>
        <v>310.25521877545361</v>
      </c>
      <c r="AQ175" s="124">
        <f t="shared" si="1"/>
        <v>296.25521877545361</v>
      </c>
      <c r="AR175" s="124">
        <f t="shared" si="1"/>
        <v>271.25521877545361</v>
      </c>
      <c r="AS175" s="124">
        <f t="shared" si="1"/>
        <v>249.25521877545361</v>
      </c>
      <c r="AT175" s="124">
        <f t="shared" si="1"/>
        <v>208.25521877545361</v>
      </c>
      <c r="AU175" s="124">
        <f t="shared" si="1"/>
        <v>217.25521877545361</v>
      </c>
      <c r="AV175" s="124">
        <f t="shared" si="1"/>
        <v>213.25521877545361</v>
      </c>
      <c r="AW175" s="124">
        <f t="shared" si="1"/>
        <v>198.25521877545361</v>
      </c>
      <c r="AX175" s="124">
        <f t="shared" si="1"/>
        <v>141.25521877545361</v>
      </c>
      <c r="AY175" s="124">
        <f t="shared" si="1"/>
        <v>162.25521877545361</v>
      </c>
    </row>
    <row r="176" spans="1:52">
      <c r="A176" s="125"/>
      <c r="B176" s="136" t="s">
        <v>299</v>
      </c>
      <c r="C176" s="125" t="s">
        <v>293</v>
      </c>
      <c r="D176" s="125">
        <v>133</v>
      </c>
      <c r="E176" s="125">
        <v>156</v>
      </c>
      <c r="F176" s="125">
        <v>135</v>
      </c>
      <c r="G176" s="125">
        <v>151</v>
      </c>
      <c r="H176" s="125">
        <v>158</v>
      </c>
      <c r="I176" s="125">
        <v>134</v>
      </c>
      <c r="J176" s="125">
        <v>123</v>
      </c>
      <c r="K176" s="125">
        <v>144</v>
      </c>
      <c r="L176" s="125">
        <v>184</v>
      </c>
      <c r="M176" s="125">
        <v>104</v>
      </c>
      <c r="N176" s="125">
        <v>125</v>
      </c>
      <c r="O176" s="125">
        <v>139</v>
      </c>
      <c r="P176" s="125">
        <v>134</v>
      </c>
      <c r="Q176" s="125">
        <v>122</v>
      </c>
      <c r="R176" s="125">
        <v>137</v>
      </c>
      <c r="S176" s="125">
        <v>190</v>
      </c>
      <c r="T176" s="125">
        <v>118</v>
      </c>
      <c r="U176" s="125">
        <v>106</v>
      </c>
      <c r="V176" s="125">
        <v>160</v>
      </c>
      <c r="W176" s="125">
        <v>106</v>
      </c>
      <c r="X176" s="125">
        <v>116</v>
      </c>
      <c r="Y176" s="125">
        <v>120</v>
      </c>
      <c r="Z176" s="125">
        <v>129</v>
      </c>
      <c r="AA176" s="125">
        <v>158</v>
      </c>
      <c r="AB176" s="125">
        <v>167</v>
      </c>
      <c r="AC176" s="125">
        <v>126</v>
      </c>
      <c r="AD176" s="125">
        <v>119</v>
      </c>
      <c r="AE176" s="125">
        <v>195</v>
      </c>
      <c r="AF176" s="125">
        <v>181</v>
      </c>
      <c r="AG176" s="125">
        <v>182</v>
      </c>
      <c r="AH176" s="125">
        <v>153</v>
      </c>
      <c r="AI176" s="125">
        <v>183</v>
      </c>
      <c r="AJ176" s="125">
        <v>137</v>
      </c>
      <c r="AK176" s="125">
        <v>137</v>
      </c>
      <c r="AL176" s="125">
        <v>180</v>
      </c>
      <c r="AM176" s="125">
        <v>175</v>
      </c>
      <c r="AN176" s="125">
        <v>123</v>
      </c>
      <c r="AO176" s="125">
        <v>116</v>
      </c>
      <c r="AP176" s="125">
        <v>154</v>
      </c>
      <c r="AQ176" s="125">
        <v>165</v>
      </c>
      <c r="AR176" s="125">
        <v>162</v>
      </c>
      <c r="AS176" s="125">
        <v>181</v>
      </c>
      <c r="AT176" s="125">
        <v>131</v>
      </c>
      <c r="AU176" s="125">
        <v>144</v>
      </c>
      <c r="AV176" s="125">
        <v>155</v>
      </c>
      <c r="AW176" s="125">
        <v>197</v>
      </c>
      <c r="AX176" s="125">
        <v>119</v>
      </c>
      <c r="AY176" s="125">
        <v>140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102.20755739204566</v>
      </c>
      <c r="E177" s="124">
        <f t="shared" si="2"/>
        <v>195.13176099803979</v>
      </c>
      <c r="F177" s="124">
        <f t="shared" si="2"/>
        <v>244.6933349361272</v>
      </c>
      <c r="G177" s="124">
        <f t="shared" si="2"/>
        <v>58.693334936127201</v>
      </c>
      <c r="H177" s="124">
        <f t="shared" si="2"/>
        <v>359.9999999999975</v>
      </c>
      <c r="I177" s="124">
        <f t="shared" si="2"/>
        <v>383.99999999999625</v>
      </c>
      <c r="J177" s="124">
        <f t="shared" si="2"/>
        <v>402.999999999995</v>
      </c>
      <c r="K177" s="124">
        <f t="shared" si="2"/>
        <v>359.14904147497151</v>
      </c>
      <c r="L177" s="124">
        <f t="shared" si="2"/>
        <v>370.66533468383375</v>
      </c>
      <c r="M177" s="124">
        <f t="shared" si="2"/>
        <v>356.14904147496901</v>
      </c>
      <c r="N177" s="124">
        <f t="shared" si="2"/>
        <v>297.66533468383125</v>
      </c>
      <c r="O177" s="124">
        <f t="shared" si="2"/>
        <v>269.14904147496651</v>
      </c>
      <c r="P177" s="124">
        <f t="shared" si="2"/>
        <v>211.963417633783</v>
      </c>
      <c r="Q177" s="124">
        <f t="shared" si="2"/>
        <v>231.85095852500973</v>
      </c>
      <c r="R177" s="124">
        <f t="shared" si="2"/>
        <v>233.85095852500848</v>
      </c>
      <c r="S177" s="124">
        <f t="shared" si="2"/>
        <v>266.1414153234993</v>
      </c>
      <c r="T177" s="124">
        <f t="shared" si="2"/>
        <v>155.80675000733928</v>
      </c>
      <c r="U177" s="124">
        <f t="shared" si="2"/>
        <v>105.03658236620447</v>
      </c>
      <c r="V177" s="124">
        <f t="shared" si="2"/>
        <v>327.43949827346739</v>
      </c>
      <c r="W177" s="124">
        <f t="shared" si="2"/>
        <v>231.58853974844388</v>
      </c>
      <c r="X177" s="124">
        <f t="shared" si="2"/>
        <v>198.58853974844263</v>
      </c>
      <c r="Y177" s="124">
        <f t="shared" si="2"/>
        <v>267.85095852502099</v>
      </c>
      <c r="Z177" s="124">
        <f t="shared" si="2"/>
        <v>244.85095852501973</v>
      </c>
      <c r="AA177" s="124">
        <f t="shared" si="2"/>
        <v>195.99999999999625</v>
      </c>
      <c r="AB177" s="124">
        <f t="shared" si="2"/>
        <v>328.85095852501723</v>
      </c>
      <c r="AC177" s="124">
        <f t="shared" si="2"/>
        <v>266.85095852501598</v>
      </c>
      <c r="AD177" s="124">
        <f t="shared" si="2"/>
        <v>274.85095852501473</v>
      </c>
      <c r="AE177" s="124">
        <f t="shared" si="2"/>
        <v>157.70191705003697</v>
      </c>
      <c r="AF177" s="124">
        <f t="shared" si="2"/>
        <v>272.14904147497526</v>
      </c>
      <c r="AG177" s="124">
        <f t="shared" si="2"/>
        <v>240.14904147497401</v>
      </c>
      <c r="AH177" s="124">
        <f t="shared" si="2"/>
        <v>217.96341763379053</v>
      </c>
      <c r="AI177" s="124">
        <f t="shared" si="2"/>
        <v>100.14904147497278</v>
      </c>
      <c r="AJ177" s="124">
        <f t="shared" si="2"/>
        <v>179.99999999999875</v>
      </c>
      <c r="AK177" s="124">
        <f t="shared" si="2"/>
        <v>267.85095852502099</v>
      </c>
      <c r="AL177" s="124">
        <f t="shared" si="2"/>
        <v>320.81437615881396</v>
      </c>
      <c r="AM177" s="124">
        <f t="shared" si="2"/>
        <v>362.999999999995</v>
      </c>
      <c r="AN177" s="124">
        <f t="shared" si="2"/>
        <v>355.99999999999375</v>
      </c>
      <c r="AO177" s="124">
        <f t="shared" si="2"/>
        <v>286.14904147497026</v>
      </c>
      <c r="AP177" s="124">
        <f t="shared" si="2"/>
        <v>263.85095852501473</v>
      </c>
      <c r="AQ177" s="124">
        <f t="shared" si="2"/>
        <v>193.99999999999125</v>
      </c>
      <c r="AR177" s="124">
        <f t="shared" si="2"/>
        <v>214.99999999999</v>
      </c>
      <c r="AS177" s="124">
        <f t="shared" si="2"/>
        <v>359.9999999999975</v>
      </c>
      <c r="AT177" s="124">
        <f t="shared" si="2"/>
        <v>383.81437615881396</v>
      </c>
      <c r="AU177" s="124">
        <f t="shared" si="2"/>
        <v>328.14904147497276</v>
      </c>
      <c r="AV177" s="124">
        <f t="shared" si="2"/>
        <v>244.14904147497148</v>
      </c>
      <c r="AW177" s="124">
        <f t="shared" si="2"/>
        <v>191.298082949948</v>
      </c>
      <c r="AX177" s="124">
        <f t="shared" si="2"/>
        <v>267.85095852502093</v>
      </c>
      <c r="AY177" s="124">
        <f t="shared" si="2"/>
        <v>256.85095852501968</v>
      </c>
    </row>
    <row r="178" spans="1:51">
      <c r="A178" s="125"/>
      <c r="B178" s="136" t="s">
        <v>299</v>
      </c>
      <c r="C178" s="125" t="s">
        <v>293</v>
      </c>
      <c r="D178" s="125">
        <v>102.20755739204566</v>
      </c>
      <c r="E178" s="125">
        <v>153</v>
      </c>
      <c r="F178" s="125">
        <v>186</v>
      </c>
      <c r="G178" s="125">
        <v>58.693334936127201</v>
      </c>
      <c r="H178" s="125">
        <v>156</v>
      </c>
      <c r="I178" s="125">
        <v>161</v>
      </c>
      <c r="J178" s="125">
        <v>136</v>
      </c>
      <c r="K178" s="125">
        <v>147</v>
      </c>
      <c r="L178" s="125">
        <v>216</v>
      </c>
      <c r="M178" s="125">
        <v>217</v>
      </c>
      <c r="N178" s="125">
        <v>230</v>
      </c>
      <c r="O178" s="125">
        <v>220</v>
      </c>
      <c r="P178" s="125">
        <v>173</v>
      </c>
      <c r="Q178" s="125">
        <v>178</v>
      </c>
      <c r="R178" s="125">
        <v>203</v>
      </c>
      <c r="S178" s="125">
        <v>181</v>
      </c>
      <c r="T178" s="125">
        <v>155.80675000733928</v>
      </c>
      <c r="U178" s="125">
        <v>105.03658236620447</v>
      </c>
      <c r="V178" s="125">
        <v>188</v>
      </c>
      <c r="W178" s="125">
        <v>213</v>
      </c>
      <c r="X178" s="125">
        <v>198.58853974844263</v>
      </c>
      <c r="Y178" s="125">
        <v>203</v>
      </c>
      <c r="Z178" s="125">
        <v>141</v>
      </c>
      <c r="AA178" s="125">
        <v>135</v>
      </c>
      <c r="AB178" s="125">
        <v>242</v>
      </c>
      <c r="AC178" s="125">
        <v>172</v>
      </c>
      <c r="AD178" s="125">
        <v>205</v>
      </c>
      <c r="AE178" s="125">
        <v>157.70191705003697</v>
      </c>
      <c r="AF178" s="125">
        <v>212</v>
      </c>
      <c r="AG178" s="125">
        <v>185</v>
      </c>
      <c r="AH178" s="125">
        <v>135</v>
      </c>
      <c r="AI178" s="125">
        <v>100.14904147497278</v>
      </c>
      <c r="AJ178" s="125">
        <v>179.99999999999875</v>
      </c>
      <c r="AK178" s="125">
        <v>202</v>
      </c>
      <c r="AL178" s="125">
        <v>155</v>
      </c>
      <c r="AM178" s="125">
        <v>187</v>
      </c>
      <c r="AN178" s="125">
        <v>162</v>
      </c>
      <c r="AO178" s="125">
        <v>198</v>
      </c>
      <c r="AP178" s="125">
        <v>162</v>
      </c>
      <c r="AQ178" s="125">
        <v>159</v>
      </c>
      <c r="AR178" s="125">
        <v>214.99999999999</v>
      </c>
      <c r="AS178" s="125">
        <v>139</v>
      </c>
      <c r="AT178" s="125">
        <v>165</v>
      </c>
      <c r="AU178" s="125">
        <v>264</v>
      </c>
      <c r="AV178" s="125">
        <v>145</v>
      </c>
      <c r="AW178" s="125">
        <v>191.298082949948</v>
      </c>
      <c r="AX178" s="125">
        <v>191</v>
      </c>
      <c r="AY178" s="125">
        <v>199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100.62923718443872</v>
      </c>
      <c r="E179" s="124">
        <f t="shared" si="3"/>
        <v>25.929544561533717</v>
      </c>
      <c r="F179" s="124">
        <f t="shared" si="3"/>
        <v>77.410458097976516</v>
      </c>
      <c r="G179" s="124">
        <f t="shared" si="3"/>
        <v>80.555342996861498</v>
      </c>
      <c r="H179" s="124">
        <f t="shared" si="3"/>
        <v>7.0507493031143396</v>
      </c>
      <c r="I179" s="124">
        <f t="shared" si="3"/>
        <v>143.1193247335971</v>
      </c>
      <c r="J179" s="124">
        <f t="shared" si="3"/>
        <v>169.98501951223079</v>
      </c>
      <c r="K179" s="124">
        <f t="shared" si="3"/>
        <v>220.25157448988676</v>
      </c>
      <c r="L179" s="124">
        <f t="shared" si="3"/>
        <v>219.27443542382326</v>
      </c>
      <c r="M179" s="124">
        <f t="shared" si="3"/>
        <v>200.46375209322662</v>
      </c>
      <c r="N179" s="124">
        <f t="shared" si="3"/>
        <v>197.49039355457791</v>
      </c>
      <c r="O179" s="124">
        <f t="shared" si="3"/>
        <v>167.97292939247296</v>
      </c>
      <c r="P179" s="124">
        <f t="shared" si="3"/>
        <v>180.50807041462025</v>
      </c>
      <c r="Q179" s="124">
        <f t="shared" si="3"/>
        <v>178.81209438456301</v>
      </c>
      <c r="R179" s="124">
        <f t="shared" si="3"/>
        <v>149.70162296316857</v>
      </c>
      <c r="S179" s="124">
        <f t="shared" si="3"/>
        <v>146.26403248221681</v>
      </c>
      <c r="T179" s="124">
        <f t="shared" si="3"/>
        <v>181.75082181983163</v>
      </c>
      <c r="U179" s="124">
        <f t="shared" si="3"/>
        <v>163.92967180199315</v>
      </c>
      <c r="V179" s="124">
        <f t="shared" si="3"/>
        <v>107.91027552476943</v>
      </c>
      <c r="W179" s="124">
        <f t="shared" si="3"/>
        <v>171.93701591718059</v>
      </c>
      <c r="X179" s="124">
        <f t="shared" si="3"/>
        <v>160.92924391513787</v>
      </c>
      <c r="Y179" s="124">
        <f t="shared" si="3"/>
        <v>134.55607151792933</v>
      </c>
      <c r="Z179" s="124">
        <f t="shared" si="3"/>
        <v>177.95055982747544</v>
      </c>
      <c r="AA179" s="124">
        <f t="shared" si="3"/>
        <v>181.4930508792894</v>
      </c>
      <c r="AB179" s="124">
        <f t="shared" si="3"/>
        <v>165.27991866029066</v>
      </c>
      <c r="AC179" s="124">
        <f t="shared" si="3"/>
        <v>204.85929233909144</v>
      </c>
      <c r="AD179" s="124">
        <f t="shared" si="3"/>
        <v>204.04195062553902</v>
      </c>
      <c r="AE179" s="124">
        <f t="shared" si="3"/>
        <v>191.31758864058213</v>
      </c>
      <c r="AF179" s="124">
        <f t="shared" si="3"/>
        <v>140.57203911569724</v>
      </c>
      <c r="AG179" s="124">
        <f t="shared" si="3"/>
        <v>146.67439968954179</v>
      </c>
      <c r="AH179" s="124">
        <f t="shared" si="3"/>
        <v>180.70909511272174</v>
      </c>
      <c r="AI179" s="124">
        <f t="shared" si="3"/>
        <v>196.94461999036204</v>
      </c>
      <c r="AJ179" s="124">
        <f t="shared" si="3"/>
        <v>118.01449537230739</v>
      </c>
      <c r="AK179" s="124">
        <f t="shared" si="3"/>
        <v>115.71471363700076</v>
      </c>
      <c r="AL179" s="124">
        <f t="shared" si="3"/>
        <v>145.40813013253529</v>
      </c>
      <c r="AM179" s="124">
        <f t="shared" si="3"/>
        <v>185.6022632403176</v>
      </c>
      <c r="AN179" s="124">
        <f t="shared" si="3"/>
        <v>201.09663907366519</v>
      </c>
      <c r="AO179" s="124">
        <f t="shared" si="3"/>
        <v>203.11751504110129</v>
      </c>
      <c r="AP179" s="124">
        <f t="shared" si="3"/>
        <v>148.95865362232541</v>
      </c>
      <c r="AQ179" s="124">
        <f t="shared" si="3"/>
        <v>139.9980762463299</v>
      </c>
      <c r="AR179" s="124">
        <f t="shared" si="3"/>
        <v>99.543521605625585</v>
      </c>
      <c r="AS179" s="124">
        <f t="shared" si="3"/>
        <v>85.906332679316463</v>
      </c>
      <c r="AT179" s="124">
        <f t="shared" si="3"/>
        <v>167.25090792110188</v>
      </c>
      <c r="AU179" s="124">
        <f t="shared" si="3"/>
        <v>178.83360044884364</v>
      </c>
      <c r="AV179" s="124">
        <f t="shared" si="3"/>
        <v>189.53215658272035</v>
      </c>
      <c r="AW179" s="124">
        <f t="shared" si="3"/>
        <v>166.09456610176858</v>
      </c>
      <c r="AX179" s="124">
        <f t="shared" si="3"/>
        <v>111.76080826631288</v>
      </c>
      <c r="AY179" s="124">
        <f t="shared" si="3"/>
        <v>111.34018194511366</v>
      </c>
    </row>
    <row r="180" spans="1:51">
      <c r="A180" s="125"/>
      <c r="B180" s="136" t="s">
        <v>299</v>
      </c>
      <c r="C180" s="125" t="s">
        <v>293</v>
      </c>
      <c r="D180" s="125">
        <v>100.62923718443872</v>
      </c>
      <c r="E180" s="125">
        <v>25.929544561533717</v>
      </c>
      <c r="F180" s="125">
        <v>77.410458097976516</v>
      </c>
      <c r="G180" s="125">
        <v>80.555342996861498</v>
      </c>
      <c r="H180" s="125">
        <v>7.0507493031143396</v>
      </c>
      <c r="I180" s="125">
        <v>96</v>
      </c>
      <c r="J180" s="125">
        <v>59</v>
      </c>
      <c r="K180" s="125">
        <v>59</v>
      </c>
      <c r="L180" s="125">
        <v>82</v>
      </c>
      <c r="M180" s="125">
        <v>91</v>
      </c>
      <c r="N180" s="125">
        <v>98</v>
      </c>
      <c r="O180" s="125">
        <v>75</v>
      </c>
      <c r="P180" s="125">
        <v>76</v>
      </c>
      <c r="Q180" s="125">
        <v>106</v>
      </c>
      <c r="R180" s="125">
        <v>75</v>
      </c>
      <c r="S180" s="125">
        <v>58</v>
      </c>
      <c r="T180" s="125">
        <v>58.713730195213699</v>
      </c>
      <c r="U180" s="125">
        <v>97.891960696076723</v>
      </c>
      <c r="V180" s="125">
        <v>66</v>
      </c>
      <c r="W180" s="125">
        <v>81</v>
      </c>
      <c r="X180" s="125">
        <v>107.21899087517622</v>
      </c>
      <c r="Y180" s="125">
        <v>73</v>
      </c>
      <c r="Z180" s="125">
        <v>98</v>
      </c>
      <c r="AA180" s="125">
        <v>76</v>
      </c>
      <c r="AB180" s="125">
        <v>67</v>
      </c>
      <c r="AC180" s="125">
        <v>101</v>
      </c>
      <c r="AD180" s="125">
        <v>96</v>
      </c>
      <c r="AE180" s="125">
        <v>92.257474348678954</v>
      </c>
      <c r="AF180" s="125">
        <v>102</v>
      </c>
      <c r="AG180" s="125">
        <v>65</v>
      </c>
      <c r="AH180" s="125">
        <v>63</v>
      </c>
      <c r="AI180" s="125">
        <v>85.78572487715509</v>
      </c>
      <c r="AJ180" s="125">
        <v>73.862191254354869</v>
      </c>
      <c r="AK180" s="125">
        <v>78</v>
      </c>
      <c r="AL180" s="125">
        <v>73</v>
      </c>
      <c r="AM180" s="125">
        <v>99</v>
      </c>
      <c r="AN180" s="125">
        <v>88</v>
      </c>
      <c r="AO180" s="125">
        <v>109</v>
      </c>
      <c r="AP180" s="125">
        <v>79</v>
      </c>
      <c r="AQ180" s="125">
        <v>77</v>
      </c>
      <c r="AR180" s="125">
        <v>85.199598445357353</v>
      </c>
      <c r="AS180" s="125">
        <v>72</v>
      </c>
      <c r="AT180" s="125">
        <v>97</v>
      </c>
      <c r="AU180" s="125">
        <v>69</v>
      </c>
      <c r="AV180" s="125">
        <v>95</v>
      </c>
      <c r="AW180" s="125">
        <v>96.559818717441431</v>
      </c>
      <c r="AX180" s="125">
        <v>107</v>
      </c>
      <c r="AY180" s="125">
        <v>69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47.103511685169281</v>
      </c>
      <c r="E181" s="124">
        <f t="shared" si="4"/>
        <v>140.62354272822859</v>
      </c>
      <c r="F181" s="124">
        <f t="shared" si="4"/>
        <v>146.33652863245842</v>
      </c>
      <c r="G181" s="124">
        <f t="shared" si="4"/>
        <v>12.808364273437167</v>
      </c>
      <c r="H181" s="124">
        <f t="shared" si="4"/>
        <v>259.99001906741461</v>
      </c>
      <c r="I181" s="124">
        <f t="shared" si="4"/>
        <v>223.19735219327325</v>
      </c>
      <c r="J181" s="124">
        <f t="shared" si="4"/>
        <v>198.49320673466457</v>
      </c>
      <c r="K181" s="124">
        <f t="shared" si="4"/>
        <v>105.40410771669065</v>
      </c>
      <c r="L181" s="124">
        <f t="shared" si="4"/>
        <v>114.78947148692419</v>
      </c>
      <c r="M181" s="124">
        <f t="shared" si="4"/>
        <v>159.90886090733989</v>
      </c>
      <c r="N181" s="124">
        <f t="shared" si="4"/>
        <v>124.40511322577241</v>
      </c>
      <c r="O181" s="124">
        <f t="shared" si="4"/>
        <v>159.0160030853921</v>
      </c>
      <c r="P181" s="124">
        <f t="shared" si="4"/>
        <v>134.98040634757194</v>
      </c>
      <c r="Q181" s="124">
        <f t="shared" si="4"/>
        <v>139.67722415157141</v>
      </c>
      <c r="R181" s="124">
        <f t="shared" si="4"/>
        <v>129.99999999999903</v>
      </c>
      <c r="S181" s="124">
        <f t="shared" si="4"/>
        <v>169.82774469960964</v>
      </c>
      <c r="T181" s="124">
        <f t="shared" si="4"/>
        <v>74.285305075477282</v>
      </c>
      <c r="U181" s="124">
        <f t="shared" si="4"/>
        <v>76.06554070823924</v>
      </c>
      <c r="V181" s="124">
        <f t="shared" si="4"/>
        <v>236.20608032369304</v>
      </c>
      <c r="W181" s="124">
        <f t="shared" si="4"/>
        <v>127.14761424169828</v>
      </c>
      <c r="X181" s="124">
        <f t="shared" si="4"/>
        <v>146.8642052827779</v>
      </c>
      <c r="Y181" s="124">
        <f t="shared" si="4"/>
        <v>211.44178322018752</v>
      </c>
      <c r="Z181" s="124">
        <f t="shared" si="4"/>
        <v>184.4617016874208</v>
      </c>
      <c r="AA181" s="124">
        <f t="shared" si="4"/>
        <v>108.60859582238216</v>
      </c>
      <c r="AB181" s="124">
        <f t="shared" si="4"/>
        <v>193.61168344333117</v>
      </c>
      <c r="AC181" s="124">
        <f t="shared" si="4"/>
        <v>181.99143467593095</v>
      </c>
      <c r="AD181" s="124">
        <f t="shared" si="4"/>
        <v>151.27820617993507</v>
      </c>
      <c r="AE181" s="124">
        <f t="shared" si="4"/>
        <v>75.410404196308562</v>
      </c>
      <c r="AF181" s="124">
        <f t="shared" si="4"/>
        <v>196.37833562408244</v>
      </c>
      <c r="AG181" s="124">
        <f t="shared" si="4"/>
        <v>179.90604971994975</v>
      </c>
      <c r="AH181" s="124">
        <f t="shared" si="4"/>
        <v>143.93895207443202</v>
      </c>
      <c r="AI181" s="124">
        <f t="shared" si="4"/>
        <v>12.453857264907066</v>
      </c>
      <c r="AJ181" s="124">
        <f t="shared" si="4"/>
        <v>129.99999999999903</v>
      </c>
      <c r="AK181" s="124">
        <f t="shared" si="4"/>
        <v>195.63544937224162</v>
      </c>
      <c r="AL181" s="124">
        <f t="shared" si="4"/>
        <v>205.62803017546162</v>
      </c>
      <c r="AM181" s="124">
        <f t="shared" si="4"/>
        <v>207.99004614808601</v>
      </c>
      <c r="AN181" s="124">
        <f t="shared" si="4"/>
        <v>163.53157969969718</v>
      </c>
      <c r="AO181" s="124">
        <f t="shared" si="4"/>
        <v>99.624203034435567</v>
      </c>
      <c r="AP181" s="124">
        <f t="shared" si="4"/>
        <v>127.23334781924781</v>
      </c>
      <c r="AQ181" s="124">
        <f t="shared" si="4"/>
        <v>66.388316556666865</v>
      </c>
      <c r="AR181" s="124">
        <f t="shared" si="4"/>
        <v>129.99999999999903</v>
      </c>
      <c r="AS181" s="124">
        <f t="shared" si="4"/>
        <v>278.56517011386796</v>
      </c>
      <c r="AT181" s="124">
        <f t="shared" si="4"/>
        <v>197.25090481824878</v>
      </c>
      <c r="AU181" s="124">
        <f t="shared" si="4"/>
        <v>144.78009288725934</v>
      </c>
      <c r="AV181" s="124">
        <f t="shared" si="4"/>
        <v>129.99999999999903</v>
      </c>
      <c r="AW181" s="124">
        <f t="shared" si="4"/>
        <v>76.70770103397588</v>
      </c>
      <c r="AX181" s="124">
        <f t="shared" si="4"/>
        <v>193.61168344333117</v>
      </c>
      <c r="AY181" s="124">
        <f t="shared" si="4"/>
        <v>178.12166549693981</v>
      </c>
    </row>
    <row r="182" spans="1:51">
      <c r="A182" s="125"/>
      <c r="B182" s="136" t="s">
        <v>299</v>
      </c>
      <c r="C182" s="125" t="s">
        <v>293</v>
      </c>
      <c r="D182" s="125">
        <v>47.103511685169281</v>
      </c>
      <c r="E182" s="125">
        <v>140.62354272822859</v>
      </c>
      <c r="F182" s="125">
        <v>126.49289029298976</v>
      </c>
      <c r="G182" s="125">
        <v>12.808364273437167</v>
      </c>
      <c r="H182" s="125">
        <v>115.48938161455494</v>
      </c>
      <c r="I182" s="125">
        <v>117</v>
      </c>
      <c r="J182" s="125">
        <v>138</v>
      </c>
      <c r="K182" s="125">
        <v>105.40410771669065</v>
      </c>
      <c r="L182" s="125">
        <v>92</v>
      </c>
      <c r="M182" s="125">
        <v>145</v>
      </c>
      <c r="N182" s="125">
        <v>103</v>
      </c>
      <c r="O182" s="125">
        <v>132</v>
      </c>
      <c r="P182" s="125">
        <v>134.98040634757194</v>
      </c>
      <c r="Q182" s="125">
        <v>139.67722415157141</v>
      </c>
      <c r="R182" s="125">
        <v>129.99999999999903</v>
      </c>
      <c r="S182" s="125">
        <v>134</v>
      </c>
      <c r="T182" s="125">
        <v>74.285305075477282</v>
      </c>
      <c r="U182" s="125">
        <v>76.06554070823924</v>
      </c>
      <c r="V182" s="125">
        <v>142</v>
      </c>
      <c r="W182" s="125">
        <v>101</v>
      </c>
      <c r="X182" s="125">
        <v>119.21899087517622</v>
      </c>
      <c r="Y182" s="125">
        <v>127</v>
      </c>
      <c r="Z182" s="125">
        <v>119</v>
      </c>
      <c r="AA182" s="125">
        <v>108.60859582238216</v>
      </c>
      <c r="AB182" s="125">
        <v>113</v>
      </c>
      <c r="AC182" s="125">
        <v>149</v>
      </c>
      <c r="AD182" s="125">
        <v>133</v>
      </c>
      <c r="AE182" s="125">
        <v>75.410404196308562</v>
      </c>
      <c r="AF182" s="125">
        <v>119</v>
      </c>
      <c r="AG182" s="125">
        <v>139</v>
      </c>
      <c r="AH182" s="125">
        <v>143.93895207443202</v>
      </c>
      <c r="AI182" s="125">
        <v>12.453857264907066</v>
      </c>
      <c r="AJ182" s="125">
        <v>126.86219125435487</v>
      </c>
      <c r="AK182" s="125">
        <v>162</v>
      </c>
      <c r="AL182" s="125">
        <v>104</v>
      </c>
      <c r="AM182" s="125">
        <v>156</v>
      </c>
      <c r="AN182" s="125">
        <v>112</v>
      </c>
      <c r="AO182" s="125">
        <v>99.624203034435567</v>
      </c>
      <c r="AP182" s="125">
        <v>127.23334781924781</v>
      </c>
      <c r="AQ182" s="125">
        <v>66.388316556666865</v>
      </c>
      <c r="AR182" s="125">
        <v>101.19959844535735</v>
      </c>
      <c r="AS182" s="125">
        <v>155</v>
      </c>
      <c r="AT182" s="125">
        <v>95</v>
      </c>
      <c r="AU182" s="125">
        <v>144.78009288725934</v>
      </c>
      <c r="AV182" s="125">
        <v>114</v>
      </c>
      <c r="AW182" s="125">
        <v>76.70770103397588</v>
      </c>
      <c r="AX182" s="125">
        <v>119</v>
      </c>
      <c r="AY182" s="125">
        <v>158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0</v>
      </c>
      <c r="D185" s="124">
        <v>0</v>
      </c>
      <c r="E185" s="124">
        <v>0</v>
      </c>
      <c r="F185" s="124">
        <v>0</v>
      </c>
      <c r="G185" s="124">
        <v>0</v>
      </c>
      <c r="H185" s="124">
        <v>0</v>
      </c>
      <c r="I185" s="124">
        <v>0</v>
      </c>
      <c r="J185" s="124">
        <v>0</v>
      </c>
      <c r="K185" s="124">
        <v>0</v>
      </c>
      <c r="L185" s="124">
        <v>0</v>
      </c>
      <c r="M185" s="124">
        <v>0</v>
      </c>
      <c r="N185" s="124">
        <v>0</v>
      </c>
      <c r="O185" s="124">
        <v>0</v>
      </c>
      <c r="P185" s="124">
        <v>0</v>
      </c>
      <c r="Q185" s="124">
        <v>0</v>
      </c>
      <c r="R185" s="124">
        <v>0</v>
      </c>
      <c r="S185" s="124">
        <v>0</v>
      </c>
      <c r="T185" s="124">
        <v>0</v>
      </c>
      <c r="U185" s="124">
        <v>0</v>
      </c>
      <c r="V185" s="124">
        <v>0</v>
      </c>
      <c r="W185" s="124">
        <v>0</v>
      </c>
      <c r="X185" s="124">
        <v>0</v>
      </c>
      <c r="Y185" s="124">
        <v>0</v>
      </c>
      <c r="Z185" s="124">
        <v>0</v>
      </c>
      <c r="AA185" s="124">
        <v>0</v>
      </c>
      <c r="AB185" s="124">
        <v>0</v>
      </c>
      <c r="AC185" s="124">
        <v>0</v>
      </c>
      <c r="AD185" s="124">
        <v>0</v>
      </c>
      <c r="AE185" s="124">
        <v>0</v>
      </c>
      <c r="AF185" s="124">
        <v>0</v>
      </c>
      <c r="AG185" s="124">
        <v>0</v>
      </c>
      <c r="AH185" s="124">
        <v>10.744781224546387</v>
      </c>
      <c r="AI185" s="124">
        <v>53.744781224546387</v>
      </c>
      <c r="AJ185" s="124">
        <v>50.744781224546387</v>
      </c>
      <c r="AK185" s="124">
        <v>19.744781224546387</v>
      </c>
      <c r="AL185" s="124">
        <v>31.744781224546387</v>
      </c>
      <c r="AM185" s="124">
        <v>38.744781224546387</v>
      </c>
      <c r="AN185" s="124">
        <v>0</v>
      </c>
      <c r="AO185" s="124">
        <v>0</v>
      </c>
      <c r="AP185" s="124">
        <v>0</v>
      </c>
      <c r="AQ185" s="124">
        <v>8.7447812245463865</v>
      </c>
      <c r="AR185" s="124">
        <v>30.744781224546387</v>
      </c>
      <c r="AS185" s="124">
        <v>71.744781224546387</v>
      </c>
      <c r="AT185" s="124">
        <v>62.744781224546387</v>
      </c>
      <c r="AU185" s="124">
        <v>66.744781224546387</v>
      </c>
      <c r="AV185" s="124">
        <v>81.744781224546387</v>
      </c>
      <c r="AW185" s="124">
        <v>138.74478122454639</v>
      </c>
      <c r="AX185" s="124">
        <v>117.74478122454639</v>
      </c>
      <c r="AY185" s="124">
        <v>117.74478122454639</v>
      </c>
    </row>
    <row r="186" spans="1:51">
      <c r="A186" s="109"/>
      <c r="B186" s="120">
        <v>2</v>
      </c>
      <c r="C186" s="106">
        <v>0</v>
      </c>
      <c r="D186" s="106">
        <v>0</v>
      </c>
      <c r="E186" s="106">
        <v>0</v>
      </c>
      <c r="F186" s="106">
        <v>0</v>
      </c>
      <c r="G186" s="106">
        <v>0</v>
      </c>
      <c r="H186" s="106">
        <v>0</v>
      </c>
      <c r="I186" s="106">
        <v>0</v>
      </c>
      <c r="J186" s="106">
        <v>0</v>
      </c>
      <c r="K186" s="106">
        <v>0</v>
      </c>
      <c r="L186" s="106">
        <v>31.744781224546387</v>
      </c>
      <c r="M186" s="106">
        <v>0</v>
      </c>
      <c r="N186" s="106">
        <v>0</v>
      </c>
      <c r="O186" s="106">
        <v>0</v>
      </c>
      <c r="P186" s="106">
        <v>0</v>
      </c>
      <c r="Q186" s="106">
        <v>0</v>
      </c>
      <c r="R186" s="106">
        <v>0</v>
      </c>
      <c r="S186" s="106">
        <v>58.744781224546387</v>
      </c>
      <c r="T186" s="106">
        <v>64.744781224546387</v>
      </c>
      <c r="U186" s="106">
        <v>58.744781224546387</v>
      </c>
      <c r="V186" s="106">
        <v>78.744781224546387</v>
      </c>
      <c r="W186" s="106">
        <v>44.744781224546387</v>
      </c>
      <c r="X186" s="106">
        <v>20.744781224546387</v>
      </c>
      <c r="Y186" s="106">
        <v>0.74478122454638651</v>
      </c>
      <c r="Z186" s="106">
        <v>0</v>
      </c>
      <c r="AA186" s="106">
        <v>7.7447812245463865</v>
      </c>
      <c r="AB186" s="106">
        <v>34.744781224546387</v>
      </c>
      <c r="AC186" s="106">
        <v>20.744781224546387</v>
      </c>
      <c r="AD186" s="106">
        <v>0</v>
      </c>
      <c r="AE186" s="106">
        <v>54.744781224546387</v>
      </c>
      <c r="AF186" s="106">
        <v>95.744781224546387</v>
      </c>
      <c r="AG186" s="106">
        <v>137.74478122454639</v>
      </c>
      <c r="AH186" s="106">
        <v>140</v>
      </c>
      <c r="AI186" s="106">
        <v>129.25521877545361</v>
      </c>
      <c r="AJ186" s="106">
        <v>86.255218775453613</v>
      </c>
      <c r="AK186" s="106">
        <v>117.25521877545361</v>
      </c>
      <c r="AL186" s="106">
        <v>148.25521877545361</v>
      </c>
      <c r="AM186" s="106">
        <v>136.25521877545361</v>
      </c>
      <c r="AN186" s="106">
        <v>123</v>
      </c>
      <c r="AO186" s="106">
        <v>109.74478122454639</v>
      </c>
      <c r="AP186" s="106">
        <v>123.74478122454639</v>
      </c>
      <c r="AQ186" s="106">
        <v>140</v>
      </c>
      <c r="AR186" s="106">
        <v>131.25521877545361</v>
      </c>
      <c r="AS186" s="106">
        <v>109.25521877545361</v>
      </c>
      <c r="AT186" s="106">
        <v>68.255218775453613</v>
      </c>
      <c r="AU186" s="106">
        <v>77.255218775453613</v>
      </c>
      <c r="AV186" s="106">
        <v>73.255218775453613</v>
      </c>
      <c r="AW186" s="106">
        <v>58.255218775453613</v>
      </c>
      <c r="AX186" s="106">
        <v>1.2552187754536135</v>
      </c>
      <c r="AY186" s="106">
        <v>22.255218775453613</v>
      </c>
    </row>
    <row r="187" spans="1:51">
      <c r="A187" s="109"/>
      <c r="B187" s="127">
        <v>3</v>
      </c>
      <c r="C187" s="106">
        <v>1.8661472566720931</v>
      </c>
      <c r="D187" s="106">
        <v>0</v>
      </c>
      <c r="E187" s="106">
        <v>0</v>
      </c>
      <c r="F187" s="106">
        <v>0</v>
      </c>
      <c r="G187" s="106">
        <v>39</v>
      </c>
      <c r="H187" s="106">
        <v>85</v>
      </c>
      <c r="I187" s="106">
        <v>107</v>
      </c>
      <c r="J187" s="106">
        <v>123</v>
      </c>
      <c r="K187" s="106">
        <v>127.74478122454639</v>
      </c>
      <c r="L187" s="106">
        <v>140</v>
      </c>
      <c r="M187" s="106">
        <v>104</v>
      </c>
      <c r="N187" s="106">
        <v>120.74478122454639</v>
      </c>
      <c r="O187" s="106">
        <v>119.74478122454639</v>
      </c>
      <c r="P187" s="106">
        <v>113.74478122454639</v>
      </c>
      <c r="Q187" s="106">
        <v>95.744781224546387</v>
      </c>
      <c r="R187" s="106">
        <v>92.744781224546387</v>
      </c>
      <c r="S187" s="106">
        <v>112</v>
      </c>
      <c r="T187" s="106">
        <v>53.255218775453613</v>
      </c>
      <c r="U187" s="106">
        <v>47.255218775453613</v>
      </c>
      <c r="V187" s="106">
        <v>81.255218775453613</v>
      </c>
      <c r="W187" s="106">
        <v>61.255218775453613</v>
      </c>
      <c r="X187" s="106">
        <v>95.255218775453613</v>
      </c>
      <c r="Y187" s="106">
        <v>119.25521877545361</v>
      </c>
      <c r="Z187" s="106">
        <v>129</v>
      </c>
      <c r="AA187" s="106">
        <v>140</v>
      </c>
      <c r="AB187" s="106">
        <v>132.25521877545361</v>
      </c>
      <c r="AC187" s="106">
        <v>105.25521877545361</v>
      </c>
      <c r="AD187" s="106">
        <v>119</v>
      </c>
      <c r="AE187" s="106">
        <v>140</v>
      </c>
      <c r="AF187" s="106">
        <v>85.255218775453613</v>
      </c>
      <c r="AG187" s="106">
        <v>44.255218775453613</v>
      </c>
      <c r="AH187" s="106">
        <v>2.2552187754536135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6.2552187754536135</v>
      </c>
      <c r="AP187" s="106">
        <v>30.255218775453613</v>
      </c>
      <c r="AQ187" s="106">
        <v>16.255218775453613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0</v>
      </c>
    </row>
    <row r="188" spans="1:51">
      <c r="A188" s="128"/>
      <c r="B188" s="129">
        <v>4</v>
      </c>
      <c r="C188" s="106">
        <v>138.13385274332791</v>
      </c>
      <c r="D188" s="106">
        <v>133</v>
      </c>
      <c r="E188" s="106">
        <v>156</v>
      </c>
      <c r="F188" s="106">
        <v>135</v>
      </c>
      <c r="G188" s="106">
        <v>112</v>
      </c>
      <c r="H188" s="106">
        <v>73</v>
      </c>
      <c r="I188" s="106">
        <v>27</v>
      </c>
      <c r="J188" s="106">
        <v>0</v>
      </c>
      <c r="K188" s="106">
        <v>16.255218775453613</v>
      </c>
      <c r="L188" s="106">
        <v>12.255218775453613</v>
      </c>
      <c r="M188" s="106">
        <v>0</v>
      </c>
      <c r="N188" s="106">
        <v>4.2552187754536135</v>
      </c>
      <c r="O188" s="106">
        <v>19.255218775453613</v>
      </c>
      <c r="P188" s="106">
        <v>20.255218775453613</v>
      </c>
      <c r="Q188" s="106">
        <v>26.255218775453613</v>
      </c>
      <c r="R188" s="106">
        <v>44.255218775453613</v>
      </c>
      <c r="S188" s="106">
        <v>19.255218775453613</v>
      </c>
      <c r="T188" s="106">
        <v>0</v>
      </c>
      <c r="U188" s="106">
        <v>0</v>
      </c>
      <c r="V188" s="106">
        <v>0</v>
      </c>
      <c r="W188" s="106">
        <v>0</v>
      </c>
      <c r="X188" s="106">
        <v>0</v>
      </c>
      <c r="Y188" s="106">
        <v>0</v>
      </c>
      <c r="Z188" s="106">
        <v>0</v>
      </c>
      <c r="AA188" s="106">
        <v>10.255218775453613</v>
      </c>
      <c r="AB188" s="106">
        <v>0</v>
      </c>
      <c r="AC188" s="106">
        <v>0</v>
      </c>
      <c r="AD188" s="106">
        <v>0</v>
      </c>
      <c r="AE188" s="106">
        <v>0.25521877545361349</v>
      </c>
      <c r="AF188" s="106">
        <v>0</v>
      </c>
      <c r="AG188" s="106">
        <v>0</v>
      </c>
      <c r="AH188" s="106">
        <v>0</v>
      </c>
      <c r="AI188" s="106">
        <v>0</v>
      </c>
      <c r="AJ188" s="106">
        <v>0</v>
      </c>
      <c r="AK188" s="106">
        <v>0</v>
      </c>
      <c r="AL188" s="106">
        <v>0</v>
      </c>
      <c r="AM188" s="106">
        <v>0</v>
      </c>
      <c r="AN188" s="106">
        <v>0</v>
      </c>
      <c r="AO188" s="106">
        <v>0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134.4528243474025</v>
      </c>
      <c r="D189" s="124">
        <v>75.547175652597446</v>
      </c>
      <c r="E189" s="124">
        <v>153</v>
      </c>
      <c r="F189" s="124">
        <v>121.30666506387155</v>
      </c>
      <c r="G189" s="124">
        <v>0</v>
      </c>
      <c r="H189" s="124">
        <v>0</v>
      </c>
      <c r="I189" s="124">
        <v>0</v>
      </c>
      <c r="J189" s="124">
        <v>0</v>
      </c>
      <c r="K189" s="124">
        <v>0</v>
      </c>
      <c r="L189" s="124">
        <v>0</v>
      </c>
      <c r="M189" s="124">
        <v>0</v>
      </c>
      <c r="N189" s="124">
        <v>3.0000000000087539</v>
      </c>
      <c r="O189" s="124">
        <v>43.000000000010004</v>
      </c>
      <c r="P189" s="124">
        <v>123.85095852503349</v>
      </c>
      <c r="Q189" s="124">
        <v>34.000000000012506</v>
      </c>
      <c r="R189" s="124">
        <v>57.000000000013756</v>
      </c>
      <c r="S189" s="124">
        <v>150.14904147499152</v>
      </c>
      <c r="T189" s="124">
        <v>70.665334683839973</v>
      </c>
      <c r="U189" s="124">
        <v>87.850958525022222</v>
      </c>
      <c r="V189" s="124">
        <v>114.28025086326571</v>
      </c>
      <c r="W189" s="124">
        <v>73.560501726532635</v>
      </c>
      <c r="X189" s="124">
        <v>179.99999999999875</v>
      </c>
      <c r="Y189" s="124">
        <v>115.14904147497778</v>
      </c>
      <c r="Z189" s="124">
        <v>76.149041474979029</v>
      </c>
      <c r="AA189" s="124">
        <v>31.14904147498028</v>
      </c>
      <c r="AB189" s="124">
        <v>93.149041474981516</v>
      </c>
      <c r="AC189" s="124">
        <v>85.149041474982766</v>
      </c>
      <c r="AD189" s="124">
        <v>110.14904147498402</v>
      </c>
      <c r="AE189" s="124">
        <v>87.850958525022222</v>
      </c>
      <c r="AF189" s="124">
        <v>119.85095852502347</v>
      </c>
      <c r="AG189" s="124">
        <v>124.85095852502472</v>
      </c>
      <c r="AH189" s="124">
        <v>79.850958525025973</v>
      </c>
      <c r="AI189" s="124">
        <v>0</v>
      </c>
      <c r="AJ189" s="124">
        <v>179.99999999999875</v>
      </c>
      <c r="AK189" s="124">
        <v>22.000000000001251</v>
      </c>
      <c r="AL189" s="124">
        <v>0</v>
      </c>
      <c r="AM189" s="124">
        <v>4.0000000000037517</v>
      </c>
      <c r="AN189" s="124">
        <v>0</v>
      </c>
      <c r="AO189" s="124">
        <v>4.0000000000062528</v>
      </c>
      <c r="AP189" s="124">
        <v>0</v>
      </c>
      <c r="AQ189" s="124">
        <v>0</v>
      </c>
      <c r="AR189" s="124">
        <v>87.850958525022222</v>
      </c>
      <c r="AS189" s="124">
        <v>0</v>
      </c>
      <c r="AT189" s="124">
        <v>0</v>
      </c>
      <c r="AU189" s="124">
        <v>28.000000000003752</v>
      </c>
      <c r="AV189" s="124">
        <v>80.850958525027238</v>
      </c>
      <c r="AW189" s="124">
        <v>92.149041474976514</v>
      </c>
      <c r="AX189" s="124">
        <v>103.14904147497776</v>
      </c>
      <c r="AY189" s="124">
        <v>122.14904147497904</v>
      </c>
    </row>
    <row r="190" spans="1:51">
      <c r="A190" s="109"/>
      <c r="B190" s="119">
        <v>2</v>
      </c>
      <c r="C190" s="106">
        <v>64.547175652597517</v>
      </c>
      <c r="D190" s="106">
        <v>26.660381739448212</v>
      </c>
      <c r="E190" s="106">
        <v>0</v>
      </c>
      <c r="F190" s="106">
        <v>64.693334936128451</v>
      </c>
      <c r="G190" s="106">
        <v>58.693334936127201</v>
      </c>
      <c r="H190" s="106">
        <v>156</v>
      </c>
      <c r="I190" s="106">
        <v>137.00000000000125</v>
      </c>
      <c r="J190" s="106">
        <v>93.000000000002501</v>
      </c>
      <c r="K190" s="106">
        <v>60.000000000003752</v>
      </c>
      <c r="L190" s="106">
        <v>96.000000000005002</v>
      </c>
      <c r="M190" s="106">
        <v>133.00000000000625</v>
      </c>
      <c r="N190" s="106">
        <v>179.99999999999875</v>
      </c>
      <c r="O190" s="106">
        <v>176.99999999999</v>
      </c>
      <c r="P190" s="106">
        <v>49.149041474966509</v>
      </c>
      <c r="Q190" s="106">
        <v>56.149041474965259</v>
      </c>
      <c r="R190" s="106">
        <v>145.99999999998624</v>
      </c>
      <c r="S190" s="106">
        <v>30.850958525008465</v>
      </c>
      <c r="T190" s="106">
        <v>85.141415323499302</v>
      </c>
      <c r="U190" s="106">
        <v>17.185623841182249</v>
      </c>
      <c r="V190" s="106">
        <v>0</v>
      </c>
      <c r="W190" s="106">
        <v>139.43949827346736</v>
      </c>
      <c r="X190" s="106">
        <v>18.588539748443878</v>
      </c>
      <c r="Y190" s="106">
        <v>0</v>
      </c>
      <c r="Z190" s="106">
        <v>64.850958525020971</v>
      </c>
      <c r="AA190" s="106">
        <v>103.85095852501972</v>
      </c>
      <c r="AB190" s="106">
        <v>148.85095852501848</v>
      </c>
      <c r="AC190" s="106">
        <v>86.850958525017234</v>
      </c>
      <c r="AD190" s="106">
        <v>94.850958525015983</v>
      </c>
      <c r="AE190" s="106">
        <v>69.850958525014732</v>
      </c>
      <c r="AF190" s="106">
        <v>92.149041474976528</v>
      </c>
      <c r="AG190" s="106">
        <v>60.149041474975277</v>
      </c>
      <c r="AH190" s="106">
        <v>55.149041474974027</v>
      </c>
      <c r="AI190" s="106">
        <v>100.14904147497278</v>
      </c>
      <c r="AJ190" s="106">
        <v>0</v>
      </c>
      <c r="AK190" s="106">
        <v>0</v>
      </c>
      <c r="AL190" s="106">
        <v>155</v>
      </c>
      <c r="AM190" s="106">
        <v>179.99999999999875</v>
      </c>
      <c r="AN190" s="106">
        <v>162</v>
      </c>
      <c r="AO190" s="106">
        <v>179.99999999999875</v>
      </c>
      <c r="AP190" s="106">
        <v>162</v>
      </c>
      <c r="AQ190" s="106">
        <v>145.0000000000075</v>
      </c>
      <c r="AR190" s="106">
        <v>92.149041474976514</v>
      </c>
      <c r="AS190" s="106">
        <v>51.149041474977764</v>
      </c>
      <c r="AT190" s="106">
        <v>124.00000000000124</v>
      </c>
      <c r="AU190" s="106">
        <v>179.99999999999875</v>
      </c>
      <c r="AV190" s="106">
        <v>64.149041474972762</v>
      </c>
      <c r="AW190" s="106">
        <v>99.149041474971483</v>
      </c>
      <c r="AX190" s="106">
        <v>87.850958525022236</v>
      </c>
      <c r="AY190" s="106">
        <v>76.850958525020957</v>
      </c>
    </row>
    <row r="191" spans="1:51">
      <c r="A191" s="109"/>
      <c r="B191" s="120">
        <v>3</v>
      </c>
      <c r="C191" s="106">
        <v>0</v>
      </c>
      <c r="D191" s="106">
        <v>0</v>
      </c>
      <c r="E191" s="106">
        <v>0</v>
      </c>
      <c r="F191" s="106">
        <v>0</v>
      </c>
      <c r="G191" s="106">
        <v>0</v>
      </c>
      <c r="H191" s="106">
        <v>0</v>
      </c>
      <c r="I191" s="106">
        <v>23.999999999998749</v>
      </c>
      <c r="J191" s="106">
        <v>42.999999999997499</v>
      </c>
      <c r="K191" s="106">
        <v>86.999999999996248</v>
      </c>
      <c r="L191" s="106">
        <v>119.999999999995</v>
      </c>
      <c r="M191" s="106">
        <v>83.999999999993747</v>
      </c>
      <c r="N191" s="106">
        <v>46.999999999992497</v>
      </c>
      <c r="O191" s="106">
        <v>0</v>
      </c>
      <c r="P191" s="106">
        <v>0</v>
      </c>
      <c r="Q191" s="106">
        <v>87.850958525022236</v>
      </c>
      <c r="R191" s="106">
        <v>0</v>
      </c>
      <c r="S191" s="106">
        <v>0</v>
      </c>
      <c r="T191" s="106">
        <v>0</v>
      </c>
      <c r="U191" s="106">
        <v>0</v>
      </c>
      <c r="V191" s="106">
        <v>73.719749136734293</v>
      </c>
      <c r="W191" s="106">
        <v>0</v>
      </c>
      <c r="X191" s="106">
        <v>0</v>
      </c>
      <c r="Y191" s="106">
        <v>87.850958525022222</v>
      </c>
      <c r="Z191" s="106">
        <v>0</v>
      </c>
      <c r="AA191" s="106">
        <v>0</v>
      </c>
      <c r="AB191" s="106">
        <v>0</v>
      </c>
      <c r="AC191" s="106">
        <v>0</v>
      </c>
      <c r="AD191" s="106">
        <v>0</v>
      </c>
      <c r="AE191" s="106">
        <v>0</v>
      </c>
      <c r="AF191" s="106">
        <v>0</v>
      </c>
      <c r="AG191" s="106">
        <v>0</v>
      </c>
      <c r="AH191" s="106">
        <v>0</v>
      </c>
      <c r="AI191" s="106">
        <v>0</v>
      </c>
      <c r="AJ191" s="106">
        <v>0</v>
      </c>
      <c r="AK191" s="106">
        <v>179.99999999999875</v>
      </c>
      <c r="AL191" s="106">
        <v>0</v>
      </c>
      <c r="AM191" s="106">
        <v>2.9999999999974989</v>
      </c>
      <c r="AN191" s="106">
        <v>0</v>
      </c>
      <c r="AO191" s="106">
        <v>13.999999999994998</v>
      </c>
      <c r="AP191" s="106">
        <v>0</v>
      </c>
      <c r="AQ191" s="106">
        <v>13.999999999992497</v>
      </c>
      <c r="AR191" s="106">
        <v>34.999999999991246</v>
      </c>
      <c r="AS191" s="106">
        <v>87.850958525022236</v>
      </c>
      <c r="AT191" s="106">
        <v>40.999999999998764</v>
      </c>
      <c r="AU191" s="106">
        <v>55.999999999997513</v>
      </c>
      <c r="AV191" s="106">
        <v>0</v>
      </c>
      <c r="AW191" s="106">
        <v>0</v>
      </c>
      <c r="AX191" s="106">
        <v>0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69</v>
      </c>
      <c r="D197" s="106">
        <v>68.073862457800715</v>
      </c>
      <c r="E197" s="106">
        <v>25.929544561533717</v>
      </c>
      <c r="F197" s="106">
        <v>77.410458097976516</v>
      </c>
      <c r="G197" s="106">
        <v>80.555342996861498</v>
      </c>
      <c r="H197" s="106">
        <v>7.0507493031143396</v>
      </c>
      <c r="I197" s="106">
        <v>96</v>
      </c>
      <c r="J197" s="106">
        <v>11.880675266402903</v>
      </c>
      <c r="K197" s="106">
        <v>0</v>
      </c>
      <c r="L197" s="106">
        <v>0</v>
      </c>
      <c r="M197" s="106">
        <v>0</v>
      </c>
      <c r="N197" s="106">
        <v>0</v>
      </c>
      <c r="O197" s="106">
        <v>0</v>
      </c>
      <c r="P197" s="106">
        <v>0</v>
      </c>
      <c r="Q197" s="106">
        <v>1.4919295853797223</v>
      </c>
      <c r="R197" s="106">
        <v>2.1879056154370033</v>
      </c>
      <c r="S197" s="106">
        <v>0</v>
      </c>
      <c r="T197" s="106">
        <v>0</v>
      </c>
      <c r="U197" s="106">
        <v>0</v>
      </c>
      <c r="V197" s="106">
        <v>0</v>
      </c>
      <c r="W197" s="106">
        <v>39.089724475230575</v>
      </c>
      <c r="X197" s="106">
        <v>16.281974957995658</v>
      </c>
      <c r="Y197" s="106">
        <v>19.289746960038343</v>
      </c>
      <c r="Z197" s="106">
        <v>36.443928482070675</v>
      </c>
      <c r="AA197" s="106">
        <v>0</v>
      </c>
      <c r="AB197" s="106">
        <v>0</v>
      </c>
      <c r="AC197" s="106">
        <v>2.7200813397093455</v>
      </c>
      <c r="AD197" s="106">
        <v>0</v>
      </c>
      <c r="AE197" s="106">
        <v>0</v>
      </c>
      <c r="AF197" s="106">
        <v>2.9398857080968241</v>
      </c>
      <c r="AG197" s="106">
        <v>26.42796088430277</v>
      </c>
      <c r="AH197" s="106">
        <v>0</v>
      </c>
      <c r="AI197" s="106">
        <v>0</v>
      </c>
      <c r="AJ197" s="106">
        <v>0</v>
      </c>
      <c r="AK197" s="106">
        <v>33.847695882047468</v>
      </c>
      <c r="AL197" s="106">
        <v>35.285286362999237</v>
      </c>
      <c r="AM197" s="106">
        <v>26.591869867464709</v>
      </c>
      <c r="AN197" s="106">
        <v>1.3977367596823882</v>
      </c>
      <c r="AO197" s="106">
        <v>0</v>
      </c>
      <c r="AP197" s="106">
        <v>0</v>
      </c>
      <c r="AQ197" s="106">
        <v>7.0413463776745786</v>
      </c>
      <c r="AR197" s="106">
        <v>22.201522199027458</v>
      </c>
      <c r="AS197" s="106">
        <v>57.656076839731767</v>
      </c>
      <c r="AT197" s="106">
        <v>83.093667320683537</v>
      </c>
      <c r="AU197" s="106">
        <v>0</v>
      </c>
      <c r="AV197" s="106">
        <v>0</v>
      </c>
      <c r="AW197" s="106">
        <v>2.0276621347210693</v>
      </c>
      <c r="AX197" s="106">
        <v>37.465252615672838</v>
      </c>
      <c r="AY197" s="106">
        <v>64.239191733687122</v>
      </c>
    </row>
    <row r="198" spans="1:51">
      <c r="A198" s="109"/>
      <c r="B198" s="119">
        <v>2</v>
      </c>
      <c r="C198" s="106">
        <v>0</v>
      </c>
      <c r="D198" s="106">
        <v>32.555374726638007</v>
      </c>
      <c r="E198" s="106">
        <v>0</v>
      </c>
      <c r="F198" s="106">
        <v>0</v>
      </c>
      <c r="G198" s="106">
        <v>0</v>
      </c>
      <c r="H198" s="106">
        <v>0</v>
      </c>
      <c r="I198" s="106">
        <v>0</v>
      </c>
      <c r="J198" s="106">
        <v>47.119324733597097</v>
      </c>
      <c r="K198" s="106">
        <v>59</v>
      </c>
      <c r="L198" s="106">
        <v>30.014980487769222</v>
      </c>
      <c r="M198" s="106">
        <v>11.74842551011325</v>
      </c>
      <c r="N198" s="106">
        <v>51.725564576176751</v>
      </c>
      <c r="O198" s="106">
        <v>63.536247906773362</v>
      </c>
      <c r="P198" s="106">
        <v>51.509606445422087</v>
      </c>
      <c r="Q198" s="106">
        <v>87.535141022147315</v>
      </c>
      <c r="R198" s="106">
        <v>72.812094384562997</v>
      </c>
      <c r="S198" s="106">
        <v>58</v>
      </c>
      <c r="T198" s="106">
        <v>42.012107232045139</v>
      </c>
      <c r="U198" s="106">
        <v>68.341658409073631</v>
      </c>
      <c r="V198" s="106">
        <v>40.854869071458793</v>
      </c>
      <c r="W198" s="106">
        <v>41.87256441885301</v>
      </c>
      <c r="X198" s="106">
        <v>90.93701591718056</v>
      </c>
      <c r="Y198" s="106">
        <v>53.710253039961657</v>
      </c>
      <c r="Z198" s="106">
        <v>61.556071517929325</v>
      </c>
      <c r="AA198" s="106">
        <v>76</v>
      </c>
      <c r="AB198" s="106">
        <v>63.049440172524569</v>
      </c>
      <c r="AC198" s="106">
        <v>59.786867781001241</v>
      </c>
      <c r="AD198" s="106">
        <v>96</v>
      </c>
      <c r="AE198" s="106">
        <v>84.398182009587515</v>
      </c>
      <c r="AF198" s="106">
        <v>83.275638015043128</v>
      </c>
      <c r="AG198" s="106">
        <v>38.57203911569723</v>
      </c>
      <c r="AH198" s="106">
        <v>63</v>
      </c>
      <c r="AI198" s="106">
        <v>67.111325187613303</v>
      </c>
      <c r="AJ198" s="106">
        <v>41.938821018788232</v>
      </c>
      <c r="AK198" s="106">
        <v>6.8556002591004619</v>
      </c>
      <c r="AL198" s="106">
        <v>37.714713637000763</v>
      </c>
      <c r="AM198" s="106">
        <v>72.408130132535291</v>
      </c>
      <c r="AN198" s="106">
        <v>86.602263240317612</v>
      </c>
      <c r="AO198" s="106">
        <v>109</v>
      </c>
      <c r="AP198" s="106">
        <v>74.903360926334827</v>
      </c>
      <c r="AQ198" s="106">
        <v>54.841138581224151</v>
      </c>
      <c r="AR198" s="106">
        <v>62.998076246329894</v>
      </c>
      <c r="AS198" s="106">
        <v>14.343923160268233</v>
      </c>
      <c r="AT198" s="106">
        <v>13.906332679316463</v>
      </c>
      <c r="AU198" s="106">
        <v>69</v>
      </c>
      <c r="AV198" s="106">
        <v>93.749092078898101</v>
      </c>
      <c r="AW198" s="106">
        <v>79.698556133876707</v>
      </c>
      <c r="AX198" s="106">
        <v>69.534747384327162</v>
      </c>
      <c r="AY198" s="106">
        <v>4.7608082663128783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51.985019512230778</v>
      </c>
      <c r="M199" s="106">
        <v>79.25157448988675</v>
      </c>
      <c r="N199" s="106">
        <v>46.274435423823249</v>
      </c>
      <c r="O199" s="106">
        <v>11.463752093226638</v>
      </c>
      <c r="P199" s="106">
        <v>24.490393554577913</v>
      </c>
      <c r="Q199" s="106">
        <v>16.972929392472956</v>
      </c>
      <c r="R199" s="106">
        <v>0</v>
      </c>
      <c r="S199" s="106">
        <v>0</v>
      </c>
      <c r="T199" s="106">
        <v>16.70162296316856</v>
      </c>
      <c r="U199" s="106">
        <v>29.550302287003092</v>
      </c>
      <c r="V199" s="106">
        <v>25.145130928541207</v>
      </c>
      <c r="W199" s="106">
        <v>3.7711105916415022E-2</v>
      </c>
      <c r="X199" s="106">
        <v>0</v>
      </c>
      <c r="Y199" s="106">
        <v>0</v>
      </c>
      <c r="Z199" s="106">
        <v>0</v>
      </c>
      <c r="AA199" s="106">
        <v>0</v>
      </c>
      <c r="AB199" s="106">
        <v>3.9505598274754306</v>
      </c>
      <c r="AC199" s="106">
        <v>38.493050879289413</v>
      </c>
      <c r="AD199" s="106">
        <v>0</v>
      </c>
      <c r="AE199" s="106">
        <v>7.8592923390914393</v>
      </c>
      <c r="AF199" s="106">
        <v>15.784476276860048</v>
      </c>
      <c r="AG199" s="106">
        <v>0</v>
      </c>
      <c r="AH199" s="106">
        <v>0</v>
      </c>
      <c r="AI199" s="106">
        <v>18.674399689541787</v>
      </c>
      <c r="AJ199" s="106">
        <v>31.923370235566637</v>
      </c>
      <c r="AK199" s="106">
        <v>37.296703858852069</v>
      </c>
      <c r="AL199" s="106">
        <v>0</v>
      </c>
      <c r="AM199" s="106">
        <v>0</v>
      </c>
      <c r="AN199" s="106">
        <v>0</v>
      </c>
      <c r="AO199" s="106">
        <v>0</v>
      </c>
      <c r="AP199" s="106">
        <v>4.0966390736651732</v>
      </c>
      <c r="AQ199" s="106">
        <v>15.117515041101271</v>
      </c>
      <c r="AR199" s="106">
        <v>0</v>
      </c>
      <c r="AS199" s="106">
        <v>0</v>
      </c>
      <c r="AT199" s="106">
        <v>0</v>
      </c>
      <c r="AU199" s="106">
        <v>0</v>
      </c>
      <c r="AV199" s="106">
        <v>1.2509079211018985</v>
      </c>
      <c r="AW199" s="106">
        <v>14.833600448843654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91.453080857144414</v>
      </c>
      <c r="D209" s="124">
        <v>47.103511685169281</v>
      </c>
      <c r="E209" s="124">
        <v>140.62354272822859</v>
      </c>
      <c r="F209" s="124">
        <v>110.15636166053037</v>
      </c>
      <c r="G209" s="124">
        <v>9.9809325834581131E-3</v>
      </c>
      <c r="H209" s="124">
        <v>0</v>
      </c>
      <c r="I209" s="124">
        <v>23.802647806725773</v>
      </c>
      <c r="J209" s="124">
        <v>69.506793265334466</v>
      </c>
      <c r="K209" s="124">
        <v>66.388316556666865</v>
      </c>
      <c r="L209" s="124">
        <v>28.388316556667831</v>
      </c>
      <c r="M209" s="124">
        <v>51.479455649326979</v>
      </c>
      <c r="N209" s="124">
        <v>29.772674817819606</v>
      </c>
      <c r="O209" s="124">
        <v>39.372313471274779</v>
      </c>
      <c r="P209" s="124">
        <v>117.55612366767542</v>
      </c>
      <c r="Q209" s="124">
        <v>63.621664375915628</v>
      </c>
      <c r="R209" s="124">
        <v>63.621664375915628</v>
      </c>
      <c r="S209" s="124">
        <v>134</v>
      </c>
      <c r="T209" s="124">
        <v>51.17778804359201</v>
      </c>
      <c r="U209" s="124">
        <v>63.621664375915628</v>
      </c>
      <c r="V209" s="124">
        <v>88.896959838153009</v>
      </c>
      <c r="W209" s="124">
        <v>40.240702314968573</v>
      </c>
      <c r="X209" s="124">
        <v>102.35478559239736</v>
      </c>
      <c r="Y209" s="124">
        <v>45.558216779811495</v>
      </c>
      <c r="Z209" s="124">
        <v>64.538298312578206</v>
      </c>
      <c r="AA209" s="124">
        <v>66.388316556666865</v>
      </c>
      <c r="AB209" s="124">
        <v>49.388316556667831</v>
      </c>
      <c r="AC209" s="124">
        <v>97.008565324068115</v>
      </c>
      <c r="AD209" s="124">
        <v>111.72179382006398</v>
      </c>
      <c r="AE209" s="124">
        <v>63.621664375915628</v>
      </c>
      <c r="AF209" s="124">
        <v>52.621664375916595</v>
      </c>
      <c r="AG209" s="124">
        <v>89.093950280049285</v>
      </c>
      <c r="AH209" s="124">
        <v>117.55612366767542</v>
      </c>
      <c r="AI209" s="124">
        <v>9.9809325834582744E-3</v>
      </c>
      <c r="AJ209" s="124">
        <v>126.86219125435487</v>
      </c>
      <c r="AK209" s="124">
        <v>29.986215003674001</v>
      </c>
      <c r="AL209" s="124">
        <v>15.928093492213819</v>
      </c>
      <c r="AM209" s="124">
        <v>78.009953851913025</v>
      </c>
      <c r="AN209" s="124">
        <v>78.468420300301858</v>
      </c>
      <c r="AO209" s="124">
        <v>66.388316556666851</v>
      </c>
      <c r="AP209" s="124">
        <v>63.621664375915628</v>
      </c>
      <c r="AQ209" s="124">
        <v>9.9809325834582744E-3</v>
      </c>
      <c r="AR209" s="124">
        <v>34.821262821273947</v>
      </c>
      <c r="AS209" s="124">
        <v>6.4348298861310695</v>
      </c>
      <c r="AT209" s="124">
        <v>15.305218849426637</v>
      </c>
      <c r="AU209" s="124">
        <v>66.388316556666865</v>
      </c>
      <c r="AV209" s="124">
        <v>114</v>
      </c>
      <c r="AW209" s="124">
        <v>66.388316556666865</v>
      </c>
      <c r="AX209" s="124">
        <v>55.388316556667831</v>
      </c>
      <c r="AY209" s="124">
        <v>109.87833450305922</v>
      </c>
    </row>
    <row r="210" spans="1:51">
      <c r="A210" s="109"/>
      <c r="B210" s="119">
        <v>2</v>
      </c>
      <c r="C210" s="106">
        <v>5.8454070660676134</v>
      </c>
      <c r="D210" s="110">
        <v>0</v>
      </c>
      <c r="E210" s="110">
        <v>0</v>
      </c>
      <c r="F210" s="110">
        <v>16.336528632459391</v>
      </c>
      <c r="G210" s="110">
        <v>12.798383340853709</v>
      </c>
      <c r="H210" s="110">
        <v>115.48938161455494</v>
      </c>
      <c r="I210" s="110">
        <v>83.844998878140174</v>
      </c>
      <c r="J210" s="110">
        <v>68.493206734665534</v>
      </c>
      <c r="K210" s="110">
        <v>39.015791160023767</v>
      </c>
      <c r="L210" s="110">
        <v>63.611683443332169</v>
      </c>
      <c r="M210" s="110">
        <v>93.520544350673021</v>
      </c>
      <c r="N210" s="110">
        <v>73.227325182180394</v>
      </c>
      <c r="O210" s="110">
        <v>92.627686528725221</v>
      </c>
      <c r="P210" s="110">
        <v>17.424282679896521</v>
      </c>
      <c r="Q210" s="110">
        <v>12.443876332323606</v>
      </c>
      <c r="R210" s="110">
        <v>66.378335624083405</v>
      </c>
      <c r="S210" s="110">
        <v>0</v>
      </c>
      <c r="T210" s="110">
        <v>23.107517031885269</v>
      </c>
      <c r="U210" s="110">
        <v>12.443876332323612</v>
      </c>
      <c r="V210" s="110">
        <v>0</v>
      </c>
      <c r="W210" s="110">
        <v>60.759297685031427</v>
      </c>
      <c r="X210" s="110">
        <v>16.864205282778858</v>
      </c>
      <c r="Y210" s="110">
        <v>17.830099776856336</v>
      </c>
      <c r="Z210" s="110">
        <v>54.461701687421794</v>
      </c>
      <c r="AA210" s="110">
        <v>42.220279265715284</v>
      </c>
      <c r="AB210" s="110">
        <v>63.611683443332169</v>
      </c>
      <c r="AC210" s="110">
        <v>51.991434675931892</v>
      </c>
      <c r="AD210" s="110">
        <v>21.278206179936024</v>
      </c>
      <c r="AE210" s="110">
        <v>11.78873982039293</v>
      </c>
      <c r="AF210" s="110">
        <v>66.378335624083405</v>
      </c>
      <c r="AG210" s="110">
        <v>49.906049719950722</v>
      </c>
      <c r="AH210" s="110">
        <v>26.382828406756602</v>
      </c>
      <c r="AI210" s="110">
        <v>12.443876332323606</v>
      </c>
      <c r="AJ210" s="110">
        <v>0</v>
      </c>
      <c r="AK210" s="110">
        <v>2.0237659289104259</v>
      </c>
      <c r="AL210" s="110">
        <v>88.071906507786181</v>
      </c>
      <c r="AM210" s="110">
        <v>77.990046148086975</v>
      </c>
      <c r="AN210" s="110">
        <v>33.531579699698149</v>
      </c>
      <c r="AO210" s="110">
        <v>33.235886477768716</v>
      </c>
      <c r="AP210" s="110">
        <v>63.611683443332176</v>
      </c>
      <c r="AQ210" s="110">
        <v>66.378335624083405</v>
      </c>
      <c r="AR210" s="110">
        <v>66.378335624083405</v>
      </c>
      <c r="AS210" s="110">
        <v>84.953486670536762</v>
      </c>
      <c r="AT210" s="110">
        <v>79.694781150573363</v>
      </c>
      <c r="AU210" s="110">
        <v>78.391776330592464</v>
      </c>
      <c r="AV210" s="110">
        <v>0</v>
      </c>
      <c r="AW210" s="110">
        <v>10.319384477309013</v>
      </c>
      <c r="AX210" s="110">
        <v>63.611683443332169</v>
      </c>
      <c r="AY210" s="110">
        <v>48.121665496940778</v>
      </c>
    </row>
    <row r="211" spans="1:51">
      <c r="A211" s="109"/>
      <c r="B211" s="119">
        <v>3</v>
      </c>
      <c r="C211" s="106">
        <v>0</v>
      </c>
      <c r="D211" s="110">
        <v>0</v>
      </c>
      <c r="E211" s="110">
        <v>0</v>
      </c>
      <c r="F211" s="110">
        <v>0</v>
      </c>
      <c r="G211" s="110">
        <v>0</v>
      </c>
      <c r="H211" s="110">
        <v>0</v>
      </c>
      <c r="I211" s="110">
        <v>9.3523533151340459</v>
      </c>
      <c r="J211" s="110">
        <v>0</v>
      </c>
      <c r="K211" s="110">
        <v>0</v>
      </c>
      <c r="L211" s="110">
        <v>0</v>
      </c>
      <c r="M211" s="110">
        <v>0</v>
      </c>
      <c r="N211" s="110">
        <v>0</v>
      </c>
      <c r="O211" s="110">
        <v>0</v>
      </c>
      <c r="P211" s="110">
        <v>0</v>
      </c>
      <c r="Q211" s="110">
        <v>63.611683443332169</v>
      </c>
      <c r="R211" s="110">
        <v>0</v>
      </c>
      <c r="S211" s="110">
        <v>0</v>
      </c>
      <c r="T211" s="110">
        <v>0</v>
      </c>
      <c r="U211" s="110">
        <v>0</v>
      </c>
      <c r="V211" s="110">
        <v>53.103040161846998</v>
      </c>
      <c r="W211" s="110">
        <v>0</v>
      </c>
      <c r="X211" s="110">
        <v>0</v>
      </c>
      <c r="Y211" s="110">
        <v>63.611683443332169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0</v>
      </c>
      <c r="AH211" s="110">
        <v>0</v>
      </c>
      <c r="AI211" s="110">
        <v>0</v>
      </c>
      <c r="AJ211" s="110">
        <v>0</v>
      </c>
      <c r="AK211" s="110">
        <v>129.99001906741557</v>
      </c>
      <c r="AL211" s="110">
        <v>0</v>
      </c>
      <c r="AM211" s="110">
        <v>0</v>
      </c>
      <c r="AN211" s="110">
        <v>0</v>
      </c>
      <c r="AO211" s="110">
        <v>0</v>
      </c>
      <c r="AP211" s="110">
        <v>0</v>
      </c>
      <c r="AQ211" s="110">
        <v>0</v>
      </c>
      <c r="AR211" s="110">
        <v>0</v>
      </c>
      <c r="AS211" s="110">
        <v>63.611683443332169</v>
      </c>
      <c r="AT211" s="110">
        <v>0</v>
      </c>
      <c r="AU211" s="110">
        <v>0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16854.203964996916</v>
      </c>
      <c r="E259" s="124">
        <f t="shared" ref="E259:AX259" si="5">F$14*$B$259</f>
        <v>50316.797763684735</v>
      </c>
      <c r="F259" s="124">
        <f t="shared" si="5"/>
        <v>52360.97294795997</v>
      </c>
      <c r="G259" s="124">
        <f t="shared" si="5"/>
        <v>4582.9870470243204</v>
      </c>
      <c r="H259" s="124">
        <f t="shared" si="5"/>
        <v>93027.561076838116</v>
      </c>
      <c r="I259" s="124">
        <f t="shared" si="5"/>
        <v>79862.701606111892</v>
      </c>
      <c r="J259" s="124">
        <f t="shared" si="5"/>
        <v>71023.260735476375</v>
      </c>
      <c r="K259" s="124">
        <f t="shared" si="5"/>
        <v>37714.859607058723</v>
      </c>
      <c r="L259" s="124">
        <f t="shared" si="5"/>
        <v>41073.055835112202</v>
      </c>
      <c r="M259" s="124">
        <f t="shared" si="5"/>
        <v>57217.316949878332</v>
      </c>
      <c r="N259" s="124">
        <f t="shared" si="5"/>
        <v>44513.648294631777</v>
      </c>
      <c r="O259" s="124">
        <f t="shared" si="5"/>
        <v>56897.841664395753</v>
      </c>
      <c r="P259" s="124">
        <f t="shared" si="5"/>
        <v>48297.615580462771</v>
      </c>
      <c r="Q259" s="124">
        <f t="shared" si="5"/>
        <v>49978.193576093618</v>
      </c>
      <c r="R259" s="124">
        <f t="shared" si="5"/>
        <v>46515.566187381351</v>
      </c>
      <c r="S259" s="124">
        <f t="shared" si="5"/>
        <v>60766.413069449642</v>
      </c>
      <c r="T259" s="124">
        <f t="shared" si="5"/>
        <v>26580.177115293885</v>
      </c>
      <c r="U259" s="124">
        <f t="shared" si="5"/>
        <v>27217.166872254456</v>
      </c>
      <c r="V259" s="124">
        <f t="shared" si="5"/>
        <v>84517.381255067245</v>
      </c>
      <c r="W259" s="124">
        <f t="shared" si="5"/>
        <v>45494.948198672253</v>
      </c>
      <c r="X259" s="124">
        <f t="shared" si="5"/>
        <v>52549.782010678988</v>
      </c>
      <c r="Y259" s="124">
        <f t="shared" si="5"/>
        <v>75656.417401204963</v>
      </c>
      <c r="Z259" s="124">
        <f t="shared" si="5"/>
        <v>66002.619183679082</v>
      </c>
      <c r="AA259" s="124">
        <f t="shared" si="5"/>
        <v>38861.46405765081</v>
      </c>
      <c r="AB259" s="124">
        <f t="shared" si="5"/>
        <v>69276.592891220513</v>
      </c>
      <c r="AC259" s="124">
        <f t="shared" si="5"/>
        <v>65118.727886190914</v>
      </c>
      <c r="AD259" s="124">
        <f t="shared" si="5"/>
        <v>54129.164709778037</v>
      </c>
      <c r="AE259" s="124">
        <f t="shared" si="5"/>
        <v>26982.751135466136</v>
      </c>
      <c r="AF259" s="124">
        <f t="shared" si="5"/>
        <v>70266.534372998954</v>
      </c>
      <c r="AG259" s="124">
        <f t="shared" si="5"/>
        <v>64372.552025066958</v>
      </c>
      <c r="AH259" s="124">
        <f t="shared" si="5"/>
        <v>51503.091170466199</v>
      </c>
      <c r="AI259" s="124">
        <f t="shared" si="5"/>
        <v>4456.1401684153006</v>
      </c>
      <c r="AJ259" s="124">
        <f t="shared" si="5"/>
        <v>46515.566187381351</v>
      </c>
      <c r="AK259" s="124">
        <f t="shared" si="5"/>
        <v>70000.720722097438</v>
      </c>
      <c r="AL259" s="124">
        <f t="shared" si="5"/>
        <v>73576.186520058502</v>
      </c>
      <c r="AM259" s="124">
        <f t="shared" si="5"/>
        <v>74421.344291675909</v>
      </c>
      <c r="AN259" s="124">
        <f t="shared" si="5"/>
        <v>58513.569378833461</v>
      </c>
      <c r="AO259" s="124">
        <f t="shared" si="5"/>
        <v>35646.740077795701</v>
      </c>
      <c r="AP259" s="124">
        <f t="shared" si="5"/>
        <v>45525.62470560291</v>
      </c>
      <c r="AQ259" s="124">
        <f t="shared" si="5"/>
        <v>23754.539483542198</v>
      </c>
      <c r="AR259" s="124">
        <f t="shared" si="5"/>
        <v>46515.566187381351</v>
      </c>
      <c r="AS259" s="124">
        <f t="shared" si="5"/>
        <v>99673.973907160529</v>
      </c>
      <c r="AT259" s="124">
        <f t="shared" si="5"/>
        <v>70578.750143032143</v>
      </c>
      <c r="AU259" s="124">
        <f t="shared" si="5"/>
        <v>51804.061487019862</v>
      </c>
      <c r="AV259" s="124">
        <f t="shared" si="5"/>
        <v>46515.566187381351</v>
      </c>
      <c r="AW259" s="124">
        <f t="shared" si="5"/>
        <v>27446.939573290714</v>
      </c>
      <c r="AX259" s="124">
        <f t="shared" si="5"/>
        <v>69276.592891220513</v>
      </c>
      <c r="AY259" s="124">
        <f>AZ$14*$B$259</f>
        <v>63734.077852535134</v>
      </c>
      <c r="AZ259" s="139">
        <f>SUM($D259:$AY259)</f>
        <v>2537488.3259566701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27428.031164599674</v>
      </c>
      <c r="E260" s="125">
        <f t="shared" ref="E260:AY260" si="6">(E$175-E$176+E$177-E$178+E$179-E$180+E$181-E$182)*$B$260</f>
        <v>25807.905659882388</v>
      </c>
      <c r="F260" s="125">
        <f t="shared" si="6"/>
        <v>26372.218396535758</v>
      </c>
      <c r="G260" s="125">
        <f t="shared" si="6"/>
        <v>17820</v>
      </c>
      <c r="H260" s="125">
        <f t="shared" si="6"/>
        <v>37650.038247171426</v>
      </c>
      <c r="I260" s="125">
        <f t="shared" si="6"/>
        <v>39679.000615611993</v>
      </c>
      <c r="J260" s="125">
        <f t="shared" si="6"/>
        <v>44084.006701340637</v>
      </c>
      <c r="K260" s="125">
        <f t="shared" si="6"/>
        <v>39939.350084418707</v>
      </c>
      <c r="L260" s="125">
        <f t="shared" si="6"/>
        <v>33779.067622202092</v>
      </c>
      <c r="M260" s="125">
        <f t="shared" si="6"/>
        <v>32866.612395059346</v>
      </c>
      <c r="N260" s="125">
        <f t="shared" si="6"/>
        <v>29268.963614378114</v>
      </c>
      <c r="O260" s="125">
        <f t="shared" si="6"/>
        <v>28163.591563697104</v>
      </c>
      <c r="P260" s="125">
        <f t="shared" si="6"/>
        <v>25303.602409431409</v>
      </c>
      <c r="Q260" s="125">
        <f t="shared" si="6"/>
        <v>23695.096301101585</v>
      </c>
      <c r="R260" s="125">
        <f t="shared" si="6"/>
        <v>20928.468015817842</v>
      </c>
      <c r="S260" s="125">
        <f t="shared" si="6"/>
        <v>22469.304676846761</v>
      </c>
      <c r="T260" s="125">
        <f t="shared" si="6"/>
        <v>18617.538624004294</v>
      </c>
      <c r="U260" s="125">
        <f t="shared" si="6"/>
        <v>17237.575792882202</v>
      </c>
      <c r="V260" s="125">
        <f t="shared" si="6"/>
        <v>28608.66437384301</v>
      </c>
      <c r="W260" s="125">
        <f t="shared" si="6"/>
        <v>22255.703320966582</v>
      </c>
      <c r="X260" s="125">
        <f t="shared" si="6"/>
        <v>20436.641173381016</v>
      </c>
      <c r="Y260" s="125">
        <f t="shared" si="6"/>
        <v>29406.24192231549</v>
      </c>
      <c r="Z260" s="125">
        <f t="shared" si="6"/>
        <v>32371.106328922175</v>
      </c>
      <c r="AA260" s="125">
        <f t="shared" si="6"/>
        <v>26324.896179284358</v>
      </c>
      <c r="AB260" s="125">
        <f t="shared" si="6"/>
        <v>30659.866764245558</v>
      </c>
      <c r="AC260" s="125">
        <f t="shared" si="6"/>
        <v>29457.414258929522</v>
      </c>
      <c r="AD260" s="125">
        <f t="shared" si="6"/>
        <v>28585.580046356543</v>
      </c>
      <c r="AE260" s="125">
        <f t="shared" si="6"/>
        <v>19458.919984041408</v>
      </c>
      <c r="AF260" s="125">
        <f t="shared" si="6"/>
        <v>21621.278099412513</v>
      </c>
      <c r="AG260" s="125">
        <f t="shared" si="6"/>
        <v>19199.08257959515</v>
      </c>
      <c r="AH260" s="125">
        <f t="shared" si="6"/>
        <v>19795.663891317956</v>
      </c>
      <c r="AI260" s="125">
        <f t="shared" si="6"/>
        <v>11844.846833319632</v>
      </c>
      <c r="AJ260" s="125">
        <f t="shared" si="6"/>
        <v>9872.7198983430208</v>
      </c>
      <c r="AK260" s="125">
        <f t="shared" si="6"/>
        <v>17127.380418583019</v>
      </c>
      <c r="AL260" s="125">
        <f t="shared" si="6"/>
        <v>28566.345314535865</v>
      </c>
      <c r="AM260" s="125">
        <f t="shared" si="6"/>
        <v>26630.851689831132</v>
      </c>
      <c r="AN260" s="125">
        <f t="shared" si="6"/>
        <v>30293.006252928586</v>
      </c>
      <c r="AO260" s="125">
        <f t="shared" si="6"/>
        <v>21151.30651749151</v>
      </c>
      <c r="AP260" s="125">
        <f t="shared" si="6"/>
        <v>19683.889855367626</v>
      </c>
      <c r="AQ260" s="125">
        <f t="shared" si="6"/>
        <v>13755.197701306484</v>
      </c>
      <c r="AR260" s="125">
        <f t="shared" si="6"/>
        <v>9143.9726094218095</v>
      </c>
      <c r="AS260" s="125">
        <f t="shared" si="6"/>
        <v>25603.603294118133</v>
      </c>
      <c r="AT260" s="125">
        <f t="shared" si="6"/>
        <v>28114.284460417097</v>
      </c>
      <c r="AU260" s="125">
        <f t="shared" si="6"/>
        <v>14834.2716419562</v>
      </c>
      <c r="AV260" s="125">
        <f t="shared" si="6"/>
        <v>16076.185009988667</v>
      </c>
      <c r="AW260" s="125">
        <f t="shared" si="6"/>
        <v>4247.3979695868447</v>
      </c>
      <c r="AX260" s="125">
        <f t="shared" si="6"/>
        <v>10708.720140607116</v>
      </c>
      <c r="AY260" s="125">
        <f t="shared" si="6"/>
        <v>8554.0814845516052</v>
      </c>
      <c r="AZ260" s="141">
        <f>SUM($D260:$AY260)</f>
        <v>1135499.4918999465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46</v>
      </c>
    </row>
    <row r="3" spans="1:53">
      <c r="A3" s="100" t="s">
        <v>286</v>
      </c>
      <c r="B3" s="108">
        <v>1500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190</v>
      </c>
      <c r="E9" s="117">
        <v>190</v>
      </c>
      <c r="F9" s="117">
        <v>190</v>
      </c>
      <c r="G9" s="117">
        <v>190</v>
      </c>
      <c r="H9" s="117">
        <v>190</v>
      </c>
      <c r="I9" s="117">
        <v>190</v>
      </c>
      <c r="J9" s="117">
        <v>190</v>
      </c>
      <c r="K9" s="117">
        <v>190</v>
      </c>
      <c r="L9" s="117">
        <v>190</v>
      </c>
      <c r="M9" s="117">
        <v>190</v>
      </c>
      <c r="N9" s="117">
        <v>190</v>
      </c>
      <c r="O9" s="117">
        <v>190</v>
      </c>
      <c r="P9" s="117">
        <v>190</v>
      </c>
      <c r="Q9" s="117">
        <v>190</v>
      </c>
      <c r="R9" s="117">
        <v>190</v>
      </c>
      <c r="S9" s="117">
        <v>190</v>
      </c>
      <c r="T9" s="117">
        <v>190</v>
      </c>
      <c r="U9" s="117">
        <v>190</v>
      </c>
      <c r="V9" s="117">
        <v>190</v>
      </c>
      <c r="W9" s="117">
        <v>190</v>
      </c>
      <c r="X9" s="117">
        <v>190</v>
      </c>
      <c r="Y9" s="117">
        <v>190</v>
      </c>
      <c r="Z9" s="117">
        <v>190</v>
      </c>
      <c r="AA9" s="117">
        <v>190</v>
      </c>
      <c r="AB9" s="117">
        <v>190</v>
      </c>
      <c r="AC9" s="117">
        <v>190</v>
      </c>
      <c r="AD9" s="117">
        <v>190</v>
      </c>
      <c r="AE9" s="117">
        <v>190</v>
      </c>
      <c r="AF9" s="117">
        <v>190</v>
      </c>
      <c r="AG9" s="117">
        <v>190</v>
      </c>
      <c r="AH9" s="117">
        <v>190</v>
      </c>
      <c r="AI9" s="117">
        <v>190</v>
      </c>
      <c r="AJ9" s="117">
        <v>190</v>
      </c>
      <c r="AK9" s="117">
        <v>190</v>
      </c>
      <c r="AL9" s="117">
        <v>190</v>
      </c>
      <c r="AM9" s="117">
        <v>190</v>
      </c>
      <c r="AN9" s="117">
        <v>190</v>
      </c>
      <c r="AO9" s="117">
        <v>190</v>
      </c>
      <c r="AP9" s="117">
        <v>190</v>
      </c>
      <c r="AQ9" s="117">
        <v>190</v>
      </c>
      <c r="AR9" s="117">
        <v>190</v>
      </c>
      <c r="AS9" s="117">
        <v>190</v>
      </c>
      <c r="AT9" s="117">
        <v>190</v>
      </c>
      <c r="AU9" s="117">
        <v>190</v>
      </c>
      <c r="AV9" s="117">
        <v>190</v>
      </c>
      <c r="AW9" s="117">
        <v>190</v>
      </c>
      <c r="AX9" s="117">
        <v>190</v>
      </c>
      <c r="AY9" s="117">
        <v>190</v>
      </c>
    </row>
    <row r="10" spans="1:53">
      <c r="A10" s="118" t="s">
        <v>133</v>
      </c>
      <c r="B10" s="119">
        <v>1</v>
      </c>
      <c r="C10" s="106" t="s">
        <v>293</v>
      </c>
      <c r="D10" s="100">
        <v>135.99999999999997</v>
      </c>
      <c r="E10" s="100">
        <v>49.332512500749161</v>
      </c>
      <c r="F10" s="100">
        <v>147.99753750224747</v>
      </c>
      <c r="G10" s="100">
        <v>169.99999999999901</v>
      </c>
      <c r="H10" s="100">
        <v>169.99999999999901</v>
      </c>
      <c r="I10" s="100">
        <v>169.99999999999901</v>
      </c>
      <c r="J10" s="100">
        <v>147.99753750224747</v>
      </c>
      <c r="K10" s="100">
        <v>169.99999999999901</v>
      </c>
      <c r="L10" s="100">
        <v>147.99753750224747</v>
      </c>
      <c r="M10" s="100">
        <v>169.99999999999901</v>
      </c>
      <c r="N10" s="100">
        <v>169.99999999999901</v>
      </c>
      <c r="O10" s="100">
        <v>61.665640625936447</v>
      </c>
      <c r="P10" s="100">
        <v>169.99999999999901</v>
      </c>
      <c r="Q10" s="100">
        <v>61.665640625936447</v>
      </c>
      <c r="R10" s="100">
        <v>169.99999999999901</v>
      </c>
      <c r="S10" s="100">
        <v>61.665640625936447</v>
      </c>
      <c r="T10" s="100">
        <v>169.99999999999901</v>
      </c>
      <c r="U10" s="100">
        <v>169.99999999999901</v>
      </c>
      <c r="V10" s="100">
        <v>169.99999999999901</v>
      </c>
      <c r="W10" s="100">
        <v>169.99999999999901</v>
      </c>
      <c r="X10" s="100">
        <v>169.99999999999901</v>
      </c>
      <c r="Y10" s="100">
        <v>169.99999999999901</v>
      </c>
      <c r="Z10" s="100">
        <v>147.99753750224747</v>
      </c>
      <c r="AA10" s="100">
        <v>169.99999999999901</v>
      </c>
      <c r="AB10" s="100">
        <v>147.99753750224747</v>
      </c>
      <c r="AC10" s="100">
        <v>169.99999999999901</v>
      </c>
      <c r="AD10" s="100">
        <v>169.99999999999901</v>
      </c>
      <c r="AE10" s="100">
        <v>169.99999999999901</v>
      </c>
      <c r="AF10" s="100">
        <v>147.99753750224747</v>
      </c>
      <c r="AG10" s="100">
        <v>61.665640625936447</v>
      </c>
      <c r="AH10" s="100">
        <v>169.99999999999901</v>
      </c>
      <c r="AI10" s="100">
        <v>169.99999999999901</v>
      </c>
      <c r="AJ10" s="100">
        <v>169.99999999999901</v>
      </c>
      <c r="AK10" s="100">
        <v>169.99999999999901</v>
      </c>
      <c r="AL10" s="100">
        <v>147.99753750224747</v>
      </c>
      <c r="AM10" s="100">
        <v>61.665640625936447</v>
      </c>
      <c r="AN10" s="100">
        <v>169.99999999999901</v>
      </c>
      <c r="AO10" s="100">
        <v>169.99999999999901</v>
      </c>
      <c r="AP10" s="100">
        <v>169.99999999999901</v>
      </c>
      <c r="AQ10" s="100">
        <v>61.665640625936447</v>
      </c>
      <c r="AR10" s="100">
        <v>169.99999999999901</v>
      </c>
      <c r="AS10" s="100">
        <v>61.665640625936447</v>
      </c>
      <c r="AT10" s="100">
        <v>147.99753750224747</v>
      </c>
      <c r="AU10" s="100">
        <v>0</v>
      </c>
      <c r="AV10" s="100">
        <v>169.99999999999898</v>
      </c>
      <c r="AW10" s="100">
        <v>12.333128125187292</v>
      </c>
      <c r="AX10" s="100">
        <v>169.99999999999898</v>
      </c>
      <c r="AY10" s="100">
        <v>12.333128125187292</v>
      </c>
      <c r="AZ10" s="100">
        <v>169.99999999999898</v>
      </c>
    </row>
    <row r="11" spans="1:53">
      <c r="B11" s="119">
        <v>2</v>
      </c>
      <c r="C11" s="106" t="s">
        <v>293</v>
      </c>
      <c r="D11" s="100">
        <v>74.449514920145845</v>
      </c>
      <c r="E11" s="100">
        <v>0</v>
      </c>
      <c r="F11" s="100">
        <v>21.675124222404222</v>
      </c>
      <c r="G11" s="100">
        <v>22.002462497751537</v>
      </c>
      <c r="I11" s="100">
        <v>0</v>
      </c>
      <c r="K11" s="100">
        <v>0</v>
      </c>
      <c r="M11" s="100">
        <v>22.002462497751537</v>
      </c>
      <c r="N11" s="100">
        <v>0</v>
      </c>
      <c r="Q11" s="100">
        <v>0</v>
      </c>
      <c r="R11" s="100">
        <v>108.33435937406256</v>
      </c>
      <c r="T11" s="100">
        <v>108.33435937406256</v>
      </c>
      <c r="U11" s="100">
        <v>0</v>
      </c>
      <c r="AA11" s="100">
        <v>22.002462497751537</v>
      </c>
      <c r="AB11" s="100">
        <v>0</v>
      </c>
      <c r="AF11" s="100">
        <v>0</v>
      </c>
      <c r="AG11" s="100">
        <v>22.002462497751537</v>
      </c>
      <c r="AH11" s="100">
        <v>108.33435937406256</v>
      </c>
      <c r="AI11" s="100">
        <v>0</v>
      </c>
      <c r="AJ11" s="100">
        <v>0</v>
      </c>
      <c r="AM11" s="100">
        <v>22.002462497751537</v>
      </c>
      <c r="AN11" s="100">
        <v>108.33435937406256</v>
      </c>
      <c r="AO11" s="100">
        <v>0</v>
      </c>
      <c r="AR11" s="100">
        <v>108.33435937406256</v>
      </c>
      <c r="AU11" s="100">
        <v>22.002462497751537</v>
      </c>
      <c r="AY11" s="100">
        <v>0</v>
      </c>
      <c r="AZ11" s="100">
        <v>157.6668718748117</v>
      </c>
      <c r="BA11" s="100">
        <v>0</v>
      </c>
    </row>
    <row r="12" spans="1:53">
      <c r="B12" s="120">
        <v>3</v>
      </c>
      <c r="C12" s="106" t="s">
        <v>293</v>
      </c>
      <c r="L12" s="100">
        <v>22.002462497751537</v>
      </c>
      <c r="Q12" s="100">
        <v>108.33435937406256</v>
      </c>
      <c r="AD12" s="100">
        <v>22.002462497751537</v>
      </c>
      <c r="AU12" s="100">
        <v>108.33435937406256</v>
      </c>
      <c r="AX12" s="100">
        <v>0</v>
      </c>
      <c r="AY12" s="100">
        <v>157.6668718748117</v>
      </c>
    </row>
    <row r="13" spans="1:53">
      <c r="B13" s="120">
        <v>4</v>
      </c>
      <c r="C13" s="106" t="s">
        <v>293</v>
      </c>
    </row>
    <row r="14" spans="1:53">
      <c r="A14" s="115" t="s">
        <v>134</v>
      </c>
      <c r="B14" s="121">
        <v>1</v>
      </c>
      <c r="C14" s="117" t="s">
        <v>293</v>
      </c>
      <c r="D14" s="117">
        <v>154.75524087006036</v>
      </c>
      <c r="E14" s="117">
        <f t="shared" ref="E14:AZ14" si="0">D$172*SUM(D$122:D$169)</f>
        <v>149.02230621016687</v>
      </c>
      <c r="F14" s="117">
        <f t="shared" si="0"/>
        <v>34.829528702000836</v>
      </c>
      <c r="G14" s="117">
        <f t="shared" si="0"/>
        <v>119.76895553422827</v>
      </c>
      <c r="H14" s="117">
        <f t="shared" si="0"/>
        <v>135.52995044055751</v>
      </c>
      <c r="I14" s="117">
        <f t="shared" si="0"/>
        <v>119.9999999999993</v>
      </c>
      <c r="J14" s="117">
        <f t="shared" si="0"/>
        <v>119.9999999999993</v>
      </c>
      <c r="K14" s="117">
        <f t="shared" si="0"/>
        <v>104.47004955944109</v>
      </c>
      <c r="L14" s="117">
        <f t="shared" si="0"/>
        <v>119.9999999999993</v>
      </c>
      <c r="M14" s="117">
        <f t="shared" si="0"/>
        <v>119.9999999999993</v>
      </c>
      <c r="N14" s="117">
        <f t="shared" si="0"/>
        <v>135.52995044055751</v>
      </c>
      <c r="O14" s="117">
        <f t="shared" si="0"/>
        <v>119.9999999999993</v>
      </c>
      <c r="P14" s="117">
        <f t="shared" si="0"/>
        <v>43.534593809180869</v>
      </c>
      <c r="Q14" s="117">
        <f t="shared" si="0"/>
        <v>119.9999999999993</v>
      </c>
      <c r="R14" s="117">
        <f t="shared" si="0"/>
        <v>119.9999999999993</v>
      </c>
      <c r="S14" s="117">
        <f t="shared" si="0"/>
        <v>196.46540619081773</v>
      </c>
      <c r="T14" s="117">
        <f t="shared" si="0"/>
        <v>74.704851951690003</v>
      </c>
      <c r="U14" s="117">
        <f t="shared" si="0"/>
        <v>196.46540619081773</v>
      </c>
      <c r="V14" s="117">
        <f t="shared" si="0"/>
        <v>126.13490522215483</v>
      </c>
      <c r="W14" s="117">
        <f t="shared" si="0"/>
        <v>119.9999999999993</v>
      </c>
      <c r="X14" s="117">
        <f t="shared" si="0"/>
        <v>119.9999999999993</v>
      </c>
      <c r="Y14" s="117">
        <f t="shared" si="0"/>
        <v>119.9999999999993</v>
      </c>
      <c r="Z14" s="117">
        <f t="shared" si="0"/>
        <v>119.9999999999993</v>
      </c>
      <c r="AA14" s="117">
        <f t="shared" si="0"/>
        <v>104.47004955944109</v>
      </c>
      <c r="AB14" s="117">
        <f t="shared" si="0"/>
        <v>135.52995044055751</v>
      </c>
      <c r="AC14" s="117">
        <f t="shared" si="0"/>
        <v>104.47004955944109</v>
      </c>
      <c r="AD14" s="117">
        <f t="shared" si="0"/>
        <v>119.9999999999993</v>
      </c>
      <c r="AE14" s="117">
        <f t="shared" si="0"/>
        <v>135.52995044055751</v>
      </c>
      <c r="AF14" s="117">
        <f t="shared" si="0"/>
        <v>119.9999999999993</v>
      </c>
      <c r="AG14" s="117">
        <f t="shared" si="0"/>
        <v>104.47004955944109</v>
      </c>
      <c r="AH14" s="117">
        <f t="shared" si="0"/>
        <v>59.064544249739086</v>
      </c>
      <c r="AI14" s="117">
        <f t="shared" si="0"/>
        <v>196.46540619081773</v>
      </c>
      <c r="AJ14" s="117">
        <f t="shared" si="0"/>
        <v>130.77767624709551</v>
      </c>
      <c r="AK14" s="117">
        <f t="shared" si="0"/>
        <v>119.9999999999993</v>
      </c>
      <c r="AL14" s="117">
        <f t="shared" si="0"/>
        <v>119.9999999999993</v>
      </c>
      <c r="AM14" s="117">
        <f t="shared" si="0"/>
        <v>104.47004955944109</v>
      </c>
      <c r="AN14" s="117">
        <f t="shared" si="0"/>
        <v>59.064544249739093</v>
      </c>
      <c r="AO14" s="117">
        <f t="shared" si="0"/>
        <v>196.46540619081773</v>
      </c>
      <c r="AP14" s="117">
        <f t="shared" si="0"/>
        <v>137.7343835973393</v>
      </c>
      <c r="AQ14" s="117">
        <f t="shared" si="0"/>
        <v>119.9999999999993</v>
      </c>
      <c r="AR14" s="117">
        <f t="shared" si="0"/>
        <v>43.534593809180869</v>
      </c>
      <c r="AS14" s="117">
        <f t="shared" si="0"/>
        <v>196.46540619081773</v>
      </c>
      <c r="AT14" s="117">
        <f t="shared" si="0"/>
        <v>60.967463350595636</v>
      </c>
      <c r="AU14" s="117">
        <f t="shared" si="0"/>
        <v>104.47004955944109</v>
      </c>
      <c r="AV14" s="117">
        <f t="shared" si="0"/>
        <v>92.004624904657391</v>
      </c>
      <c r="AW14" s="117">
        <f t="shared" si="0"/>
        <v>119.99999999999935</v>
      </c>
      <c r="AX14" s="117">
        <f t="shared" si="0"/>
        <v>8.7143333804607597</v>
      </c>
      <c r="AY14" s="117">
        <f t="shared" si="0"/>
        <v>119.99999999999935</v>
      </c>
      <c r="AZ14" s="110">
        <f t="shared" si="0"/>
        <v>119.9999999999993</v>
      </c>
      <c r="BA14" s="107">
        <f>SUM($E14:$AZ14)</f>
        <v>5571.1244352911772</v>
      </c>
    </row>
    <row r="15" spans="1:53">
      <c r="A15" s="122" t="s">
        <v>123</v>
      </c>
      <c r="B15" s="123">
        <v>1</v>
      </c>
      <c r="C15" s="124" t="s">
        <v>293</v>
      </c>
      <c r="D15" s="124">
        <v>195.45405323690835</v>
      </c>
      <c r="E15" s="124">
        <v>70.686297398376837</v>
      </c>
      <c r="F15" s="124">
        <v>212.0212723968786</v>
      </c>
      <c r="G15" s="124">
        <v>243.53920377102003</v>
      </c>
      <c r="H15" s="124">
        <v>243.53920377102003</v>
      </c>
      <c r="I15" s="124">
        <v>243.53920377102003</v>
      </c>
      <c r="J15" s="124">
        <v>212.0212723968786</v>
      </c>
      <c r="K15" s="124">
        <v>243.53920377102003</v>
      </c>
      <c r="L15" s="124">
        <v>212.0212723968786</v>
      </c>
      <c r="M15" s="124">
        <v>243.53920377102003</v>
      </c>
      <c r="N15" s="124">
        <v>243.53920377102003</v>
      </c>
      <c r="O15" s="124">
        <v>88.353169273189565</v>
      </c>
      <c r="P15" s="124">
        <v>243.53920377102003</v>
      </c>
      <c r="Q15" s="124">
        <v>88.353169273189565</v>
      </c>
      <c r="R15" s="124">
        <v>243.53920377102003</v>
      </c>
      <c r="S15" s="124">
        <v>88.353169273189565</v>
      </c>
      <c r="T15" s="124">
        <v>243.53920377102003</v>
      </c>
      <c r="U15" s="124">
        <v>243.53920377102003</v>
      </c>
      <c r="V15" s="124">
        <v>243.53920377102003</v>
      </c>
      <c r="W15" s="124">
        <v>243.53920377102003</v>
      </c>
      <c r="X15" s="124">
        <v>243.53920377102003</v>
      </c>
      <c r="Y15" s="124">
        <v>243.53920377102003</v>
      </c>
      <c r="Z15" s="124">
        <v>212.0212723968786</v>
      </c>
      <c r="AA15" s="124">
        <v>243.53920377102003</v>
      </c>
      <c r="AB15" s="124">
        <v>212.0212723968786</v>
      </c>
      <c r="AC15" s="124">
        <v>243.53920377102003</v>
      </c>
      <c r="AD15" s="124">
        <v>243.53920377102003</v>
      </c>
      <c r="AE15" s="124">
        <v>243.53920377102003</v>
      </c>
      <c r="AF15" s="124">
        <v>212.0212723968786</v>
      </c>
      <c r="AG15" s="124">
        <v>88.353169273189565</v>
      </c>
      <c r="AH15" s="124">
        <v>243.53920377102003</v>
      </c>
      <c r="AI15" s="124">
        <v>243.53920377102003</v>
      </c>
      <c r="AJ15" s="124">
        <v>243.53920377102003</v>
      </c>
      <c r="AK15" s="124">
        <v>243.53920377102003</v>
      </c>
      <c r="AL15" s="124">
        <v>212.0212723968786</v>
      </c>
      <c r="AM15" s="124">
        <v>88.353169273189565</v>
      </c>
      <c r="AN15" s="124">
        <v>243.53920377102003</v>
      </c>
      <c r="AO15" s="124">
        <v>243.53920377102003</v>
      </c>
      <c r="AP15" s="124">
        <v>243.53920377102003</v>
      </c>
      <c r="AQ15" s="124">
        <v>88.353169273189565</v>
      </c>
      <c r="AR15" s="124">
        <v>243.53920377102003</v>
      </c>
      <c r="AS15" s="124">
        <v>88.353169273189565</v>
      </c>
      <c r="AT15" s="124">
        <v>212.0212723968786</v>
      </c>
      <c r="AU15" s="124">
        <v>1.8809899126015502E-2</v>
      </c>
      <c r="AV15" s="124">
        <v>243.53920377102011</v>
      </c>
      <c r="AW15" s="124">
        <v>17.685681773938725</v>
      </c>
      <c r="AX15" s="124">
        <v>243.53920377102011</v>
      </c>
      <c r="AY15" s="124">
        <v>17.685681773938725</v>
      </c>
      <c r="AZ15" s="100">
        <v>243.5203938718941</v>
      </c>
    </row>
    <row r="16" spans="1:53">
      <c r="A16" s="110"/>
      <c r="B16" s="119">
        <v>2</v>
      </c>
      <c r="C16" s="109" t="s">
        <v>293</v>
      </c>
      <c r="D16" s="106">
        <v>106.98572841763647</v>
      </c>
      <c r="E16" s="110">
        <v>0</v>
      </c>
      <c r="F16" s="110">
        <v>31.049028163894917</v>
      </c>
      <c r="G16" s="110">
        <v>31.517931374141426</v>
      </c>
      <c r="H16" s="110"/>
      <c r="I16" s="110">
        <v>0</v>
      </c>
      <c r="J16" s="110"/>
      <c r="K16" s="110">
        <v>0</v>
      </c>
      <c r="L16" s="110"/>
      <c r="M16" s="110">
        <v>31.517931374141426</v>
      </c>
      <c r="N16" s="110">
        <v>0</v>
      </c>
      <c r="O16" s="110"/>
      <c r="P16" s="110"/>
      <c r="Q16" s="110">
        <v>0</v>
      </c>
      <c r="R16" s="110">
        <v>155.18603449783046</v>
      </c>
      <c r="S16" s="110"/>
      <c r="T16" s="110">
        <v>155.18603449783046</v>
      </c>
      <c r="U16" s="110">
        <v>0</v>
      </c>
      <c r="V16" s="110"/>
      <c r="W16" s="110"/>
      <c r="X16" s="110"/>
      <c r="Y16" s="110"/>
      <c r="Z16" s="110"/>
      <c r="AA16" s="110">
        <v>31.517931374141426</v>
      </c>
      <c r="AB16" s="110">
        <v>0</v>
      </c>
      <c r="AC16" s="110"/>
      <c r="AD16" s="110"/>
      <c r="AE16" s="110"/>
      <c r="AF16" s="110">
        <v>0</v>
      </c>
      <c r="AG16" s="110">
        <v>31.517931374141426</v>
      </c>
      <c r="AH16" s="110">
        <v>155.18603449783046</v>
      </c>
      <c r="AI16" s="110">
        <v>0</v>
      </c>
      <c r="AJ16" s="110">
        <v>0</v>
      </c>
      <c r="AK16" s="110"/>
      <c r="AL16" s="110"/>
      <c r="AM16" s="110">
        <v>31.517931374141426</v>
      </c>
      <c r="AN16" s="110">
        <v>155.18603449783046</v>
      </c>
      <c r="AO16" s="110">
        <v>0</v>
      </c>
      <c r="AP16" s="110"/>
      <c r="AQ16" s="110"/>
      <c r="AR16" s="110">
        <v>155.18603449783046</v>
      </c>
      <c r="AS16" s="110"/>
      <c r="AT16" s="110"/>
      <c r="AU16" s="110">
        <v>31.517931374141426</v>
      </c>
      <c r="AV16" s="110"/>
      <c r="AW16" s="110"/>
      <c r="AX16" s="110"/>
      <c r="AY16" s="110">
        <v>0</v>
      </c>
      <c r="AZ16" s="100">
        <v>225.85352199708132</v>
      </c>
      <c r="BA16" s="100">
        <v>0</v>
      </c>
    </row>
    <row r="17" spans="1:51">
      <c r="A17" s="110"/>
      <c r="B17" s="119">
        <v>3</v>
      </c>
      <c r="C17" s="109" t="s">
        <v>293</v>
      </c>
      <c r="D17" s="106"/>
      <c r="E17" s="110"/>
      <c r="F17" s="110"/>
      <c r="G17" s="110"/>
      <c r="H17" s="110"/>
      <c r="I17" s="110"/>
      <c r="J17" s="110"/>
      <c r="K17" s="110"/>
      <c r="L17" s="110">
        <v>31.517931374141426</v>
      </c>
      <c r="M17" s="110"/>
      <c r="N17" s="110"/>
      <c r="O17" s="110"/>
      <c r="P17" s="110"/>
      <c r="Q17" s="110">
        <v>155.18603449783046</v>
      </c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>
        <v>31.517931374141426</v>
      </c>
      <c r="AE17" s="110"/>
      <c r="AF17" s="110"/>
      <c r="AG17" s="110"/>
      <c r="AH17" s="110"/>
      <c r="AI17" s="110"/>
      <c r="AJ17" s="110"/>
      <c r="AK17" s="110"/>
      <c r="AL17" s="110"/>
      <c r="AM17" s="110"/>
      <c r="AN17" s="110"/>
      <c r="AO17" s="110"/>
      <c r="AP17" s="110"/>
      <c r="AQ17" s="110"/>
      <c r="AR17" s="110"/>
      <c r="AS17" s="110"/>
      <c r="AT17" s="110"/>
      <c r="AU17" s="110">
        <v>155.18603449783046</v>
      </c>
      <c r="AV17" s="110"/>
      <c r="AW17" s="110"/>
      <c r="AX17" s="110">
        <v>0</v>
      </c>
      <c r="AY17" s="110">
        <v>225.85352199708132</v>
      </c>
    </row>
    <row r="18" spans="1:51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1">
      <c r="A20" s="102" t="s">
        <v>294</v>
      </c>
    </row>
    <row r="21" spans="1:51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1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1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1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1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1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1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1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1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1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1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1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0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79.3614763376425</v>
      </c>
      <c r="D95" s="110">
        <v>190</v>
      </c>
      <c r="E95" s="110">
        <v>190</v>
      </c>
      <c r="F95" s="110">
        <v>190</v>
      </c>
      <c r="G95" s="110">
        <v>190</v>
      </c>
      <c r="H95" s="110">
        <v>190</v>
      </c>
      <c r="I95" s="110">
        <v>190</v>
      </c>
      <c r="J95" s="110">
        <v>190</v>
      </c>
      <c r="K95" s="110">
        <v>190</v>
      </c>
      <c r="L95" s="110">
        <v>190</v>
      </c>
      <c r="M95" s="110">
        <v>190</v>
      </c>
      <c r="N95" s="110">
        <v>190</v>
      </c>
      <c r="O95" s="110">
        <v>190</v>
      </c>
      <c r="P95" s="110">
        <v>190</v>
      </c>
      <c r="Q95" s="110">
        <v>190</v>
      </c>
      <c r="R95" s="110">
        <v>190</v>
      </c>
      <c r="S95" s="110">
        <v>190</v>
      </c>
      <c r="T95" s="110">
        <v>190</v>
      </c>
      <c r="U95" s="110">
        <v>190</v>
      </c>
      <c r="V95" s="110">
        <v>190</v>
      </c>
      <c r="W95" s="110">
        <v>190</v>
      </c>
      <c r="X95" s="110">
        <v>190</v>
      </c>
      <c r="Y95" s="110">
        <v>190</v>
      </c>
      <c r="Z95" s="110">
        <v>190</v>
      </c>
      <c r="AA95" s="110">
        <v>190</v>
      </c>
      <c r="AB95" s="110">
        <v>190</v>
      </c>
      <c r="AC95" s="110">
        <v>190</v>
      </c>
      <c r="AD95" s="110">
        <v>190</v>
      </c>
      <c r="AE95" s="110">
        <v>190</v>
      </c>
      <c r="AF95" s="110">
        <v>190</v>
      </c>
      <c r="AG95" s="110">
        <v>190</v>
      </c>
      <c r="AH95" s="110">
        <v>190</v>
      </c>
      <c r="AI95" s="110">
        <v>190</v>
      </c>
      <c r="AJ95" s="110">
        <v>190</v>
      </c>
      <c r="AK95" s="110">
        <v>190</v>
      </c>
      <c r="AL95" s="110">
        <v>190</v>
      </c>
      <c r="AM95" s="110">
        <v>190</v>
      </c>
      <c r="AN95" s="110">
        <v>190</v>
      </c>
      <c r="AO95" s="110">
        <v>190</v>
      </c>
      <c r="AP95" s="110">
        <v>190</v>
      </c>
      <c r="AQ95" s="110">
        <v>190</v>
      </c>
      <c r="AR95" s="110">
        <v>190</v>
      </c>
      <c r="AS95" s="110">
        <v>190</v>
      </c>
      <c r="AT95" s="110">
        <v>190</v>
      </c>
      <c r="AU95" s="110">
        <v>190</v>
      </c>
      <c r="AV95" s="110">
        <v>190</v>
      </c>
      <c r="AW95" s="110">
        <v>190</v>
      </c>
      <c r="AX95" s="110">
        <v>190</v>
      </c>
      <c r="AY95" s="110">
        <v>190</v>
      </c>
    </row>
    <row r="96" spans="1:52">
      <c r="A96" s="109"/>
      <c r="B96" s="120">
        <v>2</v>
      </c>
      <c r="C96" s="110">
        <v>0</v>
      </c>
      <c r="D96" s="110">
        <v>0</v>
      </c>
      <c r="E96" s="110">
        <v>23</v>
      </c>
      <c r="F96" s="110">
        <v>18</v>
      </c>
      <c r="G96" s="110">
        <v>0</v>
      </c>
      <c r="H96" s="110">
        <v>0</v>
      </c>
      <c r="I96" s="110">
        <v>0</v>
      </c>
      <c r="J96" s="110">
        <v>0</v>
      </c>
      <c r="K96" s="110">
        <v>52</v>
      </c>
      <c r="L96" s="110">
        <v>81</v>
      </c>
      <c r="M96" s="110">
        <v>83</v>
      </c>
      <c r="N96" s="110">
        <v>97</v>
      </c>
      <c r="O96" s="110">
        <v>112</v>
      </c>
      <c r="P96" s="110">
        <v>161</v>
      </c>
      <c r="Q96" s="110">
        <v>164</v>
      </c>
      <c r="R96" s="110">
        <v>142</v>
      </c>
      <c r="S96" s="110">
        <v>146</v>
      </c>
      <c r="T96" s="110">
        <v>151</v>
      </c>
      <c r="U96" s="110">
        <v>142</v>
      </c>
      <c r="V96" s="110">
        <v>138</v>
      </c>
      <c r="W96" s="110">
        <v>190</v>
      </c>
      <c r="X96" s="110">
        <v>188</v>
      </c>
      <c r="Y96" s="110">
        <v>190</v>
      </c>
      <c r="Z96" s="110">
        <v>183</v>
      </c>
      <c r="AA96" s="110">
        <v>190</v>
      </c>
      <c r="AB96" s="110">
        <v>190</v>
      </c>
      <c r="AC96" s="110">
        <v>190</v>
      </c>
      <c r="AD96" s="110">
        <v>190</v>
      </c>
      <c r="AE96" s="110">
        <v>190</v>
      </c>
      <c r="AF96" s="110">
        <v>150</v>
      </c>
      <c r="AG96" s="110">
        <v>125</v>
      </c>
      <c r="AH96" s="110">
        <v>98</v>
      </c>
      <c r="AI96" s="110">
        <v>109</v>
      </c>
      <c r="AJ96" s="110">
        <v>91</v>
      </c>
      <c r="AK96" s="110">
        <v>84</v>
      </c>
      <c r="AL96" s="110">
        <v>83</v>
      </c>
      <c r="AM96" s="110">
        <v>108</v>
      </c>
      <c r="AN96" s="110">
        <v>116</v>
      </c>
      <c r="AO96" s="110">
        <v>140</v>
      </c>
      <c r="AP96" s="110">
        <v>102</v>
      </c>
      <c r="AQ96" s="110">
        <v>69</v>
      </c>
      <c r="AR96" s="110">
        <v>51</v>
      </c>
      <c r="AS96" s="110">
        <v>43</v>
      </c>
      <c r="AT96" s="110">
        <v>40</v>
      </c>
      <c r="AU96" s="110">
        <v>49</v>
      </c>
      <c r="AV96" s="110">
        <v>51</v>
      </c>
      <c r="AW96" s="110">
        <v>38</v>
      </c>
      <c r="AX96" s="110">
        <v>77</v>
      </c>
      <c r="AY96" s="110">
        <v>100</v>
      </c>
    </row>
    <row r="97" spans="1:52">
      <c r="A97" s="109"/>
      <c r="B97" s="127">
        <v>3</v>
      </c>
      <c r="C97" s="110">
        <v>0</v>
      </c>
      <c r="D97" s="110">
        <v>0</v>
      </c>
      <c r="E97" s="110">
        <v>0</v>
      </c>
      <c r="F97" s="110">
        <v>0</v>
      </c>
      <c r="G97" s="110">
        <v>0</v>
      </c>
      <c r="H97" s="110">
        <v>0</v>
      </c>
      <c r="I97" s="110">
        <v>0</v>
      </c>
      <c r="J97" s="110">
        <v>0</v>
      </c>
      <c r="K97" s="110">
        <v>0</v>
      </c>
      <c r="L97" s="110">
        <v>0</v>
      </c>
      <c r="M97" s="110">
        <v>0</v>
      </c>
      <c r="N97" s="110">
        <v>0</v>
      </c>
      <c r="O97" s="110">
        <v>0</v>
      </c>
      <c r="P97" s="110">
        <v>0</v>
      </c>
      <c r="Q97" s="110">
        <v>0</v>
      </c>
      <c r="R97" s="110">
        <v>0</v>
      </c>
      <c r="S97" s="110">
        <v>0</v>
      </c>
      <c r="T97" s="110">
        <v>0</v>
      </c>
      <c r="U97" s="110">
        <v>0</v>
      </c>
      <c r="V97" s="110">
        <v>0</v>
      </c>
      <c r="W97" s="110">
        <v>4</v>
      </c>
      <c r="X97" s="110">
        <v>0</v>
      </c>
      <c r="Y97" s="110">
        <v>16</v>
      </c>
      <c r="Z97" s="110">
        <v>0</v>
      </c>
      <c r="AA97" s="110">
        <v>9</v>
      </c>
      <c r="AB97" s="110">
        <v>19</v>
      </c>
      <c r="AC97" s="110">
        <v>29</v>
      </c>
      <c r="AD97" s="110">
        <v>26</v>
      </c>
      <c r="AE97" s="110">
        <v>9</v>
      </c>
      <c r="AF97" s="110">
        <v>0</v>
      </c>
      <c r="AG97" s="110">
        <v>0</v>
      </c>
      <c r="AH97" s="110">
        <v>0</v>
      </c>
      <c r="AI97" s="110">
        <v>0</v>
      </c>
      <c r="AJ97" s="110">
        <v>0</v>
      </c>
      <c r="AK97" s="110">
        <v>0</v>
      </c>
      <c r="AL97" s="110">
        <v>0</v>
      </c>
      <c r="AM97" s="110">
        <v>0</v>
      </c>
      <c r="AN97" s="110">
        <v>0</v>
      </c>
      <c r="AO97" s="110">
        <v>0</v>
      </c>
      <c r="AP97" s="110">
        <v>0</v>
      </c>
      <c r="AQ97" s="110">
        <v>0</v>
      </c>
      <c r="AR97" s="110">
        <v>0</v>
      </c>
      <c r="AS97" s="110">
        <v>0</v>
      </c>
      <c r="AT97" s="110">
        <v>0</v>
      </c>
      <c r="AU97" s="110">
        <v>0</v>
      </c>
      <c r="AV97" s="110">
        <v>0</v>
      </c>
      <c r="AW97" s="110">
        <v>0</v>
      </c>
      <c r="AX97" s="110">
        <v>0</v>
      </c>
      <c r="AY97" s="110">
        <v>0</v>
      </c>
    </row>
    <row r="98" spans="1:52">
      <c r="A98" s="109"/>
      <c r="B98" s="130">
        <v>4</v>
      </c>
      <c r="C98" s="106">
        <v>0</v>
      </c>
      <c r="D98" s="110">
        <v>0</v>
      </c>
      <c r="E98" s="110">
        <v>0</v>
      </c>
      <c r="F98" s="110">
        <v>0</v>
      </c>
      <c r="G98" s="110">
        <v>0</v>
      </c>
      <c r="H98" s="110">
        <v>0</v>
      </c>
      <c r="I98" s="110">
        <v>0</v>
      </c>
      <c r="J98" s="110">
        <v>0</v>
      </c>
      <c r="K98" s="110">
        <v>0</v>
      </c>
      <c r="L98" s="110">
        <v>0</v>
      </c>
      <c r="M98" s="110">
        <v>0</v>
      </c>
      <c r="N98" s="110">
        <v>0</v>
      </c>
      <c r="O98" s="110">
        <v>0</v>
      </c>
      <c r="P98" s="110">
        <v>0</v>
      </c>
      <c r="Q98" s="110">
        <v>0</v>
      </c>
      <c r="R98" s="110">
        <v>0</v>
      </c>
      <c r="S98" s="110">
        <v>0</v>
      </c>
      <c r="T98" s="110">
        <v>0</v>
      </c>
      <c r="U98" s="110">
        <v>0</v>
      </c>
      <c r="V98" s="110">
        <v>0</v>
      </c>
      <c r="W98" s="110">
        <v>0</v>
      </c>
      <c r="X98" s="110">
        <v>0</v>
      </c>
      <c r="Y98" s="110">
        <v>0</v>
      </c>
      <c r="Z98" s="110">
        <v>0</v>
      </c>
      <c r="AA98" s="110">
        <v>0</v>
      </c>
      <c r="AB98" s="110">
        <v>0</v>
      </c>
      <c r="AC98" s="110">
        <v>0</v>
      </c>
      <c r="AD98" s="110">
        <v>0</v>
      </c>
      <c r="AE98" s="110">
        <v>0</v>
      </c>
      <c r="AF98" s="110">
        <v>0</v>
      </c>
      <c r="AG98" s="110">
        <v>0</v>
      </c>
      <c r="AH98" s="110">
        <v>0</v>
      </c>
      <c r="AI98" s="110">
        <v>0</v>
      </c>
      <c r="AJ98" s="110">
        <v>0</v>
      </c>
      <c r="AK98" s="110">
        <v>0</v>
      </c>
      <c r="AL98" s="110">
        <v>0</v>
      </c>
      <c r="AM98" s="110">
        <v>0</v>
      </c>
      <c r="AN98" s="110">
        <v>0</v>
      </c>
      <c r="AO98" s="110">
        <v>0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0</v>
      </c>
    </row>
    <row r="100" spans="1:52">
      <c r="A100" s="131" t="s">
        <v>133</v>
      </c>
      <c r="B100" s="119">
        <v>1</v>
      </c>
      <c r="C100" s="106">
        <v>61.550485079854155</v>
      </c>
      <c r="D100" s="106">
        <v>135.99999999999997</v>
      </c>
      <c r="E100" s="106">
        <v>49.332512500749161</v>
      </c>
      <c r="F100" s="106">
        <v>147.99753750224747</v>
      </c>
      <c r="G100" s="106">
        <v>169.99999999999901</v>
      </c>
      <c r="H100" s="106">
        <v>169.99999999999901</v>
      </c>
      <c r="I100" s="106">
        <v>169.99999999999901</v>
      </c>
      <c r="J100" s="106">
        <v>147.99753750224747</v>
      </c>
      <c r="K100" s="106">
        <v>169.99999999999901</v>
      </c>
      <c r="L100" s="106">
        <v>147.99753750224747</v>
      </c>
      <c r="M100" s="106">
        <v>169.99999999999901</v>
      </c>
      <c r="N100" s="106">
        <v>169.99999999999901</v>
      </c>
      <c r="O100" s="106">
        <v>61.665640625936447</v>
      </c>
      <c r="P100" s="106">
        <v>169.99999999999901</v>
      </c>
      <c r="Q100" s="106">
        <v>61.665640625936447</v>
      </c>
      <c r="R100" s="106">
        <v>169.99999999999901</v>
      </c>
      <c r="S100" s="106">
        <v>61.665640625936447</v>
      </c>
      <c r="T100" s="106">
        <v>169.99999999999901</v>
      </c>
      <c r="U100" s="106">
        <v>169.99999999999901</v>
      </c>
      <c r="V100" s="106">
        <v>169.99999999999901</v>
      </c>
      <c r="W100" s="106">
        <v>169.99999999999901</v>
      </c>
      <c r="X100" s="106">
        <v>169.99999999999901</v>
      </c>
      <c r="Y100" s="106">
        <v>169.99999999999901</v>
      </c>
      <c r="Z100" s="106">
        <v>147.99753750224747</v>
      </c>
      <c r="AA100" s="106">
        <v>169.99999999999901</v>
      </c>
      <c r="AB100" s="106">
        <v>147.99753750224747</v>
      </c>
      <c r="AC100" s="106">
        <v>169.99999999999901</v>
      </c>
      <c r="AD100" s="106">
        <v>169.99999999999901</v>
      </c>
      <c r="AE100" s="106">
        <v>169.99999999999901</v>
      </c>
      <c r="AF100" s="106">
        <v>147.99753750224747</v>
      </c>
      <c r="AG100" s="106">
        <v>61.665640625936447</v>
      </c>
      <c r="AH100" s="106">
        <v>169.99999999999901</v>
      </c>
      <c r="AI100" s="106">
        <v>169.99999999999901</v>
      </c>
      <c r="AJ100" s="106">
        <v>169.99999999999901</v>
      </c>
      <c r="AK100" s="106">
        <v>169.99999999999901</v>
      </c>
      <c r="AL100" s="106">
        <v>147.99753750224747</v>
      </c>
      <c r="AM100" s="106">
        <v>61.665640625936447</v>
      </c>
      <c r="AN100" s="106">
        <v>169.99999999999901</v>
      </c>
      <c r="AO100" s="106">
        <v>169.99999999999901</v>
      </c>
      <c r="AP100" s="106">
        <v>169.99999999999901</v>
      </c>
      <c r="AQ100" s="106">
        <v>61.665640625936447</v>
      </c>
      <c r="AR100" s="106">
        <v>169.99999999999901</v>
      </c>
      <c r="AS100" s="106">
        <v>61.665640625936447</v>
      </c>
      <c r="AT100" s="106">
        <v>147.99753750224747</v>
      </c>
      <c r="AU100" s="106">
        <v>0</v>
      </c>
      <c r="AV100" s="106">
        <v>169.99999999999898</v>
      </c>
      <c r="AW100" s="106">
        <v>12.333128125187292</v>
      </c>
      <c r="AX100" s="106">
        <v>169.99999999999898</v>
      </c>
      <c r="AY100" s="106">
        <v>12.333128125187292</v>
      </c>
    </row>
    <row r="101" spans="1:52">
      <c r="A101" s="109"/>
      <c r="B101" s="119">
        <v>2</v>
      </c>
      <c r="C101" s="106">
        <v>0</v>
      </c>
      <c r="D101" s="106">
        <v>136</v>
      </c>
      <c r="E101" s="106">
        <v>115.68990298402915</v>
      </c>
      <c r="F101" s="106">
        <v>21.675124222404222</v>
      </c>
      <c r="G101" s="106">
        <v>22.002462497751566</v>
      </c>
      <c r="H101" s="106">
        <v>0</v>
      </c>
      <c r="I101" s="106">
        <v>12.999999999999005</v>
      </c>
      <c r="J101" s="106">
        <v>24.99999999999801</v>
      </c>
      <c r="K101" s="106">
        <v>0</v>
      </c>
      <c r="L101" s="106">
        <v>0</v>
      </c>
      <c r="M101" s="106">
        <v>22.002462497751537</v>
      </c>
      <c r="N101" s="106">
        <v>4.0024624977505425</v>
      </c>
      <c r="O101" s="106">
        <v>0</v>
      </c>
      <c r="P101" s="106">
        <v>0</v>
      </c>
      <c r="Q101" s="106">
        <v>0</v>
      </c>
      <c r="R101" s="106">
        <v>108.33435937406256</v>
      </c>
      <c r="S101" s="106">
        <v>58.334359374061563</v>
      </c>
      <c r="T101" s="106">
        <v>108.33435937406256</v>
      </c>
      <c r="U101" s="106">
        <v>74.334359374061563</v>
      </c>
      <c r="V101" s="106">
        <v>63.334359374060568</v>
      </c>
      <c r="W101" s="106">
        <v>47.334359374059574</v>
      </c>
      <c r="X101" s="106">
        <v>41.334359374058579</v>
      </c>
      <c r="Y101" s="106">
        <v>3.3343593740575841</v>
      </c>
      <c r="Z101" s="106">
        <v>9.3343593740565893</v>
      </c>
      <c r="AA101" s="106">
        <v>22.002462497751537</v>
      </c>
      <c r="AB101" s="106">
        <v>48.002462497750543</v>
      </c>
      <c r="AC101" s="106">
        <v>39.99999999999801</v>
      </c>
      <c r="AD101" s="106">
        <v>9.9999999999970157</v>
      </c>
      <c r="AE101" s="106">
        <v>34.002462497747558</v>
      </c>
      <c r="AF101" s="106">
        <v>68.002462497746563</v>
      </c>
      <c r="AG101" s="106">
        <v>41.002462497745569</v>
      </c>
      <c r="AH101" s="106">
        <v>108.33435937406256</v>
      </c>
      <c r="AI101" s="106">
        <v>59.334359374061563</v>
      </c>
      <c r="AJ101" s="106">
        <v>75.334359374060568</v>
      </c>
      <c r="AK101" s="106">
        <v>27.334359374059574</v>
      </c>
      <c r="AL101" s="106">
        <v>8.3343593740585789</v>
      </c>
      <c r="AM101" s="106">
        <v>22.002462497751537</v>
      </c>
      <c r="AN101" s="106">
        <v>108.33435937406256</v>
      </c>
      <c r="AO101" s="106">
        <v>96.334359374061563</v>
      </c>
      <c r="AP101" s="106">
        <v>92.334359374060568</v>
      </c>
      <c r="AQ101" s="106">
        <v>104.33435937405957</v>
      </c>
      <c r="AR101" s="106">
        <v>108.33435937406256</v>
      </c>
      <c r="AS101" s="106">
        <v>50.334359374061563</v>
      </c>
      <c r="AT101" s="106">
        <v>0</v>
      </c>
      <c r="AU101" s="106">
        <v>22.002462497751537</v>
      </c>
      <c r="AV101" s="106">
        <v>0</v>
      </c>
      <c r="AW101" s="106">
        <v>0</v>
      </c>
      <c r="AX101" s="106">
        <v>0</v>
      </c>
      <c r="AY101" s="106">
        <v>0</v>
      </c>
    </row>
    <row r="102" spans="1:52">
      <c r="A102" s="109"/>
      <c r="B102" s="120">
        <v>3</v>
      </c>
      <c r="C102" s="106">
        <v>157.68990298402917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0</v>
      </c>
      <c r="J102" s="106">
        <v>0</v>
      </c>
      <c r="K102" s="106">
        <v>0</v>
      </c>
      <c r="L102" s="106">
        <v>22.002462497751537</v>
      </c>
      <c r="M102" s="106">
        <v>0</v>
      </c>
      <c r="N102" s="106">
        <v>0</v>
      </c>
      <c r="O102" s="106">
        <v>0</v>
      </c>
      <c r="P102" s="106">
        <v>0</v>
      </c>
      <c r="Q102" s="106">
        <v>108.33435937406256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22.002462497751537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0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0</v>
      </c>
      <c r="AT102" s="106">
        <v>0</v>
      </c>
      <c r="AU102" s="106">
        <v>108.33435937406256</v>
      </c>
      <c r="AV102" s="106">
        <v>0</v>
      </c>
      <c r="AW102" s="106">
        <v>0</v>
      </c>
      <c r="AX102" s="106">
        <v>0</v>
      </c>
      <c r="AY102" s="106">
        <v>157.6668718748117</v>
      </c>
    </row>
    <row r="103" spans="1:52">
      <c r="A103" s="109"/>
      <c r="B103" s="120">
        <v>4</v>
      </c>
      <c r="C103" s="106">
        <v>0</v>
      </c>
      <c r="D103" s="106">
        <v>2.6899029840291746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96.001850593683926</v>
      </c>
      <c r="D109" s="106">
        <v>154.75524087006036</v>
      </c>
      <c r="E109" s="106">
        <v>149.02230621016687</v>
      </c>
      <c r="F109" s="106">
        <v>34.829528702000836</v>
      </c>
      <c r="G109" s="106">
        <v>119.76895553422827</v>
      </c>
      <c r="H109" s="106">
        <v>135.52995044055751</v>
      </c>
      <c r="I109" s="106">
        <v>119.9999999999993</v>
      </c>
      <c r="J109" s="106">
        <v>119.9999999999993</v>
      </c>
      <c r="K109" s="106">
        <v>104.47004955944109</v>
      </c>
      <c r="L109" s="106">
        <v>119.9999999999993</v>
      </c>
      <c r="M109" s="106">
        <v>119.9999999999993</v>
      </c>
      <c r="N109" s="106">
        <v>135.52995044055751</v>
      </c>
      <c r="O109" s="106">
        <v>119.9999999999993</v>
      </c>
      <c r="P109" s="106">
        <v>43.534593809180869</v>
      </c>
      <c r="Q109" s="106">
        <v>119.9999999999993</v>
      </c>
      <c r="R109" s="106">
        <v>119.9999999999993</v>
      </c>
      <c r="S109" s="106">
        <v>196.46540619081773</v>
      </c>
      <c r="T109" s="106">
        <v>74.704851951690003</v>
      </c>
      <c r="U109" s="106">
        <v>196.46540619081773</v>
      </c>
      <c r="V109" s="106">
        <v>126.13490522215483</v>
      </c>
      <c r="W109" s="106">
        <v>119.9999999999993</v>
      </c>
      <c r="X109" s="106">
        <v>119.9999999999993</v>
      </c>
      <c r="Y109" s="106">
        <v>119.9999999999993</v>
      </c>
      <c r="Z109" s="106">
        <v>119.9999999999993</v>
      </c>
      <c r="AA109" s="106">
        <v>104.47004955944109</v>
      </c>
      <c r="AB109" s="106">
        <v>135.52995044055751</v>
      </c>
      <c r="AC109" s="106">
        <v>104.47004955944109</v>
      </c>
      <c r="AD109" s="106">
        <v>119.9999999999993</v>
      </c>
      <c r="AE109" s="106">
        <v>135.52995044055751</v>
      </c>
      <c r="AF109" s="106">
        <v>119.9999999999993</v>
      </c>
      <c r="AG109" s="106">
        <v>104.47004955944109</v>
      </c>
      <c r="AH109" s="106">
        <v>59.064544249739086</v>
      </c>
      <c r="AI109" s="106">
        <v>196.46540619081773</v>
      </c>
      <c r="AJ109" s="106">
        <v>130.77767624709551</v>
      </c>
      <c r="AK109" s="106">
        <v>119.9999999999993</v>
      </c>
      <c r="AL109" s="106">
        <v>119.9999999999993</v>
      </c>
      <c r="AM109" s="106">
        <v>104.47004955944109</v>
      </c>
      <c r="AN109" s="106">
        <v>59.064544249739093</v>
      </c>
      <c r="AO109" s="106">
        <v>196.46540619081773</v>
      </c>
      <c r="AP109" s="106">
        <v>137.7343835973393</v>
      </c>
      <c r="AQ109" s="106">
        <v>119.9999999999993</v>
      </c>
      <c r="AR109" s="106">
        <v>43.534593809180869</v>
      </c>
      <c r="AS109" s="106">
        <v>196.46540619081773</v>
      </c>
      <c r="AT109" s="106">
        <v>60.967463350595636</v>
      </c>
      <c r="AU109" s="106">
        <v>104.47004955944109</v>
      </c>
      <c r="AV109" s="106">
        <v>92.004624904657391</v>
      </c>
      <c r="AW109" s="106">
        <v>119.99999999999935</v>
      </c>
      <c r="AX109" s="106">
        <v>8.7143333804607597</v>
      </c>
      <c r="AY109" s="106">
        <v>119.99999999999935</v>
      </c>
    </row>
    <row r="110" spans="1:52">
      <c r="A110" s="109"/>
      <c r="B110" s="119">
        <v>2</v>
      </c>
      <c r="C110" s="106">
        <v>0</v>
      </c>
      <c r="D110" s="106">
        <v>0</v>
      </c>
      <c r="E110" s="106">
        <v>0</v>
      </c>
      <c r="F110" s="106">
        <v>13.53049013453122</v>
      </c>
      <c r="G110" s="106">
        <v>0</v>
      </c>
      <c r="H110" s="106">
        <v>0</v>
      </c>
      <c r="I110" s="106">
        <v>0</v>
      </c>
      <c r="J110" s="106">
        <v>0</v>
      </c>
      <c r="K110" s="106">
        <v>0</v>
      </c>
      <c r="L110" s="106">
        <v>0</v>
      </c>
      <c r="M110" s="106">
        <v>0</v>
      </c>
      <c r="N110" s="106">
        <v>3.9999999999993037</v>
      </c>
      <c r="O110" s="106">
        <v>0</v>
      </c>
      <c r="P110" s="106">
        <v>0</v>
      </c>
      <c r="Q110" s="106">
        <v>0</v>
      </c>
      <c r="R110" s="106">
        <v>0</v>
      </c>
      <c r="S110" s="106">
        <v>0</v>
      </c>
      <c r="T110" s="106">
        <v>70.208769022676108</v>
      </c>
      <c r="U110" s="106">
        <v>1.4210854715202004E-14</v>
      </c>
      <c r="V110" s="106">
        <v>37.465406190817731</v>
      </c>
      <c r="W110" s="106">
        <v>51.600311412972559</v>
      </c>
      <c r="X110" s="106">
        <v>16.600311412971863</v>
      </c>
      <c r="Y110" s="106">
        <v>0</v>
      </c>
      <c r="Z110" s="106">
        <v>0</v>
      </c>
      <c r="AA110" s="106">
        <v>0</v>
      </c>
      <c r="AB110" s="106">
        <v>0</v>
      </c>
      <c r="AC110" s="106">
        <v>0</v>
      </c>
      <c r="AD110" s="106">
        <v>0</v>
      </c>
      <c r="AE110" s="106">
        <v>8.9999999999993037</v>
      </c>
      <c r="AF110" s="106">
        <v>0</v>
      </c>
      <c r="AG110" s="106">
        <v>0</v>
      </c>
      <c r="AH110" s="106">
        <v>0</v>
      </c>
      <c r="AI110" s="106">
        <v>0</v>
      </c>
      <c r="AJ110" s="106">
        <v>66.465406190817731</v>
      </c>
      <c r="AK110" s="106">
        <v>56.243082437913245</v>
      </c>
      <c r="AL110" s="106">
        <v>21.243082437912548</v>
      </c>
      <c r="AM110" s="106">
        <v>0</v>
      </c>
      <c r="AN110" s="106">
        <v>0</v>
      </c>
      <c r="AO110" s="106">
        <v>0</v>
      </c>
      <c r="AP110" s="106">
        <v>48.465406190817731</v>
      </c>
      <c r="AQ110" s="106">
        <v>56.199789788157034</v>
      </c>
      <c r="AR110" s="106">
        <v>19.020512218114376</v>
      </c>
      <c r="AS110" s="106">
        <v>0</v>
      </c>
      <c r="AT110" s="106">
        <v>47.362967166427353</v>
      </c>
      <c r="AU110" s="106">
        <v>0</v>
      </c>
      <c r="AV110" s="106">
        <v>0</v>
      </c>
      <c r="AW110" s="106">
        <v>0</v>
      </c>
      <c r="AX110" s="106">
        <v>0</v>
      </c>
      <c r="AY110" s="106">
        <v>0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88.468353415815614</v>
      </c>
      <c r="D122" s="106">
        <v>195.45405323690835</v>
      </c>
      <c r="E122" s="106">
        <v>70.686297398376837</v>
      </c>
      <c r="F122" s="106">
        <v>212.0212723968786</v>
      </c>
      <c r="G122" s="106">
        <v>243.53920377102003</v>
      </c>
      <c r="H122" s="106">
        <v>243.53920377102003</v>
      </c>
      <c r="I122" s="106">
        <v>243.53920377102003</v>
      </c>
      <c r="J122" s="106">
        <v>212.0212723968786</v>
      </c>
      <c r="K122" s="106">
        <v>243.53920377102003</v>
      </c>
      <c r="L122" s="106">
        <v>212.0212723968786</v>
      </c>
      <c r="M122" s="106">
        <v>243.53920377102003</v>
      </c>
      <c r="N122" s="106">
        <v>243.53920377102003</v>
      </c>
      <c r="O122" s="106">
        <v>88.353169273189565</v>
      </c>
      <c r="P122" s="106">
        <v>243.53920377102003</v>
      </c>
      <c r="Q122" s="106">
        <v>88.353169273189565</v>
      </c>
      <c r="R122" s="106">
        <v>243.53920377102003</v>
      </c>
      <c r="S122" s="106">
        <v>88.353169273189565</v>
      </c>
      <c r="T122" s="106">
        <v>243.53920377102003</v>
      </c>
      <c r="U122" s="106">
        <v>243.53920377102003</v>
      </c>
      <c r="V122" s="106">
        <v>243.53920377102003</v>
      </c>
      <c r="W122" s="106">
        <v>243.53920377102003</v>
      </c>
      <c r="X122" s="106">
        <v>243.53920377102003</v>
      </c>
      <c r="Y122" s="106">
        <v>243.53920377102003</v>
      </c>
      <c r="Z122" s="106">
        <v>212.0212723968786</v>
      </c>
      <c r="AA122" s="106">
        <v>243.53920377102003</v>
      </c>
      <c r="AB122" s="106">
        <v>212.0212723968786</v>
      </c>
      <c r="AC122" s="106">
        <v>243.53920377102003</v>
      </c>
      <c r="AD122" s="106">
        <v>243.53920377102003</v>
      </c>
      <c r="AE122" s="106">
        <v>243.53920377102003</v>
      </c>
      <c r="AF122" s="106">
        <v>212.0212723968786</v>
      </c>
      <c r="AG122" s="106">
        <v>88.353169273189565</v>
      </c>
      <c r="AH122" s="106">
        <v>243.53920377102003</v>
      </c>
      <c r="AI122" s="106">
        <v>243.53920377102003</v>
      </c>
      <c r="AJ122" s="106">
        <v>243.53920377102003</v>
      </c>
      <c r="AK122" s="106">
        <v>243.53920377102003</v>
      </c>
      <c r="AL122" s="106">
        <v>212.0212723968786</v>
      </c>
      <c r="AM122" s="106">
        <v>88.353169273189565</v>
      </c>
      <c r="AN122" s="106">
        <v>243.53920377102003</v>
      </c>
      <c r="AO122" s="106">
        <v>243.53920377102003</v>
      </c>
      <c r="AP122" s="106">
        <v>243.53920377102003</v>
      </c>
      <c r="AQ122" s="106">
        <v>88.353169273189565</v>
      </c>
      <c r="AR122" s="106">
        <v>243.53920377102003</v>
      </c>
      <c r="AS122" s="106">
        <v>88.353169273189565</v>
      </c>
      <c r="AT122" s="106">
        <v>212.0212723968786</v>
      </c>
      <c r="AU122" s="106">
        <v>1.8809899126015502E-2</v>
      </c>
      <c r="AV122" s="106">
        <v>243.53920377102011</v>
      </c>
      <c r="AW122" s="106">
        <v>17.685681773938725</v>
      </c>
      <c r="AX122" s="106">
        <v>243.53920377102011</v>
      </c>
      <c r="AY122" s="106">
        <v>17.685681773938725</v>
      </c>
    </row>
    <row r="123" spans="1:52">
      <c r="A123" s="109"/>
      <c r="B123" s="119">
        <v>2</v>
      </c>
      <c r="C123" s="106">
        <v>0</v>
      </c>
      <c r="D123" s="106">
        <v>106.98572841763647</v>
      </c>
      <c r="E123" s="106">
        <v>0</v>
      </c>
      <c r="F123" s="106">
        <v>31.049028163894924</v>
      </c>
      <c r="G123" s="106">
        <v>31.51793137414144</v>
      </c>
      <c r="H123" s="106">
        <v>0</v>
      </c>
      <c r="I123" s="106">
        <v>0</v>
      </c>
      <c r="J123" s="106">
        <v>0</v>
      </c>
      <c r="K123" s="106">
        <v>0</v>
      </c>
      <c r="L123" s="106">
        <v>0</v>
      </c>
      <c r="M123" s="106">
        <v>31.517931374141426</v>
      </c>
      <c r="N123" s="106">
        <v>0</v>
      </c>
      <c r="O123" s="106">
        <v>0</v>
      </c>
      <c r="P123" s="106">
        <v>0</v>
      </c>
      <c r="Q123" s="106">
        <v>0</v>
      </c>
      <c r="R123" s="106">
        <v>155.18603449783046</v>
      </c>
      <c r="S123" s="106">
        <v>63.259832078032261</v>
      </c>
      <c r="T123" s="106">
        <v>155.18603449783046</v>
      </c>
      <c r="U123" s="106">
        <v>12.450749441786954</v>
      </c>
      <c r="V123" s="106">
        <v>0</v>
      </c>
      <c r="W123" s="106">
        <v>0</v>
      </c>
      <c r="X123" s="106">
        <v>0</v>
      </c>
      <c r="Y123" s="106">
        <v>0</v>
      </c>
      <c r="Z123" s="106">
        <v>0</v>
      </c>
      <c r="AA123" s="106">
        <v>31.517931374141426</v>
      </c>
      <c r="AB123" s="106">
        <v>0</v>
      </c>
      <c r="AC123" s="106">
        <v>0</v>
      </c>
      <c r="AD123" s="106">
        <v>0</v>
      </c>
      <c r="AE123" s="106">
        <v>0</v>
      </c>
      <c r="AF123" s="106">
        <v>0</v>
      </c>
      <c r="AG123" s="106">
        <v>31.517931374141426</v>
      </c>
      <c r="AH123" s="106">
        <v>155.18603449783046</v>
      </c>
      <c r="AI123" s="106">
        <v>21.873222430997131</v>
      </c>
      <c r="AJ123" s="106">
        <v>1.4210854715202004E-14</v>
      </c>
      <c r="AK123" s="106">
        <v>1.4210854715202004E-14</v>
      </c>
      <c r="AL123" s="106">
        <v>1.4210854715202004E-14</v>
      </c>
      <c r="AM123" s="106">
        <v>31.51793137414144</v>
      </c>
      <c r="AN123" s="106">
        <v>155.18603449783046</v>
      </c>
      <c r="AO123" s="106">
        <v>35.991813838883715</v>
      </c>
      <c r="AP123" s="106">
        <v>0</v>
      </c>
      <c r="AQ123" s="106">
        <v>0</v>
      </c>
      <c r="AR123" s="106">
        <v>155.18603449783046</v>
      </c>
      <c r="AS123" s="106">
        <v>35.379893063002029</v>
      </c>
      <c r="AT123" s="106">
        <v>7.1054273576010019E-15</v>
      </c>
      <c r="AU123" s="106">
        <v>31.517931374141426</v>
      </c>
      <c r="AV123" s="106">
        <v>4.5692616357229099E-15</v>
      </c>
      <c r="AW123" s="106">
        <v>0</v>
      </c>
      <c r="AX123" s="106">
        <v>0</v>
      </c>
      <c r="AY123" s="106">
        <v>0</v>
      </c>
    </row>
    <row r="124" spans="1:52">
      <c r="A124" s="109"/>
      <c r="B124" s="119">
        <v>3</v>
      </c>
      <c r="C124" s="106">
        <v>226.60415118819867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31.517931374141426</v>
      </c>
      <c r="M124" s="106">
        <v>0</v>
      </c>
      <c r="N124" s="106">
        <v>0</v>
      </c>
      <c r="O124" s="106">
        <v>0</v>
      </c>
      <c r="P124" s="106">
        <v>0</v>
      </c>
      <c r="Q124" s="106">
        <v>155.18603449783046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31.517931374141426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155.18603449783046</v>
      </c>
      <c r="AV124" s="106">
        <v>0</v>
      </c>
      <c r="AW124" s="106">
        <v>0</v>
      </c>
      <c r="AX124" s="106">
        <v>0</v>
      </c>
      <c r="AY124" s="106">
        <v>225.85352199708132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0.4911734239220843</v>
      </c>
      <c r="D172" s="134">
        <v>0.49273381099178382</v>
      </c>
      <c r="E172" s="134">
        <v>0.49273381099178382</v>
      </c>
      <c r="F172" s="134">
        <v>0.49273381099178382</v>
      </c>
      <c r="G172" s="134">
        <v>0.49273381099178382</v>
      </c>
      <c r="H172" s="134">
        <v>0.49273381099178382</v>
      </c>
      <c r="I172" s="134">
        <v>0.49273381099178382</v>
      </c>
      <c r="J172" s="134">
        <v>0.49273381099178382</v>
      </c>
      <c r="K172" s="134">
        <v>0.49273381099178382</v>
      </c>
      <c r="L172" s="134">
        <v>0.49273381099178382</v>
      </c>
      <c r="M172" s="134">
        <v>0.49273381099178382</v>
      </c>
      <c r="N172" s="134">
        <v>0.49273381099178382</v>
      </c>
      <c r="O172" s="134">
        <v>0.49273381099178382</v>
      </c>
      <c r="P172" s="134">
        <v>0.49273381099178382</v>
      </c>
      <c r="Q172" s="134">
        <v>0.49273381099178382</v>
      </c>
      <c r="R172" s="134">
        <v>0.49273381099178382</v>
      </c>
      <c r="S172" s="134">
        <v>0.49273381099178382</v>
      </c>
      <c r="T172" s="134">
        <v>0.49273381099178382</v>
      </c>
      <c r="U172" s="134">
        <v>0.49273381099178382</v>
      </c>
      <c r="V172" s="134">
        <v>0.49273381099178382</v>
      </c>
      <c r="W172" s="134">
        <v>0.49273381099178382</v>
      </c>
      <c r="X172" s="134">
        <v>0.49273381099178382</v>
      </c>
      <c r="Y172" s="134">
        <v>0.49273381099178382</v>
      </c>
      <c r="Z172" s="134">
        <v>0.49273381099178382</v>
      </c>
      <c r="AA172" s="134">
        <v>0.49273381099178382</v>
      </c>
      <c r="AB172" s="134">
        <v>0.49273381099178382</v>
      </c>
      <c r="AC172" s="134">
        <v>0.49273381099178382</v>
      </c>
      <c r="AD172" s="134">
        <v>0.49273381099178382</v>
      </c>
      <c r="AE172" s="134">
        <v>0.49273381099178382</v>
      </c>
      <c r="AF172" s="134">
        <v>0.49273381099178382</v>
      </c>
      <c r="AG172" s="134">
        <v>0.49273381099178382</v>
      </c>
      <c r="AH172" s="134">
        <v>0.49273381099178382</v>
      </c>
      <c r="AI172" s="134">
        <v>0.49273381099178382</v>
      </c>
      <c r="AJ172" s="134">
        <v>0.49273381099178382</v>
      </c>
      <c r="AK172" s="134">
        <v>0.49273381099178382</v>
      </c>
      <c r="AL172" s="134">
        <v>0.49273381099178382</v>
      </c>
      <c r="AM172" s="134">
        <v>0.49273381099178382</v>
      </c>
      <c r="AN172" s="134">
        <v>0.49273381099178382</v>
      </c>
      <c r="AO172" s="134">
        <v>0.49273381099178382</v>
      </c>
      <c r="AP172" s="134">
        <v>0.49273381099178382</v>
      </c>
      <c r="AQ172" s="134">
        <v>0.49273381099178382</v>
      </c>
      <c r="AR172" s="134">
        <v>0.49273381099178382</v>
      </c>
      <c r="AS172" s="134">
        <v>0.49273381099178382</v>
      </c>
      <c r="AT172" s="134">
        <v>0.49273381099178382</v>
      </c>
      <c r="AU172" s="134">
        <v>0.49273381099178382</v>
      </c>
      <c r="AV172" s="134">
        <v>0.49273381099178382</v>
      </c>
      <c r="AW172" s="134">
        <v>0.49273381099178382</v>
      </c>
      <c r="AX172" s="134">
        <v>0.49273381099178382</v>
      </c>
      <c r="AY172" s="134">
        <v>0.49273381099178382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190</v>
      </c>
      <c r="E175" s="124">
        <f t="shared" si="1"/>
        <v>213</v>
      </c>
      <c r="F175" s="124">
        <f t="shared" si="1"/>
        <v>208</v>
      </c>
      <c r="G175" s="124">
        <f t="shared" si="1"/>
        <v>190</v>
      </c>
      <c r="H175" s="124">
        <f t="shared" si="1"/>
        <v>190</v>
      </c>
      <c r="I175" s="124">
        <f t="shared" si="1"/>
        <v>190</v>
      </c>
      <c r="J175" s="124">
        <f t="shared" si="1"/>
        <v>190</v>
      </c>
      <c r="K175" s="124">
        <f t="shared" si="1"/>
        <v>242</v>
      </c>
      <c r="L175" s="124">
        <f t="shared" si="1"/>
        <v>271</v>
      </c>
      <c r="M175" s="124">
        <f t="shared" si="1"/>
        <v>273</v>
      </c>
      <c r="N175" s="124">
        <f t="shared" si="1"/>
        <v>287</v>
      </c>
      <c r="O175" s="124">
        <f t="shared" si="1"/>
        <v>302</v>
      </c>
      <c r="P175" s="124">
        <f t="shared" si="1"/>
        <v>351</v>
      </c>
      <c r="Q175" s="124">
        <f t="shared" si="1"/>
        <v>354</v>
      </c>
      <c r="R175" s="124">
        <f t="shared" si="1"/>
        <v>332</v>
      </c>
      <c r="S175" s="124">
        <f t="shared" si="1"/>
        <v>336</v>
      </c>
      <c r="T175" s="124">
        <f t="shared" si="1"/>
        <v>341</v>
      </c>
      <c r="U175" s="124">
        <f t="shared" si="1"/>
        <v>332</v>
      </c>
      <c r="V175" s="124">
        <f t="shared" si="1"/>
        <v>328</v>
      </c>
      <c r="W175" s="124">
        <f t="shared" si="1"/>
        <v>384</v>
      </c>
      <c r="X175" s="124">
        <f t="shared" si="1"/>
        <v>378</v>
      </c>
      <c r="Y175" s="124">
        <f t="shared" si="1"/>
        <v>396</v>
      </c>
      <c r="Z175" s="124">
        <f t="shared" si="1"/>
        <v>373</v>
      </c>
      <c r="AA175" s="124">
        <f t="shared" si="1"/>
        <v>389</v>
      </c>
      <c r="AB175" s="124">
        <f t="shared" si="1"/>
        <v>399</v>
      </c>
      <c r="AC175" s="124">
        <f t="shared" si="1"/>
        <v>409</v>
      </c>
      <c r="AD175" s="124">
        <f t="shared" si="1"/>
        <v>406</v>
      </c>
      <c r="AE175" s="124">
        <f t="shared" si="1"/>
        <v>389</v>
      </c>
      <c r="AF175" s="124">
        <f t="shared" si="1"/>
        <v>340</v>
      </c>
      <c r="AG175" s="124">
        <f t="shared" si="1"/>
        <v>315</v>
      </c>
      <c r="AH175" s="124">
        <f t="shared" si="1"/>
        <v>288</v>
      </c>
      <c r="AI175" s="124">
        <f t="shared" si="1"/>
        <v>299</v>
      </c>
      <c r="AJ175" s="124">
        <f t="shared" si="1"/>
        <v>281</v>
      </c>
      <c r="AK175" s="124">
        <f t="shared" si="1"/>
        <v>274</v>
      </c>
      <c r="AL175" s="124">
        <f t="shared" si="1"/>
        <v>273</v>
      </c>
      <c r="AM175" s="124">
        <f t="shared" si="1"/>
        <v>298</v>
      </c>
      <c r="AN175" s="124">
        <f t="shared" si="1"/>
        <v>306</v>
      </c>
      <c r="AO175" s="124">
        <f t="shared" si="1"/>
        <v>330</v>
      </c>
      <c r="AP175" s="124">
        <f t="shared" si="1"/>
        <v>292</v>
      </c>
      <c r="AQ175" s="124">
        <f t="shared" si="1"/>
        <v>259</v>
      </c>
      <c r="AR175" s="124">
        <f t="shared" si="1"/>
        <v>241</v>
      </c>
      <c r="AS175" s="124">
        <f t="shared" si="1"/>
        <v>233</v>
      </c>
      <c r="AT175" s="124">
        <f t="shared" si="1"/>
        <v>230</v>
      </c>
      <c r="AU175" s="124">
        <f t="shared" si="1"/>
        <v>239</v>
      </c>
      <c r="AV175" s="124">
        <f t="shared" si="1"/>
        <v>241</v>
      </c>
      <c r="AW175" s="124">
        <f t="shared" si="1"/>
        <v>228</v>
      </c>
      <c r="AX175" s="124">
        <f t="shared" si="1"/>
        <v>267</v>
      </c>
      <c r="AY175" s="124">
        <f t="shared" si="1"/>
        <v>290</v>
      </c>
    </row>
    <row r="176" spans="1:52">
      <c r="A176" s="125"/>
      <c r="B176" s="136" t="s">
        <v>299</v>
      </c>
      <c r="C176" s="125" t="s">
        <v>293</v>
      </c>
      <c r="D176" s="125">
        <v>167</v>
      </c>
      <c r="E176" s="125">
        <v>195</v>
      </c>
      <c r="F176" s="125">
        <v>208</v>
      </c>
      <c r="G176" s="125">
        <v>190</v>
      </c>
      <c r="H176" s="125">
        <v>190</v>
      </c>
      <c r="I176" s="125">
        <v>190</v>
      </c>
      <c r="J176" s="125">
        <v>138</v>
      </c>
      <c r="K176" s="125">
        <v>161</v>
      </c>
      <c r="L176" s="125">
        <v>188</v>
      </c>
      <c r="M176" s="125">
        <v>176</v>
      </c>
      <c r="N176" s="125">
        <v>175</v>
      </c>
      <c r="O176" s="125">
        <v>141</v>
      </c>
      <c r="P176" s="125">
        <v>187</v>
      </c>
      <c r="Q176" s="125">
        <v>212</v>
      </c>
      <c r="R176" s="125">
        <v>186</v>
      </c>
      <c r="S176" s="125">
        <v>185</v>
      </c>
      <c r="T176" s="125">
        <v>199</v>
      </c>
      <c r="U176" s="125">
        <v>194</v>
      </c>
      <c r="V176" s="125">
        <v>134</v>
      </c>
      <c r="W176" s="125">
        <v>196</v>
      </c>
      <c r="X176" s="125">
        <v>172</v>
      </c>
      <c r="Y176" s="125">
        <v>213</v>
      </c>
      <c r="Z176" s="125">
        <v>174</v>
      </c>
      <c r="AA176" s="125">
        <v>180</v>
      </c>
      <c r="AB176" s="125">
        <v>180</v>
      </c>
      <c r="AC176" s="125">
        <v>193</v>
      </c>
      <c r="AD176" s="125">
        <v>207</v>
      </c>
      <c r="AE176" s="125">
        <v>239</v>
      </c>
      <c r="AF176" s="125">
        <v>215</v>
      </c>
      <c r="AG176" s="125">
        <v>217</v>
      </c>
      <c r="AH176" s="125">
        <v>179</v>
      </c>
      <c r="AI176" s="125">
        <v>208</v>
      </c>
      <c r="AJ176" s="125">
        <v>197</v>
      </c>
      <c r="AK176" s="125">
        <v>191</v>
      </c>
      <c r="AL176" s="125">
        <v>165</v>
      </c>
      <c r="AM176" s="125">
        <v>182</v>
      </c>
      <c r="AN176" s="125">
        <v>166</v>
      </c>
      <c r="AO176" s="125">
        <v>228</v>
      </c>
      <c r="AP176" s="125">
        <v>223</v>
      </c>
      <c r="AQ176" s="125">
        <v>208</v>
      </c>
      <c r="AR176" s="125">
        <v>198</v>
      </c>
      <c r="AS176" s="125">
        <v>193</v>
      </c>
      <c r="AT176" s="125">
        <v>181</v>
      </c>
      <c r="AU176" s="125">
        <v>188</v>
      </c>
      <c r="AV176" s="125">
        <v>203</v>
      </c>
      <c r="AW176" s="125">
        <v>151</v>
      </c>
      <c r="AX176" s="125">
        <v>167</v>
      </c>
      <c r="AY176" s="125">
        <v>203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274.68990298402917</v>
      </c>
      <c r="E177" s="124">
        <f t="shared" si="2"/>
        <v>165.02241548477832</v>
      </c>
      <c r="F177" s="124">
        <f t="shared" si="2"/>
        <v>169.67266172465168</v>
      </c>
      <c r="G177" s="124">
        <f t="shared" si="2"/>
        <v>192.00246249775057</v>
      </c>
      <c r="H177" s="124">
        <f t="shared" si="2"/>
        <v>169.99999999999901</v>
      </c>
      <c r="I177" s="124">
        <f t="shared" si="2"/>
        <v>182.99999999999801</v>
      </c>
      <c r="J177" s="124">
        <f t="shared" si="2"/>
        <v>172.99753750224548</v>
      </c>
      <c r="K177" s="124">
        <f t="shared" si="2"/>
        <v>169.99999999999901</v>
      </c>
      <c r="L177" s="124">
        <f t="shared" si="2"/>
        <v>169.99999999999901</v>
      </c>
      <c r="M177" s="124">
        <f t="shared" si="2"/>
        <v>192.00246249775054</v>
      </c>
      <c r="N177" s="124">
        <f t="shared" si="2"/>
        <v>174.00246249774955</v>
      </c>
      <c r="O177" s="124">
        <f t="shared" si="2"/>
        <v>61.665640625936447</v>
      </c>
      <c r="P177" s="124">
        <f t="shared" si="2"/>
        <v>169.99999999999901</v>
      </c>
      <c r="Q177" s="124">
        <f t="shared" si="2"/>
        <v>169.99999999999901</v>
      </c>
      <c r="R177" s="124">
        <f t="shared" si="2"/>
        <v>278.33435937406159</v>
      </c>
      <c r="S177" s="124">
        <f t="shared" si="2"/>
        <v>119.99999999999801</v>
      </c>
      <c r="T177" s="124">
        <f t="shared" si="2"/>
        <v>278.33435937406159</v>
      </c>
      <c r="U177" s="124">
        <f t="shared" si="2"/>
        <v>244.33435937406057</v>
      </c>
      <c r="V177" s="124">
        <f t="shared" si="2"/>
        <v>233.33435937405957</v>
      </c>
      <c r="W177" s="124">
        <f t="shared" si="2"/>
        <v>217.33435937405858</v>
      </c>
      <c r="X177" s="124">
        <f t="shared" si="2"/>
        <v>211.33435937405758</v>
      </c>
      <c r="Y177" s="124">
        <f t="shared" si="2"/>
        <v>173.33435937405659</v>
      </c>
      <c r="Z177" s="124">
        <f t="shared" si="2"/>
        <v>157.33189687630406</v>
      </c>
      <c r="AA177" s="124">
        <f t="shared" si="2"/>
        <v>192.00246249775054</v>
      </c>
      <c r="AB177" s="124">
        <f t="shared" si="2"/>
        <v>195.99999999999801</v>
      </c>
      <c r="AC177" s="124">
        <f t="shared" si="2"/>
        <v>209.99999999999702</v>
      </c>
      <c r="AD177" s="124">
        <f t="shared" si="2"/>
        <v>202.00246249774756</v>
      </c>
      <c r="AE177" s="124">
        <f t="shared" si="2"/>
        <v>204.00246249774656</v>
      </c>
      <c r="AF177" s="124">
        <f t="shared" si="2"/>
        <v>215.99999999999403</v>
      </c>
      <c r="AG177" s="124">
        <f t="shared" si="2"/>
        <v>102.66810312368202</v>
      </c>
      <c r="AH177" s="124">
        <f t="shared" si="2"/>
        <v>278.33435937406159</v>
      </c>
      <c r="AI177" s="124">
        <f t="shared" si="2"/>
        <v>229.33435937406057</v>
      </c>
      <c r="AJ177" s="124">
        <f t="shared" si="2"/>
        <v>245.33435937405957</v>
      </c>
      <c r="AK177" s="124">
        <f t="shared" si="2"/>
        <v>197.33435937405858</v>
      </c>
      <c r="AL177" s="124">
        <f t="shared" si="2"/>
        <v>156.33189687630605</v>
      </c>
      <c r="AM177" s="124">
        <f t="shared" si="2"/>
        <v>83.668103123687985</v>
      </c>
      <c r="AN177" s="124">
        <f t="shared" si="2"/>
        <v>278.33435937406159</v>
      </c>
      <c r="AO177" s="124">
        <f t="shared" si="2"/>
        <v>266.33435937406057</v>
      </c>
      <c r="AP177" s="124">
        <f t="shared" si="2"/>
        <v>262.33435937405955</v>
      </c>
      <c r="AQ177" s="124">
        <f t="shared" si="2"/>
        <v>165.99999999999602</v>
      </c>
      <c r="AR177" s="124">
        <f t="shared" si="2"/>
        <v>278.33435937406159</v>
      </c>
      <c r="AS177" s="124">
        <f t="shared" si="2"/>
        <v>111.99999999999801</v>
      </c>
      <c r="AT177" s="124">
        <f t="shared" si="2"/>
        <v>147.99753750224747</v>
      </c>
      <c r="AU177" s="124">
        <f t="shared" si="2"/>
        <v>130.3368218718141</v>
      </c>
      <c r="AV177" s="124">
        <f t="shared" si="2"/>
        <v>169.99999999999898</v>
      </c>
      <c r="AW177" s="124">
        <f t="shared" si="2"/>
        <v>12.333128125187292</v>
      </c>
      <c r="AX177" s="124">
        <f t="shared" si="2"/>
        <v>169.99999999999898</v>
      </c>
      <c r="AY177" s="124">
        <f t="shared" si="2"/>
        <v>169.99999999999901</v>
      </c>
    </row>
    <row r="178" spans="1:51">
      <c r="A178" s="125"/>
      <c r="B178" s="136" t="s">
        <v>299</v>
      </c>
      <c r="C178" s="125" t="s">
        <v>293</v>
      </c>
      <c r="D178" s="125">
        <v>159</v>
      </c>
      <c r="E178" s="125">
        <v>165.02241548477832</v>
      </c>
      <c r="F178" s="125">
        <v>169.67266172465168</v>
      </c>
      <c r="G178" s="125">
        <v>192.00246249775057</v>
      </c>
      <c r="H178" s="125">
        <v>157</v>
      </c>
      <c r="I178" s="125">
        <v>158</v>
      </c>
      <c r="J178" s="125">
        <v>172.99753750224548</v>
      </c>
      <c r="K178" s="125">
        <v>169.99999999999901</v>
      </c>
      <c r="L178" s="125">
        <v>169.99999999999901</v>
      </c>
      <c r="M178" s="125">
        <v>188</v>
      </c>
      <c r="N178" s="125">
        <v>174.00246249774955</v>
      </c>
      <c r="O178" s="125">
        <v>61.665640625936447</v>
      </c>
      <c r="P178" s="125">
        <v>169.99999999999901</v>
      </c>
      <c r="Q178" s="125">
        <v>169.99999999999901</v>
      </c>
      <c r="R178" s="125">
        <v>220</v>
      </c>
      <c r="S178" s="125">
        <v>119.99999999999801</v>
      </c>
      <c r="T178" s="125">
        <v>204</v>
      </c>
      <c r="U178" s="125">
        <v>181</v>
      </c>
      <c r="V178" s="125">
        <v>186</v>
      </c>
      <c r="W178" s="125">
        <v>176</v>
      </c>
      <c r="X178" s="125">
        <v>208</v>
      </c>
      <c r="Y178" s="125">
        <v>164</v>
      </c>
      <c r="Z178" s="125">
        <v>157.33189687630406</v>
      </c>
      <c r="AA178" s="125">
        <v>144</v>
      </c>
      <c r="AB178" s="125">
        <v>156</v>
      </c>
      <c r="AC178" s="125">
        <v>200</v>
      </c>
      <c r="AD178" s="125">
        <v>168</v>
      </c>
      <c r="AE178" s="125">
        <v>136</v>
      </c>
      <c r="AF178" s="125">
        <v>197</v>
      </c>
      <c r="AG178" s="125">
        <v>102.66810312368202</v>
      </c>
      <c r="AH178" s="125">
        <v>219</v>
      </c>
      <c r="AI178" s="125">
        <v>154</v>
      </c>
      <c r="AJ178" s="125">
        <v>218</v>
      </c>
      <c r="AK178" s="125">
        <v>189</v>
      </c>
      <c r="AL178" s="125">
        <v>156.33189687630605</v>
      </c>
      <c r="AM178" s="125">
        <v>83.668103123687985</v>
      </c>
      <c r="AN178" s="125">
        <v>182</v>
      </c>
      <c r="AO178" s="125">
        <v>174</v>
      </c>
      <c r="AP178" s="125">
        <v>158</v>
      </c>
      <c r="AQ178" s="125">
        <v>165.99999999999602</v>
      </c>
      <c r="AR178" s="125">
        <v>228</v>
      </c>
      <c r="AS178" s="125">
        <v>111.99999999999801</v>
      </c>
      <c r="AT178" s="125">
        <v>147.99753750224747</v>
      </c>
      <c r="AU178" s="125">
        <v>130.3368218718141</v>
      </c>
      <c r="AV178" s="125">
        <v>169.99999999999898</v>
      </c>
      <c r="AW178" s="125">
        <v>12.333128125187292</v>
      </c>
      <c r="AX178" s="125">
        <v>169.99999999999898</v>
      </c>
      <c r="AY178" s="125">
        <v>155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154.75524087006036</v>
      </c>
      <c r="E179" s="124">
        <f t="shared" si="3"/>
        <v>149.02230621016687</v>
      </c>
      <c r="F179" s="124">
        <f t="shared" si="3"/>
        <v>48.360018836532056</v>
      </c>
      <c r="G179" s="124">
        <f t="shared" si="3"/>
        <v>119.76895553422827</v>
      </c>
      <c r="H179" s="124">
        <f t="shared" si="3"/>
        <v>135.52995044055751</v>
      </c>
      <c r="I179" s="124">
        <f t="shared" si="3"/>
        <v>119.9999999999993</v>
      </c>
      <c r="J179" s="124">
        <f t="shared" si="3"/>
        <v>119.9999999999993</v>
      </c>
      <c r="K179" s="124">
        <f t="shared" si="3"/>
        <v>104.47004955944109</v>
      </c>
      <c r="L179" s="124">
        <f t="shared" si="3"/>
        <v>119.9999999999993</v>
      </c>
      <c r="M179" s="124">
        <f t="shared" si="3"/>
        <v>119.9999999999993</v>
      </c>
      <c r="N179" s="124">
        <f t="shared" si="3"/>
        <v>139.52995044055683</v>
      </c>
      <c r="O179" s="124">
        <f t="shared" si="3"/>
        <v>119.9999999999993</v>
      </c>
      <c r="P179" s="124">
        <f t="shared" si="3"/>
        <v>43.534593809180869</v>
      </c>
      <c r="Q179" s="124">
        <f t="shared" si="3"/>
        <v>119.9999999999993</v>
      </c>
      <c r="R179" s="124">
        <f t="shared" si="3"/>
        <v>119.9999999999993</v>
      </c>
      <c r="S179" s="124">
        <f t="shared" si="3"/>
        <v>196.46540619081773</v>
      </c>
      <c r="T179" s="124">
        <f t="shared" si="3"/>
        <v>144.9136209743661</v>
      </c>
      <c r="U179" s="124">
        <f t="shared" si="3"/>
        <v>196.46540619081776</v>
      </c>
      <c r="V179" s="124">
        <f t="shared" si="3"/>
        <v>163.60031141297256</v>
      </c>
      <c r="W179" s="124">
        <f t="shared" si="3"/>
        <v>171.60031141297185</v>
      </c>
      <c r="X179" s="124">
        <f t="shared" si="3"/>
        <v>136.60031141297117</v>
      </c>
      <c r="Y179" s="124">
        <f t="shared" si="3"/>
        <v>119.9999999999993</v>
      </c>
      <c r="Z179" s="124">
        <f t="shared" si="3"/>
        <v>119.9999999999993</v>
      </c>
      <c r="AA179" s="124">
        <f t="shared" si="3"/>
        <v>104.47004955944109</v>
      </c>
      <c r="AB179" s="124">
        <f t="shared" si="3"/>
        <v>135.52995044055751</v>
      </c>
      <c r="AC179" s="124">
        <f t="shared" si="3"/>
        <v>104.47004955944109</v>
      </c>
      <c r="AD179" s="124">
        <f t="shared" si="3"/>
        <v>119.9999999999993</v>
      </c>
      <c r="AE179" s="124">
        <f t="shared" si="3"/>
        <v>144.52995044055683</v>
      </c>
      <c r="AF179" s="124">
        <f t="shared" si="3"/>
        <v>119.9999999999993</v>
      </c>
      <c r="AG179" s="124">
        <f t="shared" si="3"/>
        <v>104.47004955944109</v>
      </c>
      <c r="AH179" s="124">
        <f t="shared" si="3"/>
        <v>59.064544249739086</v>
      </c>
      <c r="AI179" s="124">
        <f t="shared" si="3"/>
        <v>196.46540619081773</v>
      </c>
      <c r="AJ179" s="124">
        <f t="shared" si="3"/>
        <v>197.24308243791324</v>
      </c>
      <c r="AK179" s="124">
        <f t="shared" si="3"/>
        <v>176.24308243791256</v>
      </c>
      <c r="AL179" s="124">
        <f t="shared" si="3"/>
        <v>141.24308243791185</v>
      </c>
      <c r="AM179" s="124">
        <f t="shared" si="3"/>
        <v>104.47004955944109</v>
      </c>
      <c r="AN179" s="124">
        <f t="shared" si="3"/>
        <v>59.064544249739093</v>
      </c>
      <c r="AO179" s="124">
        <f t="shared" si="3"/>
        <v>196.46540619081773</v>
      </c>
      <c r="AP179" s="124">
        <f t="shared" si="3"/>
        <v>186.19978978815703</v>
      </c>
      <c r="AQ179" s="124">
        <f t="shared" si="3"/>
        <v>176.19978978815635</v>
      </c>
      <c r="AR179" s="124">
        <f t="shared" si="3"/>
        <v>62.555106027295245</v>
      </c>
      <c r="AS179" s="124">
        <f t="shared" si="3"/>
        <v>196.46540619081773</v>
      </c>
      <c r="AT179" s="124">
        <f t="shared" si="3"/>
        <v>108.33043051702299</v>
      </c>
      <c r="AU179" s="124">
        <f t="shared" si="3"/>
        <v>104.47004955944109</v>
      </c>
      <c r="AV179" s="124">
        <f t="shared" si="3"/>
        <v>92.004624904657391</v>
      </c>
      <c r="AW179" s="124">
        <f t="shared" si="3"/>
        <v>119.99999999999935</v>
      </c>
      <c r="AX179" s="124">
        <f t="shared" si="3"/>
        <v>8.7143333804607597</v>
      </c>
      <c r="AY179" s="124">
        <f t="shared" si="3"/>
        <v>119.99999999999935</v>
      </c>
    </row>
    <row r="180" spans="1:51">
      <c r="A180" s="125"/>
      <c r="B180" s="136" t="s">
        <v>299</v>
      </c>
      <c r="C180" s="125" t="s">
        <v>293</v>
      </c>
      <c r="D180" s="125">
        <v>154.75524087006036</v>
      </c>
      <c r="E180" s="125">
        <v>135.49181607563565</v>
      </c>
      <c r="F180" s="125">
        <v>48.360018836532056</v>
      </c>
      <c r="G180" s="125">
        <v>119.76895553422827</v>
      </c>
      <c r="H180" s="125">
        <v>135.52995044055751</v>
      </c>
      <c r="I180" s="125">
        <v>119.9999999999993</v>
      </c>
      <c r="J180" s="125">
        <v>119.9999999999993</v>
      </c>
      <c r="K180" s="125">
        <v>104.47004955944109</v>
      </c>
      <c r="L180" s="125">
        <v>119.9999999999993</v>
      </c>
      <c r="M180" s="125">
        <v>116</v>
      </c>
      <c r="N180" s="125">
        <v>139.52995044055683</v>
      </c>
      <c r="O180" s="125">
        <v>119.9999999999993</v>
      </c>
      <c r="P180" s="125">
        <v>43.534593809180869</v>
      </c>
      <c r="Q180" s="125">
        <v>119.9999999999993</v>
      </c>
      <c r="R180" s="125">
        <v>119.9999999999993</v>
      </c>
      <c r="S180" s="125">
        <v>126.25663716814162</v>
      </c>
      <c r="T180" s="125">
        <v>144.9136209743661</v>
      </c>
      <c r="U180" s="125">
        <v>159</v>
      </c>
      <c r="V180" s="125">
        <v>112</v>
      </c>
      <c r="W180" s="125">
        <v>155</v>
      </c>
      <c r="X180" s="125">
        <v>136.60031141297117</v>
      </c>
      <c r="Y180" s="125">
        <v>119.9999999999993</v>
      </c>
      <c r="Z180" s="125">
        <v>119.9999999999993</v>
      </c>
      <c r="AA180" s="125">
        <v>104.47004955944109</v>
      </c>
      <c r="AB180" s="125">
        <v>135.52995044055751</v>
      </c>
      <c r="AC180" s="125">
        <v>104.47004955944109</v>
      </c>
      <c r="AD180" s="125">
        <v>111</v>
      </c>
      <c r="AE180" s="125">
        <v>144.52995044055683</v>
      </c>
      <c r="AF180" s="125">
        <v>119.9999999999993</v>
      </c>
      <c r="AG180" s="125">
        <v>104.47004955944109</v>
      </c>
      <c r="AH180" s="125">
        <v>59.064544249739086</v>
      </c>
      <c r="AI180" s="125">
        <v>130</v>
      </c>
      <c r="AJ180" s="125">
        <v>141</v>
      </c>
      <c r="AK180" s="125">
        <v>155</v>
      </c>
      <c r="AL180" s="125">
        <v>141.24308243791185</v>
      </c>
      <c r="AM180" s="125">
        <v>104.47004955944109</v>
      </c>
      <c r="AN180" s="125">
        <v>59.064544249739093</v>
      </c>
      <c r="AO180" s="125">
        <v>148</v>
      </c>
      <c r="AP180" s="125">
        <v>130</v>
      </c>
      <c r="AQ180" s="125">
        <v>157.17927757004196</v>
      </c>
      <c r="AR180" s="125">
        <v>62.555106027295245</v>
      </c>
      <c r="AS180" s="125">
        <v>149.10243902439038</v>
      </c>
      <c r="AT180" s="125">
        <v>108.33043051702299</v>
      </c>
      <c r="AU180" s="125">
        <v>104.47004955944109</v>
      </c>
      <c r="AV180" s="125">
        <v>92.004624904657391</v>
      </c>
      <c r="AW180" s="125">
        <v>119.99999999999935</v>
      </c>
      <c r="AX180" s="125">
        <v>8.7143333804607597</v>
      </c>
      <c r="AY180" s="125">
        <v>119.99999999999935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153.41747544437797</v>
      </c>
      <c r="E181" s="124">
        <f t="shared" si="4"/>
        <v>35.856768696376001</v>
      </c>
      <c r="F181" s="124">
        <f t="shared" si="4"/>
        <v>123.30134502654525</v>
      </c>
      <c r="G181" s="124">
        <f t="shared" si="4"/>
        <v>139.52718470460394</v>
      </c>
      <c r="H181" s="124">
        <f t="shared" si="4"/>
        <v>123.53920377102072</v>
      </c>
      <c r="I181" s="124">
        <f t="shared" si="4"/>
        <v>123.53920377102072</v>
      </c>
      <c r="J181" s="124">
        <f t="shared" si="4"/>
        <v>107.55122283743751</v>
      </c>
      <c r="K181" s="124">
        <f t="shared" si="4"/>
        <v>123.53920377102072</v>
      </c>
      <c r="L181" s="124">
        <f t="shared" si="4"/>
        <v>123.53920377102072</v>
      </c>
      <c r="M181" s="124">
        <f t="shared" si="4"/>
        <v>139.52718470460394</v>
      </c>
      <c r="N181" s="124">
        <f t="shared" si="4"/>
        <v>123.53920377102072</v>
      </c>
      <c r="O181" s="124">
        <f t="shared" si="4"/>
        <v>44.818575464008696</v>
      </c>
      <c r="P181" s="124">
        <f t="shared" si="4"/>
        <v>123.53920377102072</v>
      </c>
      <c r="Q181" s="124">
        <f t="shared" si="4"/>
        <v>123.53920377102072</v>
      </c>
      <c r="R181" s="124">
        <f t="shared" si="4"/>
        <v>202.25983207803276</v>
      </c>
      <c r="S181" s="124">
        <f t="shared" si="4"/>
        <v>76.908149399531837</v>
      </c>
      <c r="T181" s="124">
        <f t="shared" si="4"/>
        <v>202.25983207803276</v>
      </c>
      <c r="U181" s="124">
        <f t="shared" si="4"/>
        <v>129.85504799065217</v>
      </c>
      <c r="V181" s="124">
        <f t="shared" si="4"/>
        <v>123.53920377102072</v>
      </c>
      <c r="W181" s="124">
        <f t="shared" si="4"/>
        <v>123.53920377102072</v>
      </c>
      <c r="X181" s="124">
        <f t="shared" si="4"/>
        <v>123.53920377102072</v>
      </c>
      <c r="Y181" s="124">
        <f t="shared" si="4"/>
        <v>123.53920377102072</v>
      </c>
      <c r="Z181" s="124">
        <f t="shared" si="4"/>
        <v>107.55122283743751</v>
      </c>
      <c r="AA181" s="124">
        <f t="shared" si="4"/>
        <v>139.52718470460394</v>
      </c>
      <c r="AB181" s="124">
        <f t="shared" si="4"/>
        <v>107.55122283743751</v>
      </c>
      <c r="AC181" s="124">
        <f t="shared" si="4"/>
        <v>123.53920377102072</v>
      </c>
      <c r="AD181" s="124">
        <f t="shared" si="4"/>
        <v>139.52718470460394</v>
      </c>
      <c r="AE181" s="124">
        <f t="shared" si="4"/>
        <v>123.53920377102072</v>
      </c>
      <c r="AF181" s="124">
        <f t="shared" si="4"/>
        <v>107.55122283743751</v>
      </c>
      <c r="AG181" s="124">
        <f t="shared" si="4"/>
        <v>60.806556397591905</v>
      </c>
      <c r="AH181" s="124">
        <f t="shared" si="4"/>
        <v>202.25983207803276</v>
      </c>
      <c r="AI181" s="124">
        <f t="shared" si="4"/>
        <v>134.63474995492166</v>
      </c>
      <c r="AJ181" s="124">
        <f t="shared" si="4"/>
        <v>123.53920377102072</v>
      </c>
      <c r="AK181" s="124">
        <f t="shared" si="4"/>
        <v>123.53920377102072</v>
      </c>
      <c r="AL181" s="124">
        <f t="shared" si="4"/>
        <v>107.55122283743751</v>
      </c>
      <c r="AM181" s="124">
        <f t="shared" si="4"/>
        <v>60.806556397591912</v>
      </c>
      <c r="AN181" s="124">
        <f t="shared" si="4"/>
        <v>202.25983207803276</v>
      </c>
      <c r="AO181" s="124">
        <f t="shared" si="4"/>
        <v>141.79663401256445</v>
      </c>
      <c r="AP181" s="124">
        <f t="shared" si="4"/>
        <v>123.53920377102072</v>
      </c>
      <c r="AQ181" s="124">
        <f t="shared" si="4"/>
        <v>44.818575464008696</v>
      </c>
      <c r="AR181" s="124">
        <f t="shared" si="4"/>
        <v>202.25983207803276</v>
      </c>
      <c r="AS181" s="124">
        <f t="shared" si="4"/>
        <v>62.765598985595958</v>
      </c>
      <c r="AT181" s="124">
        <f t="shared" si="4"/>
        <v>107.55122283743751</v>
      </c>
      <c r="AU181" s="124">
        <f t="shared" si="4"/>
        <v>94.71815086644051</v>
      </c>
      <c r="AV181" s="124">
        <f t="shared" si="4"/>
        <v>123.53920377102077</v>
      </c>
      <c r="AW181" s="124">
        <f t="shared" si="4"/>
        <v>8.9713483934779656</v>
      </c>
      <c r="AX181" s="124">
        <f t="shared" si="4"/>
        <v>123.53920377102077</v>
      </c>
      <c r="AY181" s="124">
        <f t="shared" si="4"/>
        <v>123.53920377102072</v>
      </c>
    </row>
    <row r="182" spans="1:51">
      <c r="A182" s="125"/>
      <c r="B182" s="136" t="s">
        <v>299</v>
      </c>
      <c r="C182" s="125" t="s">
        <v>293</v>
      </c>
      <c r="D182" s="125">
        <v>153.41747544437797</v>
      </c>
      <c r="E182" s="125">
        <v>35.856768696376001</v>
      </c>
      <c r="F182" s="125">
        <v>123.30134502654525</v>
      </c>
      <c r="G182" s="125">
        <v>139.52718470460394</v>
      </c>
      <c r="H182" s="125">
        <v>123.53920377102072</v>
      </c>
      <c r="I182" s="125">
        <v>123.53920377102072</v>
      </c>
      <c r="J182" s="125">
        <v>107.55122283743751</v>
      </c>
      <c r="K182" s="125">
        <v>123.53920377102072</v>
      </c>
      <c r="L182" s="125">
        <v>123.53920377102072</v>
      </c>
      <c r="M182" s="125">
        <v>139.52718470460394</v>
      </c>
      <c r="N182" s="125">
        <v>123.53920377102072</v>
      </c>
      <c r="O182" s="125">
        <v>44.818575464008696</v>
      </c>
      <c r="P182" s="125">
        <v>123.53920377102072</v>
      </c>
      <c r="Q182" s="125">
        <v>123.53920377102072</v>
      </c>
      <c r="R182" s="125">
        <v>139.00000000000048</v>
      </c>
      <c r="S182" s="125">
        <v>76.908149399531837</v>
      </c>
      <c r="T182" s="125">
        <v>189.80908263624579</v>
      </c>
      <c r="U182" s="125">
        <v>129.85504799065217</v>
      </c>
      <c r="V182" s="125">
        <v>123.53920377102072</v>
      </c>
      <c r="W182" s="125">
        <v>123.53920377102072</v>
      </c>
      <c r="X182" s="125">
        <v>123.53920377102072</v>
      </c>
      <c r="Y182" s="125">
        <v>123.53920377102072</v>
      </c>
      <c r="Z182" s="125">
        <v>107.55122283743751</v>
      </c>
      <c r="AA182" s="125">
        <v>139.52718470460394</v>
      </c>
      <c r="AB182" s="125">
        <v>107.55122283743751</v>
      </c>
      <c r="AC182" s="125">
        <v>123.53920377102072</v>
      </c>
      <c r="AD182" s="125">
        <v>139.52718470460394</v>
      </c>
      <c r="AE182" s="125">
        <v>123.53920377102072</v>
      </c>
      <c r="AF182" s="125">
        <v>107.55122283743751</v>
      </c>
      <c r="AG182" s="125">
        <v>60.806556397591905</v>
      </c>
      <c r="AH182" s="125">
        <v>180.38660964703561</v>
      </c>
      <c r="AI182" s="125">
        <v>134.63474995492166</v>
      </c>
      <c r="AJ182" s="125">
        <v>123.53920377102072</v>
      </c>
      <c r="AK182" s="125">
        <v>123.53920377102072</v>
      </c>
      <c r="AL182" s="125">
        <v>107.55122283743751</v>
      </c>
      <c r="AM182" s="125">
        <v>60.806556397591912</v>
      </c>
      <c r="AN182" s="125">
        <v>166.26801823914903</v>
      </c>
      <c r="AO182" s="125">
        <v>141.79663401256445</v>
      </c>
      <c r="AP182" s="125">
        <v>123.53920377102072</v>
      </c>
      <c r="AQ182" s="125">
        <v>44.818575464008696</v>
      </c>
      <c r="AR182" s="125">
        <v>166.87993901503071</v>
      </c>
      <c r="AS182" s="125">
        <v>62.765598985595958</v>
      </c>
      <c r="AT182" s="125">
        <v>107.55122283743751</v>
      </c>
      <c r="AU182" s="125">
        <v>94.71815086644051</v>
      </c>
      <c r="AV182" s="125">
        <v>123.53920377102077</v>
      </c>
      <c r="AW182" s="125">
        <v>8.9713483934779656</v>
      </c>
      <c r="AX182" s="125">
        <v>123.53920377102077</v>
      </c>
      <c r="AY182" s="125">
        <v>123.53920377102072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79.3614763376425</v>
      </c>
      <c r="D185" s="124">
        <v>167</v>
      </c>
      <c r="E185" s="124">
        <v>172</v>
      </c>
      <c r="F185" s="124">
        <v>190</v>
      </c>
      <c r="G185" s="124">
        <v>190</v>
      </c>
      <c r="H185" s="124">
        <v>190</v>
      </c>
      <c r="I185" s="124">
        <v>190</v>
      </c>
      <c r="J185" s="124">
        <v>138</v>
      </c>
      <c r="K185" s="124">
        <v>109</v>
      </c>
      <c r="L185" s="124">
        <v>107</v>
      </c>
      <c r="M185" s="124">
        <v>93</v>
      </c>
      <c r="N185" s="124">
        <v>78</v>
      </c>
      <c r="O185" s="124">
        <v>29</v>
      </c>
      <c r="P185" s="124">
        <v>26</v>
      </c>
      <c r="Q185" s="124">
        <v>48</v>
      </c>
      <c r="R185" s="124">
        <v>44</v>
      </c>
      <c r="S185" s="124">
        <v>39</v>
      </c>
      <c r="T185" s="124">
        <v>48</v>
      </c>
      <c r="U185" s="124">
        <v>52</v>
      </c>
      <c r="V185" s="124">
        <v>0</v>
      </c>
      <c r="W185" s="124">
        <v>2</v>
      </c>
      <c r="X185" s="124">
        <v>0</v>
      </c>
      <c r="Y185" s="124">
        <v>7</v>
      </c>
      <c r="Z185" s="124">
        <v>0</v>
      </c>
      <c r="AA185" s="124">
        <v>0</v>
      </c>
      <c r="AB185" s="124">
        <v>0</v>
      </c>
      <c r="AC185" s="124">
        <v>0</v>
      </c>
      <c r="AD185" s="124">
        <v>0</v>
      </c>
      <c r="AE185" s="124">
        <v>40</v>
      </c>
      <c r="AF185" s="124">
        <v>65</v>
      </c>
      <c r="AG185" s="124">
        <v>92</v>
      </c>
      <c r="AH185" s="124">
        <v>81</v>
      </c>
      <c r="AI185" s="124">
        <v>99</v>
      </c>
      <c r="AJ185" s="124">
        <v>106</v>
      </c>
      <c r="AK185" s="124">
        <v>107</v>
      </c>
      <c r="AL185" s="124">
        <v>82</v>
      </c>
      <c r="AM185" s="124">
        <v>74</v>
      </c>
      <c r="AN185" s="124">
        <v>50</v>
      </c>
      <c r="AO185" s="124">
        <v>88</v>
      </c>
      <c r="AP185" s="124">
        <v>121</v>
      </c>
      <c r="AQ185" s="124">
        <v>139</v>
      </c>
      <c r="AR185" s="124">
        <v>147</v>
      </c>
      <c r="AS185" s="124">
        <v>150</v>
      </c>
      <c r="AT185" s="124">
        <v>141</v>
      </c>
      <c r="AU185" s="124">
        <v>139</v>
      </c>
      <c r="AV185" s="124">
        <v>152</v>
      </c>
      <c r="AW185" s="124">
        <v>113</v>
      </c>
      <c r="AX185" s="124">
        <v>90</v>
      </c>
      <c r="AY185" s="124">
        <v>103</v>
      </c>
    </row>
    <row r="186" spans="1:51">
      <c r="A186" s="109"/>
      <c r="B186" s="120">
        <v>2</v>
      </c>
      <c r="C186" s="106">
        <v>0</v>
      </c>
      <c r="D186" s="106">
        <v>0</v>
      </c>
      <c r="E186" s="106">
        <v>23</v>
      </c>
      <c r="F186" s="106">
        <v>18</v>
      </c>
      <c r="G186" s="106">
        <v>0</v>
      </c>
      <c r="H186" s="106">
        <v>0</v>
      </c>
      <c r="I186" s="106">
        <v>0</v>
      </c>
      <c r="J186" s="106">
        <v>0</v>
      </c>
      <c r="K186" s="106">
        <v>52</v>
      </c>
      <c r="L186" s="106">
        <v>81</v>
      </c>
      <c r="M186" s="106">
        <v>83</v>
      </c>
      <c r="N186" s="106">
        <v>97</v>
      </c>
      <c r="O186" s="106">
        <v>112</v>
      </c>
      <c r="P186" s="106">
        <v>161</v>
      </c>
      <c r="Q186" s="106">
        <v>164</v>
      </c>
      <c r="R186" s="106">
        <v>142</v>
      </c>
      <c r="S186" s="106">
        <v>146</v>
      </c>
      <c r="T186" s="106">
        <v>151</v>
      </c>
      <c r="U186" s="106">
        <v>142</v>
      </c>
      <c r="V186" s="106">
        <v>134</v>
      </c>
      <c r="W186" s="106">
        <v>190</v>
      </c>
      <c r="X186" s="106">
        <v>172</v>
      </c>
      <c r="Y186" s="106">
        <v>190</v>
      </c>
      <c r="Z186" s="106">
        <v>174</v>
      </c>
      <c r="AA186" s="106">
        <v>171</v>
      </c>
      <c r="AB186" s="106">
        <v>161</v>
      </c>
      <c r="AC186" s="106">
        <v>164</v>
      </c>
      <c r="AD186" s="106">
        <v>181</v>
      </c>
      <c r="AE186" s="106">
        <v>190</v>
      </c>
      <c r="AF186" s="106">
        <v>150</v>
      </c>
      <c r="AG186" s="106">
        <v>125</v>
      </c>
      <c r="AH186" s="106">
        <v>98</v>
      </c>
      <c r="AI186" s="106">
        <v>109</v>
      </c>
      <c r="AJ186" s="106">
        <v>91</v>
      </c>
      <c r="AK186" s="106">
        <v>84</v>
      </c>
      <c r="AL186" s="106">
        <v>83</v>
      </c>
      <c r="AM186" s="106">
        <v>108</v>
      </c>
      <c r="AN186" s="106">
        <v>116</v>
      </c>
      <c r="AO186" s="106">
        <v>140</v>
      </c>
      <c r="AP186" s="106">
        <v>102</v>
      </c>
      <c r="AQ186" s="106">
        <v>69</v>
      </c>
      <c r="AR186" s="106">
        <v>51</v>
      </c>
      <c r="AS186" s="106">
        <v>43</v>
      </c>
      <c r="AT186" s="106">
        <v>40</v>
      </c>
      <c r="AU186" s="106">
        <v>49</v>
      </c>
      <c r="AV186" s="106">
        <v>51</v>
      </c>
      <c r="AW186" s="106">
        <v>38</v>
      </c>
      <c r="AX186" s="106">
        <v>77</v>
      </c>
      <c r="AY186" s="106">
        <v>100</v>
      </c>
    </row>
    <row r="187" spans="1:51">
      <c r="A187" s="109"/>
      <c r="B187" s="127">
        <v>3</v>
      </c>
      <c r="C187" s="106">
        <v>0</v>
      </c>
      <c r="D187" s="106">
        <v>0</v>
      </c>
      <c r="E187" s="106">
        <v>0</v>
      </c>
      <c r="F187" s="106">
        <v>0</v>
      </c>
      <c r="G187" s="106">
        <v>0</v>
      </c>
      <c r="H187" s="106">
        <v>0</v>
      </c>
      <c r="I187" s="106">
        <v>0</v>
      </c>
      <c r="J187" s="106">
        <v>0</v>
      </c>
      <c r="K187" s="106">
        <v>0</v>
      </c>
      <c r="L187" s="106">
        <v>0</v>
      </c>
      <c r="M187" s="106">
        <v>0</v>
      </c>
      <c r="N187" s="106">
        <v>0</v>
      </c>
      <c r="O187" s="106">
        <v>0</v>
      </c>
      <c r="P187" s="106">
        <v>0</v>
      </c>
      <c r="Q187" s="106">
        <v>0</v>
      </c>
      <c r="R187" s="106">
        <v>0</v>
      </c>
      <c r="S187" s="106">
        <v>0</v>
      </c>
      <c r="T187" s="106">
        <v>0</v>
      </c>
      <c r="U187" s="106">
        <v>0</v>
      </c>
      <c r="V187" s="106">
        <v>0</v>
      </c>
      <c r="W187" s="106">
        <v>4</v>
      </c>
      <c r="X187" s="106">
        <v>0</v>
      </c>
      <c r="Y187" s="106">
        <v>16</v>
      </c>
      <c r="Z187" s="106">
        <v>0</v>
      </c>
      <c r="AA187" s="106">
        <v>9</v>
      </c>
      <c r="AB187" s="106">
        <v>19</v>
      </c>
      <c r="AC187" s="106">
        <v>29</v>
      </c>
      <c r="AD187" s="106">
        <v>26</v>
      </c>
      <c r="AE187" s="106">
        <v>9</v>
      </c>
      <c r="AF187" s="106">
        <v>0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0</v>
      </c>
      <c r="AP187" s="106">
        <v>0</v>
      </c>
      <c r="AQ187" s="106">
        <v>0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0</v>
      </c>
    </row>
    <row r="188" spans="1:51">
      <c r="A188" s="128"/>
      <c r="B188" s="129">
        <v>4</v>
      </c>
      <c r="C188" s="106">
        <v>0</v>
      </c>
      <c r="D188" s="106">
        <v>0</v>
      </c>
      <c r="E188" s="106">
        <v>0</v>
      </c>
      <c r="F188" s="106">
        <v>0</v>
      </c>
      <c r="G188" s="106">
        <v>0</v>
      </c>
      <c r="H188" s="106">
        <v>0</v>
      </c>
      <c r="I188" s="106">
        <v>0</v>
      </c>
      <c r="J188" s="106">
        <v>0</v>
      </c>
      <c r="K188" s="106">
        <v>0</v>
      </c>
      <c r="L188" s="106">
        <v>0</v>
      </c>
      <c r="M188" s="106">
        <v>0</v>
      </c>
      <c r="N188" s="106">
        <v>0</v>
      </c>
      <c r="O188" s="106">
        <v>0</v>
      </c>
      <c r="P188" s="106">
        <v>0</v>
      </c>
      <c r="Q188" s="106">
        <v>0</v>
      </c>
      <c r="R188" s="106">
        <v>0</v>
      </c>
      <c r="S188" s="106">
        <v>0</v>
      </c>
      <c r="T188" s="106">
        <v>0</v>
      </c>
      <c r="U188" s="106">
        <v>0</v>
      </c>
      <c r="V188" s="106">
        <v>0</v>
      </c>
      <c r="W188" s="106">
        <v>0</v>
      </c>
      <c r="X188" s="106">
        <v>0</v>
      </c>
      <c r="Y188" s="106">
        <v>0</v>
      </c>
      <c r="Z188" s="106">
        <v>0</v>
      </c>
      <c r="AA188" s="106">
        <v>0</v>
      </c>
      <c r="AB188" s="106">
        <v>0</v>
      </c>
      <c r="AC188" s="106">
        <v>0</v>
      </c>
      <c r="AD188" s="106">
        <v>0</v>
      </c>
      <c r="AE188" s="106">
        <v>0</v>
      </c>
      <c r="AF188" s="106">
        <v>0</v>
      </c>
      <c r="AG188" s="106">
        <v>0</v>
      </c>
      <c r="AH188" s="106">
        <v>0</v>
      </c>
      <c r="AI188" s="106">
        <v>0</v>
      </c>
      <c r="AJ188" s="106">
        <v>0</v>
      </c>
      <c r="AK188" s="106">
        <v>0</v>
      </c>
      <c r="AL188" s="106">
        <v>0</v>
      </c>
      <c r="AM188" s="106">
        <v>0</v>
      </c>
      <c r="AN188" s="106">
        <v>0</v>
      </c>
      <c r="AO188" s="106">
        <v>0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0</v>
      </c>
      <c r="D189" s="124">
        <v>20.310097015970825</v>
      </c>
      <c r="E189" s="124">
        <v>49.332512500749161</v>
      </c>
      <c r="F189" s="124">
        <v>147.99753750224744</v>
      </c>
      <c r="G189" s="124">
        <v>169.99999999999901</v>
      </c>
      <c r="H189" s="124">
        <v>157</v>
      </c>
      <c r="I189" s="124">
        <v>145.00000000000099</v>
      </c>
      <c r="J189" s="124">
        <v>147.99753750224747</v>
      </c>
      <c r="K189" s="124">
        <v>169.99999999999901</v>
      </c>
      <c r="L189" s="124">
        <v>147.99753750224747</v>
      </c>
      <c r="M189" s="124">
        <v>165.99753750224846</v>
      </c>
      <c r="N189" s="124">
        <v>169.99999999999901</v>
      </c>
      <c r="O189" s="124">
        <v>61.665640625936447</v>
      </c>
      <c r="P189" s="124">
        <v>169.99999999999901</v>
      </c>
      <c r="Q189" s="124">
        <v>61.665640625936447</v>
      </c>
      <c r="R189" s="124">
        <v>111.66564062593744</v>
      </c>
      <c r="S189" s="124">
        <v>61.665640625936447</v>
      </c>
      <c r="T189" s="124">
        <v>95.665640625937442</v>
      </c>
      <c r="U189" s="124">
        <v>106.66564062593844</v>
      </c>
      <c r="V189" s="124">
        <v>122.66564062593943</v>
      </c>
      <c r="W189" s="124">
        <v>128.66564062594043</v>
      </c>
      <c r="X189" s="124">
        <v>166.66564062594142</v>
      </c>
      <c r="Y189" s="124">
        <v>160.66564062594242</v>
      </c>
      <c r="Z189" s="124">
        <v>147.99753750224747</v>
      </c>
      <c r="AA189" s="124">
        <v>121.99753750224846</v>
      </c>
      <c r="AB189" s="124">
        <v>107.99753750224946</v>
      </c>
      <c r="AC189" s="124">
        <v>160.00000000000199</v>
      </c>
      <c r="AD189" s="124">
        <v>135.99753750225145</v>
      </c>
      <c r="AE189" s="124">
        <v>101.99753750225244</v>
      </c>
      <c r="AF189" s="124">
        <v>128.99753750225344</v>
      </c>
      <c r="AG189" s="124">
        <v>61.665640625936447</v>
      </c>
      <c r="AH189" s="124">
        <v>110.66564062593744</v>
      </c>
      <c r="AI189" s="124">
        <v>94.665640625938437</v>
      </c>
      <c r="AJ189" s="124">
        <v>142.66564062593943</v>
      </c>
      <c r="AK189" s="124">
        <v>161.66564062594043</v>
      </c>
      <c r="AL189" s="124">
        <v>147.99753750224747</v>
      </c>
      <c r="AM189" s="124">
        <v>61.665640625936447</v>
      </c>
      <c r="AN189" s="124">
        <v>73.665640625937442</v>
      </c>
      <c r="AO189" s="124">
        <v>77.665640625938437</v>
      </c>
      <c r="AP189" s="124">
        <v>65.665640625939432</v>
      </c>
      <c r="AQ189" s="124">
        <v>61.665640625936447</v>
      </c>
      <c r="AR189" s="124">
        <v>119.66564062593744</v>
      </c>
      <c r="AS189" s="124">
        <v>61.665640625936447</v>
      </c>
      <c r="AT189" s="124">
        <v>147.99753750224747</v>
      </c>
      <c r="AU189" s="124">
        <v>0</v>
      </c>
      <c r="AV189" s="124">
        <v>169.99999999999898</v>
      </c>
      <c r="AW189" s="124">
        <v>12.333128125187292</v>
      </c>
      <c r="AX189" s="124">
        <v>169.99999999999898</v>
      </c>
      <c r="AY189" s="124">
        <v>0</v>
      </c>
    </row>
    <row r="190" spans="1:51">
      <c r="A190" s="109"/>
      <c r="B190" s="119">
        <v>2</v>
      </c>
      <c r="C190" s="106">
        <v>0</v>
      </c>
      <c r="D190" s="106">
        <v>136</v>
      </c>
      <c r="E190" s="106">
        <v>115.68990298402915</v>
      </c>
      <c r="F190" s="106">
        <v>21.675124222404222</v>
      </c>
      <c r="G190" s="106">
        <v>22.002462497751566</v>
      </c>
      <c r="H190" s="106">
        <v>0</v>
      </c>
      <c r="I190" s="106">
        <v>12.999999999999005</v>
      </c>
      <c r="J190" s="106">
        <v>24.99999999999801</v>
      </c>
      <c r="K190" s="106">
        <v>0</v>
      </c>
      <c r="L190" s="106">
        <v>0</v>
      </c>
      <c r="M190" s="106">
        <v>22.002462497751537</v>
      </c>
      <c r="N190" s="106">
        <v>4.0024624977505425</v>
      </c>
      <c r="O190" s="106">
        <v>0</v>
      </c>
      <c r="P190" s="106">
        <v>0</v>
      </c>
      <c r="Q190" s="106">
        <v>0</v>
      </c>
      <c r="R190" s="106">
        <v>108.33435937406256</v>
      </c>
      <c r="S190" s="106">
        <v>58.334359374061563</v>
      </c>
      <c r="T190" s="106">
        <v>108.33435937406256</v>
      </c>
      <c r="U190" s="106">
        <v>74.334359374061563</v>
      </c>
      <c r="V190" s="106">
        <v>63.334359374060568</v>
      </c>
      <c r="W190" s="106">
        <v>47.334359374059574</v>
      </c>
      <c r="X190" s="106">
        <v>41.334359374058579</v>
      </c>
      <c r="Y190" s="106">
        <v>3.3343593740575841</v>
      </c>
      <c r="Z190" s="106">
        <v>9.3343593740565893</v>
      </c>
      <c r="AA190" s="106">
        <v>22.002462497751537</v>
      </c>
      <c r="AB190" s="106">
        <v>48.002462497750543</v>
      </c>
      <c r="AC190" s="106">
        <v>39.99999999999801</v>
      </c>
      <c r="AD190" s="106">
        <v>9.9999999999970157</v>
      </c>
      <c r="AE190" s="106">
        <v>34.002462497747558</v>
      </c>
      <c r="AF190" s="106">
        <v>68.002462497746563</v>
      </c>
      <c r="AG190" s="106">
        <v>41.002462497745569</v>
      </c>
      <c r="AH190" s="106">
        <v>108.33435937406256</v>
      </c>
      <c r="AI190" s="106">
        <v>59.334359374061563</v>
      </c>
      <c r="AJ190" s="106">
        <v>75.334359374060568</v>
      </c>
      <c r="AK190" s="106">
        <v>27.334359374059574</v>
      </c>
      <c r="AL190" s="106">
        <v>8.3343593740585789</v>
      </c>
      <c r="AM190" s="106">
        <v>22.002462497751537</v>
      </c>
      <c r="AN190" s="106">
        <v>108.33435937406256</v>
      </c>
      <c r="AO190" s="106">
        <v>96.334359374061563</v>
      </c>
      <c r="AP190" s="106">
        <v>92.334359374060568</v>
      </c>
      <c r="AQ190" s="106">
        <v>104.33435937405957</v>
      </c>
      <c r="AR190" s="106">
        <v>108.33435937406256</v>
      </c>
      <c r="AS190" s="106">
        <v>50.334359374061563</v>
      </c>
      <c r="AT190" s="106">
        <v>0</v>
      </c>
      <c r="AU190" s="106">
        <v>22.002462497751537</v>
      </c>
      <c r="AV190" s="106">
        <v>0</v>
      </c>
      <c r="AW190" s="106">
        <v>0</v>
      </c>
      <c r="AX190" s="106">
        <v>0</v>
      </c>
      <c r="AY190" s="106">
        <v>0</v>
      </c>
    </row>
    <row r="191" spans="1:51">
      <c r="A191" s="109"/>
      <c r="B191" s="120">
        <v>3</v>
      </c>
      <c r="C191" s="106">
        <v>155</v>
      </c>
      <c r="D191" s="106">
        <v>0</v>
      </c>
      <c r="E191" s="106">
        <v>0</v>
      </c>
      <c r="F191" s="106">
        <v>0</v>
      </c>
      <c r="G191" s="106">
        <v>0</v>
      </c>
      <c r="H191" s="106">
        <v>0</v>
      </c>
      <c r="I191" s="106">
        <v>0</v>
      </c>
      <c r="J191" s="106">
        <v>0</v>
      </c>
      <c r="K191" s="106">
        <v>0</v>
      </c>
      <c r="L191" s="106">
        <v>22.002462497751537</v>
      </c>
      <c r="M191" s="106">
        <v>0</v>
      </c>
      <c r="N191" s="106">
        <v>0</v>
      </c>
      <c r="O191" s="106">
        <v>0</v>
      </c>
      <c r="P191" s="106">
        <v>0</v>
      </c>
      <c r="Q191" s="106">
        <v>108.33435937406256</v>
      </c>
      <c r="R191" s="106">
        <v>0</v>
      </c>
      <c r="S191" s="106">
        <v>0</v>
      </c>
      <c r="T191" s="106">
        <v>0</v>
      </c>
      <c r="U191" s="106">
        <v>0</v>
      </c>
      <c r="V191" s="106">
        <v>0</v>
      </c>
      <c r="W191" s="106">
        <v>0</v>
      </c>
      <c r="X191" s="106">
        <v>0</v>
      </c>
      <c r="Y191" s="106">
        <v>0</v>
      </c>
      <c r="Z191" s="106">
        <v>0</v>
      </c>
      <c r="AA191" s="106">
        <v>0</v>
      </c>
      <c r="AB191" s="106">
        <v>0</v>
      </c>
      <c r="AC191" s="106">
        <v>0</v>
      </c>
      <c r="AD191" s="106">
        <v>22.002462497751537</v>
      </c>
      <c r="AE191" s="106">
        <v>0</v>
      </c>
      <c r="AF191" s="106">
        <v>0</v>
      </c>
      <c r="AG191" s="106">
        <v>0</v>
      </c>
      <c r="AH191" s="106">
        <v>0</v>
      </c>
      <c r="AI191" s="106">
        <v>0</v>
      </c>
      <c r="AJ191" s="106">
        <v>0</v>
      </c>
      <c r="AK191" s="106">
        <v>0</v>
      </c>
      <c r="AL191" s="106">
        <v>0</v>
      </c>
      <c r="AM191" s="106">
        <v>0</v>
      </c>
      <c r="AN191" s="106">
        <v>0</v>
      </c>
      <c r="AO191" s="106">
        <v>0</v>
      </c>
      <c r="AP191" s="106">
        <v>0</v>
      </c>
      <c r="AQ191" s="106">
        <v>0</v>
      </c>
      <c r="AR191" s="106">
        <v>0</v>
      </c>
      <c r="AS191" s="106">
        <v>0</v>
      </c>
      <c r="AT191" s="106">
        <v>0</v>
      </c>
      <c r="AU191" s="106">
        <v>108.33435937406256</v>
      </c>
      <c r="AV191" s="106">
        <v>0</v>
      </c>
      <c r="AW191" s="106">
        <v>0</v>
      </c>
      <c r="AX191" s="106">
        <v>0</v>
      </c>
      <c r="AY191" s="106">
        <v>155</v>
      </c>
    </row>
    <row r="192" spans="1:51">
      <c r="A192" s="109"/>
      <c r="B192" s="120">
        <v>4</v>
      </c>
      <c r="C192" s="106">
        <v>0</v>
      </c>
      <c r="D192" s="106">
        <v>2.6899029840291746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96.001850593683926</v>
      </c>
      <c r="D197" s="106">
        <v>154.75524087006036</v>
      </c>
      <c r="E197" s="106">
        <v>135.49181607563565</v>
      </c>
      <c r="F197" s="106">
        <v>34.829528702000836</v>
      </c>
      <c r="G197" s="106">
        <v>119.76895553422827</v>
      </c>
      <c r="H197" s="106">
        <v>135.52995044055751</v>
      </c>
      <c r="I197" s="106">
        <v>119.9999999999993</v>
      </c>
      <c r="J197" s="106">
        <v>119.9999999999993</v>
      </c>
      <c r="K197" s="106">
        <v>104.47004955944109</v>
      </c>
      <c r="L197" s="106">
        <v>119.9999999999993</v>
      </c>
      <c r="M197" s="106">
        <v>116</v>
      </c>
      <c r="N197" s="106">
        <v>135.52995044055751</v>
      </c>
      <c r="O197" s="106">
        <v>119.9999999999993</v>
      </c>
      <c r="P197" s="106">
        <v>43.534593809180869</v>
      </c>
      <c r="Q197" s="106">
        <v>119.9999999999993</v>
      </c>
      <c r="R197" s="106">
        <v>119.9999999999993</v>
      </c>
      <c r="S197" s="106">
        <v>126.25663716814162</v>
      </c>
      <c r="T197" s="106">
        <v>74.704851951689989</v>
      </c>
      <c r="U197" s="106">
        <v>159</v>
      </c>
      <c r="V197" s="106">
        <v>74.534593809182269</v>
      </c>
      <c r="W197" s="106">
        <v>103.39968858702744</v>
      </c>
      <c r="X197" s="106">
        <v>119.9999999999993</v>
      </c>
      <c r="Y197" s="106">
        <v>119.9999999999993</v>
      </c>
      <c r="Z197" s="106">
        <v>119.9999999999993</v>
      </c>
      <c r="AA197" s="106">
        <v>104.47004955944109</v>
      </c>
      <c r="AB197" s="106">
        <v>135.52995044055751</v>
      </c>
      <c r="AC197" s="106">
        <v>104.47004955944109</v>
      </c>
      <c r="AD197" s="106">
        <v>111</v>
      </c>
      <c r="AE197" s="106">
        <v>135.52995044055751</v>
      </c>
      <c r="AF197" s="106">
        <v>119.9999999999993</v>
      </c>
      <c r="AG197" s="106">
        <v>104.47004955944109</v>
      </c>
      <c r="AH197" s="106">
        <v>59.064544249739086</v>
      </c>
      <c r="AI197" s="106">
        <v>130</v>
      </c>
      <c r="AJ197" s="106">
        <v>74.534593809182269</v>
      </c>
      <c r="AK197" s="106">
        <v>98.756917562086755</v>
      </c>
      <c r="AL197" s="106">
        <v>119.9999999999993</v>
      </c>
      <c r="AM197" s="106">
        <v>104.47004955944109</v>
      </c>
      <c r="AN197" s="106">
        <v>59.064544249739093</v>
      </c>
      <c r="AO197" s="106">
        <v>148</v>
      </c>
      <c r="AP197" s="106">
        <v>81.534593809182269</v>
      </c>
      <c r="AQ197" s="106">
        <v>100.97948778188493</v>
      </c>
      <c r="AR197" s="106">
        <v>43.534593809180869</v>
      </c>
      <c r="AS197" s="106">
        <v>149.10243902439038</v>
      </c>
      <c r="AT197" s="106">
        <v>60.967463350595636</v>
      </c>
      <c r="AU197" s="106">
        <v>104.47004955944109</v>
      </c>
      <c r="AV197" s="106">
        <v>92.004624904657391</v>
      </c>
      <c r="AW197" s="106">
        <v>119.99999999999935</v>
      </c>
      <c r="AX197" s="106">
        <v>8.7143333804607597</v>
      </c>
      <c r="AY197" s="106">
        <v>119.99999999999935</v>
      </c>
    </row>
    <row r="198" spans="1:51">
      <c r="A198" s="109"/>
      <c r="B198" s="119">
        <v>2</v>
      </c>
      <c r="C198" s="106">
        <v>0</v>
      </c>
      <c r="D198" s="106">
        <v>0</v>
      </c>
      <c r="E198" s="106">
        <v>0</v>
      </c>
      <c r="F198" s="106">
        <v>13.53049013453122</v>
      </c>
      <c r="G198" s="106">
        <v>0</v>
      </c>
      <c r="H198" s="106">
        <v>0</v>
      </c>
      <c r="I198" s="106">
        <v>0</v>
      </c>
      <c r="J198" s="106">
        <v>0</v>
      </c>
      <c r="K198" s="106">
        <v>0</v>
      </c>
      <c r="L198" s="106">
        <v>0</v>
      </c>
      <c r="M198" s="106">
        <v>0</v>
      </c>
      <c r="N198" s="106">
        <v>3.9999999999993037</v>
      </c>
      <c r="O198" s="106">
        <v>0</v>
      </c>
      <c r="P198" s="106">
        <v>0</v>
      </c>
      <c r="Q198" s="106">
        <v>0</v>
      </c>
      <c r="R198" s="106">
        <v>0</v>
      </c>
      <c r="S198" s="106">
        <v>0</v>
      </c>
      <c r="T198" s="106">
        <v>70.208769022676108</v>
      </c>
      <c r="U198" s="106">
        <v>1.4210854715202004E-14</v>
      </c>
      <c r="V198" s="106">
        <v>37.465406190817731</v>
      </c>
      <c r="W198" s="106">
        <v>51.600311412972559</v>
      </c>
      <c r="X198" s="106">
        <v>16.600311412971863</v>
      </c>
      <c r="Y198" s="106">
        <v>0</v>
      </c>
      <c r="Z198" s="106">
        <v>0</v>
      </c>
      <c r="AA198" s="106">
        <v>0</v>
      </c>
      <c r="AB198" s="106">
        <v>0</v>
      </c>
      <c r="AC198" s="106">
        <v>0</v>
      </c>
      <c r="AD198" s="106">
        <v>0</v>
      </c>
      <c r="AE198" s="106">
        <v>8.9999999999993037</v>
      </c>
      <c r="AF198" s="106">
        <v>0</v>
      </c>
      <c r="AG198" s="106">
        <v>0</v>
      </c>
      <c r="AH198" s="106">
        <v>0</v>
      </c>
      <c r="AI198" s="106">
        <v>0</v>
      </c>
      <c r="AJ198" s="106">
        <v>66.465406190817731</v>
      </c>
      <c r="AK198" s="106">
        <v>56.243082437913245</v>
      </c>
      <c r="AL198" s="106">
        <v>21.243082437912548</v>
      </c>
      <c r="AM198" s="106">
        <v>0</v>
      </c>
      <c r="AN198" s="106">
        <v>0</v>
      </c>
      <c r="AO198" s="106">
        <v>0</v>
      </c>
      <c r="AP198" s="106">
        <v>48.465406190817731</v>
      </c>
      <c r="AQ198" s="106">
        <v>56.199789788157034</v>
      </c>
      <c r="AR198" s="106">
        <v>19.020512218114376</v>
      </c>
      <c r="AS198" s="106">
        <v>0</v>
      </c>
      <c r="AT198" s="106">
        <v>47.362967166427353</v>
      </c>
      <c r="AU198" s="106">
        <v>0</v>
      </c>
      <c r="AV198" s="106">
        <v>0</v>
      </c>
      <c r="AW198" s="106">
        <v>0</v>
      </c>
      <c r="AX198" s="106">
        <v>0</v>
      </c>
      <c r="AY198" s="106">
        <v>0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45.015049359820438</v>
      </c>
      <c r="D209" s="124">
        <v>99.147232711695494</v>
      </c>
      <c r="E209" s="124">
        <v>35.856768696376001</v>
      </c>
      <c r="F209" s="124">
        <v>107.55122283743749</v>
      </c>
      <c r="G209" s="124">
        <v>123.53920377102072</v>
      </c>
      <c r="H209" s="124">
        <v>123.53920377102072</v>
      </c>
      <c r="I209" s="124">
        <v>123.53920377102072</v>
      </c>
      <c r="J209" s="124">
        <v>107.55122283743751</v>
      </c>
      <c r="K209" s="124">
        <v>123.53920377102072</v>
      </c>
      <c r="L209" s="124">
        <v>107.55122283743751</v>
      </c>
      <c r="M209" s="124">
        <v>123.53920377102072</v>
      </c>
      <c r="N209" s="124">
        <v>123.53920377102072</v>
      </c>
      <c r="O209" s="124">
        <v>44.818575464008696</v>
      </c>
      <c r="P209" s="124">
        <v>123.53920377102072</v>
      </c>
      <c r="Q209" s="124">
        <v>44.818575464008696</v>
      </c>
      <c r="R209" s="124">
        <v>60.279371692988462</v>
      </c>
      <c r="S209" s="124">
        <v>44.818575464008696</v>
      </c>
      <c r="T209" s="124">
        <v>111.08845432923377</v>
      </c>
      <c r="U209" s="124">
        <v>123.53920377102072</v>
      </c>
      <c r="V209" s="124">
        <v>123.53920377102072</v>
      </c>
      <c r="W209" s="124">
        <v>123.53920377102072</v>
      </c>
      <c r="X209" s="124">
        <v>123.53920377102072</v>
      </c>
      <c r="Y209" s="124">
        <v>123.53920377102072</v>
      </c>
      <c r="Z209" s="124">
        <v>107.55122283743751</v>
      </c>
      <c r="AA209" s="124">
        <v>123.53920377102072</v>
      </c>
      <c r="AB209" s="124">
        <v>107.55122283743751</v>
      </c>
      <c r="AC209" s="124">
        <v>123.53920377102072</v>
      </c>
      <c r="AD209" s="124">
        <v>123.53920377102072</v>
      </c>
      <c r="AE209" s="124">
        <v>123.53920377102072</v>
      </c>
      <c r="AF209" s="124">
        <v>107.55122283743751</v>
      </c>
      <c r="AG209" s="124">
        <v>44.818575464008696</v>
      </c>
      <c r="AH209" s="124">
        <v>101.66598134002359</v>
      </c>
      <c r="AI209" s="124">
        <v>123.53920377102071</v>
      </c>
      <c r="AJ209" s="124">
        <v>123.53920377102071</v>
      </c>
      <c r="AK209" s="124">
        <v>123.53920377102071</v>
      </c>
      <c r="AL209" s="124">
        <v>107.55122283743749</v>
      </c>
      <c r="AM209" s="124">
        <v>44.818575464008696</v>
      </c>
      <c r="AN209" s="124">
        <v>87.547389932137008</v>
      </c>
      <c r="AO209" s="124">
        <v>123.53920377102072</v>
      </c>
      <c r="AP209" s="124">
        <v>123.53920377102072</v>
      </c>
      <c r="AQ209" s="124">
        <v>44.818575464008696</v>
      </c>
      <c r="AR209" s="124">
        <v>88.159310708018694</v>
      </c>
      <c r="AS209" s="124">
        <v>44.818575464008688</v>
      </c>
      <c r="AT209" s="124">
        <v>107.55122283743751</v>
      </c>
      <c r="AU209" s="124">
        <v>9.5416258452782898E-3</v>
      </c>
      <c r="AV209" s="124">
        <v>123.53920377102077</v>
      </c>
      <c r="AW209" s="124">
        <v>8.9713483934779656</v>
      </c>
      <c r="AX209" s="124">
        <v>123.53920377102077</v>
      </c>
      <c r="AY209" s="124">
        <v>8.9713483934779656</v>
      </c>
    </row>
    <row r="210" spans="1:51">
      <c r="A210" s="109"/>
      <c r="B210" s="119">
        <v>2</v>
      </c>
      <c r="C210" s="106">
        <v>0</v>
      </c>
      <c r="D210" s="110">
        <v>54.270242732682462</v>
      </c>
      <c r="E210" s="110">
        <v>0</v>
      </c>
      <c r="F210" s="110">
        <v>15.750122189107751</v>
      </c>
      <c r="G210" s="110">
        <v>15.987980933583218</v>
      </c>
      <c r="H210" s="110">
        <v>0</v>
      </c>
      <c r="I210" s="110">
        <v>0</v>
      </c>
      <c r="J210" s="110">
        <v>0</v>
      </c>
      <c r="K210" s="110">
        <v>0</v>
      </c>
      <c r="L210" s="110">
        <v>0</v>
      </c>
      <c r="M210" s="110">
        <v>15.987980933583211</v>
      </c>
      <c r="N210" s="110">
        <v>0</v>
      </c>
      <c r="O210" s="110">
        <v>0</v>
      </c>
      <c r="P210" s="110">
        <v>0</v>
      </c>
      <c r="Q210" s="110">
        <v>0</v>
      </c>
      <c r="R210" s="110">
        <v>78.720628307012021</v>
      </c>
      <c r="S210" s="110">
        <v>32.089573935523127</v>
      </c>
      <c r="T210" s="110">
        <v>78.720628307012021</v>
      </c>
      <c r="U210" s="110">
        <v>6.315844219631443</v>
      </c>
      <c r="V210" s="110">
        <v>0</v>
      </c>
      <c r="W210" s="110">
        <v>0</v>
      </c>
      <c r="X210" s="110">
        <v>0</v>
      </c>
      <c r="Y210" s="110">
        <v>0</v>
      </c>
      <c r="Z210" s="110">
        <v>0</v>
      </c>
      <c r="AA210" s="110">
        <v>15.987980933583211</v>
      </c>
      <c r="AB210" s="110">
        <v>0</v>
      </c>
      <c r="AC210" s="110">
        <v>0</v>
      </c>
      <c r="AD210" s="110">
        <v>0</v>
      </c>
      <c r="AE210" s="110">
        <v>0</v>
      </c>
      <c r="AF210" s="110">
        <v>0</v>
      </c>
      <c r="AG210" s="110">
        <v>15.987980933583211</v>
      </c>
      <c r="AH210" s="110">
        <v>78.720628307012021</v>
      </c>
      <c r="AI210" s="110">
        <v>11.095546183900945</v>
      </c>
      <c r="AJ210" s="110">
        <v>7.2086861139299598E-15</v>
      </c>
      <c r="AK210" s="110">
        <v>7.2086861139299598E-15</v>
      </c>
      <c r="AL210" s="110">
        <v>7.2086861139299598E-15</v>
      </c>
      <c r="AM210" s="110">
        <v>15.987980933583218</v>
      </c>
      <c r="AN210" s="110">
        <v>78.720628307012021</v>
      </c>
      <c r="AO210" s="110">
        <v>18.257430241543716</v>
      </c>
      <c r="AP210" s="110">
        <v>0</v>
      </c>
      <c r="AQ210" s="110">
        <v>0</v>
      </c>
      <c r="AR210" s="110">
        <v>78.720628307012021</v>
      </c>
      <c r="AS210" s="110">
        <v>17.947023521587266</v>
      </c>
      <c r="AT210" s="110">
        <v>3.6043430569649799E-15</v>
      </c>
      <c r="AU210" s="110">
        <v>15.987980933583211</v>
      </c>
      <c r="AV210" s="110">
        <v>2.3178319365346087E-15</v>
      </c>
      <c r="AW210" s="110">
        <v>0</v>
      </c>
      <c r="AX210" s="110">
        <v>0</v>
      </c>
      <c r="AY210" s="110">
        <v>0</v>
      </c>
    </row>
    <row r="211" spans="1:51">
      <c r="A211" s="109"/>
      <c r="B211" s="119">
        <v>3</v>
      </c>
      <c r="C211" s="106">
        <v>115.30221437413348</v>
      </c>
      <c r="D211" s="110">
        <v>0</v>
      </c>
      <c r="E211" s="110">
        <v>0</v>
      </c>
      <c r="F211" s="110">
        <v>0</v>
      </c>
      <c r="G211" s="110">
        <v>0</v>
      </c>
      <c r="H211" s="110">
        <v>0</v>
      </c>
      <c r="I211" s="110">
        <v>0</v>
      </c>
      <c r="J211" s="110">
        <v>0</v>
      </c>
      <c r="K211" s="110">
        <v>0</v>
      </c>
      <c r="L211" s="110">
        <v>15.987980933583211</v>
      </c>
      <c r="M211" s="110">
        <v>0</v>
      </c>
      <c r="N211" s="110">
        <v>0</v>
      </c>
      <c r="O211" s="110">
        <v>0</v>
      </c>
      <c r="P211" s="110">
        <v>0</v>
      </c>
      <c r="Q211" s="110">
        <v>78.720628307012021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0</v>
      </c>
      <c r="X211" s="110">
        <v>0</v>
      </c>
      <c r="Y211" s="110">
        <v>0</v>
      </c>
      <c r="Z211" s="110">
        <v>0</v>
      </c>
      <c r="AA211" s="110">
        <v>0</v>
      </c>
      <c r="AB211" s="110">
        <v>0</v>
      </c>
      <c r="AC211" s="110">
        <v>0</v>
      </c>
      <c r="AD211" s="110">
        <v>15.987980933583211</v>
      </c>
      <c r="AE211" s="110">
        <v>0</v>
      </c>
      <c r="AF211" s="110">
        <v>0</v>
      </c>
      <c r="AG211" s="110">
        <v>0</v>
      </c>
      <c r="AH211" s="110">
        <v>0</v>
      </c>
      <c r="AI211" s="110">
        <v>0</v>
      </c>
      <c r="AJ211" s="110">
        <v>0</v>
      </c>
      <c r="AK211" s="110">
        <v>0</v>
      </c>
      <c r="AL211" s="110">
        <v>0</v>
      </c>
      <c r="AM211" s="110">
        <v>0</v>
      </c>
      <c r="AN211" s="110">
        <v>0</v>
      </c>
      <c r="AO211" s="110">
        <v>0</v>
      </c>
      <c r="AP211" s="110">
        <v>0</v>
      </c>
      <c r="AQ211" s="110">
        <v>0</v>
      </c>
      <c r="AR211" s="110">
        <v>0</v>
      </c>
      <c r="AS211" s="110">
        <v>0</v>
      </c>
      <c r="AT211" s="110">
        <v>0</v>
      </c>
      <c r="AU211" s="110">
        <v>78.720628307012021</v>
      </c>
      <c r="AV211" s="110">
        <v>0</v>
      </c>
      <c r="AW211" s="110">
        <v>0</v>
      </c>
      <c r="AX211" s="110">
        <v>0</v>
      </c>
      <c r="AY211" s="110">
        <v>114.56785537754276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96864.499036608468</v>
      </c>
      <c r="E259" s="124">
        <f t="shared" ref="E259:AX259" si="5">F$14*$B$259</f>
        <v>22639.193656300544</v>
      </c>
      <c r="F259" s="124">
        <f t="shared" si="5"/>
        <v>77849.821097248379</v>
      </c>
      <c r="G259" s="124">
        <f t="shared" si="5"/>
        <v>88094.46778636238</v>
      </c>
      <c r="H259" s="124">
        <f t="shared" si="5"/>
        <v>77999.999999999549</v>
      </c>
      <c r="I259" s="124">
        <f t="shared" si="5"/>
        <v>77999.999999999549</v>
      </c>
      <c r="J259" s="124">
        <f t="shared" si="5"/>
        <v>67905.532213636718</v>
      </c>
      <c r="K259" s="124">
        <f t="shared" si="5"/>
        <v>77999.999999999549</v>
      </c>
      <c r="L259" s="124">
        <f t="shared" si="5"/>
        <v>77999.999999999549</v>
      </c>
      <c r="M259" s="124">
        <f t="shared" si="5"/>
        <v>88094.46778636238</v>
      </c>
      <c r="N259" s="124">
        <f t="shared" si="5"/>
        <v>77999.999999999549</v>
      </c>
      <c r="O259" s="124">
        <f t="shared" si="5"/>
        <v>28297.485975967564</v>
      </c>
      <c r="P259" s="124">
        <f t="shared" si="5"/>
        <v>77999.999999999549</v>
      </c>
      <c r="Q259" s="124">
        <f t="shared" si="5"/>
        <v>77999.999999999549</v>
      </c>
      <c r="R259" s="124">
        <f t="shared" si="5"/>
        <v>127702.51402403152</v>
      </c>
      <c r="S259" s="124">
        <f t="shared" si="5"/>
        <v>48558.153768598502</v>
      </c>
      <c r="T259" s="124">
        <f t="shared" si="5"/>
        <v>127702.51402403152</v>
      </c>
      <c r="U259" s="124">
        <f t="shared" si="5"/>
        <v>81987.68839440064</v>
      </c>
      <c r="V259" s="124">
        <f t="shared" si="5"/>
        <v>77999.999999999549</v>
      </c>
      <c r="W259" s="124">
        <f t="shared" si="5"/>
        <v>77999.999999999549</v>
      </c>
      <c r="X259" s="124">
        <f t="shared" si="5"/>
        <v>77999.999999999549</v>
      </c>
      <c r="Y259" s="124">
        <f t="shared" si="5"/>
        <v>77999.999999999549</v>
      </c>
      <c r="Z259" s="124">
        <f t="shared" si="5"/>
        <v>67905.532213636718</v>
      </c>
      <c r="AA259" s="124">
        <f t="shared" si="5"/>
        <v>88094.46778636238</v>
      </c>
      <c r="AB259" s="124">
        <f t="shared" si="5"/>
        <v>67905.532213636718</v>
      </c>
      <c r="AC259" s="124">
        <f t="shared" si="5"/>
        <v>77999.999999999549</v>
      </c>
      <c r="AD259" s="124">
        <f t="shared" si="5"/>
        <v>88094.46778636238</v>
      </c>
      <c r="AE259" s="124">
        <f t="shared" si="5"/>
        <v>77999.999999999549</v>
      </c>
      <c r="AF259" s="124">
        <f t="shared" si="5"/>
        <v>67905.532213636718</v>
      </c>
      <c r="AG259" s="124">
        <f t="shared" si="5"/>
        <v>38391.953762330406</v>
      </c>
      <c r="AH259" s="124">
        <f t="shared" si="5"/>
        <v>127702.51402403152</v>
      </c>
      <c r="AI259" s="124">
        <f t="shared" si="5"/>
        <v>85005.489560612084</v>
      </c>
      <c r="AJ259" s="124">
        <f t="shared" si="5"/>
        <v>77999.999999999549</v>
      </c>
      <c r="AK259" s="124">
        <f t="shared" si="5"/>
        <v>77999.999999999549</v>
      </c>
      <c r="AL259" s="124">
        <f t="shared" si="5"/>
        <v>67905.532213636718</v>
      </c>
      <c r="AM259" s="124">
        <f t="shared" si="5"/>
        <v>38391.953762330413</v>
      </c>
      <c r="AN259" s="124">
        <f t="shared" si="5"/>
        <v>127702.51402403152</v>
      </c>
      <c r="AO259" s="124">
        <f t="shared" si="5"/>
        <v>89527.349338270549</v>
      </c>
      <c r="AP259" s="124">
        <f t="shared" si="5"/>
        <v>77999.999999999549</v>
      </c>
      <c r="AQ259" s="124">
        <f t="shared" si="5"/>
        <v>28297.485975967564</v>
      </c>
      <c r="AR259" s="124">
        <f t="shared" si="5"/>
        <v>127702.51402403152</v>
      </c>
      <c r="AS259" s="124">
        <f t="shared" si="5"/>
        <v>39628.851177887162</v>
      </c>
      <c r="AT259" s="124">
        <f t="shared" si="5"/>
        <v>67905.532213636718</v>
      </c>
      <c r="AU259" s="124">
        <f t="shared" si="5"/>
        <v>59803.006188027306</v>
      </c>
      <c r="AV259" s="124">
        <f t="shared" si="5"/>
        <v>77999.999999999578</v>
      </c>
      <c r="AW259" s="124">
        <f t="shared" si="5"/>
        <v>5664.3166972994941</v>
      </c>
      <c r="AX259" s="124">
        <f t="shared" si="5"/>
        <v>77999.999999999578</v>
      </c>
      <c r="AY259" s="124">
        <f>AZ$14*$B$259</f>
        <v>77999.999999999549</v>
      </c>
      <c r="AZ259" s="139">
        <f>SUM($D259:$AY259)</f>
        <v>3621230.8829392674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8321.3941790417521</v>
      </c>
      <c r="E260" s="125">
        <f t="shared" ref="E260:AY260" si="6">(E$175-E$176+E$177-E$178+E$179-E$180+E$181-E$182)*$B$260</f>
        <v>1891.8294080718736</v>
      </c>
      <c r="F260" s="125">
        <f t="shared" si="6"/>
        <v>0</v>
      </c>
      <c r="G260" s="125">
        <f t="shared" si="6"/>
        <v>0</v>
      </c>
      <c r="H260" s="125">
        <f t="shared" si="6"/>
        <v>779.99999999994111</v>
      </c>
      <c r="I260" s="125">
        <f t="shared" si="6"/>
        <v>1499.9999999998815</v>
      </c>
      <c r="J260" s="125">
        <f t="shared" si="6"/>
        <v>3120.0000000000018</v>
      </c>
      <c r="K260" s="125">
        <f t="shared" si="6"/>
        <v>4859.9999999999991</v>
      </c>
      <c r="L260" s="125">
        <f t="shared" si="6"/>
        <v>4980.0000000000009</v>
      </c>
      <c r="M260" s="125">
        <f t="shared" si="6"/>
        <v>6300.1477498649929</v>
      </c>
      <c r="N260" s="125">
        <f t="shared" si="6"/>
        <v>6719.9999999999991</v>
      </c>
      <c r="O260" s="125">
        <f t="shared" si="6"/>
        <v>9660</v>
      </c>
      <c r="P260" s="125">
        <f t="shared" si="6"/>
        <v>9840</v>
      </c>
      <c r="Q260" s="125">
        <f t="shared" si="6"/>
        <v>8519.9999999999964</v>
      </c>
      <c r="R260" s="125">
        <f t="shared" si="6"/>
        <v>16055.651487125635</v>
      </c>
      <c r="S260" s="125">
        <f t="shared" si="6"/>
        <v>13272.526141360562</v>
      </c>
      <c r="T260" s="125">
        <f t="shared" si="6"/>
        <v>13727.106528950915</v>
      </c>
      <c r="U260" s="125">
        <f t="shared" si="6"/>
        <v>14327.9859338927</v>
      </c>
      <c r="V260" s="125">
        <f t="shared" si="6"/>
        <v>17576.080247221929</v>
      </c>
      <c r="W260" s="125">
        <f t="shared" si="6"/>
        <v>14756.080247221826</v>
      </c>
      <c r="X260" s="125">
        <f t="shared" si="6"/>
        <v>12560.061562443458</v>
      </c>
      <c r="Y260" s="125">
        <f t="shared" si="6"/>
        <v>11540.061562443396</v>
      </c>
      <c r="Z260" s="125">
        <f t="shared" si="6"/>
        <v>11940.000000000002</v>
      </c>
      <c r="AA260" s="125">
        <f t="shared" si="6"/>
        <v>15420.147749865035</v>
      </c>
      <c r="AB260" s="125">
        <f t="shared" si="6"/>
        <v>15539.999999999876</v>
      </c>
      <c r="AC260" s="125">
        <f t="shared" si="6"/>
        <v>13559.999999999825</v>
      </c>
      <c r="AD260" s="125">
        <f t="shared" si="6"/>
        <v>14520.147749864813</v>
      </c>
      <c r="AE260" s="125">
        <f t="shared" si="6"/>
        <v>13080.147749864795</v>
      </c>
      <c r="AF260" s="125">
        <f t="shared" si="6"/>
        <v>8639.9999999996417</v>
      </c>
      <c r="AG260" s="125">
        <f t="shared" si="6"/>
        <v>5880.0000000000009</v>
      </c>
      <c r="AH260" s="125">
        <f t="shared" si="6"/>
        <v>11412.454908303525</v>
      </c>
      <c r="AI260" s="125">
        <f t="shared" si="6"/>
        <v>13967.985933892694</v>
      </c>
      <c r="AJ260" s="125">
        <f t="shared" si="6"/>
        <v>10054.646508718368</v>
      </c>
      <c r="AK260" s="125">
        <f t="shared" si="6"/>
        <v>6754.6465087182678</v>
      </c>
      <c r="AL260" s="125">
        <f t="shared" si="6"/>
        <v>6479.9999999999982</v>
      </c>
      <c r="AM260" s="125">
        <f t="shared" si="6"/>
        <v>6960</v>
      </c>
      <c r="AN260" s="125">
        <f t="shared" si="6"/>
        <v>16339.570392776715</v>
      </c>
      <c r="AO260" s="125">
        <f t="shared" si="6"/>
        <v>14567.985933892698</v>
      </c>
      <c r="AP260" s="125">
        <f t="shared" si="6"/>
        <v>13772.048949732995</v>
      </c>
      <c r="AQ260" s="125">
        <f t="shared" si="6"/>
        <v>4201.2307330868634</v>
      </c>
      <c r="AR260" s="125">
        <f t="shared" si="6"/>
        <v>7722.8551462238202</v>
      </c>
      <c r="AS260" s="125">
        <f t="shared" si="6"/>
        <v>5241.7780299856422</v>
      </c>
      <c r="AT260" s="125">
        <f t="shared" si="6"/>
        <v>2940</v>
      </c>
      <c r="AU260" s="125">
        <f t="shared" si="6"/>
        <v>3060</v>
      </c>
      <c r="AV260" s="125">
        <f t="shared" si="6"/>
        <v>2280</v>
      </c>
      <c r="AW260" s="125">
        <f t="shared" si="6"/>
        <v>4620</v>
      </c>
      <c r="AX260" s="125">
        <f t="shared" si="6"/>
        <v>6000</v>
      </c>
      <c r="AY260" s="125">
        <f t="shared" si="6"/>
        <v>6119.9999999999382</v>
      </c>
      <c r="AZ260" s="141">
        <f>SUM($D260:$AY260)</f>
        <v>421384.57134256442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59</v>
      </c>
    </row>
    <row r="3" spans="1:53">
      <c r="A3" s="100" t="s">
        <v>286</v>
      </c>
      <c r="B3" s="108">
        <v>5000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1051.6079682196969</v>
      </c>
      <c r="E9" s="117">
        <v>1051.6079682196969</v>
      </c>
      <c r="F9" s="117">
        <v>1051.6079682196969</v>
      </c>
      <c r="G9" s="117">
        <v>1051.6079682196969</v>
      </c>
      <c r="H9" s="117">
        <v>1051.6079682196969</v>
      </c>
      <c r="I9" s="117">
        <v>1051.6079682196969</v>
      </c>
      <c r="J9" s="117">
        <v>1051.6079682196969</v>
      </c>
      <c r="K9" s="117">
        <v>1051.6079682196969</v>
      </c>
      <c r="L9" s="117">
        <v>1051.6079682196969</v>
      </c>
      <c r="M9" s="117">
        <v>1051.6079682196969</v>
      </c>
      <c r="N9" s="117">
        <v>1051.6079682196969</v>
      </c>
      <c r="O9" s="117">
        <v>1051.6079682196969</v>
      </c>
      <c r="P9" s="117">
        <v>841.29226269161995</v>
      </c>
      <c r="Q9" s="117">
        <v>841.29226269161995</v>
      </c>
      <c r="R9" s="117">
        <v>841.29226269161995</v>
      </c>
      <c r="S9" s="117">
        <v>841.29226269161995</v>
      </c>
      <c r="T9" s="117">
        <v>1051.6079682196969</v>
      </c>
      <c r="U9" s="117">
        <v>1051.6079682196969</v>
      </c>
      <c r="V9" s="117">
        <v>1051.6079682196969</v>
      </c>
      <c r="W9" s="117">
        <v>1051.6079682196969</v>
      </c>
      <c r="X9" s="117">
        <v>1051.6079682196969</v>
      </c>
      <c r="Y9" s="117">
        <v>1051.6079682196969</v>
      </c>
      <c r="Z9" s="117">
        <v>1051.6079682196969</v>
      </c>
      <c r="AA9" s="117">
        <v>1051.6079682196969</v>
      </c>
      <c r="AB9" s="117">
        <v>1051.6079682196969</v>
      </c>
      <c r="AC9" s="117">
        <v>1051.6079682196969</v>
      </c>
      <c r="AD9" s="117">
        <v>1051.6079682196969</v>
      </c>
      <c r="AE9" s="117">
        <v>1051.6079682196969</v>
      </c>
      <c r="AF9" s="117">
        <v>1051.6079682196969</v>
      </c>
      <c r="AG9" s="117">
        <v>1051.6079682196969</v>
      </c>
      <c r="AH9" s="117">
        <v>1051.6079682196969</v>
      </c>
      <c r="AI9" s="117">
        <v>1051.6079682196969</v>
      </c>
      <c r="AJ9" s="117">
        <v>1051.6079682196969</v>
      </c>
      <c r="AK9" s="117">
        <v>1051.6079682196969</v>
      </c>
      <c r="AL9" s="117">
        <v>1051.6079682196969</v>
      </c>
      <c r="AM9" s="117">
        <v>1051.6079682196969</v>
      </c>
      <c r="AN9" s="117">
        <v>1051.6079682196969</v>
      </c>
      <c r="AO9" s="117">
        <v>1051.6079682196969</v>
      </c>
      <c r="AP9" s="117">
        <v>1051.6079682196969</v>
      </c>
      <c r="AQ9" s="117">
        <v>1051.6079682196969</v>
      </c>
      <c r="AR9" s="117">
        <v>1051.6079682196969</v>
      </c>
      <c r="AS9" s="117">
        <v>1051.6079682196969</v>
      </c>
      <c r="AT9" s="117">
        <v>1051.6079682196969</v>
      </c>
      <c r="AU9" s="117">
        <v>1051.6079682196969</v>
      </c>
      <c r="AV9" s="117">
        <v>1051.6079682196969</v>
      </c>
      <c r="AW9" s="117">
        <v>1051.6079682196969</v>
      </c>
      <c r="AX9" s="117">
        <v>1051.6079682196969</v>
      </c>
      <c r="AY9" s="117">
        <v>1051.6079682196969</v>
      </c>
    </row>
    <row r="10" spans="1:53">
      <c r="A10" s="118" t="s">
        <v>133</v>
      </c>
      <c r="B10" s="119">
        <v>1</v>
      </c>
      <c r="C10" s="106" t="s">
        <v>293</v>
      </c>
      <c r="D10" s="100">
        <v>0</v>
      </c>
      <c r="E10" s="100">
        <v>1192.9526307806775</v>
      </c>
      <c r="F10" s="100">
        <v>607.34936250024873</v>
      </c>
      <c r="G10" s="100">
        <v>607.34936250024873</v>
      </c>
      <c r="H10" s="100">
        <v>607.34936250024873</v>
      </c>
      <c r="I10" s="100">
        <v>190.72161391135495</v>
      </c>
      <c r="J10" s="100">
        <v>607.34936250024873</v>
      </c>
      <c r="K10" s="100">
        <v>190.72161391135495</v>
      </c>
      <c r="L10" s="100">
        <v>607.34936250024873</v>
      </c>
      <c r="M10" s="100">
        <v>607.34936250024873</v>
      </c>
      <c r="N10" s="100">
        <v>0</v>
      </c>
      <c r="O10" s="100">
        <v>190.72161391135495</v>
      </c>
      <c r="P10" s="100">
        <v>0</v>
      </c>
      <c r="Q10" s="100">
        <v>190.72161391135495</v>
      </c>
      <c r="R10" s="100">
        <v>0</v>
      </c>
      <c r="S10" s="100">
        <v>971.76578128666301</v>
      </c>
      <c r="T10" s="100">
        <v>485.88289064333151</v>
      </c>
      <c r="U10" s="100">
        <v>0</v>
      </c>
      <c r="V10" s="100">
        <v>1093.2322531435805</v>
      </c>
      <c r="W10" s="100">
        <v>607.34936250024873</v>
      </c>
      <c r="X10" s="100">
        <v>607.34936250024873</v>
      </c>
      <c r="Y10" s="100">
        <v>607.34936250024873</v>
      </c>
      <c r="Z10" s="100">
        <v>607.34936250024873</v>
      </c>
      <c r="AA10" s="100">
        <v>607.34936250024873</v>
      </c>
      <c r="AB10" s="100">
        <v>190.72161391135495</v>
      </c>
      <c r="AC10" s="100">
        <v>607.34936250024873</v>
      </c>
      <c r="AD10" s="100">
        <v>607.34936250024873</v>
      </c>
      <c r="AE10" s="100">
        <v>607.34936250024873</v>
      </c>
      <c r="AF10" s="100">
        <v>190.72161391135495</v>
      </c>
      <c r="AG10" s="100">
        <v>607.34936250024873</v>
      </c>
      <c r="AH10" s="100">
        <v>607.34936250024873</v>
      </c>
      <c r="AI10" s="100">
        <v>607.34936250024873</v>
      </c>
      <c r="AJ10" s="100">
        <v>607.34936250024873</v>
      </c>
      <c r="AK10" s="100">
        <v>0</v>
      </c>
      <c r="AL10" s="100">
        <v>607.34936250024873</v>
      </c>
      <c r="AM10" s="100">
        <v>607.34936250024873</v>
      </c>
      <c r="AN10" s="100">
        <v>607.34936250024873</v>
      </c>
      <c r="AO10" s="100">
        <v>607.34936250024873</v>
      </c>
      <c r="AP10" s="100">
        <v>190.72161391135495</v>
      </c>
      <c r="AQ10" s="100">
        <v>0</v>
      </c>
      <c r="AR10" s="100">
        <v>607.34936250024873</v>
      </c>
      <c r="AS10" s="100">
        <v>607.34936250024873</v>
      </c>
      <c r="AT10" s="100">
        <v>607.34936250024873</v>
      </c>
      <c r="AU10" s="100">
        <v>607.34936250024873</v>
      </c>
      <c r="AV10" s="100">
        <v>607.34936250024873</v>
      </c>
      <c r="AW10" s="100">
        <v>607.34936250024873</v>
      </c>
      <c r="AX10" s="100">
        <v>190.72161391135495</v>
      </c>
      <c r="AY10" s="100">
        <v>0</v>
      </c>
      <c r="AZ10" s="100">
        <v>0</v>
      </c>
    </row>
    <row r="11" spans="1:53">
      <c r="B11" s="119">
        <v>2</v>
      </c>
      <c r="C11" s="106" t="s">
        <v>293</v>
      </c>
      <c r="D11" s="100">
        <v>605.43927765486126</v>
      </c>
      <c r="E11" s="100">
        <v>0</v>
      </c>
      <c r="H11" s="100">
        <v>0</v>
      </c>
      <c r="I11" s="100">
        <v>0</v>
      </c>
      <c r="J11" s="100">
        <v>416.62774858889378</v>
      </c>
      <c r="K11" s="100">
        <v>0</v>
      </c>
      <c r="L11" s="100">
        <v>416.62774858889378</v>
      </c>
      <c r="M11" s="100">
        <v>0</v>
      </c>
      <c r="N11" s="100">
        <v>0</v>
      </c>
      <c r="O11" s="100">
        <v>607.34936250024873</v>
      </c>
      <c r="P11" s="100">
        <v>416.62774858889378</v>
      </c>
      <c r="Q11" s="100">
        <v>607.34936250024873</v>
      </c>
      <c r="R11" s="100">
        <v>416.62774858889378</v>
      </c>
      <c r="T11" s="100">
        <v>0</v>
      </c>
      <c r="W11" s="100">
        <v>0</v>
      </c>
      <c r="X11" s="100">
        <v>0</v>
      </c>
      <c r="Y11" s="100">
        <v>0</v>
      </c>
      <c r="AB11" s="100">
        <v>0</v>
      </c>
      <c r="AC11" s="100">
        <v>416.62774858889378</v>
      </c>
      <c r="AD11" s="100">
        <v>0</v>
      </c>
      <c r="AE11" s="100">
        <v>0</v>
      </c>
      <c r="AF11" s="100">
        <v>0</v>
      </c>
      <c r="AG11" s="100">
        <v>416.62774858889378</v>
      </c>
      <c r="AH11" s="100">
        <v>0</v>
      </c>
      <c r="AI11" s="100">
        <v>0</v>
      </c>
      <c r="AJ11" s="100">
        <v>0</v>
      </c>
      <c r="AK11" s="100">
        <v>0</v>
      </c>
      <c r="AL11" s="100">
        <v>0</v>
      </c>
      <c r="AQ11" s="100">
        <v>0</v>
      </c>
      <c r="AR11" s="100">
        <v>607.34936250024873</v>
      </c>
      <c r="AS11" s="100">
        <v>0</v>
      </c>
      <c r="AT11" s="100">
        <v>0</v>
      </c>
      <c r="AV11" s="100">
        <v>0</v>
      </c>
      <c r="AW11" s="100">
        <v>0</v>
      </c>
      <c r="AX11" s="100">
        <v>0</v>
      </c>
      <c r="AY11" s="100">
        <v>416.62774858889378</v>
      </c>
      <c r="AZ11" s="100">
        <v>607.34936250024873</v>
      </c>
      <c r="BA11" s="100">
        <v>0</v>
      </c>
    </row>
    <row r="12" spans="1:53">
      <c r="B12" s="120">
        <v>3</v>
      </c>
      <c r="C12" s="106" t="s">
        <v>293</v>
      </c>
      <c r="E12" s="100">
        <v>0</v>
      </c>
      <c r="H12" s="100">
        <v>0</v>
      </c>
      <c r="R12" s="100">
        <v>0</v>
      </c>
      <c r="T12" s="100">
        <v>0</v>
      </c>
      <c r="W12" s="100">
        <v>0</v>
      </c>
      <c r="AA12" s="100">
        <v>0</v>
      </c>
      <c r="AB12" s="100">
        <v>0</v>
      </c>
      <c r="AH12" s="100">
        <v>0</v>
      </c>
      <c r="AM12" s="100">
        <v>607.34936250024873</v>
      </c>
      <c r="AN12" s="100">
        <v>0</v>
      </c>
      <c r="AP12" s="100">
        <v>0</v>
      </c>
      <c r="AQ12" s="100">
        <v>0</v>
      </c>
      <c r="AR12" s="100">
        <v>416.62774858889378</v>
      </c>
      <c r="AV12" s="100">
        <v>0</v>
      </c>
      <c r="BA12" s="100">
        <v>0</v>
      </c>
    </row>
    <row r="13" spans="1:53">
      <c r="B13" s="120">
        <v>4</v>
      </c>
      <c r="C13" s="106" t="s">
        <v>293</v>
      </c>
      <c r="H13" s="100">
        <v>0</v>
      </c>
      <c r="U13" s="100">
        <v>0</v>
      </c>
      <c r="W13" s="100">
        <v>0</v>
      </c>
      <c r="AP13" s="100">
        <v>0</v>
      </c>
    </row>
    <row r="14" spans="1:53">
      <c r="A14" s="115" t="s">
        <v>134</v>
      </c>
      <c r="B14" s="121">
        <v>1</v>
      </c>
      <c r="C14" s="117" t="s">
        <v>293</v>
      </c>
      <c r="D14" s="117">
        <v>252.39942523906271</v>
      </c>
      <c r="E14" s="117">
        <f t="shared" ref="E14:AZ14" si="0">D$172*SUM(D$122:D$169)</f>
        <v>369.72338632708806</v>
      </c>
      <c r="F14" s="117">
        <f t="shared" si="0"/>
        <v>726.29967097936708</v>
      </c>
      <c r="G14" s="117">
        <f t="shared" si="0"/>
        <v>484.36901704293507</v>
      </c>
      <c r="H14" s="117">
        <f t="shared" si="0"/>
        <v>369.78581643059624</v>
      </c>
      <c r="I14" s="117">
        <f t="shared" si="0"/>
        <v>369.78581643059624</v>
      </c>
      <c r="J14" s="117">
        <f t="shared" si="0"/>
        <v>116.14384992047383</v>
      </c>
      <c r="K14" s="117">
        <f t="shared" si="0"/>
        <v>623.42778294071877</v>
      </c>
      <c r="L14" s="117">
        <f t="shared" si="0"/>
        <v>182.79474504391357</v>
      </c>
      <c r="M14" s="117">
        <f t="shared" si="0"/>
        <v>623.42778294071877</v>
      </c>
      <c r="N14" s="117">
        <f t="shared" si="0"/>
        <v>458.49121629456357</v>
      </c>
      <c r="O14" s="117">
        <f t="shared" si="0"/>
        <v>3.2992272837126545E-2</v>
      </c>
      <c r="P14" s="117">
        <f t="shared" si="0"/>
        <v>485.89667407823293</v>
      </c>
      <c r="Q14" s="117">
        <f t="shared" si="0"/>
        <v>253.67495878295964</v>
      </c>
      <c r="R14" s="117">
        <f t="shared" si="0"/>
        <v>485.89667407823293</v>
      </c>
      <c r="S14" s="117">
        <f t="shared" si="0"/>
        <v>253.67495878295964</v>
      </c>
      <c r="T14" s="117">
        <f t="shared" si="0"/>
        <v>591.64165153189379</v>
      </c>
      <c r="U14" s="117">
        <f t="shared" si="0"/>
        <v>330.15373563187285</v>
      </c>
      <c r="V14" s="117">
        <f t="shared" si="0"/>
        <v>3.2992272837126545E-2</v>
      </c>
      <c r="W14" s="117">
        <f t="shared" si="0"/>
        <v>665.59014606012465</v>
      </c>
      <c r="X14" s="117">
        <f t="shared" si="0"/>
        <v>508.90916567494747</v>
      </c>
      <c r="Y14" s="117">
        <f t="shared" si="0"/>
        <v>404.04314509112453</v>
      </c>
      <c r="Z14" s="117">
        <f t="shared" si="0"/>
        <v>369.78581643059624</v>
      </c>
      <c r="AA14" s="117">
        <f t="shared" si="0"/>
        <v>369.78581643059624</v>
      </c>
      <c r="AB14" s="117">
        <f t="shared" si="0"/>
        <v>369.78581643059624</v>
      </c>
      <c r="AC14" s="117">
        <f t="shared" si="0"/>
        <v>116.14384992047383</v>
      </c>
      <c r="AD14" s="117">
        <f t="shared" si="0"/>
        <v>623.42778294071877</v>
      </c>
      <c r="AE14" s="117">
        <f t="shared" si="0"/>
        <v>430.73417903962411</v>
      </c>
      <c r="AF14" s="117">
        <f t="shared" si="0"/>
        <v>369.78581643059624</v>
      </c>
      <c r="AG14" s="117">
        <f t="shared" si="0"/>
        <v>116.14384992047383</v>
      </c>
      <c r="AH14" s="117">
        <f t="shared" si="0"/>
        <v>623.42778294071877</v>
      </c>
      <c r="AI14" s="117">
        <f t="shared" si="0"/>
        <v>369.78581643059624</v>
      </c>
      <c r="AJ14" s="117">
        <f t="shared" si="0"/>
        <v>369.78581643059624</v>
      </c>
      <c r="AK14" s="117">
        <f t="shared" si="0"/>
        <v>369.78581643059624</v>
      </c>
      <c r="AL14" s="117">
        <f t="shared" si="0"/>
        <v>3.2992272837151997E-2</v>
      </c>
      <c r="AM14" s="117">
        <f t="shared" si="0"/>
        <v>369.78581643059624</v>
      </c>
      <c r="AN14" s="117">
        <f t="shared" si="0"/>
        <v>739.53864058835541</v>
      </c>
      <c r="AO14" s="117">
        <f t="shared" si="0"/>
        <v>492.89031543370601</v>
      </c>
      <c r="AP14" s="117">
        <f t="shared" si="0"/>
        <v>398.78049147426043</v>
      </c>
      <c r="AQ14" s="117">
        <f t="shared" si="0"/>
        <v>116.14384992047383</v>
      </c>
      <c r="AR14" s="117">
        <f t="shared" si="0"/>
        <v>3.2992272837126545E-2</v>
      </c>
      <c r="AS14" s="117">
        <f t="shared" si="0"/>
        <v>993.18060709847782</v>
      </c>
      <c r="AT14" s="117">
        <f t="shared" si="0"/>
        <v>620.38445712351006</v>
      </c>
      <c r="AU14" s="117">
        <f t="shared" si="0"/>
        <v>410.96280142262725</v>
      </c>
      <c r="AV14" s="117">
        <f t="shared" si="0"/>
        <v>369.78581643059624</v>
      </c>
      <c r="AW14" s="117">
        <f t="shared" si="0"/>
        <v>369.78581643059624</v>
      </c>
      <c r="AX14" s="117">
        <f t="shared" si="0"/>
        <v>369.78581643059624</v>
      </c>
      <c r="AY14" s="117">
        <f t="shared" si="0"/>
        <v>116.14384992047385</v>
      </c>
      <c r="AZ14" s="110">
        <f t="shared" si="0"/>
        <v>253.67495878295958</v>
      </c>
      <c r="BA14" s="107">
        <f>SUM($E14:$AZ14)</f>
        <v>18423.083560418072</v>
      </c>
    </row>
    <row r="15" spans="1:53">
      <c r="A15" s="122" t="s">
        <v>123</v>
      </c>
      <c r="B15" s="123">
        <v>1</v>
      </c>
      <c r="C15" s="124" t="s">
        <v>293</v>
      </c>
      <c r="D15" s="124">
        <v>7.3672552489155801E-2</v>
      </c>
      <c r="E15" s="124">
        <v>1621.8449361533685</v>
      </c>
      <c r="F15" s="124">
        <v>825.74077588469549</v>
      </c>
      <c r="G15" s="124">
        <v>825.74077588469549</v>
      </c>
      <c r="H15" s="124">
        <v>825.74077588469549</v>
      </c>
      <c r="I15" s="124">
        <v>259.35205864113419</v>
      </c>
      <c r="J15" s="124">
        <v>825.74077588469549</v>
      </c>
      <c r="K15" s="124">
        <v>259.35205864113419</v>
      </c>
      <c r="L15" s="124">
        <v>825.74077588469549</v>
      </c>
      <c r="M15" s="124">
        <v>825.74077588469549</v>
      </c>
      <c r="N15" s="124">
        <v>7.3672552489155801E-2</v>
      </c>
      <c r="O15" s="124">
        <v>259.35205864113419</v>
      </c>
      <c r="P15" s="124">
        <v>7.3672552489155801E-2</v>
      </c>
      <c r="Q15" s="124">
        <v>259.35205864113419</v>
      </c>
      <c r="R15" s="124">
        <v>7.3672552489155801E-2</v>
      </c>
      <c r="S15" s="124">
        <v>1321.1502839599621</v>
      </c>
      <c r="T15" s="124">
        <v>660.6119782562256</v>
      </c>
      <c r="U15" s="124">
        <v>7.3672552489155801E-2</v>
      </c>
      <c r="V15" s="124">
        <v>1486.2790815884321</v>
      </c>
      <c r="W15" s="124">
        <v>825.74077588469549</v>
      </c>
      <c r="X15" s="124">
        <v>825.74077588469549</v>
      </c>
      <c r="Y15" s="124">
        <v>825.74077588469549</v>
      </c>
      <c r="Z15" s="124">
        <v>825.74077588469549</v>
      </c>
      <c r="AA15" s="124">
        <v>825.74077588469549</v>
      </c>
      <c r="AB15" s="124">
        <v>259.35205864113419</v>
      </c>
      <c r="AC15" s="124">
        <v>825.74077588469549</v>
      </c>
      <c r="AD15" s="124">
        <v>825.74077588469549</v>
      </c>
      <c r="AE15" s="124">
        <v>825.74077588469549</v>
      </c>
      <c r="AF15" s="124">
        <v>259.35205864113419</v>
      </c>
      <c r="AG15" s="124">
        <v>825.74077588469549</v>
      </c>
      <c r="AH15" s="124">
        <v>825.74077588469549</v>
      </c>
      <c r="AI15" s="124">
        <v>825.74077588469549</v>
      </c>
      <c r="AJ15" s="124">
        <v>825.74077588469549</v>
      </c>
      <c r="AK15" s="124">
        <v>7.3672552489155801E-2</v>
      </c>
      <c r="AL15" s="124">
        <v>825.74077588469549</v>
      </c>
      <c r="AM15" s="124">
        <v>825.74077588469549</v>
      </c>
      <c r="AN15" s="124">
        <v>825.74077588469549</v>
      </c>
      <c r="AO15" s="124">
        <v>825.74077588469549</v>
      </c>
      <c r="AP15" s="124">
        <v>259.35205864113419</v>
      </c>
      <c r="AQ15" s="124">
        <v>7.3672552489155801E-2</v>
      </c>
      <c r="AR15" s="124">
        <v>825.74077588469549</v>
      </c>
      <c r="AS15" s="124">
        <v>825.74077588469549</v>
      </c>
      <c r="AT15" s="124">
        <v>825.74077588469549</v>
      </c>
      <c r="AU15" s="124">
        <v>825.74077588469549</v>
      </c>
      <c r="AV15" s="124">
        <v>825.74077588469549</v>
      </c>
      <c r="AW15" s="124">
        <v>825.74077588469549</v>
      </c>
      <c r="AX15" s="124">
        <v>259.35205864113419</v>
      </c>
      <c r="AY15" s="124">
        <v>7.3672552489155801E-2</v>
      </c>
      <c r="AZ15" s="100">
        <v>0</v>
      </c>
    </row>
    <row r="16" spans="1:53">
      <c r="A16" s="110"/>
      <c r="B16" s="119">
        <v>2</v>
      </c>
      <c r="C16" s="109" t="s">
        <v>293</v>
      </c>
      <c r="D16" s="106">
        <v>825.52769538355369</v>
      </c>
      <c r="E16" s="110">
        <v>0</v>
      </c>
      <c r="F16" s="110"/>
      <c r="G16" s="110"/>
      <c r="H16" s="110">
        <v>0</v>
      </c>
      <c r="I16" s="110">
        <v>0</v>
      </c>
      <c r="J16" s="110">
        <v>566.38871724356136</v>
      </c>
      <c r="K16" s="110">
        <v>0</v>
      </c>
      <c r="L16" s="110">
        <v>566.38871724356136</v>
      </c>
      <c r="M16" s="110">
        <v>0</v>
      </c>
      <c r="N16" s="110">
        <v>0</v>
      </c>
      <c r="O16" s="110">
        <v>825.66710333220635</v>
      </c>
      <c r="P16" s="110">
        <v>566.38871724356136</v>
      </c>
      <c r="Q16" s="110">
        <v>825.66710333220635</v>
      </c>
      <c r="R16" s="110">
        <v>566.38871724356136</v>
      </c>
      <c r="S16" s="110"/>
      <c r="T16" s="110">
        <v>0</v>
      </c>
      <c r="U16" s="110"/>
      <c r="V16" s="110"/>
      <c r="W16" s="110">
        <v>0</v>
      </c>
      <c r="X16" s="110">
        <v>0</v>
      </c>
      <c r="Y16" s="110">
        <v>0</v>
      </c>
      <c r="Z16" s="110"/>
      <c r="AA16" s="110"/>
      <c r="AB16" s="110">
        <v>0</v>
      </c>
      <c r="AC16" s="110">
        <v>566.38871724356136</v>
      </c>
      <c r="AD16" s="110">
        <v>0</v>
      </c>
      <c r="AE16" s="110">
        <v>0</v>
      </c>
      <c r="AF16" s="110">
        <v>0</v>
      </c>
      <c r="AG16" s="110">
        <v>566.38871724356136</v>
      </c>
      <c r="AH16" s="110">
        <v>0</v>
      </c>
      <c r="AI16" s="110">
        <v>0</v>
      </c>
      <c r="AJ16" s="110">
        <v>0</v>
      </c>
      <c r="AK16" s="110">
        <v>0</v>
      </c>
      <c r="AL16" s="110">
        <v>0</v>
      </c>
      <c r="AM16" s="110"/>
      <c r="AN16" s="110"/>
      <c r="AO16" s="110"/>
      <c r="AP16" s="110"/>
      <c r="AQ16" s="110">
        <v>0</v>
      </c>
      <c r="AR16" s="110">
        <v>825.66710333220635</v>
      </c>
      <c r="AS16" s="110">
        <v>0</v>
      </c>
      <c r="AT16" s="110">
        <v>0</v>
      </c>
      <c r="AU16" s="110"/>
      <c r="AV16" s="110">
        <v>0</v>
      </c>
      <c r="AW16" s="110">
        <v>0</v>
      </c>
      <c r="AX16" s="110">
        <v>0</v>
      </c>
      <c r="AY16" s="110">
        <v>566.38871724356136</v>
      </c>
      <c r="AZ16" s="100">
        <v>825.66710333220635</v>
      </c>
      <c r="BA16" s="100">
        <v>0</v>
      </c>
    </row>
    <row r="17" spans="1:53">
      <c r="A17" s="110"/>
      <c r="B17" s="119">
        <v>3</v>
      </c>
      <c r="C17" s="109" t="s">
        <v>293</v>
      </c>
      <c r="D17" s="106"/>
      <c r="E17" s="110">
        <v>0</v>
      </c>
      <c r="F17" s="110"/>
      <c r="G17" s="110"/>
      <c r="H17" s="110">
        <v>0</v>
      </c>
      <c r="I17" s="110"/>
      <c r="J17" s="110"/>
      <c r="K17" s="110"/>
      <c r="L17" s="110"/>
      <c r="M17" s="110"/>
      <c r="N17" s="110"/>
      <c r="O17" s="110"/>
      <c r="P17" s="110"/>
      <c r="Q17" s="110"/>
      <c r="R17" s="110">
        <v>0</v>
      </c>
      <c r="S17" s="110"/>
      <c r="T17" s="110">
        <v>0</v>
      </c>
      <c r="U17" s="110"/>
      <c r="V17" s="110"/>
      <c r="W17" s="110">
        <v>0</v>
      </c>
      <c r="X17" s="110"/>
      <c r="Y17" s="110"/>
      <c r="Z17" s="110"/>
      <c r="AA17" s="110">
        <v>0</v>
      </c>
      <c r="AB17" s="110">
        <v>0</v>
      </c>
      <c r="AC17" s="110"/>
      <c r="AD17" s="110"/>
      <c r="AE17" s="110"/>
      <c r="AF17" s="110"/>
      <c r="AG17" s="110"/>
      <c r="AH17" s="110">
        <v>0</v>
      </c>
      <c r="AI17" s="110"/>
      <c r="AJ17" s="110"/>
      <c r="AK17" s="110"/>
      <c r="AL17" s="110"/>
      <c r="AM17" s="110">
        <v>825.66710333220635</v>
      </c>
      <c r="AN17" s="110">
        <v>0</v>
      </c>
      <c r="AO17" s="110"/>
      <c r="AP17" s="110">
        <v>0</v>
      </c>
      <c r="AQ17" s="110">
        <v>0</v>
      </c>
      <c r="AR17" s="110">
        <v>566.38871724356136</v>
      </c>
      <c r="AS17" s="110"/>
      <c r="AT17" s="110"/>
      <c r="AU17" s="110"/>
      <c r="AV17" s="110">
        <v>0</v>
      </c>
      <c r="AW17" s="110"/>
      <c r="AX17" s="110"/>
      <c r="AY17" s="110"/>
      <c r="BA17" s="100">
        <v>0</v>
      </c>
    </row>
    <row r="18" spans="1:53">
      <c r="A18" s="125"/>
      <c r="B18" s="116">
        <v>4</v>
      </c>
      <c r="C18" s="125" t="s">
        <v>293</v>
      </c>
      <c r="D18" s="125"/>
      <c r="E18" s="125"/>
      <c r="F18" s="125"/>
      <c r="G18" s="125"/>
      <c r="H18" s="125">
        <v>0</v>
      </c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>
        <v>0</v>
      </c>
      <c r="V18" s="125"/>
      <c r="W18" s="125">
        <v>0</v>
      </c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>
        <v>0</v>
      </c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3">
      <c r="A20" s="102" t="s">
        <v>294</v>
      </c>
    </row>
    <row r="21" spans="1:53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3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3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3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3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3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3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3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3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3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3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3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0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1050.8810297577081</v>
      </c>
      <c r="D95" s="110">
        <v>1051.6079682196969</v>
      </c>
      <c r="E95" s="110">
        <v>1051.6079682196969</v>
      </c>
      <c r="F95" s="110">
        <v>1051.6079682196969</v>
      </c>
      <c r="G95" s="110">
        <v>1051.6079682196969</v>
      </c>
      <c r="H95" s="110">
        <v>1051.6079682196969</v>
      </c>
      <c r="I95" s="110">
        <v>1051.6079682196969</v>
      </c>
      <c r="J95" s="110">
        <v>1051.6079682196969</v>
      </c>
      <c r="K95" s="110">
        <v>1051.6079682196969</v>
      </c>
      <c r="L95" s="110">
        <v>1051.6079682196969</v>
      </c>
      <c r="M95" s="110">
        <v>1051.6079682196969</v>
      </c>
      <c r="N95" s="110">
        <v>1051.6079682196969</v>
      </c>
      <c r="O95" s="110">
        <v>1051.6079682196969</v>
      </c>
      <c r="P95" s="110">
        <v>841.29226269161995</v>
      </c>
      <c r="Q95" s="110">
        <v>841.29226269161995</v>
      </c>
      <c r="R95" s="110">
        <v>841.29226269161995</v>
      </c>
      <c r="S95" s="110">
        <v>841.29226269161995</v>
      </c>
      <c r="T95" s="110">
        <v>1051.6079682196969</v>
      </c>
      <c r="U95" s="110">
        <v>1051.6079682196969</v>
      </c>
      <c r="V95" s="110">
        <v>1051.6079682196969</v>
      </c>
      <c r="W95" s="110">
        <v>1051.6079682196969</v>
      </c>
      <c r="X95" s="110">
        <v>1051.6079682196969</v>
      </c>
      <c r="Y95" s="110">
        <v>1051.6079682196969</v>
      </c>
      <c r="Z95" s="110">
        <v>1051.6079682196969</v>
      </c>
      <c r="AA95" s="110">
        <v>1051.6079682196969</v>
      </c>
      <c r="AB95" s="110">
        <v>1051.6079682196969</v>
      </c>
      <c r="AC95" s="110">
        <v>1051.6079682196969</v>
      </c>
      <c r="AD95" s="110">
        <v>1051.6079682196969</v>
      </c>
      <c r="AE95" s="110">
        <v>1051.6079682196969</v>
      </c>
      <c r="AF95" s="110">
        <v>1051.6079682196969</v>
      </c>
      <c r="AG95" s="110">
        <v>1051.6079682196969</v>
      </c>
      <c r="AH95" s="110">
        <v>1051.6079682196969</v>
      </c>
      <c r="AI95" s="110">
        <v>1051.6079682196969</v>
      </c>
      <c r="AJ95" s="110">
        <v>1051.6079682196969</v>
      </c>
      <c r="AK95" s="110">
        <v>1051.6079682196969</v>
      </c>
      <c r="AL95" s="110">
        <v>1051.6079682196969</v>
      </c>
      <c r="AM95" s="110">
        <v>1051.6079682196969</v>
      </c>
      <c r="AN95" s="110">
        <v>1051.6079682196969</v>
      </c>
      <c r="AO95" s="110">
        <v>1051.6079682196969</v>
      </c>
      <c r="AP95" s="110">
        <v>1051.6079682196969</v>
      </c>
      <c r="AQ95" s="110">
        <v>1051.6079682196969</v>
      </c>
      <c r="AR95" s="110">
        <v>1051.6079682196969</v>
      </c>
      <c r="AS95" s="110">
        <v>1051.6079682196969</v>
      </c>
      <c r="AT95" s="110">
        <v>1051.6079682196969</v>
      </c>
      <c r="AU95" s="110">
        <v>1051.6079682196969</v>
      </c>
      <c r="AV95" s="110">
        <v>1051.6079682196969</v>
      </c>
      <c r="AW95" s="110">
        <v>1051.6079682196969</v>
      </c>
      <c r="AX95" s="110">
        <v>1051.6079682196969</v>
      </c>
      <c r="AY95" s="110">
        <v>1051.6079682196969</v>
      </c>
    </row>
    <row r="96" spans="1:52">
      <c r="A96" s="109"/>
      <c r="B96" s="120">
        <v>2</v>
      </c>
      <c r="C96" s="110">
        <v>0</v>
      </c>
      <c r="D96" s="110">
        <v>135.88102975770812</v>
      </c>
      <c r="E96" s="110">
        <v>18.488997977405006</v>
      </c>
      <c r="F96" s="110">
        <v>125.09696619710189</v>
      </c>
      <c r="G96" s="110">
        <v>0</v>
      </c>
      <c r="H96" s="110">
        <v>58.607968219696886</v>
      </c>
      <c r="I96" s="110">
        <v>130.21593643939377</v>
      </c>
      <c r="J96" s="110">
        <v>0</v>
      </c>
      <c r="K96" s="110">
        <v>0</v>
      </c>
      <c r="L96" s="110">
        <v>96.607968219696886</v>
      </c>
      <c r="M96" s="110">
        <v>124.21593643939377</v>
      </c>
      <c r="N96" s="110">
        <v>28.823904659090658</v>
      </c>
      <c r="O96" s="110">
        <v>0</v>
      </c>
      <c r="P96" s="110">
        <v>0</v>
      </c>
      <c r="Q96" s="110">
        <v>0</v>
      </c>
      <c r="R96" s="110">
        <v>0</v>
      </c>
      <c r="S96" s="110">
        <v>0</v>
      </c>
      <c r="T96" s="110">
        <v>0</v>
      </c>
      <c r="U96" s="110">
        <v>11.607968219696886</v>
      </c>
      <c r="V96" s="110">
        <v>0.21593643939377216</v>
      </c>
      <c r="W96" s="110">
        <v>123.82390465909066</v>
      </c>
      <c r="X96" s="110">
        <v>68.431872878787544</v>
      </c>
      <c r="Y96" s="110">
        <v>0</v>
      </c>
      <c r="Z96" s="110">
        <v>90.607968219696886</v>
      </c>
      <c r="AA96" s="110">
        <v>120.21593643939377</v>
      </c>
      <c r="AB96" s="110">
        <v>42.823904659090658</v>
      </c>
      <c r="AC96" s="110">
        <v>0</v>
      </c>
      <c r="AD96" s="110">
        <v>0</v>
      </c>
      <c r="AE96" s="110">
        <v>32.607968219696886</v>
      </c>
      <c r="AF96" s="110">
        <v>0</v>
      </c>
      <c r="AG96" s="110">
        <v>47.607968219696886</v>
      </c>
      <c r="AH96" s="110">
        <v>0</v>
      </c>
      <c r="AI96" s="110">
        <v>0</v>
      </c>
      <c r="AJ96" s="110">
        <v>9.6079682196968861</v>
      </c>
      <c r="AK96" s="110">
        <v>0</v>
      </c>
      <c r="AL96" s="110">
        <v>0</v>
      </c>
      <c r="AM96" s="110">
        <v>0</v>
      </c>
      <c r="AN96" s="110">
        <v>11.607968219696886</v>
      </c>
      <c r="AO96" s="110">
        <v>0</v>
      </c>
      <c r="AP96" s="110">
        <v>0</v>
      </c>
      <c r="AQ96" s="110">
        <v>0</v>
      </c>
      <c r="AR96" s="110">
        <v>68.607968219696886</v>
      </c>
      <c r="AS96" s="110">
        <v>0</v>
      </c>
      <c r="AT96" s="110">
        <v>0</v>
      </c>
      <c r="AU96" s="110">
        <v>0</v>
      </c>
      <c r="AV96" s="110">
        <v>0</v>
      </c>
      <c r="AW96" s="110">
        <v>137.60796821969689</v>
      </c>
      <c r="AX96" s="110">
        <v>85.215936439393772</v>
      </c>
      <c r="AY96" s="110">
        <v>0</v>
      </c>
    </row>
    <row r="97" spans="1:52">
      <c r="A97" s="109"/>
      <c r="B97" s="127">
        <v>3</v>
      </c>
      <c r="C97" s="110">
        <v>0</v>
      </c>
      <c r="D97" s="110">
        <v>0</v>
      </c>
      <c r="E97" s="110">
        <v>0</v>
      </c>
      <c r="F97" s="110">
        <v>0</v>
      </c>
      <c r="G97" s="110">
        <v>0</v>
      </c>
      <c r="H97" s="110">
        <v>0</v>
      </c>
      <c r="I97" s="110">
        <v>0</v>
      </c>
      <c r="J97" s="110">
        <v>0</v>
      </c>
      <c r="K97" s="110">
        <v>0</v>
      </c>
      <c r="L97" s="110">
        <v>0</v>
      </c>
      <c r="M97" s="110">
        <v>0</v>
      </c>
      <c r="N97" s="110">
        <v>0</v>
      </c>
      <c r="O97" s="110">
        <v>0</v>
      </c>
      <c r="P97" s="110">
        <v>0</v>
      </c>
      <c r="Q97" s="110">
        <v>0</v>
      </c>
      <c r="R97" s="110">
        <v>0</v>
      </c>
      <c r="S97" s="110">
        <v>0</v>
      </c>
      <c r="T97" s="110">
        <v>0</v>
      </c>
      <c r="U97" s="110">
        <v>0</v>
      </c>
      <c r="V97" s="110">
        <v>0</v>
      </c>
      <c r="W97" s="110">
        <v>0</v>
      </c>
      <c r="X97" s="110">
        <v>0</v>
      </c>
      <c r="Y97" s="110">
        <v>0</v>
      </c>
      <c r="Z97" s="110">
        <v>0</v>
      </c>
      <c r="AA97" s="110">
        <v>0</v>
      </c>
      <c r="AB97" s="110">
        <v>0</v>
      </c>
      <c r="AC97" s="110">
        <v>0</v>
      </c>
      <c r="AD97" s="110">
        <v>0</v>
      </c>
      <c r="AE97" s="110">
        <v>0</v>
      </c>
      <c r="AF97" s="110">
        <v>0</v>
      </c>
      <c r="AG97" s="110">
        <v>0</v>
      </c>
      <c r="AH97" s="110">
        <v>0</v>
      </c>
      <c r="AI97" s="110">
        <v>0</v>
      </c>
      <c r="AJ97" s="110">
        <v>0</v>
      </c>
      <c r="AK97" s="110">
        <v>0</v>
      </c>
      <c r="AL97" s="110">
        <v>0</v>
      </c>
      <c r="AM97" s="110">
        <v>0</v>
      </c>
      <c r="AN97" s="110">
        <v>0</v>
      </c>
      <c r="AO97" s="110">
        <v>0</v>
      </c>
      <c r="AP97" s="110">
        <v>0</v>
      </c>
      <c r="AQ97" s="110">
        <v>0</v>
      </c>
      <c r="AR97" s="110">
        <v>0</v>
      </c>
      <c r="AS97" s="110">
        <v>0</v>
      </c>
      <c r="AT97" s="110">
        <v>0</v>
      </c>
      <c r="AU97" s="110">
        <v>0</v>
      </c>
      <c r="AV97" s="110">
        <v>0</v>
      </c>
      <c r="AW97" s="110">
        <v>0</v>
      </c>
      <c r="AX97" s="110">
        <v>0</v>
      </c>
      <c r="AY97" s="110">
        <v>0</v>
      </c>
    </row>
    <row r="98" spans="1:52">
      <c r="A98" s="109"/>
      <c r="B98" s="130">
        <v>4</v>
      </c>
      <c r="C98" s="106">
        <v>0</v>
      </c>
      <c r="D98" s="110">
        <v>0</v>
      </c>
      <c r="E98" s="110">
        <v>0</v>
      </c>
      <c r="F98" s="110">
        <v>0</v>
      </c>
      <c r="G98" s="110">
        <v>0</v>
      </c>
      <c r="H98" s="110">
        <v>0</v>
      </c>
      <c r="I98" s="110">
        <v>0</v>
      </c>
      <c r="J98" s="110">
        <v>0</v>
      </c>
      <c r="K98" s="110">
        <v>0</v>
      </c>
      <c r="L98" s="110">
        <v>0</v>
      </c>
      <c r="M98" s="110">
        <v>0</v>
      </c>
      <c r="N98" s="110">
        <v>0</v>
      </c>
      <c r="O98" s="110">
        <v>0</v>
      </c>
      <c r="P98" s="110">
        <v>0</v>
      </c>
      <c r="Q98" s="110">
        <v>0</v>
      </c>
      <c r="R98" s="110">
        <v>0</v>
      </c>
      <c r="S98" s="110">
        <v>0</v>
      </c>
      <c r="T98" s="110">
        <v>0</v>
      </c>
      <c r="U98" s="110">
        <v>0</v>
      </c>
      <c r="V98" s="110">
        <v>0</v>
      </c>
      <c r="W98" s="110">
        <v>0</v>
      </c>
      <c r="X98" s="110">
        <v>0</v>
      </c>
      <c r="Y98" s="110">
        <v>0</v>
      </c>
      <c r="Z98" s="110">
        <v>0</v>
      </c>
      <c r="AA98" s="110">
        <v>0</v>
      </c>
      <c r="AB98" s="110">
        <v>0</v>
      </c>
      <c r="AC98" s="110">
        <v>0</v>
      </c>
      <c r="AD98" s="110">
        <v>0</v>
      </c>
      <c r="AE98" s="110">
        <v>0</v>
      </c>
      <c r="AF98" s="110">
        <v>0</v>
      </c>
      <c r="AG98" s="110">
        <v>0</v>
      </c>
      <c r="AH98" s="110">
        <v>0</v>
      </c>
      <c r="AI98" s="110">
        <v>0</v>
      </c>
      <c r="AJ98" s="110">
        <v>0</v>
      </c>
      <c r="AK98" s="110">
        <v>0</v>
      </c>
      <c r="AL98" s="110">
        <v>0</v>
      </c>
      <c r="AM98" s="110">
        <v>0</v>
      </c>
      <c r="AN98" s="110">
        <v>0</v>
      </c>
      <c r="AO98" s="110">
        <v>0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0</v>
      </c>
    </row>
    <row r="100" spans="1:52">
      <c r="A100" s="131" t="s">
        <v>133</v>
      </c>
      <c r="B100" s="119">
        <v>1</v>
      </c>
      <c r="C100" s="106">
        <v>0</v>
      </c>
      <c r="D100" s="106">
        <v>0</v>
      </c>
      <c r="E100" s="106">
        <v>1192.9526307806775</v>
      </c>
      <c r="F100" s="106">
        <v>607.34936250024873</v>
      </c>
      <c r="G100" s="106">
        <v>607.34936250024873</v>
      </c>
      <c r="H100" s="106">
        <v>607.34936250024873</v>
      </c>
      <c r="I100" s="106">
        <v>190.72161391135495</v>
      </c>
      <c r="J100" s="106">
        <v>607.34936250024873</v>
      </c>
      <c r="K100" s="106">
        <v>190.72161391135495</v>
      </c>
      <c r="L100" s="106">
        <v>607.34936250024873</v>
      </c>
      <c r="M100" s="106">
        <v>607.34936250024873</v>
      </c>
      <c r="N100" s="106">
        <v>0</v>
      </c>
      <c r="O100" s="106">
        <v>190.72161391135495</v>
      </c>
      <c r="P100" s="106">
        <v>0</v>
      </c>
      <c r="Q100" s="106">
        <v>190.72161391135495</v>
      </c>
      <c r="R100" s="106">
        <v>0</v>
      </c>
      <c r="S100" s="106">
        <v>971.76578128666301</v>
      </c>
      <c r="T100" s="106">
        <v>485.88289064333151</v>
      </c>
      <c r="U100" s="106">
        <v>0</v>
      </c>
      <c r="V100" s="106">
        <v>1093.2322531435805</v>
      </c>
      <c r="W100" s="106">
        <v>607.34936250024873</v>
      </c>
      <c r="X100" s="106">
        <v>607.34936250024873</v>
      </c>
      <c r="Y100" s="106">
        <v>607.34936250024873</v>
      </c>
      <c r="Z100" s="106">
        <v>607.34936250024873</v>
      </c>
      <c r="AA100" s="106">
        <v>607.34936250024873</v>
      </c>
      <c r="AB100" s="106">
        <v>190.72161391135495</v>
      </c>
      <c r="AC100" s="106">
        <v>607.34936250024873</v>
      </c>
      <c r="AD100" s="106">
        <v>607.34936250024873</v>
      </c>
      <c r="AE100" s="106">
        <v>607.34936250024873</v>
      </c>
      <c r="AF100" s="106">
        <v>190.72161391135495</v>
      </c>
      <c r="AG100" s="106">
        <v>607.34936250024873</v>
      </c>
      <c r="AH100" s="106">
        <v>607.34936250024873</v>
      </c>
      <c r="AI100" s="106">
        <v>607.34936250024873</v>
      </c>
      <c r="AJ100" s="106">
        <v>607.34936250024873</v>
      </c>
      <c r="AK100" s="106">
        <v>0</v>
      </c>
      <c r="AL100" s="106">
        <v>607.34936250024873</v>
      </c>
      <c r="AM100" s="106">
        <v>607.34936250024873</v>
      </c>
      <c r="AN100" s="106">
        <v>607.34936250024873</v>
      </c>
      <c r="AO100" s="106">
        <v>607.34936250024873</v>
      </c>
      <c r="AP100" s="106">
        <v>190.72161391135495</v>
      </c>
      <c r="AQ100" s="106">
        <v>0</v>
      </c>
      <c r="AR100" s="106">
        <v>607.34936250024873</v>
      </c>
      <c r="AS100" s="106">
        <v>607.34936250024873</v>
      </c>
      <c r="AT100" s="106">
        <v>607.34936250024873</v>
      </c>
      <c r="AU100" s="106">
        <v>607.34936250024873</v>
      </c>
      <c r="AV100" s="106">
        <v>607.34936250024873</v>
      </c>
      <c r="AW100" s="106">
        <v>607.34936250024873</v>
      </c>
      <c r="AX100" s="106">
        <v>190.72161391135495</v>
      </c>
      <c r="AY100" s="106">
        <v>0</v>
      </c>
    </row>
    <row r="101" spans="1:52">
      <c r="A101" s="109"/>
      <c r="B101" s="119">
        <v>2</v>
      </c>
      <c r="C101" s="106">
        <v>579.5593947124429</v>
      </c>
      <c r="D101" s="106">
        <v>605.43927765486126</v>
      </c>
      <c r="E101" s="106">
        <v>0</v>
      </c>
      <c r="F101" s="106">
        <v>593.95263078067751</v>
      </c>
      <c r="G101" s="106">
        <v>407.30199328092624</v>
      </c>
      <c r="H101" s="106">
        <v>299.65135578117497</v>
      </c>
      <c r="I101" s="106">
        <v>148.0007182814237</v>
      </c>
      <c r="J101" s="106">
        <v>416.62774858889378</v>
      </c>
      <c r="K101" s="106">
        <v>293.97711108914251</v>
      </c>
      <c r="L101" s="106">
        <v>416.62774858889378</v>
      </c>
      <c r="M101" s="106">
        <v>362.97711108914251</v>
      </c>
      <c r="N101" s="106">
        <v>206.32647358939124</v>
      </c>
      <c r="O101" s="106">
        <v>607.34936250024873</v>
      </c>
      <c r="P101" s="106">
        <v>607.34936250024873</v>
      </c>
      <c r="Q101" s="106">
        <v>607.34936250024873</v>
      </c>
      <c r="R101" s="106">
        <v>607.34936250024873</v>
      </c>
      <c r="S101" s="106">
        <v>0</v>
      </c>
      <c r="T101" s="106">
        <v>232.76578128666301</v>
      </c>
      <c r="U101" s="106">
        <v>82.648671929994521</v>
      </c>
      <c r="V101" s="106">
        <v>0</v>
      </c>
      <c r="W101" s="106">
        <v>481.23225314358046</v>
      </c>
      <c r="X101" s="106">
        <v>383.5816156438292</v>
      </c>
      <c r="Y101" s="106">
        <v>257.93097814407793</v>
      </c>
      <c r="Z101" s="106">
        <v>238.28034064432666</v>
      </c>
      <c r="AA101" s="106">
        <v>84.629703144575387</v>
      </c>
      <c r="AB101" s="106">
        <v>0</v>
      </c>
      <c r="AC101" s="106">
        <v>416.62774858889378</v>
      </c>
      <c r="AD101" s="106">
        <v>388.97711108914251</v>
      </c>
      <c r="AE101" s="106">
        <v>299.32647358939124</v>
      </c>
      <c r="AF101" s="106">
        <v>122.67583608963997</v>
      </c>
      <c r="AG101" s="106">
        <v>416.62774858889378</v>
      </c>
      <c r="AH101" s="106">
        <v>417.97711108914251</v>
      </c>
      <c r="AI101" s="106">
        <v>310.32647358939124</v>
      </c>
      <c r="AJ101" s="106">
        <v>236.67583608963997</v>
      </c>
      <c r="AK101" s="106">
        <v>102.0251985898887</v>
      </c>
      <c r="AL101" s="106">
        <v>0</v>
      </c>
      <c r="AM101" s="106">
        <v>0</v>
      </c>
      <c r="AN101" s="106">
        <v>444.69872500049746</v>
      </c>
      <c r="AO101" s="106">
        <v>375.04808750074619</v>
      </c>
      <c r="AP101" s="106">
        <v>309.39745000099492</v>
      </c>
      <c r="AQ101" s="106">
        <v>0</v>
      </c>
      <c r="AR101" s="106">
        <v>607.34936250024873</v>
      </c>
      <c r="AS101" s="106">
        <v>607.34936250024873</v>
      </c>
      <c r="AT101" s="106">
        <v>607.34936250024873</v>
      </c>
      <c r="AU101" s="106">
        <v>607.34936250024873</v>
      </c>
      <c r="AV101" s="106">
        <v>607.34936250024873</v>
      </c>
      <c r="AW101" s="106">
        <v>607.34936250024873</v>
      </c>
      <c r="AX101" s="106">
        <v>575.07328609063484</v>
      </c>
      <c r="AY101" s="106">
        <v>596.42264859088357</v>
      </c>
    </row>
    <row r="102" spans="1:52">
      <c r="A102" s="109"/>
      <c r="B102" s="120">
        <v>3</v>
      </c>
      <c r="C102" s="106">
        <v>0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0</v>
      </c>
      <c r="J102" s="106">
        <v>0</v>
      </c>
      <c r="K102" s="106">
        <v>0</v>
      </c>
      <c r="L102" s="106">
        <v>0</v>
      </c>
      <c r="M102" s="106">
        <v>0</v>
      </c>
      <c r="N102" s="106">
        <v>0</v>
      </c>
      <c r="O102" s="106">
        <v>0</v>
      </c>
      <c r="P102" s="106">
        <v>53.349362500248731</v>
      </c>
      <c r="Q102" s="106">
        <v>97.698725000497461</v>
      </c>
      <c r="R102" s="106">
        <v>128.04808750074619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0</v>
      </c>
      <c r="AM102" s="106">
        <v>607.34936250024873</v>
      </c>
      <c r="AN102" s="106">
        <v>0</v>
      </c>
      <c r="AO102" s="106">
        <v>0</v>
      </c>
      <c r="AP102" s="106">
        <v>0</v>
      </c>
      <c r="AQ102" s="106">
        <v>0</v>
      </c>
      <c r="AR102" s="106">
        <v>416.62774858889378</v>
      </c>
      <c r="AS102" s="106">
        <v>325.97711108914251</v>
      </c>
      <c r="AT102" s="106">
        <v>294.32647358939124</v>
      </c>
      <c r="AU102" s="106">
        <v>172.67583608963997</v>
      </c>
      <c r="AV102" s="106">
        <v>55.025198589888646</v>
      </c>
      <c r="AW102" s="106">
        <v>22.374561090137377</v>
      </c>
      <c r="AX102" s="106">
        <v>0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115.8013463691549</v>
      </c>
      <c r="D109" s="106">
        <v>252.39942523906271</v>
      </c>
      <c r="E109" s="106">
        <v>369.72338632708806</v>
      </c>
      <c r="F109" s="106">
        <v>726.29967097936708</v>
      </c>
      <c r="G109" s="106">
        <v>484.36901704293507</v>
      </c>
      <c r="H109" s="106">
        <v>369.78581643059624</v>
      </c>
      <c r="I109" s="106">
        <v>369.78581643059624</v>
      </c>
      <c r="J109" s="106">
        <v>116.14384992047383</v>
      </c>
      <c r="K109" s="106">
        <v>623.42778294071877</v>
      </c>
      <c r="L109" s="106">
        <v>182.79474504391357</v>
      </c>
      <c r="M109" s="106">
        <v>623.42778294071877</v>
      </c>
      <c r="N109" s="106">
        <v>458.49121629456357</v>
      </c>
      <c r="O109" s="106">
        <v>3.2992272837126545E-2</v>
      </c>
      <c r="P109" s="106">
        <v>485.89667407823293</v>
      </c>
      <c r="Q109" s="106">
        <v>253.67495878295964</v>
      </c>
      <c r="R109" s="106">
        <v>485.89667407823293</v>
      </c>
      <c r="S109" s="106">
        <v>253.67495878295964</v>
      </c>
      <c r="T109" s="106">
        <v>591.64165153189379</v>
      </c>
      <c r="U109" s="106">
        <v>330.15373563187285</v>
      </c>
      <c r="V109" s="106">
        <v>3.2992272837126545E-2</v>
      </c>
      <c r="W109" s="106">
        <v>665.59014606012465</v>
      </c>
      <c r="X109" s="106">
        <v>508.90916567494747</v>
      </c>
      <c r="Y109" s="106">
        <v>404.04314509112453</v>
      </c>
      <c r="Z109" s="106">
        <v>369.78581643059624</v>
      </c>
      <c r="AA109" s="106">
        <v>369.78581643059624</v>
      </c>
      <c r="AB109" s="106">
        <v>369.78581643059624</v>
      </c>
      <c r="AC109" s="106">
        <v>116.14384992047383</v>
      </c>
      <c r="AD109" s="106">
        <v>623.42778294071877</v>
      </c>
      <c r="AE109" s="106">
        <v>430.73417903962411</v>
      </c>
      <c r="AF109" s="106">
        <v>369.78581643059624</v>
      </c>
      <c r="AG109" s="106">
        <v>116.14384992047383</v>
      </c>
      <c r="AH109" s="106">
        <v>623.42778294071877</v>
      </c>
      <c r="AI109" s="106">
        <v>369.78581643059624</v>
      </c>
      <c r="AJ109" s="106">
        <v>369.78581643059624</v>
      </c>
      <c r="AK109" s="106">
        <v>369.78581643059624</v>
      </c>
      <c r="AL109" s="106">
        <v>3.2992272837151997E-2</v>
      </c>
      <c r="AM109" s="106">
        <v>369.78581643059624</v>
      </c>
      <c r="AN109" s="106">
        <v>739.53864058835541</v>
      </c>
      <c r="AO109" s="106">
        <v>492.89031543370601</v>
      </c>
      <c r="AP109" s="106">
        <v>398.78049147426043</v>
      </c>
      <c r="AQ109" s="106">
        <v>116.14384992047383</v>
      </c>
      <c r="AR109" s="106">
        <v>3.2992272837126545E-2</v>
      </c>
      <c r="AS109" s="106">
        <v>993.18060709847782</v>
      </c>
      <c r="AT109" s="106">
        <v>620.38445712351006</v>
      </c>
      <c r="AU109" s="106">
        <v>410.96280142262725</v>
      </c>
      <c r="AV109" s="106">
        <v>369.78581643059624</v>
      </c>
      <c r="AW109" s="106">
        <v>369.78581643059624</v>
      </c>
      <c r="AX109" s="106">
        <v>369.78581643059624</v>
      </c>
      <c r="AY109" s="106">
        <v>116.14384992047385</v>
      </c>
    </row>
    <row r="110" spans="1:52">
      <c r="A110" s="109"/>
      <c r="B110" s="119">
        <v>2</v>
      </c>
      <c r="C110" s="106">
        <v>233.7952211803551</v>
      </c>
      <c r="D110" s="106">
        <v>1.4210854715202004E-14</v>
      </c>
      <c r="E110" s="106">
        <v>0</v>
      </c>
      <c r="F110" s="106">
        <v>0</v>
      </c>
      <c r="G110" s="106">
        <v>273.29967097936708</v>
      </c>
      <c r="H110" s="106">
        <v>398.66868802230215</v>
      </c>
      <c r="I110" s="106">
        <v>265.45450445289839</v>
      </c>
      <c r="J110" s="106">
        <v>158.79565065603458</v>
      </c>
      <c r="K110" s="106">
        <v>0</v>
      </c>
      <c r="L110" s="106">
        <v>111.15079285756224</v>
      </c>
      <c r="M110" s="106">
        <v>0</v>
      </c>
      <c r="N110" s="106">
        <v>195.42778294071877</v>
      </c>
      <c r="O110" s="106">
        <v>126.49780653491104</v>
      </c>
      <c r="P110" s="106">
        <v>6.4045990733063718E-15</v>
      </c>
      <c r="Q110" s="106">
        <v>102.89667407823293</v>
      </c>
      <c r="R110" s="106">
        <v>0</v>
      </c>
      <c r="S110" s="106">
        <v>13.372913861178517</v>
      </c>
      <c r="T110" s="106">
        <v>2.8421709430404007E-14</v>
      </c>
      <c r="U110" s="106">
        <v>97.641651531893785</v>
      </c>
      <c r="V110" s="106">
        <v>0</v>
      </c>
      <c r="W110" s="106">
        <v>0</v>
      </c>
      <c r="X110" s="106">
        <v>167.59014606012465</v>
      </c>
      <c r="Y110" s="106">
        <v>172.49931173507213</v>
      </c>
      <c r="Z110" s="106">
        <v>40.542456826196656</v>
      </c>
      <c r="AA110" s="106">
        <v>0</v>
      </c>
      <c r="AB110" s="106">
        <v>0</v>
      </c>
      <c r="AC110" s="106">
        <v>0</v>
      </c>
      <c r="AD110" s="106">
        <v>0</v>
      </c>
      <c r="AE110" s="106">
        <v>134.42778294071877</v>
      </c>
      <c r="AF110" s="106">
        <v>149.16196198034288</v>
      </c>
      <c r="AG110" s="106">
        <v>22.957951907241807</v>
      </c>
      <c r="AH110" s="106">
        <v>0</v>
      </c>
      <c r="AI110" s="106">
        <v>251.42778294071877</v>
      </c>
      <c r="AJ110" s="106">
        <v>219.21359937131501</v>
      </c>
      <c r="AK110" s="106">
        <v>219.99941580191125</v>
      </c>
      <c r="AL110" s="106">
        <v>59.148581117536764</v>
      </c>
      <c r="AM110" s="106">
        <v>3.434752482434078E-15</v>
      </c>
      <c r="AN110" s="106">
        <v>0</v>
      </c>
      <c r="AO110" s="106">
        <v>283.53864058835541</v>
      </c>
      <c r="AP110" s="106">
        <v>296.42895602206141</v>
      </c>
      <c r="AQ110" s="106">
        <v>250.0730109816846</v>
      </c>
      <c r="AR110" s="106">
        <v>0</v>
      </c>
      <c r="AS110" s="106">
        <v>0</v>
      </c>
      <c r="AT110" s="106">
        <v>440.18060709847782</v>
      </c>
      <c r="AU110" s="106">
        <v>570.56506422198788</v>
      </c>
      <c r="AV110" s="106">
        <v>410.96280142262725</v>
      </c>
      <c r="AW110" s="106">
        <v>369.78581643059624</v>
      </c>
      <c r="AX110" s="106">
        <v>369.78581643059624</v>
      </c>
      <c r="AY110" s="106">
        <v>241.88531493640386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143.56506422198788</v>
      </c>
      <c r="AW111" s="106">
        <v>146.52786564461513</v>
      </c>
      <c r="AX111" s="106">
        <v>40.313682075211375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7.4140398167291857E-2</v>
      </c>
      <c r="D122" s="106">
        <v>7.3672552489155801E-2</v>
      </c>
      <c r="E122" s="106">
        <v>1621.8449361533685</v>
      </c>
      <c r="F122" s="106">
        <v>825.74077588469549</v>
      </c>
      <c r="G122" s="106">
        <v>825.74077588469549</v>
      </c>
      <c r="H122" s="106">
        <v>825.74077588469549</v>
      </c>
      <c r="I122" s="106">
        <v>259.35205864113419</v>
      </c>
      <c r="J122" s="106">
        <v>825.74077588469549</v>
      </c>
      <c r="K122" s="106">
        <v>259.35205864113419</v>
      </c>
      <c r="L122" s="106">
        <v>825.74077588469549</v>
      </c>
      <c r="M122" s="106">
        <v>825.74077588469549</v>
      </c>
      <c r="N122" s="106">
        <v>7.3672552489155801E-2</v>
      </c>
      <c r="O122" s="106">
        <v>259.35205864113419</v>
      </c>
      <c r="P122" s="106">
        <v>7.3672552489155801E-2</v>
      </c>
      <c r="Q122" s="106">
        <v>259.35205864113419</v>
      </c>
      <c r="R122" s="106">
        <v>7.3672552489155801E-2</v>
      </c>
      <c r="S122" s="106">
        <v>1321.1502839599621</v>
      </c>
      <c r="T122" s="106">
        <v>660.6119782562256</v>
      </c>
      <c r="U122" s="106">
        <v>7.3672552489155801E-2</v>
      </c>
      <c r="V122" s="106">
        <v>1486.2790815884321</v>
      </c>
      <c r="W122" s="106">
        <v>825.74077588469549</v>
      </c>
      <c r="X122" s="106">
        <v>825.74077588469549</v>
      </c>
      <c r="Y122" s="106">
        <v>825.74077588469549</v>
      </c>
      <c r="Z122" s="106">
        <v>825.74077588469549</v>
      </c>
      <c r="AA122" s="106">
        <v>825.74077588469549</v>
      </c>
      <c r="AB122" s="106">
        <v>259.35205864113419</v>
      </c>
      <c r="AC122" s="106">
        <v>825.74077588469549</v>
      </c>
      <c r="AD122" s="106">
        <v>825.74077588469549</v>
      </c>
      <c r="AE122" s="106">
        <v>825.74077588469549</v>
      </c>
      <c r="AF122" s="106">
        <v>259.35205864113419</v>
      </c>
      <c r="AG122" s="106">
        <v>825.74077588469549</v>
      </c>
      <c r="AH122" s="106">
        <v>825.74077588469549</v>
      </c>
      <c r="AI122" s="106">
        <v>825.74077588469549</v>
      </c>
      <c r="AJ122" s="106">
        <v>825.74077588469549</v>
      </c>
      <c r="AK122" s="106">
        <v>7.3672552489155801E-2</v>
      </c>
      <c r="AL122" s="106">
        <v>825.74077588469549</v>
      </c>
      <c r="AM122" s="106">
        <v>825.74077588469549</v>
      </c>
      <c r="AN122" s="106">
        <v>825.74077588469549</v>
      </c>
      <c r="AO122" s="106">
        <v>825.74077588469549</v>
      </c>
      <c r="AP122" s="106">
        <v>259.35205864113419</v>
      </c>
      <c r="AQ122" s="106">
        <v>7.3672552489155801E-2</v>
      </c>
      <c r="AR122" s="106">
        <v>825.74077588469549</v>
      </c>
      <c r="AS122" s="106">
        <v>825.74077588469549</v>
      </c>
      <c r="AT122" s="106">
        <v>825.74077588469549</v>
      </c>
      <c r="AU122" s="106">
        <v>825.74077588469549</v>
      </c>
      <c r="AV122" s="106">
        <v>825.74077588469549</v>
      </c>
      <c r="AW122" s="106">
        <v>825.74077588469549</v>
      </c>
      <c r="AX122" s="106">
        <v>259.35205864113419</v>
      </c>
      <c r="AY122" s="106">
        <v>7.3672552489155801E-2</v>
      </c>
    </row>
    <row r="123" spans="1:52">
      <c r="A123" s="109"/>
      <c r="B123" s="119">
        <v>2</v>
      </c>
      <c r="C123" s="106">
        <v>565.92179956486211</v>
      </c>
      <c r="D123" s="106">
        <v>825.52769538355369</v>
      </c>
      <c r="E123" s="106">
        <v>2.0990154059319366E-14</v>
      </c>
      <c r="F123" s="106">
        <v>255.86709055062556</v>
      </c>
      <c r="G123" s="106">
        <v>0</v>
      </c>
      <c r="H123" s="106">
        <v>0</v>
      </c>
      <c r="I123" s="106">
        <v>0</v>
      </c>
      <c r="J123" s="106">
        <v>566.38871724356136</v>
      </c>
      <c r="K123" s="106">
        <v>148.83307960235999</v>
      </c>
      <c r="L123" s="106">
        <v>566.38871724356136</v>
      </c>
      <c r="M123" s="106">
        <v>198.08132831017366</v>
      </c>
      <c r="N123" s="106">
        <v>0</v>
      </c>
      <c r="O123" s="106">
        <v>825.66710333220635</v>
      </c>
      <c r="P123" s="106">
        <v>566.38871724356147</v>
      </c>
      <c r="Q123" s="106">
        <v>825.66710333220635</v>
      </c>
      <c r="R123" s="106">
        <v>566.38871724356147</v>
      </c>
      <c r="S123" s="106">
        <v>0</v>
      </c>
      <c r="T123" s="106">
        <v>76.629391500476913</v>
      </c>
      <c r="U123" s="106">
        <v>0</v>
      </c>
      <c r="V123" s="106">
        <v>0</v>
      </c>
      <c r="W123" s="106">
        <v>310.66584288602485</v>
      </c>
      <c r="X123" s="106">
        <v>76.497453095772869</v>
      </c>
      <c r="Y123" s="106">
        <v>0</v>
      </c>
      <c r="Z123" s="106">
        <v>0</v>
      </c>
      <c r="AA123" s="106">
        <v>0</v>
      </c>
      <c r="AB123" s="106">
        <v>0</v>
      </c>
      <c r="AC123" s="106">
        <v>566.38871724356136</v>
      </c>
      <c r="AD123" s="106">
        <v>136.09918497002758</v>
      </c>
      <c r="AE123" s="106">
        <v>0</v>
      </c>
      <c r="AF123" s="106">
        <v>0</v>
      </c>
      <c r="AG123" s="106">
        <v>566.38871724356136</v>
      </c>
      <c r="AH123" s="106">
        <v>5.6843418860808015E-14</v>
      </c>
      <c r="AI123" s="106">
        <v>5.6843418860808015E-14</v>
      </c>
      <c r="AJ123" s="106">
        <v>5.6843418860808015E-14</v>
      </c>
      <c r="AK123" s="106">
        <v>5.6843418860808015E-14</v>
      </c>
      <c r="AL123" s="106">
        <v>0</v>
      </c>
      <c r="AM123" s="106">
        <v>0</v>
      </c>
      <c r="AN123" s="106">
        <v>274.89535835348443</v>
      </c>
      <c r="AO123" s="106">
        <v>64.74581880447397</v>
      </c>
      <c r="AP123" s="106">
        <v>0</v>
      </c>
      <c r="AQ123" s="106">
        <v>0</v>
      </c>
      <c r="AR123" s="106">
        <v>825.66710333220635</v>
      </c>
      <c r="AS123" s="106">
        <v>455.95495945409925</v>
      </c>
      <c r="AT123" s="106">
        <v>91.949214991845793</v>
      </c>
      <c r="AU123" s="106">
        <v>5.6843418860808015E-14</v>
      </c>
      <c r="AV123" s="106">
        <v>5.6843418860808015E-14</v>
      </c>
      <c r="AW123" s="106">
        <v>5.6843418860808015E-14</v>
      </c>
      <c r="AX123" s="106">
        <v>5.6843418860808015E-14</v>
      </c>
      <c r="AY123" s="106">
        <v>566.38871724356136</v>
      </c>
    </row>
    <row r="124" spans="1:52">
      <c r="A124" s="109"/>
      <c r="B124" s="119">
        <v>3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825.66710333220635</v>
      </c>
      <c r="AN124" s="106">
        <v>0</v>
      </c>
      <c r="AO124" s="106">
        <v>0</v>
      </c>
      <c r="AP124" s="106">
        <v>0</v>
      </c>
      <c r="AQ124" s="106">
        <v>0</v>
      </c>
      <c r="AR124" s="106">
        <v>566.38871724356136</v>
      </c>
      <c r="AS124" s="106">
        <v>103.63793677656105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0.44593857909219159</v>
      </c>
      <c r="D172" s="134">
        <v>0.44782312709991723</v>
      </c>
      <c r="E172" s="134">
        <v>0.44782312709991723</v>
      </c>
      <c r="F172" s="134">
        <v>0.44782312709991723</v>
      </c>
      <c r="G172" s="134">
        <v>0.44782312709991723</v>
      </c>
      <c r="H172" s="134">
        <v>0.44782312709991723</v>
      </c>
      <c r="I172" s="134">
        <v>0.44782312709991723</v>
      </c>
      <c r="J172" s="134">
        <v>0.44782312709991723</v>
      </c>
      <c r="K172" s="134">
        <v>0.44782312709991723</v>
      </c>
      <c r="L172" s="134">
        <v>0.44782312709991723</v>
      </c>
      <c r="M172" s="134">
        <v>0.44782312709991723</v>
      </c>
      <c r="N172" s="134">
        <v>0.44782312709991723</v>
      </c>
      <c r="O172" s="134">
        <v>0.44782312709991723</v>
      </c>
      <c r="P172" s="134">
        <v>0.44782312709991723</v>
      </c>
      <c r="Q172" s="134">
        <v>0.44782312709991723</v>
      </c>
      <c r="R172" s="134">
        <v>0.44782312709991723</v>
      </c>
      <c r="S172" s="134">
        <v>0.44782312709991723</v>
      </c>
      <c r="T172" s="134">
        <v>0.44782312709991723</v>
      </c>
      <c r="U172" s="134">
        <v>0.44782312709991723</v>
      </c>
      <c r="V172" s="134">
        <v>0.44782312709991723</v>
      </c>
      <c r="W172" s="134">
        <v>0.44782312709991723</v>
      </c>
      <c r="X172" s="134">
        <v>0.44782312709991723</v>
      </c>
      <c r="Y172" s="134">
        <v>0.44782312709991723</v>
      </c>
      <c r="Z172" s="134">
        <v>0.44782312709991723</v>
      </c>
      <c r="AA172" s="134">
        <v>0.44782312709991723</v>
      </c>
      <c r="AB172" s="134">
        <v>0.44782312709991723</v>
      </c>
      <c r="AC172" s="134">
        <v>0.44782312709991723</v>
      </c>
      <c r="AD172" s="134">
        <v>0.44782312709991723</v>
      </c>
      <c r="AE172" s="134">
        <v>0.44782312709991723</v>
      </c>
      <c r="AF172" s="134">
        <v>0.44782312709991723</v>
      </c>
      <c r="AG172" s="134">
        <v>0.44782312709991723</v>
      </c>
      <c r="AH172" s="134">
        <v>0.44782312709991723</v>
      </c>
      <c r="AI172" s="134">
        <v>0.44782312709991723</v>
      </c>
      <c r="AJ172" s="134">
        <v>0.44782312709991723</v>
      </c>
      <c r="AK172" s="134">
        <v>0.44782312709991723</v>
      </c>
      <c r="AL172" s="134">
        <v>0.44782312709991723</v>
      </c>
      <c r="AM172" s="134">
        <v>0.44782312709991723</v>
      </c>
      <c r="AN172" s="134">
        <v>0.44782312709991723</v>
      </c>
      <c r="AO172" s="134">
        <v>0.44782312709991723</v>
      </c>
      <c r="AP172" s="134">
        <v>0.44782312709991723</v>
      </c>
      <c r="AQ172" s="134">
        <v>0.44782312709991723</v>
      </c>
      <c r="AR172" s="134">
        <v>0.44782312709991723</v>
      </c>
      <c r="AS172" s="134">
        <v>0.44782312709991723</v>
      </c>
      <c r="AT172" s="134">
        <v>0.44782312709991723</v>
      </c>
      <c r="AU172" s="134">
        <v>0.44782312709991723</v>
      </c>
      <c r="AV172" s="134">
        <v>0.44782312709991723</v>
      </c>
      <c r="AW172" s="134">
        <v>0.44782312709991723</v>
      </c>
      <c r="AX172" s="134">
        <v>0.44782312709991723</v>
      </c>
      <c r="AY172" s="134">
        <v>0.44782312709991723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1187.488997977405</v>
      </c>
      <c r="E175" s="124">
        <f t="shared" si="1"/>
        <v>1070.0969661971019</v>
      </c>
      <c r="F175" s="124">
        <f t="shared" si="1"/>
        <v>1176.7049344167988</v>
      </c>
      <c r="G175" s="124">
        <f t="shared" si="1"/>
        <v>1051.6079682196969</v>
      </c>
      <c r="H175" s="124">
        <f t="shared" si="1"/>
        <v>1110.2159364393938</v>
      </c>
      <c r="I175" s="124">
        <f t="shared" si="1"/>
        <v>1181.8239046590907</v>
      </c>
      <c r="J175" s="124">
        <f t="shared" si="1"/>
        <v>1051.6079682196969</v>
      </c>
      <c r="K175" s="124">
        <f t="shared" si="1"/>
        <v>1051.6079682196969</v>
      </c>
      <c r="L175" s="124">
        <f t="shared" si="1"/>
        <v>1148.2159364393938</v>
      </c>
      <c r="M175" s="124">
        <f t="shared" si="1"/>
        <v>1175.8239046590907</v>
      </c>
      <c r="N175" s="124">
        <f t="shared" si="1"/>
        <v>1080.4318728787875</v>
      </c>
      <c r="O175" s="124">
        <f t="shared" si="1"/>
        <v>1051.6079682196969</v>
      </c>
      <c r="P175" s="124">
        <f t="shared" si="1"/>
        <v>841.29226269161995</v>
      </c>
      <c r="Q175" s="124">
        <f t="shared" si="1"/>
        <v>841.29226269161995</v>
      </c>
      <c r="R175" s="124">
        <f t="shared" si="1"/>
        <v>841.29226269161995</v>
      </c>
      <c r="S175" s="124">
        <f t="shared" si="1"/>
        <v>841.29226269161995</v>
      </c>
      <c r="T175" s="124">
        <f t="shared" si="1"/>
        <v>1051.6079682196969</v>
      </c>
      <c r="U175" s="124">
        <f t="shared" si="1"/>
        <v>1063.2159364393938</v>
      </c>
      <c r="V175" s="124">
        <f t="shared" si="1"/>
        <v>1051.8239046590907</v>
      </c>
      <c r="W175" s="124">
        <f t="shared" si="1"/>
        <v>1175.4318728787875</v>
      </c>
      <c r="X175" s="124">
        <f t="shared" si="1"/>
        <v>1120.0398410984844</v>
      </c>
      <c r="Y175" s="124">
        <f t="shared" si="1"/>
        <v>1051.6079682196969</v>
      </c>
      <c r="Z175" s="124">
        <f t="shared" si="1"/>
        <v>1142.2159364393938</v>
      </c>
      <c r="AA175" s="124">
        <f t="shared" si="1"/>
        <v>1171.8239046590907</v>
      </c>
      <c r="AB175" s="124">
        <f t="shared" si="1"/>
        <v>1094.4318728787875</v>
      </c>
      <c r="AC175" s="124">
        <f t="shared" si="1"/>
        <v>1051.6079682196969</v>
      </c>
      <c r="AD175" s="124">
        <f t="shared" si="1"/>
        <v>1051.6079682196969</v>
      </c>
      <c r="AE175" s="124">
        <f t="shared" si="1"/>
        <v>1084.2159364393938</v>
      </c>
      <c r="AF175" s="124">
        <f t="shared" si="1"/>
        <v>1051.6079682196969</v>
      </c>
      <c r="AG175" s="124">
        <f t="shared" si="1"/>
        <v>1099.2159364393938</v>
      </c>
      <c r="AH175" s="124">
        <f t="shared" si="1"/>
        <v>1051.6079682196969</v>
      </c>
      <c r="AI175" s="124">
        <f t="shared" si="1"/>
        <v>1051.6079682196969</v>
      </c>
      <c r="AJ175" s="124">
        <f t="shared" si="1"/>
        <v>1061.2159364393938</v>
      </c>
      <c r="AK175" s="124">
        <f t="shared" si="1"/>
        <v>1051.6079682196969</v>
      </c>
      <c r="AL175" s="124">
        <f t="shared" si="1"/>
        <v>1051.6079682196969</v>
      </c>
      <c r="AM175" s="124">
        <f t="shared" si="1"/>
        <v>1051.6079682196969</v>
      </c>
      <c r="AN175" s="124">
        <f t="shared" si="1"/>
        <v>1063.2159364393938</v>
      </c>
      <c r="AO175" s="124">
        <f t="shared" si="1"/>
        <v>1051.6079682196969</v>
      </c>
      <c r="AP175" s="124">
        <f t="shared" si="1"/>
        <v>1051.6079682196969</v>
      </c>
      <c r="AQ175" s="124">
        <f t="shared" si="1"/>
        <v>1051.6079682196969</v>
      </c>
      <c r="AR175" s="124">
        <f t="shared" si="1"/>
        <v>1120.2159364393938</v>
      </c>
      <c r="AS175" s="124">
        <f t="shared" si="1"/>
        <v>1051.6079682196969</v>
      </c>
      <c r="AT175" s="124">
        <f t="shared" si="1"/>
        <v>1051.6079682196969</v>
      </c>
      <c r="AU175" s="124">
        <f t="shared" si="1"/>
        <v>1051.6079682196969</v>
      </c>
      <c r="AV175" s="124">
        <f t="shared" si="1"/>
        <v>1051.6079682196969</v>
      </c>
      <c r="AW175" s="124">
        <f t="shared" si="1"/>
        <v>1189.2159364393938</v>
      </c>
      <c r="AX175" s="124">
        <f t="shared" si="1"/>
        <v>1136.8239046590907</v>
      </c>
      <c r="AY175" s="124">
        <f t="shared" si="1"/>
        <v>1051.6079682196969</v>
      </c>
    </row>
    <row r="176" spans="1:52">
      <c r="A176" s="125"/>
      <c r="B176" s="136" t="s">
        <v>299</v>
      </c>
      <c r="C176" s="125" t="s">
        <v>293</v>
      </c>
      <c r="D176" s="125">
        <v>1169</v>
      </c>
      <c r="E176" s="125">
        <v>945</v>
      </c>
      <c r="F176" s="125">
        <v>1176.7049344167988</v>
      </c>
      <c r="G176" s="125">
        <v>993</v>
      </c>
      <c r="H176" s="125">
        <v>980</v>
      </c>
      <c r="I176" s="125">
        <v>1181.8239046590907</v>
      </c>
      <c r="J176" s="125">
        <v>1051.6079682196969</v>
      </c>
      <c r="K176" s="125">
        <v>955</v>
      </c>
      <c r="L176" s="125">
        <v>1024</v>
      </c>
      <c r="M176" s="125">
        <v>1147</v>
      </c>
      <c r="N176" s="125">
        <v>1080.4318728787875</v>
      </c>
      <c r="O176" s="125">
        <v>1051.6079682196969</v>
      </c>
      <c r="P176" s="125">
        <v>841.29226269161995</v>
      </c>
      <c r="Q176" s="125">
        <v>841.29226269161995</v>
      </c>
      <c r="R176" s="125">
        <v>841.29226269161995</v>
      </c>
      <c r="S176" s="125">
        <v>841.29226269161995</v>
      </c>
      <c r="T176" s="125">
        <v>1040</v>
      </c>
      <c r="U176" s="125">
        <v>1063</v>
      </c>
      <c r="V176" s="125">
        <v>928</v>
      </c>
      <c r="W176" s="125">
        <v>1107</v>
      </c>
      <c r="X176" s="125">
        <v>1120.0398410984844</v>
      </c>
      <c r="Y176" s="125">
        <v>961</v>
      </c>
      <c r="Z176" s="125">
        <v>1022</v>
      </c>
      <c r="AA176" s="125">
        <v>1129</v>
      </c>
      <c r="AB176" s="125">
        <v>1094.4318728787875</v>
      </c>
      <c r="AC176" s="125">
        <v>1051.6079682196969</v>
      </c>
      <c r="AD176" s="125">
        <v>1019</v>
      </c>
      <c r="AE176" s="125">
        <v>1084.2159364393938</v>
      </c>
      <c r="AF176" s="125">
        <v>1004</v>
      </c>
      <c r="AG176" s="125">
        <v>1099.2159364393938</v>
      </c>
      <c r="AH176" s="125">
        <v>1051.6079682196969</v>
      </c>
      <c r="AI176" s="125">
        <v>1042</v>
      </c>
      <c r="AJ176" s="125">
        <v>1061.2159364393938</v>
      </c>
      <c r="AK176" s="125">
        <v>1051.6079682196969</v>
      </c>
      <c r="AL176" s="125">
        <v>1051.6079682196969</v>
      </c>
      <c r="AM176" s="125">
        <v>1040</v>
      </c>
      <c r="AN176" s="125">
        <v>1063.2159364393938</v>
      </c>
      <c r="AO176" s="125">
        <v>1051.6079682196969</v>
      </c>
      <c r="AP176" s="125">
        <v>1051.6079682196969</v>
      </c>
      <c r="AQ176" s="125">
        <v>983</v>
      </c>
      <c r="AR176" s="125">
        <v>1120.2159364393938</v>
      </c>
      <c r="AS176" s="125">
        <v>1051.6079682196969</v>
      </c>
      <c r="AT176" s="125">
        <v>1051.6079682196969</v>
      </c>
      <c r="AU176" s="125">
        <v>1051.6079682196969</v>
      </c>
      <c r="AV176" s="125">
        <v>914</v>
      </c>
      <c r="AW176" s="125">
        <v>1104</v>
      </c>
      <c r="AX176" s="125">
        <v>1136.8239046590907</v>
      </c>
      <c r="AY176" s="125">
        <v>916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605.43927765486126</v>
      </c>
      <c r="E177" s="124">
        <f t="shared" si="2"/>
        <v>1192.9526307806775</v>
      </c>
      <c r="F177" s="124">
        <f t="shared" si="2"/>
        <v>1201.3019932809261</v>
      </c>
      <c r="G177" s="124">
        <f t="shared" si="2"/>
        <v>1014.651355781175</v>
      </c>
      <c r="H177" s="124">
        <f t="shared" si="2"/>
        <v>907.0007182814237</v>
      </c>
      <c r="I177" s="124">
        <f t="shared" si="2"/>
        <v>338.72233219277865</v>
      </c>
      <c r="J177" s="124">
        <f t="shared" si="2"/>
        <v>1023.9771110891425</v>
      </c>
      <c r="K177" s="124">
        <f t="shared" si="2"/>
        <v>484.69872500049746</v>
      </c>
      <c r="L177" s="124">
        <f t="shared" si="2"/>
        <v>1023.9771110891425</v>
      </c>
      <c r="M177" s="124">
        <f t="shared" si="2"/>
        <v>970.3264735893913</v>
      </c>
      <c r="N177" s="124">
        <f t="shared" si="2"/>
        <v>206.32647358939124</v>
      </c>
      <c r="O177" s="124">
        <f t="shared" si="2"/>
        <v>798.07097641160362</v>
      </c>
      <c r="P177" s="124">
        <f t="shared" si="2"/>
        <v>660.69872500049746</v>
      </c>
      <c r="Q177" s="124">
        <f t="shared" si="2"/>
        <v>895.76970141210109</v>
      </c>
      <c r="R177" s="124">
        <f t="shared" si="2"/>
        <v>735.39745000099492</v>
      </c>
      <c r="S177" s="124">
        <f t="shared" si="2"/>
        <v>971.76578128666301</v>
      </c>
      <c r="T177" s="124">
        <f t="shared" si="2"/>
        <v>718.64867192999452</v>
      </c>
      <c r="U177" s="124">
        <f t="shared" si="2"/>
        <v>82.648671929994521</v>
      </c>
      <c r="V177" s="124">
        <f t="shared" si="2"/>
        <v>1093.2322531435805</v>
      </c>
      <c r="W177" s="124">
        <f t="shared" si="2"/>
        <v>1088.5816156438291</v>
      </c>
      <c r="X177" s="124">
        <f t="shared" si="2"/>
        <v>990.93097814407793</v>
      </c>
      <c r="Y177" s="124">
        <f t="shared" si="2"/>
        <v>865.28034064432666</v>
      </c>
      <c r="Z177" s="124">
        <f t="shared" si="2"/>
        <v>845.62970314457539</v>
      </c>
      <c r="AA177" s="124">
        <f t="shared" si="2"/>
        <v>691.97906564482412</v>
      </c>
      <c r="AB177" s="124">
        <f t="shared" si="2"/>
        <v>190.72161391135495</v>
      </c>
      <c r="AC177" s="124">
        <f t="shared" si="2"/>
        <v>1023.9771110891425</v>
      </c>
      <c r="AD177" s="124">
        <f t="shared" si="2"/>
        <v>996.3264735893913</v>
      </c>
      <c r="AE177" s="124">
        <f t="shared" si="2"/>
        <v>906.67583608963992</v>
      </c>
      <c r="AF177" s="124">
        <f t="shared" si="2"/>
        <v>313.39745000099492</v>
      </c>
      <c r="AG177" s="124">
        <f t="shared" si="2"/>
        <v>1023.9771110891425</v>
      </c>
      <c r="AH177" s="124">
        <f t="shared" si="2"/>
        <v>1025.3264735893913</v>
      </c>
      <c r="AI177" s="124">
        <f t="shared" si="2"/>
        <v>917.67583608963992</v>
      </c>
      <c r="AJ177" s="124">
        <f t="shared" si="2"/>
        <v>844.02519858988876</v>
      </c>
      <c r="AK177" s="124">
        <f t="shared" si="2"/>
        <v>102.0251985898887</v>
      </c>
      <c r="AL177" s="124">
        <f t="shared" si="2"/>
        <v>607.34936250024873</v>
      </c>
      <c r="AM177" s="124">
        <f t="shared" si="2"/>
        <v>1214.6987250004975</v>
      </c>
      <c r="AN177" s="124">
        <f t="shared" si="2"/>
        <v>1052.0480875007461</v>
      </c>
      <c r="AO177" s="124">
        <f t="shared" si="2"/>
        <v>982.39745000099492</v>
      </c>
      <c r="AP177" s="124">
        <f t="shared" si="2"/>
        <v>500.11906391234987</v>
      </c>
      <c r="AQ177" s="124">
        <f t="shared" si="2"/>
        <v>0</v>
      </c>
      <c r="AR177" s="124">
        <f t="shared" si="2"/>
        <v>1631.3264735893913</v>
      </c>
      <c r="AS177" s="124">
        <f t="shared" si="2"/>
        <v>1540.6758360896399</v>
      </c>
      <c r="AT177" s="124">
        <f t="shared" si="2"/>
        <v>1509.0251985898888</v>
      </c>
      <c r="AU177" s="124">
        <f t="shared" si="2"/>
        <v>1387.3745610901374</v>
      </c>
      <c r="AV177" s="124">
        <f t="shared" si="2"/>
        <v>1269.7239235903862</v>
      </c>
      <c r="AW177" s="124">
        <f t="shared" si="2"/>
        <v>1237.0732860906348</v>
      </c>
      <c r="AX177" s="124">
        <f t="shared" si="2"/>
        <v>765.79490000198984</v>
      </c>
      <c r="AY177" s="124">
        <f t="shared" si="2"/>
        <v>596.42264859088357</v>
      </c>
    </row>
    <row r="178" spans="1:51">
      <c r="A178" s="125"/>
      <c r="B178" s="136" t="s">
        <v>299</v>
      </c>
      <c r="C178" s="125" t="s">
        <v>293</v>
      </c>
      <c r="D178" s="125">
        <v>605.43927765486126</v>
      </c>
      <c r="E178" s="125">
        <v>599</v>
      </c>
      <c r="F178" s="125">
        <v>794</v>
      </c>
      <c r="G178" s="125">
        <v>715</v>
      </c>
      <c r="H178" s="125">
        <v>759</v>
      </c>
      <c r="I178" s="125">
        <v>338.72233219277865</v>
      </c>
      <c r="J178" s="125">
        <v>730</v>
      </c>
      <c r="K178" s="125">
        <v>484.69872500049746</v>
      </c>
      <c r="L178" s="125">
        <v>661</v>
      </c>
      <c r="M178" s="125">
        <v>764</v>
      </c>
      <c r="N178" s="125">
        <v>206.32647358939124</v>
      </c>
      <c r="O178" s="125">
        <v>554</v>
      </c>
      <c r="P178" s="125">
        <v>563</v>
      </c>
      <c r="Q178" s="125">
        <v>577</v>
      </c>
      <c r="R178" s="125">
        <v>735.39745000099492</v>
      </c>
      <c r="S178" s="125">
        <v>739</v>
      </c>
      <c r="T178" s="125">
        <v>636</v>
      </c>
      <c r="U178" s="125">
        <v>82.648671929994521</v>
      </c>
      <c r="V178" s="125">
        <v>612</v>
      </c>
      <c r="W178" s="125">
        <v>705</v>
      </c>
      <c r="X178" s="125">
        <v>733</v>
      </c>
      <c r="Y178" s="125">
        <v>627</v>
      </c>
      <c r="Z178" s="125">
        <v>761</v>
      </c>
      <c r="AA178" s="125">
        <v>691.97906564482412</v>
      </c>
      <c r="AB178" s="125">
        <v>190.72161391135495</v>
      </c>
      <c r="AC178" s="125">
        <v>635</v>
      </c>
      <c r="AD178" s="125">
        <v>697</v>
      </c>
      <c r="AE178" s="125">
        <v>784</v>
      </c>
      <c r="AF178" s="125">
        <v>313.39745000099492</v>
      </c>
      <c r="AG178" s="125">
        <v>606</v>
      </c>
      <c r="AH178" s="125">
        <v>715</v>
      </c>
      <c r="AI178" s="125">
        <v>681</v>
      </c>
      <c r="AJ178" s="125">
        <v>742</v>
      </c>
      <c r="AK178" s="125">
        <v>102.0251985898887</v>
      </c>
      <c r="AL178" s="125">
        <v>607.34936250024873</v>
      </c>
      <c r="AM178" s="125">
        <v>770</v>
      </c>
      <c r="AN178" s="125">
        <v>677</v>
      </c>
      <c r="AO178" s="125">
        <v>673</v>
      </c>
      <c r="AP178" s="125">
        <v>500.11906391234987</v>
      </c>
      <c r="AQ178" s="125">
        <v>0</v>
      </c>
      <c r="AR178" s="125">
        <v>698</v>
      </c>
      <c r="AS178" s="125">
        <v>639</v>
      </c>
      <c r="AT178" s="125">
        <v>729</v>
      </c>
      <c r="AU178" s="125">
        <v>725</v>
      </c>
      <c r="AV178" s="125">
        <v>640</v>
      </c>
      <c r="AW178" s="125">
        <v>662</v>
      </c>
      <c r="AX178" s="125">
        <v>586</v>
      </c>
      <c r="AY178" s="125">
        <v>596.42264859088357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252.39942523906274</v>
      </c>
      <c r="E179" s="124">
        <f t="shared" si="3"/>
        <v>369.72338632708806</v>
      </c>
      <c r="F179" s="124">
        <f t="shared" si="3"/>
        <v>726.29967097936708</v>
      </c>
      <c r="G179" s="124">
        <f t="shared" si="3"/>
        <v>757.66868802230215</v>
      </c>
      <c r="H179" s="124">
        <f t="shared" si="3"/>
        <v>768.45450445289839</v>
      </c>
      <c r="I179" s="124">
        <f t="shared" si="3"/>
        <v>635.24032088349463</v>
      </c>
      <c r="J179" s="124">
        <f t="shared" si="3"/>
        <v>274.93950057650841</v>
      </c>
      <c r="K179" s="124">
        <f t="shared" si="3"/>
        <v>623.42778294071877</v>
      </c>
      <c r="L179" s="124">
        <f t="shared" si="3"/>
        <v>293.9455379014758</v>
      </c>
      <c r="M179" s="124">
        <f t="shared" si="3"/>
        <v>623.42778294071877</v>
      </c>
      <c r="N179" s="124">
        <f t="shared" si="3"/>
        <v>653.9189992352824</v>
      </c>
      <c r="O179" s="124">
        <f t="shared" si="3"/>
        <v>126.53079880774816</v>
      </c>
      <c r="P179" s="124">
        <f t="shared" si="3"/>
        <v>485.89667407823293</v>
      </c>
      <c r="Q179" s="124">
        <f t="shared" si="3"/>
        <v>356.5716328611926</v>
      </c>
      <c r="R179" s="124">
        <f t="shared" si="3"/>
        <v>485.89667407823293</v>
      </c>
      <c r="S179" s="124">
        <f t="shared" si="3"/>
        <v>267.04787264413812</v>
      </c>
      <c r="T179" s="124">
        <f t="shared" si="3"/>
        <v>591.64165153189379</v>
      </c>
      <c r="U179" s="124">
        <f t="shared" si="3"/>
        <v>427.79538716376663</v>
      </c>
      <c r="V179" s="124">
        <f t="shared" si="3"/>
        <v>3.2992272837126545E-2</v>
      </c>
      <c r="W179" s="124">
        <f t="shared" si="3"/>
        <v>665.59014606012465</v>
      </c>
      <c r="X179" s="124">
        <f t="shared" si="3"/>
        <v>676.49931173507207</v>
      </c>
      <c r="Y179" s="124">
        <f t="shared" si="3"/>
        <v>576.54245682619671</v>
      </c>
      <c r="Z179" s="124">
        <f t="shared" si="3"/>
        <v>410.3282732567929</v>
      </c>
      <c r="AA179" s="124">
        <f t="shared" si="3"/>
        <v>369.78581643059624</v>
      </c>
      <c r="AB179" s="124">
        <f t="shared" si="3"/>
        <v>369.78581643059624</v>
      </c>
      <c r="AC179" s="124">
        <f t="shared" si="3"/>
        <v>116.14384992047383</v>
      </c>
      <c r="AD179" s="124">
        <f t="shared" si="3"/>
        <v>623.42778294071877</v>
      </c>
      <c r="AE179" s="124">
        <f t="shared" si="3"/>
        <v>565.16196198034288</v>
      </c>
      <c r="AF179" s="124">
        <f t="shared" si="3"/>
        <v>518.94777841093912</v>
      </c>
      <c r="AG179" s="124">
        <f t="shared" si="3"/>
        <v>139.10180182771563</v>
      </c>
      <c r="AH179" s="124">
        <f t="shared" si="3"/>
        <v>623.42778294071877</v>
      </c>
      <c r="AI179" s="124">
        <f t="shared" si="3"/>
        <v>621.21359937131501</v>
      </c>
      <c r="AJ179" s="124">
        <f t="shared" si="3"/>
        <v>588.99941580191125</v>
      </c>
      <c r="AK179" s="124">
        <f t="shared" si="3"/>
        <v>589.7852322325075</v>
      </c>
      <c r="AL179" s="124">
        <f t="shared" si="3"/>
        <v>59.181573390373913</v>
      </c>
      <c r="AM179" s="124">
        <f t="shared" si="3"/>
        <v>369.78581643059624</v>
      </c>
      <c r="AN179" s="124">
        <f t="shared" si="3"/>
        <v>739.53864058835541</v>
      </c>
      <c r="AO179" s="124">
        <f t="shared" si="3"/>
        <v>776.42895602206136</v>
      </c>
      <c r="AP179" s="124">
        <f t="shared" si="3"/>
        <v>695.2094474963219</v>
      </c>
      <c r="AQ179" s="124">
        <f t="shared" si="3"/>
        <v>366.21686090215843</v>
      </c>
      <c r="AR179" s="124">
        <f t="shared" si="3"/>
        <v>3.2992272837126545E-2</v>
      </c>
      <c r="AS179" s="124">
        <f t="shared" si="3"/>
        <v>993.18060709847782</v>
      </c>
      <c r="AT179" s="124">
        <f t="shared" si="3"/>
        <v>1060.565064221988</v>
      </c>
      <c r="AU179" s="124">
        <f t="shared" si="3"/>
        <v>981.52786564461508</v>
      </c>
      <c r="AV179" s="124">
        <f t="shared" si="3"/>
        <v>924.31368207521143</v>
      </c>
      <c r="AW179" s="124">
        <f t="shared" si="3"/>
        <v>886.09949850580756</v>
      </c>
      <c r="AX179" s="124">
        <f t="shared" si="3"/>
        <v>779.8853149364038</v>
      </c>
      <c r="AY179" s="124">
        <f t="shared" si="3"/>
        <v>358.02916485687774</v>
      </c>
    </row>
    <row r="180" spans="1:51">
      <c r="A180" s="125"/>
      <c r="B180" s="136" t="s">
        <v>299</v>
      </c>
      <c r="C180" s="125" t="s">
        <v>293</v>
      </c>
      <c r="D180" s="125">
        <v>252.39942523906274</v>
      </c>
      <c r="E180" s="125">
        <v>369.72338632708806</v>
      </c>
      <c r="F180" s="125">
        <v>453</v>
      </c>
      <c r="G180" s="125">
        <v>359</v>
      </c>
      <c r="H180" s="125">
        <v>503</v>
      </c>
      <c r="I180" s="125">
        <v>476.44467022746005</v>
      </c>
      <c r="J180" s="125">
        <v>274.93950057650841</v>
      </c>
      <c r="K180" s="125">
        <v>512.27699008315653</v>
      </c>
      <c r="L180" s="125">
        <v>293.9455379014758</v>
      </c>
      <c r="M180" s="125">
        <v>428</v>
      </c>
      <c r="N180" s="125">
        <v>527.42119270037131</v>
      </c>
      <c r="O180" s="125">
        <v>126.53079880774816</v>
      </c>
      <c r="P180" s="125">
        <v>383</v>
      </c>
      <c r="Q180" s="125">
        <v>356.5716328611926</v>
      </c>
      <c r="R180" s="125">
        <v>472.52376021705442</v>
      </c>
      <c r="S180" s="125">
        <v>267.04787264413812</v>
      </c>
      <c r="T180" s="125">
        <v>494</v>
      </c>
      <c r="U180" s="125">
        <v>427.79538716376663</v>
      </c>
      <c r="V180" s="125">
        <v>3.2992272837126545E-2</v>
      </c>
      <c r="W180" s="125">
        <v>498</v>
      </c>
      <c r="X180" s="125">
        <v>504</v>
      </c>
      <c r="Y180" s="125">
        <v>536</v>
      </c>
      <c r="Z180" s="125">
        <v>410.3282732567929</v>
      </c>
      <c r="AA180" s="125">
        <v>369.78581643059624</v>
      </c>
      <c r="AB180" s="125">
        <v>369.78581643059624</v>
      </c>
      <c r="AC180" s="125">
        <v>116.14384992047383</v>
      </c>
      <c r="AD180" s="125">
        <v>489</v>
      </c>
      <c r="AE180" s="125">
        <v>416</v>
      </c>
      <c r="AF180" s="125">
        <v>495.98982650369732</v>
      </c>
      <c r="AG180" s="125">
        <v>139.10180182771563</v>
      </c>
      <c r="AH180" s="125">
        <v>372</v>
      </c>
      <c r="AI180" s="125">
        <v>402</v>
      </c>
      <c r="AJ180" s="125">
        <v>369</v>
      </c>
      <c r="AK180" s="125">
        <v>530.63665111497073</v>
      </c>
      <c r="AL180" s="125">
        <v>59.181573390373913</v>
      </c>
      <c r="AM180" s="125">
        <v>369.78581643059624</v>
      </c>
      <c r="AN180" s="125">
        <v>456</v>
      </c>
      <c r="AO180" s="125">
        <v>480</v>
      </c>
      <c r="AP180" s="125">
        <v>445.13643651463724</v>
      </c>
      <c r="AQ180" s="125">
        <v>366.21686090215843</v>
      </c>
      <c r="AR180" s="125">
        <v>3.2992272837126545E-2</v>
      </c>
      <c r="AS180" s="125">
        <v>553</v>
      </c>
      <c r="AT180" s="125">
        <v>490</v>
      </c>
      <c r="AU180" s="125">
        <v>427</v>
      </c>
      <c r="AV180" s="125">
        <v>408</v>
      </c>
      <c r="AW180" s="125">
        <v>476</v>
      </c>
      <c r="AX180" s="125">
        <v>538</v>
      </c>
      <c r="AY180" s="125">
        <v>358.02916485687774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455.87798160895477</v>
      </c>
      <c r="E181" s="124">
        <f t="shared" si="4"/>
        <v>895.54526517400143</v>
      </c>
      <c r="F181" s="124">
        <f t="shared" si="4"/>
        <v>597.23884939238599</v>
      </c>
      <c r="G181" s="124">
        <f t="shared" si="4"/>
        <v>455.95495945409925</v>
      </c>
      <c r="H181" s="124">
        <f t="shared" si="4"/>
        <v>455.95495945409925</v>
      </c>
      <c r="I181" s="124">
        <f t="shared" si="4"/>
        <v>143.20820872066037</v>
      </c>
      <c r="J181" s="124">
        <f t="shared" si="4"/>
        <v>768.70171018753808</v>
      </c>
      <c r="K181" s="124">
        <f t="shared" si="4"/>
        <v>225.39039319958061</v>
      </c>
      <c r="L181" s="124">
        <f t="shared" si="4"/>
        <v>768.70171018753808</v>
      </c>
      <c r="M181" s="124">
        <f t="shared" si="4"/>
        <v>565.33088790030558</v>
      </c>
      <c r="N181" s="124">
        <f t="shared" si="4"/>
        <v>4.0680279652029257E-2</v>
      </c>
      <c r="O181" s="124">
        <f t="shared" si="4"/>
        <v>599.1224878951075</v>
      </c>
      <c r="P181" s="124">
        <f t="shared" si="4"/>
        <v>312.78743101309101</v>
      </c>
      <c r="Q181" s="124">
        <f t="shared" si="4"/>
        <v>599.1224878951075</v>
      </c>
      <c r="R181" s="124">
        <f t="shared" si="4"/>
        <v>312.78743101309101</v>
      </c>
      <c r="S181" s="124">
        <f t="shared" si="4"/>
        <v>729.50863242806827</v>
      </c>
      <c r="T181" s="124">
        <f t="shared" si="4"/>
        <v>407.08763412482966</v>
      </c>
      <c r="U181" s="124">
        <f t="shared" si="4"/>
        <v>4.0680279652029257E-2</v>
      </c>
      <c r="V181" s="124">
        <f t="shared" si="4"/>
        <v>820.68893552830741</v>
      </c>
      <c r="W181" s="124">
        <f t="shared" si="4"/>
        <v>627.49745309577281</v>
      </c>
      <c r="X181" s="124">
        <f t="shared" si="4"/>
        <v>498.19508388934389</v>
      </c>
      <c r="Y181" s="124">
        <f t="shared" si="4"/>
        <v>455.95495945409925</v>
      </c>
      <c r="Z181" s="124">
        <f t="shared" si="4"/>
        <v>455.95495945409925</v>
      </c>
      <c r="AA181" s="124">
        <f t="shared" si="4"/>
        <v>455.95495945409925</v>
      </c>
      <c r="AB181" s="124">
        <f t="shared" si="4"/>
        <v>143.20820872066037</v>
      </c>
      <c r="AC181" s="124">
        <f t="shared" si="4"/>
        <v>768.70171018753808</v>
      </c>
      <c r="AD181" s="124">
        <f t="shared" si="4"/>
        <v>531.10578181509902</v>
      </c>
      <c r="AE181" s="124">
        <f t="shared" si="4"/>
        <v>455.95495945409925</v>
      </c>
      <c r="AF181" s="124">
        <f t="shared" si="4"/>
        <v>143.20820872066037</v>
      </c>
      <c r="AG181" s="124">
        <f t="shared" si="4"/>
        <v>768.70171018753808</v>
      </c>
      <c r="AH181" s="124">
        <f t="shared" si="4"/>
        <v>455.95495945409925</v>
      </c>
      <c r="AI181" s="124">
        <f t="shared" si="4"/>
        <v>455.95495945409925</v>
      </c>
      <c r="AJ181" s="124">
        <f t="shared" si="4"/>
        <v>455.95495945409925</v>
      </c>
      <c r="AK181" s="124">
        <f t="shared" si="4"/>
        <v>4.0680279652060648E-2</v>
      </c>
      <c r="AL181" s="124">
        <f t="shared" si="4"/>
        <v>455.95495945409925</v>
      </c>
      <c r="AM181" s="124">
        <f t="shared" si="4"/>
        <v>911.86923862854644</v>
      </c>
      <c r="AN181" s="124">
        <f t="shared" si="4"/>
        <v>607.74581880447397</v>
      </c>
      <c r="AO181" s="124">
        <f t="shared" si="4"/>
        <v>491.70610321490904</v>
      </c>
      <c r="AP181" s="124">
        <f t="shared" si="4"/>
        <v>143.20820872066037</v>
      </c>
      <c r="AQ181" s="124">
        <f t="shared" si="4"/>
        <v>4.0680279652029257E-2</v>
      </c>
      <c r="AR181" s="124">
        <f t="shared" si="4"/>
        <v>1224.6159893619854</v>
      </c>
      <c r="AS181" s="124">
        <f t="shared" si="4"/>
        <v>764.94921499184568</v>
      </c>
      <c r="AT181" s="124">
        <f t="shared" si="4"/>
        <v>506.72718945391404</v>
      </c>
      <c r="AU181" s="124">
        <f t="shared" si="4"/>
        <v>455.95495945409925</v>
      </c>
      <c r="AV181" s="124">
        <f t="shared" si="4"/>
        <v>455.95495945409925</v>
      </c>
      <c r="AW181" s="124">
        <f t="shared" si="4"/>
        <v>455.95495945409925</v>
      </c>
      <c r="AX181" s="124">
        <f t="shared" si="4"/>
        <v>143.20820872066039</v>
      </c>
      <c r="AY181" s="124">
        <f t="shared" si="4"/>
        <v>312.7874310130909</v>
      </c>
    </row>
    <row r="182" spans="1:51">
      <c r="A182" s="125"/>
      <c r="B182" s="136" t="s">
        <v>299</v>
      </c>
      <c r="C182" s="125" t="s">
        <v>293</v>
      </c>
      <c r="D182" s="125">
        <v>455.87798160895477</v>
      </c>
      <c r="E182" s="125">
        <v>639.67817462337587</v>
      </c>
      <c r="F182" s="125">
        <v>597.23884939238599</v>
      </c>
      <c r="G182" s="125">
        <v>455.95495945409925</v>
      </c>
      <c r="H182" s="125">
        <v>455.95495945409925</v>
      </c>
      <c r="I182" s="125">
        <v>143.20820872066037</v>
      </c>
      <c r="J182" s="125">
        <v>619.86863058517815</v>
      </c>
      <c r="K182" s="125">
        <v>225.39039319958061</v>
      </c>
      <c r="L182" s="125">
        <v>570.62038187736448</v>
      </c>
      <c r="M182" s="125">
        <v>565.33088790030558</v>
      </c>
      <c r="N182" s="125">
        <v>4.0680279652029257E-2</v>
      </c>
      <c r="O182" s="125">
        <v>599.1224878951075</v>
      </c>
      <c r="P182" s="125">
        <v>312.78743101309101</v>
      </c>
      <c r="Q182" s="125">
        <v>599.1224878951075</v>
      </c>
      <c r="R182" s="125">
        <v>312.78743101309101</v>
      </c>
      <c r="S182" s="125">
        <v>652.87924092759135</v>
      </c>
      <c r="T182" s="125">
        <v>407.08763412482966</v>
      </c>
      <c r="U182" s="125">
        <v>4.0680279652029257E-2</v>
      </c>
      <c r="V182" s="125">
        <v>510.02309264228256</v>
      </c>
      <c r="W182" s="125">
        <v>551</v>
      </c>
      <c r="X182" s="125">
        <v>498.19508388934389</v>
      </c>
      <c r="Y182" s="125">
        <v>455.95495945409925</v>
      </c>
      <c r="Z182" s="125">
        <v>455.95495945409925</v>
      </c>
      <c r="AA182" s="125">
        <v>455.95495945409925</v>
      </c>
      <c r="AB182" s="125">
        <v>143.20820872066037</v>
      </c>
      <c r="AC182" s="125">
        <v>632.60252521751056</v>
      </c>
      <c r="AD182" s="125">
        <v>531.10578181509902</v>
      </c>
      <c r="AE182" s="125">
        <v>455.95495945409925</v>
      </c>
      <c r="AF182" s="125">
        <v>143.20820872066037</v>
      </c>
      <c r="AG182" s="125">
        <v>768.70171018753808</v>
      </c>
      <c r="AH182" s="125">
        <v>455.95495945409925</v>
      </c>
      <c r="AI182" s="125">
        <v>455.95495945409925</v>
      </c>
      <c r="AJ182" s="125">
        <v>455.95495945409925</v>
      </c>
      <c r="AK182" s="125">
        <v>4.0680279652060648E-2</v>
      </c>
      <c r="AL182" s="125">
        <v>455.95495945409925</v>
      </c>
      <c r="AM182" s="125">
        <v>636.97388027506202</v>
      </c>
      <c r="AN182" s="125">
        <v>543</v>
      </c>
      <c r="AO182" s="125">
        <v>491.70610321490904</v>
      </c>
      <c r="AP182" s="125">
        <v>143.20820872066037</v>
      </c>
      <c r="AQ182" s="125">
        <v>4.0680279652029257E-2</v>
      </c>
      <c r="AR182" s="125">
        <v>665.02309313132503</v>
      </c>
      <c r="AS182" s="125">
        <v>673</v>
      </c>
      <c r="AT182" s="125">
        <v>506.72718945391404</v>
      </c>
      <c r="AU182" s="125">
        <v>455.95495945409925</v>
      </c>
      <c r="AV182" s="125">
        <v>455.95495945409925</v>
      </c>
      <c r="AW182" s="125">
        <v>455.95495945409925</v>
      </c>
      <c r="AX182" s="125">
        <v>143.20820872066039</v>
      </c>
      <c r="AY182" s="125">
        <v>312.7874310130909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915</v>
      </c>
      <c r="D185" s="124">
        <v>1033.1189702422919</v>
      </c>
      <c r="E185" s="124">
        <v>926.51100202259499</v>
      </c>
      <c r="F185" s="124">
        <v>1051.6079682196969</v>
      </c>
      <c r="G185" s="124">
        <v>993</v>
      </c>
      <c r="H185" s="124">
        <v>921.39203178030311</v>
      </c>
      <c r="I185" s="124">
        <v>1051.6079682196969</v>
      </c>
      <c r="J185" s="124">
        <v>1051.6079682196969</v>
      </c>
      <c r="K185" s="124">
        <v>955</v>
      </c>
      <c r="L185" s="124">
        <v>927.39203178030311</v>
      </c>
      <c r="M185" s="124">
        <v>1022.7840635606062</v>
      </c>
      <c r="N185" s="124">
        <v>1051.6079682196969</v>
      </c>
      <c r="O185" s="124">
        <v>1051.6079682196969</v>
      </c>
      <c r="P185" s="124">
        <v>841.29226269161995</v>
      </c>
      <c r="Q185" s="124">
        <v>841.29226269161995</v>
      </c>
      <c r="R185" s="124">
        <v>841.29226269161995</v>
      </c>
      <c r="S185" s="124">
        <v>841.29226269161995</v>
      </c>
      <c r="T185" s="124">
        <v>1040</v>
      </c>
      <c r="U185" s="124">
        <v>1051.3920317803031</v>
      </c>
      <c r="V185" s="124">
        <v>927.78406356060623</v>
      </c>
      <c r="W185" s="124">
        <v>983.17609534090934</v>
      </c>
      <c r="X185" s="124">
        <v>1051.6079682196969</v>
      </c>
      <c r="Y185" s="124">
        <v>961</v>
      </c>
      <c r="Z185" s="124">
        <v>931.39203178030311</v>
      </c>
      <c r="AA185" s="124">
        <v>1008.7840635606062</v>
      </c>
      <c r="AB185" s="124">
        <v>1051.6079682196969</v>
      </c>
      <c r="AC185" s="124">
        <v>1051.6079682196969</v>
      </c>
      <c r="AD185" s="124">
        <v>1019</v>
      </c>
      <c r="AE185" s="124">
        <v>1051.6079682196969</v>
      </c>
      <c r="AF185" s="124">
        <v>1004</v>
      </c>
      <c r="AG185" s="124">
        <v>1051.6079682196969</v>
      </c>
      <c r="AH185" s="124">
        <v>1051.6079682196969</v>
      </c>
      <c r="AI185" s="124">
        <v>1042</v>
      </c>
      <c r="AJ185" s="124">
        <v>1051.6079682196969</v>
      </c>
      <c r="AK185" s="124">
        <v>1051.6079682196969</v>
      </c>
      <c r="AL185" s="124">
        <v>1051.6079682196969</v>
      </c>
      <c r="AM185" s="124">
        <v>1040</v>
      </c>
      <c r="AN185" s="124">
        <v>1051.6079682196969</v>
      </c>
      <c r="AO185" s="124">
        <v>1051.6079682196969</v>
      </c>
      <c r="AP185" s="124">
        <v>1051.6079682196969</v>
      </c>
      <c r="AQ185" s="124">
        <v>983</v>
      </c>
      <c r="AR185" s="124">
        <v>1051.6079682196969</v>
      </c>
      <c r="AS185" s="124">
        <v>1051.6079682196969</v>
      </c>
      <c r="AT185" s="124">
        <v>1051.6079682196969</v>
      </c>
      <c r="AU185" s="124">
        <v>1051.6079682196969</v>
      </c>
      <c r="AV185" s="124">
        <v>914</v>
      </c>
      <c r="AW185" s="124">
        <v>966.39203178030311</v>
      </c>
      <c r="AX185" s="124">
        <v>1051.6079682196969</v>
      </c>
      <c r="AY185" s="124">
        <v>916</v>
      </c>
    </row>
    <row r="186" spans="1:51">
      <c r="A186" s="109"/>
      <c r="B186" s="120">
        <v>2</v>
      </c>
      <c r="C186" s="106">
        <v>0</v>
      </c>
      <c r="D186" s="106">
        <v>135.88102975770812</v>
      </c>
      <c r="E186" s="106">
        <v>18.488997977405006</v>
      </c>
      <c r="F186" s="106">
        <v>125.09696619710189</v>
      </c>
      <c r="G186" s="106">
        <v>0</v>
      </c>
      <c r="H186" s="106">
        <v>58.607968219696886</v>
      </c>
      <c r="I186" s="106">
        <v>130.21593643939377</v>
      </c>
      <c r="J186" s="106">
        <v>0</v>
      </c>
      <c r="K186" s="106">
        <v>0</v>
      </c>
      <c r="L186" s="106">
        <v>96.607968219696886</v>
      </c>
      <c r="M186" s="106">
        <v>124.21593643939377</v>
      </c>
      <c r="N186" s="106">
        <v>28.823904659090658</v>
      </c>
      <c r="O186" s="106">
        <v>0</v>
      </c>
      <c r="P186" s="106">
        <v>0</v>
      </c>
      <c r="Q186" s="106">
        <v>0</v>
      </c>
      <c r="R186" s="106">
        <v>0</v>
      </c>
      <c r="S186" s="106">
        <v>0</v>
      </c>
      <c r="T186" s="106">
        <v>0</v>
      </c>
      <c r="U186" s="106">
        <v>11.607968219696886</v>
      </c>
      <c r="V186" s="106">
        <v>0.21593643939377216</v>
      </c>
      <c r="W186" s="106">
        <v>123.82390465909066</v>
      </c>
      <c r="X186" s="106">
        <v>68.431872878787544</v>
      </c>
      <c r="Y186" s="106">
        <v>0</v>
      </c>
      <c r="Z186" s="106">
        <v>90.607968219696886</v>
      </c>
      <c r="AA186" s="106">
        <v>120.21593643939377</v>
      </c>
      <c r="AB186" s="106">
        <v>42.823904659090658</v>
      </c>
      <c r="AC186" s="106">
        <v>0</v>
      </c>
      <c r="AD186" s="106">
        <v>0</v>
      </c>
      <c r="AE186" s="106">
        <v>32.607968219696886</v>
      </c>
      <c r="AF186" s="106">
        <v>0</v>
      </c>
      <c r="AG186" s="106">
        <v>47.607968219696886</v>
      </c>
      <c r="AH186" s="106">
        <v>0</v>
      </c>
      <c r="AI186" s="106">
        <v>0</v>
      </c>
      <c r="AJ186" s="106">
        <v>9.6079682196968861</v>
      </c>
      <c r="AK186" s="106">
        <v>0</v>
      </c>
      <c r="AL186" s="106">
        <v>0</v>
      </c>
      <c r="AM186" s="106">
        <v>0</v>
      </c>
      <c r="AN186" s="106">
        <v>11.607968219696886</v>
      </c>
      <c r="AO186" s="106">
        <v>0</v>
      </c>
      <c r="AP186" s="106">
        <v>0</v>
      </c>
      <c r="AQ186" s="106">
        <v>0</v>
      </c>
      <c r="AR186" s="106">
        <v>68.607968219696886</v>
      </c>
      <c r="AS186" s="106">
        <v>0</v>
      </c>
      <c r="AT186" s="106">
        <v>0</v>
      </c>
      <c r="AU186" s="106">
        <v>0</v>
      </c>
      <c r="AV186" s="106">
        <v>0</v>
      </c>
      <c r="AW186" s="106">
        <v>137.60796821969689</v>
      </c>
      <c r="AX186" s="106">
        <v>85.215936439393772</v>
      </c>
      <c r="AY186" s="106">
        <v>0</v>
      </c>
    </row>
    <row r="187" spans="1:51">
      <c r="A187" s="109"/>
      <c r="B187" s="127">
        <v>3</v>
      </c>
      <c r="C187" s="106">
        <v>0</v>
      </c>
      <c r="D187" s="106">
        <v>0</v>
      </c>
      <c r="E187" s="106">
        <v>0</v>
      </c>
      <c r="F187" s="106">
        <v>0</v>
      </c>
      <c r="G187" s="106">
        <v>0</v>
      </c>
      <c r="H187" s="106">
        <v>0</v>
      </c>
      <c r="I187" s="106">
        <v>0</v>
      </c>
      <c r="J187" s="106">
        <v>0</v>
      </c>
      <c r="K187" s="106">
        <v>0</v>
      </c>
      <c r="L187" s="106">
        <v>0</v>
      </c>
      <c r="M187" s="106">
        <v>0</v>
      </c>
      <c r="N187" s="106">
        <v>0</v>
      </c>
      <c r="O187" s="106">
        <v>0</v>
      </c>
      <c r="P187" s="106">
        <v>0</v>
      </c>
      <c r="Q187" s="106">
        <v>0</v>
      </c>
      <c r="R187" s="106">
        <v>0</v>
      </c>
      <c r="S187" s="106">
        <v>0</v>
      </c>
      <c r="T187" s="106">
        <v>0</v>
      </c>
      <c r="U187" s="106">
        <v>0</v>
      </c>
      <c r="V187" s="106">
        <v>0</v>
      </c>
      <c r="W187" s="106">
        <v>0</v>
      </c>
      <c r="X187" s="106">
        <v>0</v>
      </c>
      <c r="Y187" s="106">
        <v>0</v>
      </c>
      <c r="Z187" s="106">
        <v>0</v>
      </c>
      <c r="AA187" s="106">
        <v>0</v>
      </c>
      <c r="AB187" s="106">
        <v>0</v>
      </c>
      <c r="AC187" s="106">
        <v>0</v>
      </c>
      <c r="AD187" s="106">
        <v>0</v>
      </c>
      <c r="AE187" s="106">
        <v>0</v>
      </c>
      <c r="AF187" s="106">
        <v>0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0</v>
      </c>
      <c r="AP187" s="106">
        <v>0</v>
      </c>
      <c r="AQ187" s="106">
        <v>0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0</v>
      </c>
    </row>
    <row r="188" spans="1:51">
      <c r="A188" s="128"/>
      <c r="B188" s="129">
        <v>4</v>
      </c>
      <c r="C188" s="106">
        <v>0</v>
      </c>
      <c r="D188" s="106">
        <v>0</v>
      </c>
      <c r="E188" s="106">
        <v>0</v>
      </c>
      <c r="F188" s="106">
        <v>0</v>
      </c>
      <c r="G188" s="106">
        <v>0</v>
      </c>
      <c r="H188" s="106">
        <v>0</v>
      </c>
      <c r="I188" s="106">
        <v>0</v>
      </c>
      <c r="J188" s="106">
        <v>0</v>
      </c>
      <c r="K188" s="106">
        <v>0</v>
      </c>
      <c r="L188" s="106">
        <v>0</v>
      </c>
      <c r="M188" s="106">
        <v>0</v>
      </c>
      <c r="N188" s="106">
        <v>0</v>
      </c>
      <c r="O188" s="106">
        <v>0</v>
      </c>
      <c r="P188" s="106">
        <v>0</v>
      </c>
      <c r="Q188" s="106">
        <v>0</v>
      </c>
      <c r="R188" s="106">
        <v>0</v>
      </c>
      <c r="S188" s="106">
        <v>0</v>
      </c>
      <c r="T188" s="106">
        <v>0</v>
      </c>
      <c r="U188" s="106">
        <v>0</v>
      </c>
      <c r="V188" s="106">
        <v>0</v>
      </c>
      <c r="W188" s="106">
        <v>0</v>
      </c>
      <c r="X188" s="106">
        <v>0</v>
      </c>
      <c r="Y188" s="106">
        <v>0</v>
      </c>
      <c r="Z188" s="106">
        <v>0</v>
      </c>
      <c r="AA188" s="106">
        <v>0</v>
      </c>
      <c r="AB188" s="106">
        <v>0</v>
      </c>
      <c r="AC188" s="106">
        <v>0</v>
      </c>
      <c r="AD188" s="106">
        <v>0</v>
      </c>
      <c r="AE188" s="106">
        <v>0</v>
      </c>
      <c r="AF188" s="106">
        <v>0</v>
      </c>
      <c r="AG188" s="106">
        <v>0</v>
      </c>
      <c r="AH188" s="106">
        <v>0</v>
      </c>
      <c r="AI188" s="106">
        <v>0</v>
      </c>
      <c r="AJ188" s="106">
        <v>0</v>
      </c>
      <c r="AK188" s="106">
        <v>0</v>
      </c>
      <c r="AL188" s="106">
        <v>0</v>
      </c>
      <c r="AM188" s="106">
        <v>0</v>
      </c>
      <c r="AN188" s="106">
        <v>0</v>
      </c>
      <c r="AO188" s="106">
        <v>0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0</v>
      </c>
      <c r="D189" s="124">
        <v>0</v>
      </c>
      <c r="E189" s="124">
        <v>599</v>
      </c>
      <c r="F189" s="124">
        <v>200.04736921932249</v>
      </c>
      <c r="G189" s="124">
        <v>307.69800671907376</v>
      </c>
      <c r="H189" s="124">
        <v>459.34864421882503</v>
      </c>
      <c r="I189" s="124">
        <v>190.72161391135495</v>
      </c>
      <c r="J189" s="124">
        <v>313.37225141110622</v>
      </c>
      <c r="K189" s="124">
        <v>190.72161391135495</v>
      </c>
      <c r="L189" s="124">
        <v>244.37225141110622</v>
      </c>
      <c r="M189" s="124">
        <v>401.02288891085749</v>
      </c>
      <c r="N189" s="124">
        <v>0</v>
      </c>
      <c r="O189" s="124">
        <v>0</v>
      </c>
      <c r="P189" s="124">
        <v>0</v>
      </c>
      <c r="Q189" s="124">
        <v>0</v>
      </c>
      <c r="R189" s="124">
        <v>0</v>
      </c>
      <c r="S189" s="124">
        <v>739</v>
      </c>
      <c r="T189" s="124">
        <v>403.23421871333699</v>
      </c>
      <c r="U189" s="124">
        <v>0</v>
      </c>
      <c r="V189" s="124">
        <v>612</v>
      </c>
      <c r="W189" s="124">
        <v>223.76774685641954</v>
      </c>
      <c r="X189" s="124">
        <v>349.4183843561708</v>
      </c>
      <c r="Y189" s="124">
        <v>369.06902185592207</v>
      </c>
      <c r="Z189" s="124">
        <v>522.71965935567334</v>
      </c>
      <c r="AA189" s="124">
        <v>607.34936250024873</v>
      </c>
      <c r="AB189" s="124">
        <v>190.72161391135495</v>
      </c>
      <c r="AC189" s="124">
        <v>218.37225141110622</v>
      </c>
      <c r="AD189" s="124">
        <v>308.02288891085749</v>
      </c>
      <c r="AE189" s="124">
        <v>484.67352641060876</v>
      </c>
      <c r="AF189" s="124">
        <v>190.72161391135495</v>
      </c>
      <c r="AG189" s="124">
        <v>189.37225141110622</v>
      </c>
      <c r="AH189" s="124">
        <v>297.02288891085749</v>
      </c>
      <c r="AI189" s="124">
        <v>370.67352641060876</v>
      </c>
      <c r="AJ189" s="124">
        <v>505.32416391036003</v>
      </c>
      <c r="AK189" s="124">
        <v>0</v>
      </c>
      <c r="AL189" s="124">
        <v>607.34936250024873</v>
      </c>
      <c r="AM189" s="124">
        <v>162.65063749975127</v>
      </c>
      <c r="AN189" s="124">
        <v>232.30127499950254</v>
      </c>
      <c r="AO189" s="124">
        <v>297.95191249925381</v>
      </c>
      <c r="AP189" s="124">
        <v>190.72161391135495</v>
      </c>
      <c r="AQ189" s="124">
        <v>0</v>
      </c>
      <c r="AR189" s="124">
        <v>0</v>
      </c>
      <c r="AS189" s="124">
        <v>0</v>
      </c>
      <c r="AT189" s="124">
        <v>0</v>
      </c>
      <c r="AU189" s="124">
        <v>0</v>
      </c>
      <c r="AV189" s="124">
        <v>0</v>
      </c>
      <c r="AW189" s="124">
        <v>32.276076409613893</v>
      </c>
      <c r="AX189" s="124">
        <v>10.926713909365162</v>
      </c>
      <c r="AY189" s="124">
        <v>0</v>
      </c>
    </row>
    <row r="190" spans="1:51">
      <c r="A190" s="109"/>
      <c r="B190" s="119">
        <v>2</v>
      </c>
      <c r="C190" s="106">
        <v>579.5593947124429</v>
      </c>
      <c r="D190" s="106">
        <v>605.43927765486126</v>
      </c>
      <c r="E190" s="106">
        <v>0</v>
      </c>
      <c r="F190" s="106">
        <v>593.95263078067751</v>
      </c>
      <c r="G190" s="106">
        <v>407.30199328092624</v>
      </c>
      <c r="H190" s="106">
        <v>299.65135578117497</v>
      </c>
      <c r="I190" s="106">
        <v>148.0007182814237</v>
      </c>
      <c r="J190" s="106">
        <v>416.62774858889378</v>
      </c>
      <c r="K190" s="106">
        <v>293.97711108914251</v>
      </c>
      <c r="L190" s="106">
        <v>416.62774858889378</v>
      </c>
      <c r="M190" s="106">
        <v>362.97711108914251</v>
      </c>
      <c r="N190" s="106">
        <v>206.32647358939124</v>
      </c>
      <c r="O190" s="106">
        <v>554</v>
      </c>
      <c r="P190" s="106">
        <v>509.65063749975127</v>
      </c>
      <c r="Q190" s="106">
        <v>479.30127499950254</v>
      </c>
      <c r="R190" s="106">
        <v>607.34936250024873</v>
      </c>
      <c r="S190" s="106">
        <v>0</v>
      </c>
      <c r="T190" s="106">
        <v>232.76578128666301</v>
      </c>
      <c r="U190" s="106">
        <v>82.648671929994521</v>
      </c>
      <c r="V190" s="106">
        <v>0</v>
      </c>
      <c r="W190" s="106">
        <v>481.23225314358046</v>
      </c>
      <c r="X190" s="106">
        <v>383.5816156438292</v>
      </c>
      <c r="Y190" s="106">
        <v>257.93097814407793</v>
      </c>
      <c r="Z190" s="106">
        <v>238.28034064432666</v>
      </c>
      <c r="AA190" s="106">
        <v>84.629703144575387</v>
      </c>
      <c r="AB190" s="106">
        <v>0</v>
      </c>
      <c r="AC190" s="106">
        <v>416.62774858889378</v>
      </c>
      <c r="AD190" s="106">
        <v>388.97711108914251</v>
      </c>
      <c r="AE190" s="106">
        <v>299.32647358939124</v>
      </c>
      <c r="AF190" s="106">
        <v>122.67583608963997</v>
      </c>
      <c r="AG190" s="106">
        <v>416.62774858889378</v>
      </c>
      <c r="AH190" s="106">
        <v>417.97711108914251</v>
      </c>
      <c r="AI190" s="106">
        <v>310.32647358939124</v>
      </c>
      <c r="AJ190" s="106">
        <v>236.67583608963997</v>
      </c>
      <c r="AK190" s="106">
        <v>102.0251985898887</v>
      </c>
      <c r="AL190" s="106">
        <v>0</v>
      </c>
      <c r="AM190" s="106">
        <v>0</v>
      </c>
      <c r="AN190" s="106">
        <v>444.69872500049746</v>
      </c>
      <c r="AO190" s="106">
        <v>375.04808750074619</v>
      </c>
      <c r="AP190" s="106">
        <v>309.39745000099492</v>
      </c>
      <c r="AQ190" s="106">
        <v>0</v>
      </c>
      <c r="AR190" s="106">
        <v>281.37225141110622</v>
      </c>
      <c r="AS190" s="106">
        <v>313.02288891085749</v>
      </c>
      <c r="AT190" s="106">
        <v>434.67352641060876</v>
      </c>
      <c r="AU190" s="106">
        <v>552.32416391036008</v>
      </c>
      <c r="AV190" s="106">
        <v>584.97480141011135</v>
      </c>
      <c r="AW190" s="106">
        <v>607.34936250024873</v>
      </c>
      <c r="AX190" s="106">
        <v>575.07328609063484</v>
      </c>
      <c r="AY190" s="106">
        <v>596.42264859088357</v>
      </c>
    </row>
    <row r="191" spans="1:51">
      <c r="A191" s="109"/>
      <c r="B191" s="120">
        <v>3</v>
      </c>
      <c r="C191" s="106">
        <v>0</v>
      </c>
      <c r="D191" s="106">
        <v>0</v>
      </c>
      <c r="E191" s="106">
        <v>0</v>
      </c>
      <c r="F191" s="106">
        <v>0</v>
      </c>
      <c r="G191" s="106">
        <v>0</v>
      </c>
      <c r="H191" s="106">
        <v>0</v>
      </c>
      <c r="I191" s="106">
        <v>0</v>
      </c>
      <c r="J191" s="106">
        <v>0</v>
      </c>
      <c r="K191" s="106">
        <v>0</v>
      </c>
      <c r="L191" s="106">
        <v>0</v>
      </c>
      <c r="M191" s="106">
        <v>0</v>
      </c>
      <c r="N191" s="106">
        <v>0</v>
      </c>
      <c r="O191" s="106">
        <v>0</v>
      </c>
      <c r="P191" s="106">
        <v>53.349362500248731</v>
      </c>
      <c r="Q191" s="106">
        <v>97.698725000497461</v>
      </c>
      <c r="R191" s="106">
        <v>128.04808750074619</v>
      </c>
      <c r="S191" s="106">
        <v>0</v>
      </c>
      <c r="T191" s="106">
        <v>0</v>
      </c>
      <c r="U191" s="106">
        <v>0</v>
      </c>
      <c r="V191" s="106">
        <v>0</v>
      </c>
      <c r="W191" s="106">
        <v>0</v>
      </c>
      <c r="X191" s="106">
        <v>0</v>
      </c>
      <c r="Y191" s="106">
        <v>0</v>
      </c>
      <c r="Z191" s="106">
        <v>0</v>
      </c>
      <c r="AA191" s="106">
        <v>0</v>
      </c>
      <c r="AB191" s="106">
        <v>0</v>
      </c>
      <c r="AC191" s="106">
        <v>0</v>
      </c>
      <c r="AD191" s="106">
        <v>0</v>
      </c>
      <c r="AE191" s="106">
        <v>0</v>
      </c>
      <c r="AF191" s="106">
        <v>0</v>
      </c>
      <c r="AG191" s="106">
        <v>0</v>
      </c>
      <c r="AH191" s="106">
        <v>0</v>
      </c>
      <c r="AI191" s="106">
        <v>0</v>
      </c>
      <c r="AJ191" s="106">
        <v>0</v>
      </c>
      <c r="AK191" s="106">
        <v>0</v>
      </c>
      <c r="AL191" s="106">
        <v>0</v>
      </c>
      <c r="AM191" s="106">
        <v>607.34936250024873</v>
      </c>
      <c r="AN191" s="106">
        <v>0</v>
      </c>
      <c r="AO191" s="106">
        <v>0</v>
      </c>
      <c r="AP191" s="106">
        <v>0</v>
      </c>
      <c r="AQ191" s="106">
        <v>0</v>
      </c>
      <c r="AR191" s="106">
        <v>416.62774858889378</v>
      </c>
      <c r="AS191" s="106">
        <v>325.97711108914251</v>
      </c>
      <c r="AT191" s="106">
        <v>294.32647358939124</v>
      </c>
      <c r="AU191" s="106">
        <v>172.67583608963997</v>
      </c>
      <c r="AV191" s="106">
        <v>55.025198589888646</v>
      </c>
      <c r="AW191" s="106">
        <v>22.374561090137377</v>
      </c>
      <c r="AX191" s="106">
        <v>0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115.80134636915488</v>
      </c>
      <c r="D197" s="106">
        <v>252.39942523906271</v>
      </c>
      <c r="E197" s="106">
        <v>369.72338632708806</v>
      </c>
      <c r="F197" s="106">
        <v>453</v>
      </c>
      <c r="G197" s="106">
        <v>85.700329020632921</v>
      </c>
      <c r="H197" s="106">
        <v>104.33131197769785</v>
      </c>
      <c r="I197" s="106">
        <v>210.99016577456166</v>
      </c>
      <c r="J197" s="106">
        <v>116.14384992047383</v>
      </c>
      <c r="K197" s="106">
        <v>512.27699008315653</v>
      </c>
      <c r="L197" s="106">
        <v>182.79474504391357</v>
      </c>
      <c r="M197" s="106">
        <v>428</v>
      </c>
      <c r="N197" s="106">
        <v>331.99340975965254</v>
      </c>
      <c r="O197" s="106">
        <v>3.299227283712014E-2</v>
      </c>
      <c r="P197" s="106">
        <v>383</v>
      </c>
      <c r="Q197" s="106">
        <v>253.67495878295964</v>
      </c>
      <c r="R197" s="106">
        <v>472.52376021705442</v>
      </c>
      <c r="S197" s="106">
        <v>253.67495878295961</v>
      </c>
      <c r="T197" s="106">
        <v>494</v>
      </c>
      <c r="U197" s="106">
        <v>330.15373563187285</v>
      </c>
      <c r="V197" s="106">
        <v>3.2992272837126545E-2</v>
      </c>
      <c r="W197" s="106">
        <v>498</v>
      </c>
      <c r="X197" s="106">
        <v>336.40985393987535</v>
      </c>
      <c r="Y197" s="106">
        <v>363.50068826492787</v>
      </c>
      <c r="Z197" s="106">
        <v>369.78581643059624</v>
      </c>
      <c r="AA197" s="106">
        <v>369.78581643059624</v>
      </c>
      <c r="AB197" s="106">
        <v>369.78581643059624</v>
      </c>
      <c r="AC197" s="106">
        <v>116.14384992047383</v>
      </c>
      <c r="AD197" s="106">
        <v>489</v>
      </c>
      <c r="AE197" s="106">
        <v>281.57221705928123</v>
      </c>
      <c r="AF197" s="106">
        <v>346.82786452335444</v>
      </c>
      <c r="AG197" s="106">
        <v>116.14384992047383</v>
      </c>
      <c r="AH197" s="106">
        <v>372</v>
      </c>
      <c r="AI197" s="106">
        <v>150.57221705928123</v>
      </c>
      <c r="AJ197" s="106">
        <v>149.78640062868499</v>
      </c>
      <c r="AK197" s="106">
        <v>310.63723531305948</v>
      </c>
      <c r="AL197" s="106">
        <v>3.2992272837148562E-2</v>
      </c>
      <c r="AM197" s="106">
        <v>369.78581643059624</v>
      </c>
      <c r="AN197" s="106">
        <v>456</v>
      </c>
      <c r="AO197" s="106">
        <v>196.46135941164459</v>
      </c>
      <c r="AP197" s="106">
        <v>148.70748049257583</v>
      </c>
      <c r="AQ197" s="106">
        <v>116.14384992047383</v>
      </c>
      <c r="AR197" s="106">
        <v>3.2992272837126545E-2</v>
      </c>
      <c r="AS197" s="106">
        <v>553</v>
      </c>
      <c r="AT197" s="106">
        <v>49.819392901522178</v>
      </c>
      <c r="AU197" s="106">
        <v>0</v>
      </c>
      <c r="AV197" s="106">
        <v>0</v>
      </c>
      <c r="AW197" s="106">
        <v>0</v>
      </c>
      <c r="AX197" s="106">
        <v>127.90050149419238</v>
      </c>
      <c r="AY197" s="106">
        <v>116.14384992047385</v>
      </c>
    </row>
    <row r="198" spans="1:51">
      <c r="A198" s="109"/>
      <c r="B198" s="119">
        <v>2</v>
      </c>
      <c r="C198" s="106">
        <v>233.7952211803551</v>
      </c>
      <c r="D198" s="106">
        <v>1.4210854715202004E-14</v>
      </c>
      <c r="E198" s="106">
        <v>0</v>
      </c>
      <c r="F198" s="106">
        <v>0</v>
      </c>
      <c r="G198" s="106">
        <v>273.29967097936708</v>
      </c>
      <c r="H198" s="106">
        <v>398.66868802230215</v>
      </c>
      <c r="I198" s="106">
        <v>265.45450445289839</v>
      </c>
      <c r="J198" s="106">
        <v>158.79565065603458</v>
      </c>
      <c r="K198" s="106">
        <v>0</v>
      </c>
      <c r="L198" s="106">
        <v>111.15079285756224</v>
      </c>
      <c r="M198" s="106">
        <v>0</v>
      </c>
      <c r="N198" s="106">
        <v>195.42778294071877</v>
      </c>
      <c r="O198" s="106">
        <v>126.49780653491104</v>
      </c>
      <c r="P198" s="106">
        <v>6.4045990733063718E-15</v>
      </c>
      <c r="Q198" s="106">
        <v>102.89667407823293</v>
      </c>
      <c r="R198" s="106">
        <v>0</v>
      </c>
      <c r="S198" s="106">
        <v>13.372913861178517</v>
      </c>
      <c r="T198" s="106">
        <v>2.8421709430404007E-14</v>
      </c>
      <c r="U198" s="106">
        <v>97.641651531893785</v>
      </c>
      <c r="V198" s="106">
        <v>0</v>
      </c>
      <c r="W198" s="106">
        <v>0</v>
      </c>
      <c r="X198" s="106">
        <v>167.59014606012465</v>
      </c>
      <c r="Y198" s="106">
        <v>172.49931173507213</v>
      </c>
      <c r="Z198" s="106">
        <v>40.542456826196656</v>
      </c>
      <c r="AA198" s="106">
        <v>0</v>
      </c>
      <c r="AB198" s="106">
        <v>0</v>
      </c>
      <c r="AC198" s="106">
        <v>0</v>
      </c>
      <c r="AD198" s="106">
        <v>0</v>
      </c>
      <c r="AE198" s="106">
        <v>134.42778294071877</v>
      </c>
      <c r="AF198" s="106">
        <v>149.16196198034288</v>
      </c>
      <c r="AG198" s="106">
        <v>22.957951907241807</v>
      </c>
      <c r="AH198" s="106">
        <v>0</v>
      </c>
      <c r="AI198" s="106">
        <v>251.42778294071877</v>
      </c>
      <c r="AJ198" s="106">
        <v>219.21359937131501</v>
      </c>
      <c r="AK198" s="106">
        <v>219.99941580191125</v>
      </c>
      <c r="AL198" s="106">
        <v>59.148581117536764</v>
      </c>
      <c r="AM198" s="106">
        <v>3.434752482434078E-15</v>
      </c>
      <c r="AN198" s="106">
        <v>0</v>
      </c>
      <c r="AO198" s="106">
        <v>283.53864058835541</v>
      </c>
      <c r="AP198" s="106">
        <v>296.42895602206141</v>
      </c>
      <c r="AQ198" s="106">
        <v>250.0730109816846</v>
      </c>
      <c r="AR198" s="106">
        <v>0</v>
      </c>
      <c r="AS198" s="106">
        <v>0</v>
      </c>
      <c r="AT198" s="106">
        <v>440.18060709847782</v>
      </c>
      <c r="AU198" s="106">
        <v>427</v>
      </c>
      <c r="AV198" s="106">
        <v>264.43493577801212</v>
      </c>
      <c r="AW198" s="106">
        <v>329.47213435538487</v>
      </c>
      <c r="AX198" s="106">
        <v>369.78581643059624</v>
      </c>
      <c r="AY198" s="106">
        <v>241.88531493640386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143.56506422198788</v>
      </c>
      <c r="AW199" s="106">
        <v>146.52786564461513</v>
      </c>
      <c r="AX199" s="106">
        <v>40.313682075211375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4.1078334355233892E-2</v>
      </c>
      <c r="D209" s="124">
        <v>4.0680279652008267E-2</v>
      </c>
      <c r="E209" s="124">
        <v>639.67817462337587</v>
      </c>
      <c r="F209" s="124">
        <v>455.95495945409925</v>
      </c>
      <c r="G209" s="124">
        <v>455.95495945409925</v>
      </c>
      <c r="H209" s="124">
        <v>455.95495945409925</v>
      </c>
      <c r="I209" s="124">
        <v>143.20820872066037</v>
      </c>
      <c r="J209" s="124">
        <v>307.12187985173927</v>
      </c>
      <c r="K209" s="124">
        <v>143.20820872066037</v>
      </c>
      <c r="L209" s="124">
        <v>257.87363114392559</v>
      </c>
      <c r="M209" s="124">
        <v>455.95495945409925</v>
      </c>
      <c r="N209" s="124">
        <v>4.0680279652029257E-2</v>
      </c>
      <c r="O209" s="124">
        <v>143.20820872066031</v>
      </c>
      <c r="P209" s="124">
        <v>4.0680279652029257E-2</v>
      </c>
      <c r="Q209" s="124">
        <v>143.20820872066031</v>
      </c>
      <c r="R209" s="124">
        <v>4.0680279652029257E-2</v>
      </c>
      <c r="S209" s="124">
        <v>652.87924092759135</v>
      </c>
      <c r="T209" s="124">
        <v>364.77465635386011</v>
      </c>
      <c r="U209" s="124">
        <v>4.0680279652029257E-2</v>
      </c>
      <c r="V209" s="124">
        <v>510.02309264228256</v>
      </c>
      <c r="W209" s="124">
        <v>379.45750635832638</v>
      </c>
      <c r="X209" s="124">
        <v>455.95495945409925</v>
      </c>
      <c r="Y209" s="124">
        <v>455.95495945409925</v>
      </c>
      <c r="Z209" s="124">
        <v>455.95495945409925</v>
      </c>
      <c r="AA209" s="124">
        <v>455.95495945409925</v>
      </c>
      <c r="AB209" s="124">
        <v>143.20820872066037</v>
      </c>
      <c r="AC209" s="124">
        <v>319.85577448407167</v>
      </c>
      <c r="AD209" s="124">
        <v>455.95495945409925</v>
      </c>
      <c r="AE209" s="124">
        <v>455.95495945409925</v>
      </c>
      <c r="AF209" s="124">
        <v>143.20820872066037</v>
      </c>
      <c r="AG209" s="124">
        <v>455.9549594540992</v>
      </c>
      <c r="AH209" s="124">
        <v>455.9549594540992</v>
      </c>
      <c r="AI209" s="124">
        <v>455.9549594540992</v>
      </c>
      <c r="AJ209" s="124">
        <v>455.9549594540992</v>
      </c>
      <c r="AK209" s="124">
        <v>4.0680279652029257E-2</v>
      </c>
      <c r="AL209" s="124">
        <v>455.95495945409925</v>
      </c>
      <c r="AM209" s="124">
        <v>181.05960110061483</v>
      </c>
      <c r="AN209" s="124">
        <v>391.20914064962528</v>
      </c>
      <c r="AO209" s="124">
        <v>455.95495945409925</v>
      </c>
      <c r="AP209" s="124">
        <v>143.20820872066037</v>
      </c>
      <c r="AQ209" s="124">
        <v>4.0680279652029257E-2</v>
      </c>
      <c r="AR209" s="124">
        <v>0</v>
      </c>
      <c r="AS209" s="124">
        <v>364.00574446225346</v>
      </c>
      <c r="AT209" s="124">
        <v>455.9549594540992</v>
      </c>
      <c r="AU209" s="124">
        <v>455.9549594540992</v>
      </c>
      <c r="AV209" s="124">
        <v>455.9549594540992</v>
      </c>
      <c r="AW209" s="124">
        <v>455.9549594540992</v>
      </c>
      <c r="AX209" s="124">
        <v>143.20820872066037</v>
      </c>
      <c r="AY209" s="124">
        <v>4.0680279652008267E-2</v>
      </c>
    </row>
    <row r="210" spans="1:51">
      <c r="A210" s="109"/>
      <c r="B210" s="119">
        <v>2</v>
      </c>
      <c r="C210" s="106">
        <v>313.55543638961143</v>
      </c>
      <c r="D210" s="110">
        <v>455.83730132930276</v>
      </c>
      <c r="E210" s="110">
        <v>1.1590277630165946E-14</v>
      </c>
      <c r="F210" s="110">
        <v>141.28388993828673</v>
      </c>
      <c r="G210" s="110">
        <v>0</v>
      </c>
      <c r="H210" s="110">
        <v>0</v>
      </c>
      <c r="I210" s="110">
        <v>0</v>
      </c>
      <c r="J210" s="110">
        <v>312.74675073343889</v>
      </c>
      <c r="K210" s="110">
        <v>82.182184478920234</v>
      </c>
      <c r="L210" s="110">
        <v>312.74675073343889</v>
      </c>
      <c r="M210" s="110">
        <v>109.37592844620633</v>
      </c>
      <c r="N210" s="110">
        <v>0</v>
      </c>
      <c r="O210" s="110">
        <v>455.91427917444719</v>
      </c>
      <c r="P210" s="110">
        <v>312.74675073343894</v>
      </c>
      <c r="Q210" s="110">
        <v>455.91427917444719</v>
      </c>
      <c r="R210" s="110">
        <v>312.74675073343894</v>
      </c>
      <c r="S210" s="110">
        <v>0</v>
      </c>
      <c r="T210" s="110">
        <v>42.312977770969525</v>
      </c>
      <c r="U210" s="110">
        <v>0</v>
      </c>
      <c r="V210" s="110">
        <v>0</v>
      </c>
      <c r="W210" s="110">
        <v>171.54249364167362</v>
      </c>
      <c r="X210" s="110">
        <v>42.240124435244617</v>
      </c>
      <c r="Y210" s="110">
        <v>0</v>
      </c>
      <c r="Z210" s="110">
        <v>0</v>
      </c>
      <c r="AA210" s="110">
        <v>0</v>
      </c>
      <c r="AB210" s="110">
        <v>0</v>
      </c>
      <c r="AC210" s="110">
        <v>312.74675073343889</v>
      </c>
      <c r="AD210" s="110">
        <v>75.150822360999769</v>
      </c>
      <c r="AE210" s="110">
        <v>0</v>
      </c>
      <c r="AF210" s="110">
        <v>0</v>
      </c>
      <c r="AG210" s="110">
        <v>312.74675073343889</v>
      </c>
      <c r="AH210" s="110">
        <v>3.1387621271510555E-14</v>
      </c>
      <c r="AI210" s="110">
        <v>3.1387621271510555E-14</v>
      </c>
      <c r="AJ210" s="110">
        <v>3.1387621271510555E-14</v>
      </c>
      <c r="AK210" s="110">
        <v>3.1387621271510555E-14</v>
      </c>
      <c r="AL210" s="110">
        <v>0</v>
      </c>
      <c r="AM210" s="110">
        <v>0</v>
      </c>
      <c r="AN210" s="110">
        <v>151.79085935037469</v>
      </c>
      <c r="AO210" s="110">
        <v>35.751143760809811</v>
      </c>
      <c r="AP210" s="110">
        <v>0</v>
      </c>
      <c r="AQ210" s="110">
        <v>0</v>
      </c>
      <c r="AR210" s="110">
        <v>352.27634239788614</v>
      </c>
      <c r="AS210" s="110">
        <v>251.76778369464856</v>
      </c>
      <c r="AT210" s="110">
        <v>50.772229999814819</v>
      </c>
      <c r="AU210" s="110">
        <v>3.1387621271510555E-14</v>
      </c>
      <c r="AV210" s="110">
        <v>3.1387621271510555E-14</v>
      </c>
      <c r="AW210" s="110">
        <v>3.1387621271510555E-14</v>
      </c>
      <c r="AX210" s="110">
        <v>3.1387621271510555E-14</v>
      </c>
      <c r="AY210" s="110">
        <v>312.74675073343889</v>
      </c>
    </row>
    <row r="211" spans="1:51">
      <c r="A211" s="109"/>
      <c r="B211" s="119">
        <v>3</v>
      </c>
      <c r="C211" s="106">
        <v>0</v>
      </c>
      <c r="D211" s="110">
        <v>0</v>
      </c>
      <c r="E211" s="110">
        <v>0</v>
      </c>
      <c r="F211" s="110">
        <v>0</v>
      </c>
      <c r="G211" s="110">
        <v>0</v>
      </c>
      <c r="H211" s="110">
        <v>0</v>
      </c>
      <c r="I211" s="110">
        <v>0</v>
      </c>
      <c r="J211" s="110">
        <v>0</v>
      </c>
      <c r="K211" s="110">
        <v>0</v>
      </c>
      <c r="L211" s="110">
        <v>0</v>
      </c>
      <c r="M211" s="110">
        <v>0</v>
      </c>
      <c r="N211" s="110">
        <v>0</v>
      </c>
      <c r="O211" s="110">
        <v>0</v>
      </c>
      <c r="P211" s="110">
        <v>0</v>
      </c>
      <c r="Q211" s="110">
        <v>0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0</v>
      </c>
      <c r="X211" s="110">
        <v>0</v>
      </c>
      <c r="Y211" s="110">
        <v>0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0</v>
      </c>
      <c r="AH211" s="110">
        <v>0</v>
      </c>
      <c r="AI211" s="110">
        <v>0</v>
      </c>
      <c r="AJ211" s="110">
        <v>0</v>
      </c>
      <c r="AK211" s="110">
        <v>0</v>
      </c>
      <c r="AL211" s="110">
        <v>0</v>
      </c>
      <c r="AM211" s="110">
        <v>455.91427917444719</v>
      </c>
      <c r="AN211" s="110">
        <v>0</v>
      </c>
      <c r="AO211" s="110">
        <v>0</v>
      </c>
      <c r="AP211" s="110">
        <v>0</v>
      </c>
      <c r="AQ211" s="110">
        <v>0</v>
      </c>
      <c r="AR211" s="110">
        <v>312.74675073343889</v>
      </c>
      <c r="AS211" s="110">
        <v>57.226471843097961</v>
      </c>
      <c r="AT211" s="110">
        <v>0</v>
      </c>
      <c r="AU211" s="110">
        <v>0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240320.20111260723</v>
      </c>
      <c r="E259" s="124">
        <f t="shared" ref="E259:AX259" si="5">F$14*$B$259</f>
        <v>472094.78613658861</v>
      </c>
      <c r="F259" s="124">
        <f t="shared" si="5"/>
        <v>314839.86107790779</v>
      </c>
      <c r="G259" s="124">
        <f t="shared" si="5"/>
        <v>240360.78067988757</v>
      </c>
      <c r="H259" s="124">
        <f t="shared" si="5"/>
        <v>240360.78067988757</v>
      </c>
      <c r="I259" s="124">
        <f t="shared" si="5"/>
        <v>75493.502448307991</v>
      </c>
      <c r="J259" s="124">
        <f t="shared" si="5"/>
        <v>405228.0589114672</v>
      </c>
      <c r="K259" s="124">
        <f t="shared" si="5"/>
        <v>118816.58427854381</v>
      </c>
      <c r="L259" s="124">
        <f t="shared" si="5"/>
        <v>405228.0589114672</v>
      </c>
      <c r="M259" s="124">
        <f t="shared" si="5"/>
        <v>298019.2905914663</v>
      </c>
      <c r="N259" s="124">
        <f t="shared" si="5"/>
        <v>21.444977344132255</v>
      </c>
      <c r="O259" s="124">
        <f t="shared" si="5"/>
        <v>315832.83815085143</v>
      </c>
      <c r="P259" s="124">
        <f t="shared" si="5"/>
        <v>164888.72320892377</v>
      </c>
      <c r="Q259" s="124">
        <f t="shared" si="5"/>
        <v>315832.83815085143</v>
      </c>
      <c r="R259" s="124">
        <f t="shared" si="5"/>
        <v>164888.72320892377</v>
      </c>
      <c r="S259" s="124">
        <f t="shared" si="5"/>
        <v>384567.07349573093</v>
      </c>
      <c r="T259" s="124">
        <f t="shared" si="5"/>
        <v>214599.92816071736</v>
      </c>
      <c r="U259" s="124">
        <f t="shared" si="5"/>
        <v>21.444977344132255</v>
      </c>
      <c r="V259" s="124">
        <f t="shared" si="5"/>
        <v>432633.594939081</v>
      </c>
      <c r="W259" s="124">
        <f t="shared" si="5"/>
        <v>330790.95768871583</v>
      </c>
      <c r="X259" s="124">
        <f t="shared" si="5"/>
        <v>262628.04430923093</v>
      </c>
      <c r="Y259" s="124">
        <f t="shared" si="5"/>
        <v>240360.78067988757</v>
      </c>
      <c r="Z259" s="124">
        <f t="shared" si="5"/>
        <v>240360.78067988757</v>
      </c>
      <c r="AA259" s="124">
        <f t="shared" si="5"/>
        <v>240360.78067988757</v>
      </c>
      <c r="AB259" s="124">
        <f t="shared" si="5"/>
        <v>75493.502448307991</v>
      </c>
      <c r="AC259" s="124">
        <f t="shared" si="5"/>
        <v>405228.0589114672</v>
      </c>
      <c r="AD259" s="124">
        <f t="shared" si="5"/>
        <v>279977.21637575567</v>
      </c>
      <c r="AE259" s="124">
        <f t="shared" si="5"/>
        <v>240360.78067988757</v>
      </c>
      <c r="AF259" s="124">
        <f t="shared" si="5"/>
        <v>75493.502448307991</v>
      </c>
      <c r="AG259" s="124">
        <f t="shared" si="5"/>
        <v>405228.0589114672</v>
      </c>
      <c r="AH259" s="124">
        <f t="shared" si="5"/>
        <v>240360.78067988757</v>
      </c>
      <c r="AI259" s="124">
        <f t="shared" si="5"/>
        <v>240360.78067988757</v>
      </c>
      <c r="AJ259" s="124">
        <f t="shared" si="5"/>
        <v>240360.78067988757</v>
      </c>
      <c r="AK259" s="124">
        <f t="shared" si="5"/>
        <v>21.444977344148796</v>
      </c>
      <c r="AL259" s="124">
        <f t="shared" si="5"/>
        <v>240360.78067988757</v>
      </c>
      <c r="AM259" s="124">
        <f t="shared" si="5"/>
        <v>480700.11638243101</v>
      </c>
      <c r="AN259" s="124">
        <f t="shared" si="5"/>
        <v>320378.70503190893</v>
      </c>
      <c r="AO259" s="124">
        <f t="shared" si="5"/>
        <v>259207.31945826928</v>
      </c>
      <c r="AP259" s="124">
        <f t="shared" si="5"/>
        <v>75493.502448307991</v>
      </c>
      <c r="AQ259" s="124">
        <f t="shared" si="5"/>
        <v>21.444977344132255</v>
      </c>
      <c r="AR259" s="124">
        <f t="shared" si="5"/>
        <v>645567.39461401058</v>
      </c>
      <c r="AS259" s="124">
        <f t="shared" si="5"/>
        <v>403249.89713028155</v>
      </c>
      <c r="AT259" s="124">
        <f t="shared" si="5"/>
        <v>267125.82092470769</v>
      </c>
      <c r="AU259" s="124">
        <f t="shared" si="5"/>
        <v>240360.78067988757</v>
      </c>
      <c r="AV259" s="124">
        <f t="shared" si="5"/>
        <v>240360.78067988757</v>
      </c>
      <c r="AW259" s="124">
        <f t="shared" si="5"/>
        <v>240360.78067988757</v>
      </c>
      <c r="AX259" s="124">
        <f t="shared" si="5"/>
        <v>75493.502448308005</v>
      </c>
      <c r="AY259" s="124">
        <f>AZ$14*$B$259</f>
        <v>164888.72320892374</v>
      </c>
      <c r="AZ259" s="139">
        <f>SUM($D259:$AY259)</f>
        <v>11975004.314271748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1109.3398786443004</v>
      </c>
      <c r="E260" s="125">
        <f t="shared" ref="E260:AY260" si="6">(E$175-E$176+E$177-E$178+E$179-E$180+E$181-E$182)*$B$260</f>
        <v>58495.001251704307</v>
      </c>
      <c r="F260" s="125">
        <f t="shared" si="6"/>
        <v>40836.099855617576</v>
      </c>
      <c r="G260" s="125">
        <f t="shared" si="6"/>
        <v>45415.680721390439</v>
      </c>
      <c r="H260" s="125">
        <f t="shared" si="6"/>
        <v>32620.26955042296</v>
      </c>
      <c r="I260" s="125">
        <f t="shared" si="6"/>
        <v>9527.7390393620753</v>
      </c>
      <c r="J260" s="125">
        <f t="shared" si="6"/>
        <v>26568.611441490142</v>
      </c>
      <c r="K260" s="125">
        <f t="shared" si="6"/>
        <v>12465.525664635548</v>
      </c>
      <c r="L260" s="125">
        <f t="shared" si="6"/>
        <v>41116.462550322591</v>
      </c>
      <c r="M260" s="125">
        <f t="shared" si="6"/>
        <v>25834.689671352044</v>
      </c>
      <c r="N260" s="125">
        <f t="shared" si="6"/>
        <v>7589.868392094666</v>
      </c>
      <c r="O260" s="125">
        <f t="shared" si="6"/>
        <v>14644.258584696217</v>
      </c>
      <c r="P260" s="125">
        <f t="shared" si="6"/>
        <v>12035.723944723828</v>
      </c>
      <c r="Q260" s="125">
        <f t="shared" si="6"/>
        <v>19126.182084726064</v>
      </c>
      <c r="R260" s="125">
        <f t="shared" si="6"/>
        <v>802.37483167071105</v>
      </c>
      <c r="S260" s="125">
        <f t="shared" si="6"/>
        <v>18563.710367228396</v>
      </c>
      <c r="T260" s="125">
        <f t="shared" si="6"/>
        <v>11513.897500895107</v>
      </c>
      <c r="U260" s="125">
        <f t="shared" si="6"/>
        <v>12.95618636362633</v>
      </c>
      <c r="V260" s="125">
        <f t="shared" si="6"/>
        <v>54943.320041321756</v>
      </c>
      <c r="W260" s="125">
        <f t="shared" si="6"/>
        <v>41766.065260710835</v>
      </c>
      <c r="X260" s="125">
        <f t="shared" si="6"/>
        <v>25825.817392748999</v>
      </c>
      <c r="Y260" s="125">
        <f t="shared" si="6"/>
        <v>22165.845941413216</v>
      </c>
      <c r="Z260" s="125">
        <f t="shared" si="6"/>
        <v>12290.738375038149</v>
      </c>
      <c r="AA260" s="125">
        <f t="shared" si="6"/>
        <v>2569.4342795454395</v>
      </c>
      <c r="AB260" s="125">
        <f t="shared" si="6"/>
        <v>0</v>
      </c>
      <c r="AC260" s="125">
        <f t="shared" si="6"/>
        <v>31504.577763550198</v>
      </c>
      <c r="AD260" s="125">
        <f t="shared" si="6"/>
        <v>27981.733484988417</v>
      </c>
      <c r="AE260" s="125">
        <f t="shared" si="6"/>
        <v>16310.267884198967</v>
      </c>
      <c r="AF260" s="125">
        <f t="shared" si="6"/>
        <v>4233.9552076163218</v>
      </c>
      <c r="AG260" s="125">
        <f t="shared" si="6"/>
        <v>25078.626665348547</v>
      </c>
      <c r="AH260" s="125">
        <f t="shared" si="6"/>
        <v>33705.255391806604</v>
      </c>
      <c r="AI260" s="125">
        <f t="shared" si="6"/>
        <v>27929.84422083911</v>
      </c>
      <c r="AJ260" s="125">
        <f t="shared" si="6"/>
        <v>19321.476863508</v>
      </c>
      <c r="AK260" s="125">
        <f t="shared" si="6"/>
        <v>3548.9148670522059</v>
      </c>
      <c r="AL260" s="125">
        <f t="shared" si="6"/>
        <v>0</v>
      </c>
      <c r="AM260" s="125">
        <f t="shared" si="6"/>
        <v>43872.12309442072</v>
      </c>
      <c r="AN260" s="125">
        <f t="shared" si="6"/>
        <v>43399.952813614524</v>
      </c>
      <c r="AO260" s="125">
        <f t="shared" si="6"/>
        <v>36349.584361383379</v>
      </c>
      <c r="AP260" s="125">
        <f t="shared" si="6"/>
        <v>15004.38065890108</v>
      </c>
      <c r="AQ260" s="125">
        <f t="shared" si="6"/>
        <v>4116.4780931818132</v>
      </c>
      <c r="AR260" s="125">
        <f t="shared" si="6"/>
        <v>89575.162189203125</v>
      </c>
      <c r="AS260" s="125">
        <f t="shared" si="6"/>
        <v>86028.339490797793</v>
      </c>
      <c r="AT260" s="125">
        <f t="shared" si="6"/>
        <v>81035.415768712599</v>
      </c>
      <c r="AU260" s="125">
        <f t="shared" si="6"/>
        <v>73014.145604085148</v>
      </c>
      <c r="AV260" s="125">
        <f t="shared" si="6"/>
        <v>77018.734433117672</v>
      </c>
      <c r="AW260" s="125">
        <f t="shared" si="6"/>
        <v>64223.323262150167</v>
      </c>
      <c r="AX260" s="125">
        <f t="shared" si="6"/>
        <v>25300.812896303618</v>
      </c>
      <c r="AY260" s="125">
        <f t="shared" si="6"/>
        <v>8136.4780931818132</v>
      </c>
      <c r="AZ260" s="141">
        <f>SUM($D260:$AY260)</f>
        <v>1374529.1959160808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283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22</v>
      </c>
      <c r="E6" s="100">
        <v>12724.8</v>
      </c>
      <c r="F6" s="100">
        <v>16</v>
      </c>
      <c r="G6" s="100">
        <v>9254.4</v>
      </c>
      <c r="H6" s="100">
        <v>22.978778214811367</v>
      </c>
      <c r="I6" s="100">
        <v>13290.925319446895</v>
      </c>
      <c r="J6" s="100">
        <v>17</v>
      </c>
      <c r="K6" s="100">
        <v>9832.7999999999993</v>
      </c>
      <c r="L6" s="100">
        <v>14</v>
      </c>
      <c r="M6" s="100">
        <v>8097.5999999999995</v>
      </c>
      <c r="N6" s="100">
        <v>19.929576807067296</v>
      </c>
      <c r="O6" s="100">
        <v>11527.267225207723</v>
      </c>
      <c r="P6" s="100">
        <v>20.24176657434797</v>
      </c>
      <c r="Q6" s="100">
        <v>11707.837786602866</v>
      </c>
      <c r="R6" s="100">
        <v>16</v>
      </c>
      <c r="S6" s="100">
        <v>9254.4</v>
      </c>
      <c r="T6" s="100">
        <v>22</v>
      </c>
      <c r="U6" s="100">
        <v>12724.8</v>
      </c>
      <c r="V6" s="100">
        <v>21</v>
      </c>
      <c r="W6" s="100">
        <v>12146.4</v>
      </c>
      <c r="X6" s="100">
        <v>19.788129539904535</v>
      </c>
      <c r="Y6" s="100">
        <v>11445.454125880782</v>
      </c>
      <c r="Z6" s="100">
        <v>19.458554520557545</v>
      </c>
      <c r="AA6" s="100">
        <v>11254.827934690484</v>
      </c>
      <c r="AB6" s="100">
        <v>15.921503835950416</v>
      </c>
      <c r="AC6" s="100">
        <v>9208.9978187137203</v>
      </c>
      <c r="AD6" s="100">
        <v>16.358460663448167</v>
      </c>
      <c r="AE6" s="100">
        <v>9461.7336477384197</v>
      </c>
      <c r="AF6" s="100">
        <v>15.049951032050446</v>
      </c>
      <c r="AG6" s="100">
        <v>8704.8916769379775</v>
      </c>
      <c r="AH6" s="100">
        <v>17.257277183417845</v>
      </c>
      <c r="AI6" s="100">
        <v>9981.6091228888818</v>
      </c>
      <c r="AJ6" s="100">
        <v>22</v>
      </c>
      <c r="AK6" s="100">
        <v>12724.8</v>
      </c>
      <c r="AL6" s="100">
        <v>26</v>
      </c>
      <c r="AM6" s="100">
        <v>15038.4</v>
      </c>
      <c r="AN6" s="100">
        <v>17</v>
      </c>
      <c r="AO6" s="100">
        <v>9832.7999999999993</v>
      </c>
      <c r="AP6" s="100">
        <v>22</v>
      </c>
      <c r="AQ6" s="100">
        <v>12724.8</v>
      </c>
      <c r="AR6" s="100">
        <v>26.83325262613938</v>
      </c>
      <c r="AS6" s="100">
        <v>15520.353318959016</v>
      </c>
      <c r="AT6" s="100">
        <v>19</v>
      </c>
      <c r="AU6" s="100">
        <v>10989.6</v>
      </c>
      <c r="AV6" s="100">
        <v>23</v>
      </c>
      <c r="AW6" s="100">
        <v>13303.199999999999</v>
      </c>
      <c r="AX6" s="100">
        <v>20</v>
      </c>
      <c r="AY6" s="100">
        <v>11568</v>
      </c>
      <c r="AZ6" s="100">
        <v>17.213746344947818</v>
      </c>
      <c r="BA6" s="100">
        <v>9956.4308859178182</v>
      </c>
      <c r="BB6" s="100">
        <v>23.612688941581006</v>
      </c>
      <c r="BC6" s="100">
        <v>13657.579283810453</v>
      </c>
      <c r="BD6" s="100">
        <v>17</v>
      </c>
      <c r="BE6" s="100">
        <v>9832.7999999999993</v>
      </c>
      <c r="BF6" s="100">
        <v>22.922112821128831</v>
      </c>
      <c r="BG6" s="100">
        <v>13258.150055740914</v>
      </c>
      <c r="BH6" s="100">
        <v>18</v>
      </c>
      <c r="BI6" s="100">
        <v>10411.199999999999</v>
      </c>
      <c r="BJ6" s="100">
        <v>25.701092039050575</v>
      </c>
      <c r="BK6" s="100">
        <v>14865.511635386853</v>
      </c>
      <c r="BL6" s="100">
        <v>27.33816208543406</v>
      </c>
      <c r="BM6" s="100">
        <v>15812.39295021506</v>
      </c>
      <c r="BN6" s="100">
        <v>14</v>
      </c>
      <c r="BO6" s="100">
        <v>8097.5999999999995</v>
      </c>
      <c r="BP6" s="100">
        <v>18.140443357938356</v>
      </c>
      <c r="BQ6" s="100">
        <v>10492.432438231544</v>
      </c>
      <c r="BR6" s="100">
        <v>18.493505436317612</v>
      </c>
      <c r="BS6" s="100">
        <v>10696.643544366107</v>
      </c>
      <c r="BT6" s="100">
        <v>28.133423504032478</v>
      </c>
      <c r="BU6" s="100">
        <v>16272.372154732386</v>
      </c>
      <c r="BV6" s="100">
        <v>19</v>
      </c>
      <c r="BW6" s="100">
        <v>10989.6</v>
      </c>
      <c r="BX6" s="100">
        <v>26.695465070772656</v>
      </c>
      <c r="BY6" s="100">
        <v>15440.656996934904</v>
      </c>
      <c r="BZ6" s="100">
        <v>22.981636080159163</v>
      </c>
      <c r="CA6" s="100">
        <v>13292.578308764059</v>
      </c>
      <c r="CB6" s="100">
        <v>20.650911762622446</v>
      </c>
      <c r="CC6" s="100">
        <v>11944.487363500823</v>
      </c>
      <c r="CD6" s="100">
        <v>16</v>
      </c>
      <c r="CE6" s="100">
        <v>9254.4</v>
      </c>
      <c r="CF6" s="100">
        <v>31.373428203409709</v>
      </c>
      <c r="CG6" s="100">
        <v>18146.390872852175</v>
      </c>
      <c r="CH6" s="100">
        <v>19.445413613529897</v>
      </c>
      <c r="CI6" s="100">
        <v>11247.227234065693</v>
      </c>
      <c r="CJ6" s="100">
        <v>22.023203522925591</v>
      </c>
      <c r="CK6" s="100">
        <v>12738.220917660161</v>
      </c>
      <c r="CL6" s="100">
        <v>24.069953495162757</v>
      </c>
      <c r="CM6" s="100">
        <v>13922.061101602138</v>
      </c>
      <c r="CN6" s="100">
        <v>18</v>
      </c>
      <c r="CO6" s="100">
        <v>10411.199999999999</v>
      </c>
      <c r="CP6" s="100">
        <v>19</v>
      </c>
      <c r="CQ6" s="100">
        <v>10989.6</v>
      </c>
      <c r="CR6" s="100">
        <v>24.024173809363706</v>
      </c>
      <c r="CS6" s="100">
        <v>13895.582131335967</v>
      </c>
      <c r="CT6" s="100">
        <v>22</v>
      </c>
      <c r="CU6" s="100">
        <v>12724.8</v>
      </c>
    </row>
    <row r="7" spans="1:99">
      <c r="C7" s="99" t="s">
        <v>173</v>
      </c>
      <c r="D7" s="100">
        <v>22</v>
      </c>
      <c r="E7" s="100">
        <v>17344.8</v>
      </c>
      <c r="F7" s="100">
        <v>15</v>
      </c>
      <c r="G7" s="100">
        <v>11826</v>
      </c>
      <c r="H7" s="100">
        <v>22.021329122527561</v>
      </c>
      <c r="I7" s="100">
        <v>17361.61588020073</v>
      </c>
      <c r="J7" s="100">
        <v>17</v>
      </c>
      <c r="K7" s="100">
        <v>13402.8</v>
      </c>
      <c r="L7" s="100">
        <v>13</v>
      </c>
      <c r="M7" s="100">
        <v>10249.199999999999</v>
      </c>
      <c r="N7" s="100">
        <v>16.940140286007203</v>
      </c>
      <c r="O7" s="100">
        <v>13355.606601488078</v>
      </c>
      <c r="P7" s="100">
        <v>21.205660220745493</v>
      </c>
      <c r="Q7" s="100">
        <v>16718.542518035745</v>
      </c>
      <c r="R7" s="100">
        <v>17</v>
      </c>
      <c r="S7" s="100">
        <v>13402.8</v>
      </c>
      <c r="T7" s="100">
        <v>20</v>
      </c>
      <c r="U7" s="100">
        <v>15768</v>
      </c>
      <c r="V7" s="100">
        <v>21</v>
      </c>
      <c r="W7" s="100">
        <v>16556.399999999998</v>
      </c>
      <c r="X7" s="100">
        <v>22.756348970890215</v>
      </c>
      <c r="Y7" s="100">
        <v>17941.105528649845</v>
      </c>
      <c r="Z7" s="100">
        <v>20.304578630147002</v>
      </c>
      <c r="AA7" s="100">
        <v>16008.129792007896</v>
      </c>
      <c r="AB7" s="100">
        <v>17.195224142826447</v>
      </c>
      <c r="AC7" s="100">
        <v>13556.71471420437</v>
      </c>
      <c r="AD7" s="100">
        <v>14.800512028834056</v>
      </c>
      <c r="AE7" s="100">
        <v>11668.723683532769</v>
      </c>
      <c r="AF7" s="100">
        <v>16.554946135255491</v>
      </c>
      <c r="AG7" s="100">
        <v>13051.919533035429</v>
      </c>
      <c r="AH7" s="100">
        <v>20.708732620101415</v>
      </c>
      <c r="AI7" s="100">
        <v>16326.764797687954</v>
      </c>
      <c r="AJ7" s="100">
        <v>19</v>
      </c>
      <c r="AK7" s="100">
        <v>14979.6</v>
      </c>
      <c r="AL7" s="100">
        <v>26</v>
      </c>
      <c r="AM7" s="100">
        <v>20498.399999999998</v>
      </c>
      <c r="AN7" s="100">
        <v>14</v>
      </c>
      <c r="AO7" s="100">
        <v>11037.6</v>
      </c>
      <c r="AP7" s="100">
        <v>21</v>
      </c>
      <c r="AQ7" s="100">
        <v>16556.399999999998</v>
      </c>
      <c r="AR7" s="100">
        <v>26.83325262613938</v>
      </c>
      <c r="AS7" s="100">
        <v>21155.336370448287</v>
      </c>
      <c r="AT7" s="100">
        <v>19</v>
      </c>
      <c r="AU7" s="100">
        <v>14979.6</v>
      </c>
      <c r="AV7" s="100">
        <v>19</v>
      </c>
      <c r="AW7" s="100">
        <v>14979.6</v>
      </c>
      <c r="AX7" s="100">
        <v>18</v>
      </c>
      <c r="AY7" s="100">
        <v>14191.199999999999</v>
      </c>
      <c r="AZ7" s="100">
        <v>18.119732994681915</v>
      </c>
      <c r="BA7" s="100">
        <v>14285.597493007221</v>
      </c>
      <c r="BB7" s="100">
        <v>23.612688941581006</v>
      </c>
      <c r="BC7" s="100">
        <v>18616.243961542463</v>
      </c>
      <c r="BD7" s="100">
        <v>15</v>
      </c>
      <c r="BE7" s="100">
        <v>11826</v>
      </c>
      <c r="BF7" s="100">
        <v>21.393971966386911</v>
      </c>
      <c r="BG7" s="100">
        <v>16867.007498299441</v>
      </c>
      <c r="BH7" s="100">
        <v>19</v>
      </c>
      <c r="BI7" s="100">
        <v>14979.6</v>
      </c>
      <c r="BJ7" s="100">
        <v>23.724084959123608</v>
      </c>
      <c r="BK7" s="100">
        <v>18704.068581773052</v>
      </c>
      <c r="BL7" s="100">
        <v>26.426890015919593</v>
      </c>
      <c r="BM7" s="100">
        <v>20834.960088551008</v>
      </c>
      <c r="BN7" s="100">
        <v>15</v>
      </c>
      <c r="BO7" s="100">
        <v>11826</v>
      </c>
      <c r="BP7" s="100">
        <v>17.23342119004144</v>
      </c>
      <c r="BQ7" s="100">
        <v>13586.829266228671</v>
      </c>
      <c r="BR7" s="100">
        <v>17.652891552848629</v>
      </c>
      <c r="BS7" s="100">
        <v>13917.539700265859</v>
      </c>
      <c r="BT7" s="100">
        <v>28.133423504032478</v>
      </c>
      <c r="BU7" s="100">
        <v>22180.391090579204</v>
      </c>
      <c r="BV7" s="100">
        <v>17</v>
      </c>
      <c r="BW7" s="100">
        <v>13402.8</v>
      </c>
      <c r="BX7" s="100">
        <v>23.013331957562634</v>
      </c>
      <c r="BY7" s="100">
        <v>18143.710915342381</v>
      </c>
      <c r="BZ7" s="100">
        <v>22.981636080159163</v>
      </c>
      <c r="CA7" s="100">
        <v>18118.721885597482</v>
      </c>
      <c r="CB7" s="100">
        <v>23.033709273694267</v>
      </c>
      <c r="CC7" s="100">
        <v>18159.776391380561</v>
      </c>
      <c r="CD7" s="100">
        <v>18</v>
      </c>
      <c r="CE7" s="100">
        <v>14191.199999999999</v>
      </c>
      <c r="CF7" s="100">
        <v>25.836940873396234</v>
      </c>
      <c r="CG7" s="100">
        <v>20369.844184585589</v>
      </c>
      <c r="CH7" s="100">
        <v>16.334147435365114</v>
      </c>
      <c r="CI7" s="100">
        <v>12877.841838041855</v>
      </c>
      <c r="CJ7" s="100">
        <v>19.270303082559888</v>
      </c>
      <c r="CK7" s="100">
        <v>15192.706950290216</v>
      </c>
      <c r="CL7" s="100">
        <v>21.579958306007985</v>
      </c>
      <c r="CM7" s="100">
        <v>17013.639128456696</v>
      </c>
      <c r="CN7" s="100">
        <v>17</v>
      </c>
      <c r="CO7" s="100">
        <v>13402.8</v>
      </c>
      <c r="CP7" s="100">
        <v>20</v>
      </c>
      <c r="CQ7" s="100">
        <v>15768</v>
      </c>
      <c r="CR7" s="100">
        <v>24.985140761738258</v>
      </c>
      <c r="CS7" s="100">
        <v>19698.284976554442</v>
      </c>
      <c r="CT7" s="100">
        <v>18</v>
      </c>
      <c r="CU7" s="100">
        <v>14191.199999999999</v>
      </c>
    </row>
    <row r="8" spans="1:99">
      <c r="C8" s="99" t="s">
        <v>174</v>
      </c>
      <c r="D8" s="100">
        <v>22</v>
      </c>
      <c r="E8" s="100">
        <v>6811.1999999999989</v>
      </c>
      <c r="F8" s="100">
        <v>15</v>
      </c>
      <c r="G8" s="100">
        <v>4643.9999999999991</v>
      </c>
      <c r="H8" s="100">
        <v>22.978778214811367</v>
      </c>
      <c r="I8" s="100">
        <v>7114.2297353055983</v>
      </c>
      <c r="J8" s="100">
        <v>20</v>
      </c>
      <c r="K8" s="100">
        <v>6191.9999999999991</v>
      </c>
      <c r="L8" s="100">
        <v>17</v>
      </c>
      <c r="M8" s="100">
        <v>5263.2</v>
      </c>
      <c r="N8" s="100">
        <v>17.936619126360565</v>
      </c>
      <c r="O8" s="100">
        <v>5553.1772815212307</v>
      </c>
      <c r="P8" s="100">
        <v>20.24176657434797</v>
      </c>
      <c r="Q8" s="100">
        <v>6266.850931418131</v>
      </c>
      <c r="R8" s="100">
        <v>15</v>
      </c>
      <c r="S8" s="100">
        <v>4643.9999999999991</v>
      </c>
      <c r="T8" s="100">
        <v>22</v>
      </c>
      <c r="U8" s="100">
        <v>6811.1999999999989</v>
      </c>
      <c r="V8" s="100">
        <v>21</v>
      </c>
      <c r="W8" s="100">
        <v>6501.5999999999995</v>
      </c>
      <c r="X8" s="100">
        <v>21.766942493894987</v>
      </c>
      <c r="Y8" s="100">
        <v>6739.0453961098874</v>
      </c>
      <c r="Z8" s="100">
        <v>19.458554520557545</v>
      </c>
      <c r="AA8" s="100">
        <v>6024.368479564615</v>
      </c>
      <c r="AB8" s="100">
        <v>17.832084296264465</v>
      </c>
      <c r="AC8" s="100">
        <v>5520.8132981234776</v>
      </c>
      <c r="AD8" s="100">
        <v>17.137434980755224</v>
      </c>
      <c r="AE8" s="100">
        <v>5305.7498700418164</v>
      </c>
      <c r="AF8" s="100">
        <v>16.554946135255491</v>
      </c>
      <c r="AG8" s="100">
        <v>5125.4113234750994</v>
      </c>
      <c r="AH8" s="100">
        <v>21.571596479272305</v>
      </c>
      <c r="AI8" s="100">
        <v>6678.5662699827053</v>
      </c>
      <c r="AJ8" s="100">
        <v>22</v>
      </c>
      <c r="AK8" s="100">
        <v>6811.1999999999989</v>
      </c>
      <c r="AL8" s="100">
        <v>29</v>
      </c>
      <c r="AM8" s="100">
        <v>8978.4</v>
      </c>
      <c r="AN8" s="100">
        <v>16</v>
      </c>
      <c r="AO8" s="100">
        <v>4953.5999999999995</v>
      </c>
      <c r="AP8" s="100">
        <v>20</v>
      </c>
      <c r="AQ8" s="100">
        <v>6191.9999999999991</v>
      </c>
      <c r="AR8" s="100">
        <v>25.839428454800885</v>
      </c>
      <c r="AS8" s="100">
        <v>7999.8870496063528</v>
      </c>
      <c r="AT8" s="100">
        <v>18</v>
      </c>
      <c r="AU8" s="100">
        <v>5572.7999999999993</v>
      </c>
      <c r="AV8" s="100">
        <v>23</v>
      </c>
      <c r="AW8" s="100">
        <v>7120.7999999999993</v>
      </c>
      <c r="AX8" s="100">
        <v>20</v>
      </c>
      <c r="AY8" s="100">
        <v>6191.9999999999991</v>
      </c>
      <c r="AZ8" s="100">
        <v>19.931706294150104</v>
      </c>
      <c r="BA8" s="100">
        <v>6170.8562686688711</v>
      </c>
      <c r="BB8" s="100">
        <v>22.769378622238825</v>
      </c>
      <c r="BC8" s="100">
        <v>7049.3996214451399</v>
      </c>
      <c r="BD8" s="100">
        <v>17</v>
      </c>
      <c r="BE8" s="100">
        <v>5263.2</v>
      </c>
      <c r="BF8" s="100">
        <v>25.214324103241715</v>
      </c>
      <c r="BG8" s="100">
        <v>7806.3547423636337</v>
      </c>
      <c r="BH8" s="100">
        <v>17</v>
      </c>
      <c r="BI8" s="100">
        <v>5263.2</v>
      </c>
      <c r="BJ8" s="100">
        <v>26.68959557901406</v>
      </c>
      <c r="BK8" s="100">
        <v>8263.0987912627515</v>
      </c>
      <c r="BL8" s="100">
        <v>25.515617946405122</v>
      </c>
      <c r="BM8" s="100">
        <v>7899.6353162070245</v>
      </c>
      <c r="BN8" s="100">
        <v>15</v>
      </c>
      <c r="BO8" s="100">
        <v>4643.9999999999991</v>
      </c>
      <c r="BP8" s="100">
        <v>19.95448769373219</v>
      </c>
      <c r="BQ8" s="100">
        <v>6177.9093899794852</v>
      </c>
      <c r="BR8" s="100">
        <v>18.493505436317612</v>
      </c>
      <c r="BS8" s="100">
        <v>5725.5892830839321</v>
      </c>
      <c r="BT8" s="100">
        <v>26.193187400306101</v>
      </c>
      <c r="BU8" s="100">
        <v>8109.4108191347677</v>
      </c>
      <c r="BV8" s="100">
        <v>19</v>
      </c>
      <c r="BW8" s="100">
        <v>5882.4</v>
      </c>
      <c r="BX8" s="100">
        <v>25.774931792470152</v>
      </c>
      <c r="BY8" s="100">
        <v>7979.9188829487584</v>
      </c>
      <c r="BZ8" s="100">
        <v>24.566576499480483</v>
      </c>
      <c r="CA8" s="100">
        <v>7605.8120842391563</v>
      </c>
      <c r="CB8" s="100">
        <v>23.033709273694267</v>
      </c>
      <c r="CC8" s="100">
        <v>7131.2363911357443</v>
      </c>
      <c r="CD8" s="100">
        <v>17</v>
      </c>
      <c r="CE8" s="100">
        <v>5263.2</v>
      </c>
      <c r="CF8" s="100">
        <v>32.296176091745288</v>
      </c>
      <c r="CG8" s="100">
        <v>9998.8961180043407</v>
      </c>
      <c r="CH8" s="100">
        <v>17.11196397990631</v>
      </c>
      <c r="CI8" s="100">
        <v>5297.8640481789935</v>
      </c>
      <c r="CJ8" s="100">
        <v>22.023203522925591</v>
      </c>
      <c r="CK8" s="100">
        <v>6818.3838106977628</v>
      </c>
      <c r="CL8" s="100">
        <v>25.729950287932599</v>
      </c>
      <c r="CM8" s="100">
        <v>7965.992609143932</v>
      </c>
      <c r="CN8" s="100">
        <v>16</v>
      </c>
      <c r="CO8" s="100">
        <v>4953.5999999999995</v>
      </c>
      <c r="CP8" s="100">
        <v>19</v>
      </c>
      <c r="CQ8" s="100">
        <v>5882.4</v>
      </c>
      <c r="CR8" s="100">
        <v>25.946107714112806</v>
      </c>
      <c r="CS8" s="100">
        <v>8032.9149482893235</v>
      </c>
      <c r="CT8" s="100">
        <v>22</v>
      </c>
      <c r="CU8" s="100">
        <v>6811.1999999999989</v>
      </c>
    </row>
    <row r="9" spans="1:99">
      <c r="C9" s="99" t="s">
        <v>175</v>
      </c>
      <c r="D9" s="100">
        <v>21</v>
      </c>
      <c r="E9" s="100">
        <v>14742</v>
      </c>
      <c r="F9" s="100">
        <v>14</v>
      </c>
      <c r="G9" s="100">
        <v>9828</v>
      </c>
      <c r="H9" s="100">
        <v>21.063880030243752</v>
      </c>
      <c r="I9" s="100">
        <v>14786.843781231113</v>
      </c>
      <c r="J9" s="100">
        <v>19</v>
      </c>
      <c r="K9" s="100">
        <v>13338</v>
      </c>
      <c r="L9" s="100">
        <v>16</v>
      </c>
      <c r="M9" s="100">
        <v>11232</v>
      </c>
      <c r="N9" s="100">
        <v>17.936619126360565</v>
      </c>
      <c r="O9" s="100">
        <v>12591.506626705117</v>
      </c>
      <c r="P9" s="100">
        <v>21.205660220745493</v>
      </c>
      <c r="Q9" s="100">
        <v>14886.373474963337</v>
      </c>
      <c r="R9" s="100">
        <v>14</v>
      </c>
      <c r="S9" s="100">
        <v>9828</v>
      </c>
      <c r="T9" s="100">
        <v>20</v>
      </c>
      <c r="U9" s="100">
        <v>14040</v>
      </c>
      <c r="V9" s="100">
        <v>24</v>
      </c>
      <c r="W9" s="100">
        <v>16848</v>
      </c>
      <c r="X9" s="100">
        <v>20.777536016899763</v>
      </c>
      <c r="Y9" s="100">
        <v>14585.830283863634</v>
      </c>
      <c r="Z9" s="100">
        <v>17.766506301378627</v>
      </c>
      <c r="AA9" s="100">
        <v>12472.087423567797</v>
      </c>
      <c r="AB9" s="100">
        <v>14.647783529074381</v>
      </c>
      <c r="AC9" s="100">
        <v>10282.744037410215</v>
      </c>
      <c r="AD9" s="100">
        <v>14.800512028834056</v>
      </c>
      <c r="AE9" s="100">
        <v>10389.959444241507</v>
      </c>
      <c r="AF9" s="100">
        <v>17.307443686858011</v>
      </c>
      <c r="AG9" s="100">
        <v>12149.825468174324</v>
      </c>
      <c r="AH9" s="100">
        <v>20.708732620101415</v>
      </c>
      <c r="AI9" s="100">
        <v>14537.530299311193</v>
      </c>
      <c r="AJ9" s="100">
        <v>21</v>
      </c>
      <c r="AK9" s="100">
        <v>14742</v>
      </c>
      <c r="AL9" s="100">
        <v>30</v>
      </c>
      <c r="AM9" s="100">
        <v>21060</v>
      </c>
      <c r="AN9" s="100">
        <v>14</v>
      </c>
      <c r="AO9" s="100">
        <v>9828</v>
      </c>
      <c r="AP9" s="100">
        <v>19</v>
      </c>
      <c r="AQ9" s="100">
        <v>13338</v>
      </c>
      <c r="AR9" s="100">
        <v>26.83325262613938</v>
      </c>
      <c r="AS9" s="100">
        <v>18836.943343549843</v>
      </c>
      <c r="AT9" s="100">
        <v>18</v>
      </c>
      <c r="AU9" s="100">
        <v>12636</v>
      </c>
      <c r="AV9" s="100">
        <v>19</v>
      </c>
      <c r="AW9" s="100">
        <v>13338</v>
      </c>
      <c r="AX9" s="100">
        <v>20</v>
      </c>
      <c r="AY9" s="100">
        <v>14040</v>
      </c>
      <c r="AZ9" s="100">
        <v>19.025719644416007</v>
      </c>
      <c r="BA9" s="100">
        <v>13356.055190380037</v>
      </c>
      <c r="BB9" s="100">
        <v>20.239447664212289</v>
      </c>
      <c r="BC9" s="100">
        <v>14208.092260277026</v>
      </c>
      <c r="BD9" s="100">
        <v>17</v>
      </c>
      <c r="BE9" s="100">
        <v>11934</v>
      </c>
      <c r="BF9" s="100">
        <v>19.86583111164499</v>
      </c>
      <c r="BG9" s="100">
        <v>13945.813440374783</v>
      </c>
      <c r="BH9" s="100">
        <v>18</v>
      </c>
      <c r="BI9" s="100">
        <v>12636</v>
      </c>
      <c r="BJ9" s="100">
        <v>23.724084959123608</v>
      </c>
      <c r="BK9" s="100">
        <v>16654.307641304775</v>
      </c>
      <c r="BL9" s="100">
        <v>28.249434154948528</v>
      </c>
      <c r="BM9" s="100">
        <v>19831.102776773867</v>
      </c>
      <c r="BN9" s="100">
        <v>14</v>
      </c>
      <c r="BO9" s="100">
        <v>9828</v>
      </c>
      <c r="BP9" s="100">
        <v>19.047465525835271</v>
      </c>
      <c r="BQ9" s="100">
        <v>13371.32079913636</v>
      </c>
      <c r="BR9" s="100">
        <v>16.812277669379647</v>
      </c>
      <c r="BS9" s="100">
        <v>11802.218923904513</v>
      </c>
      <c r="BT9" s="100">
        <v>24.252951296579724</v>
      </c>
      <c r="BU9" s="100">
        <v>17025.571810198966</v>
      </c>
      <c r="BV9" s="100">
        <v>18</v>
      </c>
      <c r="BW9" s="100">
        <v>12636</v>
      </c>
      <c r="BX9" s="100">
        <v>23.013331957562634</v>
      </c>
      <c r="BY9" s="100">
        <v>16155.35903420897</v>
      </c>
      <c r="BZ9" s="100">
        <v>21.396695660837842</v>
      </c>
      <c r="CA9" s="100">
        <v>15020.480353908166</v>
      </c>
      <c r="CB9" s="100">
        <v>22.239443436670328</v>
      </c>
      <c r="CC9" s="100">
        <v>15612.089292542571</v>
      </c>
      <c r="CD9" s="100">
        <v>19</v>
      </c>
      <c r="CE9" s="100">
        <v>13338</v>
      </c>
      <c r="CF9" s="100">
        <v>30.450680315074131</v>
      </c>
      <c r="CG9" s="100">
        <v>21376.377581182038</v>
      </c>
      <c r="CH9" s="100">
        <v>19.445413613529897</v>
      </c>
      <c r="CI9" s="100">
        <v>13650.680356697989</v>
      </c>
      <c r="CJ9" s="100">
        <v>21.105570042803688</v>
      </c>
      <c r="CK9" s="100">
        <v>14816.110170048189</v>
      </c>
      <c r="CL9" s="100">
        <v>22.409956702392911</v>
      </c>
      <c r="CM9" s="100">
        <v>15731.789605079824</v>
      </c>
      <c r="CN9" s="100">
        <v>18</v>
      </c>
      <c r="CO9" s="100">
        <v>12636</v>
      </c>
      <c r="CP9" s="100">
        <v>19</v>
      </c>
      <c r="CQ9" s="100">
        <v>13338</v>
      </c>
      <c r="CR9" s="100">
        <v>23.063206856989162</v>
      </c>
      <c r="CS9" s="100">
        <v>16190.371213606391</v>
      </c>
      <c r="CT9" s="100">
        <v>19</v>
      </c>
      <c r="CU9" s="100">
        <v>13338</v>
      </c>
    </row>
    <row r="10" spans="1:99">
      <c r="C10" s="99" t="s">
        <v>176</v>
      </c>
      <c r="D10" s="100">
        <v>23</v>
      </c>
      <c r="E10" s="100">
        <v>12530.4</v>
      </c>
      <c r="F10" s="100">
        <v>14</v>
      </c>
      <c r="G10" s="100">
        <v>7627.1999999999989</v>
      </c>
      <c r="H10" s="100">
        <v>23.936227307095173</v>
      </c>
      <c r="I10" s="100">
        <v>13040.456636905448</v>
      </c>
      <c r="J10" s="100">
        <v>18</v>
      </c>
      <c r="K10" s="100">
        <v>9806.4</v>
      </c>
      <c r="L10" s="100">
        <v>16</v>
      </c>
      <c r="M10" s="100">
        <v>8716.7999999999993</v>
      </c>
      <c r="N10" s="100">
        <v>19.929576807067296</v>
      </c>
      <c r="O10" s="100">
        <v>10857.633444490262</v>
      </c>
      <c r="P10" s="100">
        <v>19.277872927950447</v>
      </c>
      <c r="Q10" s="100">
        <v>10502.585171147402</v>
      </c>
      <c r="R10" s="100">
        <v>17</v>
      </c>
      <c r="S10" s="100">
        <v>9261.5999999999985</v>
      </c>
      <c r="T10" s="100">
        <v>19</v>
      </c>
      <c r="U10" s="100">
        <v>10351.199999999999</v>
      </c>
      <c r="V10" s="100">
        <v>21</v>
      </c>
      <c r="W10" s="100">
        <v>11440.8</v>
      </c>
      <c r="X10" s="100">
        <v>19.788129539904535</v>
      </c>
      <c r="Y10" s="100">
        <v>10780.572973339989</v>
      </c>
      <c r="Z10" s="100">
        <v>21.150602739736463</v>
      </c>
      <c r="AA10" s="100">
        <v>11522.848372608425</v>
      </c>
      <c r="AB10" s="100">
        <v>16.558363989388432</v>
      </c>
      <c r="AC10" s="100">
        <v>9020.9967014188169</v>
      </c>
      <c r="AD10" s="100">
        <v>16.358460663448167</v>
      </c>
      <c r="AE10" s="100">
        <v>8912.0893694465612</v>
      </c>
      <c r="AF10" s="100">
        <v>14.297453480447924</v>
      </c>
      <c r="AG10" s="100">
        <v>7789.2526561480281</v>
      </c>
      <c r="AH10" s="100">
        <v>20.708732620101415</v>
      </c>
      <c r="AI10" s="100">
        <v>11282.11753143125</v>
      </c>
      <c r="AJ10" s="100">
        <v>21</v>
      </c>
      <c r="AK10" s="100">
        <v>11440.8</v>
      </c>
      <c r="AL10" s="100">
        <v>30</v>
      </c>
      <c r="AM10" s="100">
        <v>16343.999999999998</v>
      </c>
      <c r="AN10" s="100">
        <v>16</v>
      </c>
      <c r="AO10" s="100">
        <v>8716.7999999999993</v>
      </c>
      <c r="AP10" s="100">
        <v>22</v>
      </c>
      <c r="AQ10" s="100">
        <v>11985.599999999999</v>
      </c>
      <c r="AR10" s="100">
        <v>24.845604283462386</v>
      </c>
      <c r="AS10" s="100">
        <v>13535.885213630307</v>
      </c>
      <c r="AT10" s="100">
        <v>18</v>
      </c>
      <c r="AU10" s="100">
        <v>9806.4</v>
      </c>
      <c r="AV10" s="100">
        <v>20</v>
      </c>
      <c r="AW10" s="100">
        <v>10896</v>
      </c>
      <c r="AX10" s="100">
        <v>22</v>
      </c>
      <c r="AY10" s="100">
        <v>11985.599999999999</v>
      </c>
      <c r="AZ10" s="100">
        <v>21.743679593618296</v>
      </c>
      <c r="BA10" s="100">
        <v>11845.956642603247</v>
      </c>
      <c r="BB10" s="100">
        <v>21.926068302896645</v>
      </c>
      <c r="BC10" s="100">
        <v>11945.322011418091</v>
      </c>
      <c r="BD10" s="100">
        <v>16</v>
      </c>
      <c r="BE10" s="100">
        <v>8716.7999999999993</v>
      </c>
      <c r="BF10" s="100">
        <v>20.62990153901595</v>
      </c>
      <c r="BG10" s="100">
        <v>11239.170358455889</v>
      </c>
      <c r="BH10" s="100">
        <v>18</v>
      </c>
      <c r="BI10" s="100">
        <v>9806.4</v>
      </c>
      <c r="BJ10" s="100">
        <v>25.701092039050575</v>
      </c>
      <c r="BK10" s="100">
        <v>14001.954942874752</v>
      </c>
      <c r="BL10" s="100">
        <v>26.426890015919593</v>
      </c>
      <c r="BM10" s="100">
        <v>14397.369680672993</v>
      </c>
      <c r="BN10" s="100">
        <v>16</v>
      </c>
      <c r="BO10" s="100">
        <v>8716.7999999999993</v>
      </c>
      <c r="BP10" s="100">
        <v>18.140443357938356</v>
      </c>
      <c r="BQ10" s="100">
        <v>9882.913541404816</v>
      </c>
      <c r="BR10" s="100">
        <v>16.812277669379647</v>
      </c>
      <c r="BS10" s="100">
        <v>9159.3288742780314</v>
      </c>
      <c r="BT10" s="100">
        <v>25.223069348442916</v>
      </c>
      <c r="BU10" s="100">
        <v>13741.528181031699</v>
      </c>
      <c r="BV10" s="100">
        <v>19</v>
      </c>
      <c r="BW10" s="100">
        <v>10351.199999999999</v>
      </c>
      <c r="BX10" s="100">
        <v>23.933865235865142</v>
      </c>
      <c r="BY10" s="100">
        <v>13039.169780499327</v>
      </c>
      <c r="BZ10" s="100">
        <v>22.981636080159163</v>
      </c>
      <c r="CA10" s="100">
        <v>12520.39533647071</v>
      </c>
      <c r="CB10" s="100">
        <v>20.650911762622446</v>
      </c>
      <c r="CC10" s="100">
        <v>11250.616728276707</v>
      </c>
      <c r="CD10" s="100">
        <v>17</v>
      </c>
      <c r="CE10" s="100">
        <v>9261.5999999999985</v>
      </c>
      <c r="CF10" s="100">
        <v>25.836940873396234</v>
      </c>
      <c r="CG10" s="100">
        <v>14075.965387826267</v>
      </c>
      <c r="CH10" s="100">
        <v>19.445413613529897</v>
      </c>
      <c r="CI10" s="100">
        <v>10593.861336651087</v>
      </c>
      <c r="CJ10" s="100">
        <v>21.105570042803688</v>
      </c>
      <c r="CK10" s="100">
        <v>11498.314559319448</v>
      </c>
      <c r="CL10" s="100">
        <v>22.409956702392911</v>
      </c>
      <c r="CM10" s="100">
        <v>12208.944411463657</v>
      </c>
      <c r="CN10" s="100">
        <v>17</v>
      </c>
      <c r="CO10" s="100">
        <v>9261.5999999999985</v>
      </c>
      <c r="CP10" s="100">
        <v>19</v>
      </c>
      <c r="CQ10" s="100">
        <v>10351.199999999999</v>
      </c>
      <c r="CR10" s="100">
        <v>22.102239904614613</v>
      </c>
      <c r="CS10" s="100">
        <v>12041.30030003404</v>
      </c>
      <c r="CT10" s="100">
        <v>21</v>
      </c>
      <c r="CU10" s="100">
        <v>11440.8</v>
      </c>
    </row>
    <row r="11" spans="1:99">
      <c r="C11" s="99" t="s">
        <v>177</v>
      </c>
      <c r="D11" s="100">
        <v>20</v>
      </c>
      <c r="E11" s="100">
        <v>10656</v>
      </c>
      <c r="F11" s="100">
        <v>16</v>
      </c>
      <c r="G11" s="100">
        <v>8524.7999999999993</v>
      </c>
      <c r="H11" s="100">
        <v>22.021329122527561</v>
      </c>
      <c r="I11" s="100">
        <v>11732.964156482683</v>
      </c>
      <c r="J11" s="100">
        <v>17</v>
      </c>
      <c r="K11" s="100">
        <v>9057.5999999999985</v>
      </c>
      <c r="L11" s="100">
        <v>15</v>
      </c>
      <c r="M11" s="100">
        <v>7991.9999999999991</v>
      </c>
      <c r="N11" s="100">
        <v>20.926055647420664</v>
      </c>
      <c r="O11" s="100">
        <v>11149.40244894573</v>
      </c>
      <c r="P11" s="100">
        <v>20.24176657434797</v>
      </c>
      <c r="Q11" s="100">
        <v>10784.813230812597</v>
      </c>
      <c r="R11" s="100">
        <v>14</v>
      </c>
      <c r="S11" s="100">
        <v>7459.1999999999989</v>
      </c>
      <c r="T11" s="100">
        <v>19</v>
      </c>
      <c r="U11" s="100">
        <v>10123.199999999999</v>
      </c>
      <c r="V11" s="100">
        <v>20</v>
      </c>
      <c r="W11" s="100">
        <v>10656</v>
      </c>
      <c r="X11" s="100">
        <v>23.745755447885443</v>
      </c>
      <c r="Y11" s="100">
        <v>12651.738502633363</v>
      </c>
      <c r="Z11" s="100">
        <v>19.458554520557545</v>
      </c>
      <c r="AA11" s="100">
        <v>10367.51784855306</v>
      </c>
      <c r="AB11" s="100">
        <v>16.558363989388432</v>
      </c>
      <c r="AC11" s="100">
        <v>8822.2963335461554</v>
      </c>
      <c r="AD11" s="100">
        <v>16.358460663448167</v>
      </c>
      <c r="AE11" s="100">
        <v>8715.7878414851821</v>
      </c>
      <c r="AF11" s="100">
        <v>17.307443686858011</v>
      </c>
      <c r="AG11" s="100">
        <v>9221.4059963579475</v>
      </c>
      <c r="AH11" s="100">
        <v>20.708732620101415</v>
      </c>
      <c r="AI11" s="100">
        <v>11033.612739990032</v>
      </c>
      <c r="AJ11" s="100">
        <v>20</v>
      </c>
      <c r="AK11" s="100">
        <v>10656</v>
      </c>
      <c r="AL11" s="100">
        <v>29</v>
      </c>
      <c r="AM11" s="100">
        <v>15451.199999999999</v>
      </c>
      <c r="AN11" s="100">
        <v>15</v>
      </c>
      <c r="AO11" s="100">
        <v>7991.9999999999991</v>
      </c>
      <c r="AP11" s="100">
        <v>21</v>
      </c>
      <c r="AQ11" s="100">
        <v>11188.8</v>
      </c>
      <c r="AR11" s="100">
        <v>25.839428454800885</v>
      </c>
      <c r="AS11" s="100">
        <v>13767.24748071791</v>
      </c>
      <c r="AT11" s="100">
        <v>18</v>
      </c>
      <c r="AU11" s="100">
        <v>9590.4</v>
      </c>
      <c r="AV11" s="100">
        <v>21</v>
      </c>
      <c r="AW11" s="100">
        <v>11188.8</v>
      </c>
      <c r="AX11" s="100">
        <v>23</v>
      </c>
      <c r="AY11" s="100">
        <v>12254.4</v>
      </c>
      <c r="AZ11" s="100">
        <v>19.025719644416007</v>
      </c>
      <c r="BA11" s="100">
        <v>10136.903426544848</v>
      </c>
      <c r="BB11" s="100">
        <v>21.926068302896645</v>
      </c>
      <c r="BC11" s="100">
        <v>11682.209191783331</v>
      </c>
      <c r="BD11" s="100">
        <v>15</v>
      </c>
      <c r="BE11" s="100">
        <v>7991.9999999999991</v>
      </c>
      <c r="BF11" s="100">
        <v>22.158042393757874</v>
      </c>
      <c r="BG11" s="100">
        <v>11805.804987394195</v>
      </c>
      <c r="BH11" s="100">
        <v>18</v>
      </c>
      <c r="BI11" s="100">
        <v>9590.4</v>
      </c>
      <c r="BJ11" s="100">
        <v>26.68959557901406</v>
      </c>
      <c r="BK11" s="100">
        <v>14220.21652449869</v>
      </c>
      <c r="BL11" s="100">
        <v>25.515617946405122</v>
      </c>
      <c r="BM11" s="100">
        <v>13594.721241844647</v>
      </c>
      <c r="BN11" s="100">
        <v>14</v>
      </c>
      <c r="BO11" s="100">
        <v>7459.1999999999989</v>
      </c>
      <c r="BP11" s="100">
        <v>18.140443357938356</v>
      </c>
      <c r="BQ11" s="100">
        <v>9665.2282211095553</v>
      </c>
      <c r="BR11" s="100">
        <v>19.334119319786591</v>
      </c>
      <c r="BS11" s="100">
        <v>10301.218773582295</v>
      </c>
      <c r="BT11" s="100">
        <v>28.133423504032478</v>
      </c>
      <c r="BU11" s="100">
        <v>14989.488042948504</v>
      </c>
      <c r="BV11" s="100">
        <v>17</v>
      </c>
      <c r="BW11" s="100">
        <v>9057.5999999999985</v>
      </c>
      <c r="BX11" s="100">
        <v>26.695465070772656</v>
      </c>
      <c r="BY11" s="100">
        <v>14223.343789707669</v>
      </c>
      <c r="BZ11" s="100">
        <v>22.981636080159163</v>
      </c>
      <c r="CA11" s="100">
        <v>12244.615703508802</v>
      </c>
      <c r="CB11" s="100">
        <v>22.239443436670328</v>
      </c>
      <c r="CC11" s="100">
        <v>11849.175463057949</v>
      </c>
      <c r="CD11" s="100">
        <v>18</v>
      </c>
      <c r="CE11" s="100">
        <v>9590.4</v>
      </c>
      <c r="CF11" s="100">
        <v>31.373428203409709</v>
      </c>
      <c r="CG11" s="100">
        <v>16715.762546776692</v>
      </c>
      <c r="CH11" s="100">
        <v>17.889780524447506</v>
      </c>
      <c r="CI11" s="100">
        <v>9531.6750634256296</v>
      </c>
      <c r="CJ11" s="100">
        <v>22.023203522925591</v>
      </c>
      <c r="CK11" s="100">
        <v>11733.962837014755</v>
      </c>
      <c r="CL11" s="100">
        <v>26.559948684317522</v>
      </c>
      <c r="CM11" s="100">
        <v>14151.140659004375</v>
      </c>
      <c r="CN11" s="100">
        <v>17</v>
      </c>
      <c r="CO11" s="100">
        <v>9057.5999999999985</v>
      </c>
      <c r="CP11" s="100">
        <v>18</v>
      </c>
      <c r="CQ11" s="100">
        <v>9590.4</v>
      </c>
      <c r="CR11" s="100">
        <v>24.985140761738258</v>
      </c>
      <c r="CS11" s="100">
        <v>13312.082997854142</v>
      </c>
      <c r="CT11" s="100">
        <v>20</v>
      </c>
      <c r="CU11" s="100">
        <v>10656</v>
      </c>
    </row>
    <row r="12" spans="1:99">
      <c r="C12" s="99" t="s">
        <v>178</v>
      </c>
      <c r="D12" s="100">
        <v>23</v>
      </c>
      <c r="E12" s="100">
        <v>12944.4</v>
      </c>
      <c r="F12" s="100">
        <v>15</v>
      </c>
      <c r="G12" s="100">
        <v>8442</v>
      </c>
      <c r="H12" s="100">
        <v>23.936227307095173</v>
      </c>
      <c r="I12" s="100">
        <v>13471.308728433161</v>
      </c>
      <c r="J12" s="100">
        <v>20</v>
      </c>
      <c r="K12" s="100">
        <v>11256</v>
      </c>
      <c r="L12" s="100">
        <v>15</v>
      </c>
      <c r="M12" s="100">
        <v>8442</v>
      </c>
      <c r="N12" s="100">
        <v>17.936619126360565</v>
      </c>
      <c r="O12" s="100">
        <v>10094.729244315726</v>
      </c>
      <c r="P12" s="100">
        <v>19.277872927950447</v>
      </c>
      <c r="Q12" s="100">
        <v>10849.58688385051</v>
      </c>
      <c r="R12" s="100">
        <v>16</v>
      </c>
      <c r="S12" s="100">
        <v>9004.7999999999993</v>
      </c>
      <c r="T12" s="100">
        <v>19</v>
      </c>
      <c r="U12" s="100">
        <v>10693.199999999999</v>
      </c>
      <c r="V12" s="100">
        <v>23</v>
      </c>
      <c r="W12" s="100">
        <v>12944.4</v>
      </c>
      <c r="X12" s="100">
        <v>21.766942493894987</v>
      </c>
      <c r="Y12" s="100">
        <v>12250.435235564099</v>
      </c>
      <c r="Z12" s="100">
        <v>21.150602739736463</v>
      </c>
      <c r="AA12" s="100">
        <v>11903.559221923681</v>
      </c>
      <c r="AB12" s="100">
        <v>17.195224142826447</v>
      </c>
      <c r="AC12" s="100">
        <v>9677.4721475827246</v>
      </c>
      <c r="AD12" s="100">
        <v>14.800512028834056</v>
      </c>
      <c r="AE12" s="100">
        <v>8329.7281698278057</v>
      </c>
      <c r="AF12" s="100">
        <v>16.554946135255491</v>
      </c>
      <c r="AG12" s="100">
        <v>9317.1236849217894</v>
      </c>
      <c r="AH12" s="100">
        <v>18.983004901759632</v>
      </c>
      <c r="AI12" s="100">
        <v>10683.63515871032</v>
      </c>
      <c r="AJ12" s="100">
        <v>22</v>
      </c>
      <c r="AK12" s="100">
        <v>12381.599999999999</v>
      </c>
      <c r="AL12" s="100">
        <v>27</v>
      </c>
      <c r="AM12" s="100">
        <v>15195.599999999999</v>
      </c>
      <c r="AN12" s="100">
        <v>16</v>
      </c>
      <c r="AO12" s="100">
        <v>9004.7999999999993</v>
      </c>
      <c r="AP12" s="100">
        <v>21</v>
      </c>
      <c r="AQ12" s="100">
        <v>11818.8</v>
      </c>
      <c r="AR12" s="100">
        <v>26.83325262613938</v>
      </c>
      <c r="AS12" s="100">
        <v>15101.754577991242</v>
      </c>
      <c r="AT12" s="100">
        <v>19</v>
      </c>
      <c r="AU12" s="100">
        <v>10693.199999999999</v>
      </c>
      <c r="AV12" s="100">
        <v>21</v>
      </c>
      <c r="AW12" s="100">
        <v>11818.8</v>
      </c>
      <c r="AX12" s="100">
        <v>21</v>
      </c>
      <c r="AY12" s="100">
        <v>11818.8</v>
      </c>
      <c r="AZ12" s="100">
        <v>20.8376929438842</v>
      </c>
      <c r="BA12" s="100">
        <v>11727.453588818027</v>
      </c>
      <c r="BB12" s="100">
        <v>21.926068302896645</v>
      </c>
      <c r="BC12" s="100">
        <v>12339.991240870231</v>
      </c>
      <c r="BD12" s="100">
        <v>18</v>
      </c>
      <c r="BE12" s="100">
        <v>10130.4</v>
      </c>
      <c r="BF12" s="100">
        <v>23.686183248499791</v>
      </c>
      <c r="BG12" s="100">
        <v>13330.583932255682</v>
      </c>
      <c r="BH12" s="100">
        <v>18</v>
      </c>
      <c r="BI12" s="100">
        <v>10130.4</v>
      </c>
      <c r="BJ12" s="100">
        <v>25.701092039050575</v>
      </c>
      <c r="BK12" s="100">
        <v>14464.574599577663</v>
      </c>
      <c r="BL12" s="100">
        <v>25.515617946405122</v>
      </c>
      <c r="BM12" s="100">
        <v>14360.189780236802</v>
      </c>
      <c r="BN12" s="100">
        <v>16</v>
      </c>
      <c r="BO12" s="100">
        <v>9004.7999999999993</v>
      </c>
      <c r="BP12" s="100">
        <v>19.95448769373219</v>
      </c>
      <c r="BQ12" s="100">
        <v>11230.385674032475</v>
      </c>
      <c r="BR12" s="100">
        <v>20.174733203255574</v>
      </c>
      <c r="BS12" s="100">
        <v>11354.339846792236</v>
      </c>
      <c r="BT12" s="100">
        <v>27.163305452169293</v>
      </c>
      <c r="BU12" s="100">
        <v>15287.508308480878</v>
      </c>
      <c r="BV12" s="100">
        <v>18</v>
      </c>
      <c r="BW12" s="100">
        <v>10130.4</v>
      </c>
      <c r="BX12" s="100">
        <v>23.933865235865142</v>
      </c>
      <c r="BY12" s="100">
        <v>13469.979354744901</v>
      </c>
      <c r="BZ12" s="100">
        <v>23.774106289819827</v>
      </c>
      <c r="CA12" s="100">
        <v>13380.067019910597</v>
      </c>
      <c r="CB12" s="100">
        <v>23.033709273694267</v>
      </c>
      <c r="CC12" s="100">
        <v>12963.371579235132</v>
      </c>
      <c r="CD12" s="100">
        <v>19</v>
      </c>
      <c r="CE12" s="100">
        <v>10693.199999999999</v>
      </c>
      <c r="CF12" s="100">
        <v>27.682436650067391</v>
      </c>
      <c r="CG12" s="100">
        <v>15579.675346657927</v>
      </c>
      <c r="CH12" s="100">
        <v>17.11196397990631</v>
      </c>
      <c r="CI12" s="100">
        <v>9630.6133278912712</v>
      </c>
      <c r="CJ12" s="100">
        <v>22.023203522925591</v>
      </c>
      <c r="CK12" s="100">
        <v>12394.658942702521</v>
      </c>
      <c r="CL12" s="100">
        <v>26.559948684317522</v>
      </c>
      <c r="CM12" s="100">
        <v>14947.939119533899</v>
      </c>
      <c r="CN12" s="100">
        <v>18</v>
      </c>
      <c r="CO12" s="100">
        <v>10130.4</v>
      </c>
      <c r="CP12" s="100">
        <v>20</v>
      </c>
      <c r="CQ12" s="100">
        <v>11256</v>
      </c>
      <c r="CR12" s="100">
        <v>24.024173809363706</v>
      </c>
      <c r="CS12" s="100">
        <v>13520.805019909893</v>
      </c>
      <c r="CT12" s="100">
        <v>21</v>
      </c>
      <c r="CU12" s="100">
        <v>11818.8</v>
      </c>
    </row>
    <row r="13" spans="1:99">
      <c r="C13" s="99" t="s">
        <v>179</v>
      </c>
      <c r="D13" s="100">
        <v>25</v>
      </c>
      <c r="E13" s="100">
        <v>2130</v>
      </c>
      <c r="F13" s="100">
        <v>17</v>
      </c>
      <c r="G13" s="100">
        <v>1448.4</v>
      </c>
      <c r="H13" s="100">
        <v>23.936227307095173</v>
      </c>
      <c r="I13" s="100">
        <v>2039.3665665645087</v>
      </c>
      <c r="J13" s="100">
        <v>19</v>
      </c>
      <c r="K13" s="100">
        <v>1618.8</v>
      </c>
      <c r="L13" s="100">
        <v>16</v>
      </c>
      <c r="M13" s="100">
        <v>1363.2</v>
      </c>
      <c r="N13" s="100">
        <v>20.926055647420664</v>
      </c>
      <c r="O13" s="100">
        <v>1782.8999411602406</v>
      </c>
      <c r="P13" s="100">
        <v>22.169553867143012</v>
      </c>
      <c r="Q13" s="100">
        <v>1888.8459894805846</v>
      </c>
      <c r="R13" s="100">
        <v>17</v>
      </c>
      <c r="S13" s="100">
        <v>1448.4</v>
      </c>
      <c r="T13" s="100">
        <v>21</v>
      </c>
      <c r="U13" s="100">
        <v>1789.2</v>
      </c>
      <c r="V13" s="100">
        <v>24</v>
      </c>
      <c r="W13" s="100">
        <v>2044.8000000000002</v>
      </c>
      <c r="X13" s="100">
        <v>22.756348970890215</v>
      </c>
      <c r="Y13" s="100">
        <v>1938.8409323198464</v>
      </c>
      <c r="Z13" s="100">
        <v>21.150602739736463</v>
      </c>
      <c r="AA13" s="100">
        <v>1802.0313534255467</v>
      </c>
      <c r="AB13" s="100">
        <v>17.195224142826447</v>
      </c>
      <c r="AC13" s="100">
        <v>1465.0330969688134</v>
      </c>
      <c r="AD13" s="100">
        <v>15.57948634614111</v>
      </c>
      <c r="AE13" s="100">
        <v>1327.3722366912225</v>
      </c>
      <c r="AF13" s="100">
        <v>15.80244858365297</v>
      </c>
      <c r="AG13" s="100">
        <v>1346.3686193272331</v>
      </c>
      <c r="AH13" s="100">
        <v>21.571596479272305</v>
      </c>
      <c r="AI13" s="100">
        <v>1837.9000200340004</v>
      </c>
      <c r="AJ13" s="100">
        <v>22</v>
      </c>
      <c r="AK13" s="100">
        <v>1874.4</v>
      </c>
      <c r="AL13" s="100">
        <v>27</v>
      </c>
      <c r="AM13" s="100">
        <v>2300.4</v>
      </c>
      <c r="AN13" s="100">
        <v>18</v>
      </c>
      <c r="AO13" s="100">
        <v>1533.6000000000001</v>
      </c>
      <c r="AP13" s="100">
        <v>23</v>
      </c>
      <c r="AQ13" s="100">
        <v>1959.6000000000001</v>
      </c>
      <c r="AR13" s="100">
        <v>27.827076797477872</v>
      </c>
      <c r="AS13" s="100">
        <v>2370.8669431451149</v>
      </c>
      <c r="AT13" s="100">
        <v>18</v>
      </c>
      <c r="AU13" s="100">
        <v>1533.6000000000001</v>
      </c>
      <c r="AV13" s="100">
        <v>24</v>
      </c>
      <c r="AW13" s="100">
        <v>2044.8000000000002</v>
      </c>
      <c r="AX13" s="100">
        <v>24</v>
      </c>
      <c r="AY13" s="100">
        <v>2044.8000000000002</v>
      </c>
      <c r="AZ13" s="100">
        <v>19.025719644416007</v>
      </c>
      <c r="BA13" s="100">
        <v>1620.9913137042438</v>
      </c>
      <c r="BB13" s="100">
        <v>22.769378622238825</v>
      </c>
      <c r="BC13" s="100">
        <v>1939.951058614748</v>
      </c>
      <c r="BD13" s="100">
        <v>17</v>
      </c>
      <c r="BE13" s="100">
        <v>1448.4</v>
      </c>
      <c r="BF13" s="100">
        <v>22.922112821128831</v>
      </c>
      <c r="BG13" s="100">
        <v>1952.9640123601764</v>
      </c>
      <c r="BH13" s="100">
        <v>19</v>
      </c>
      <c r="BI13" s="100">
        <v>1618.8</v>
      </c>
      <c r="BJ13" s="100">
        <v>27.678099118977542</v>
      </c>
      <c r="BK13" s="100">
        <v>2358.1740449368867</v>
      </c>
      <c r="BL13" s="100">
        <v>27.33816208543406</v>
      </c>
      <c r="BM13" s="100">
        <v>2329.2114096789819</v>
      </c>
      <c r="BN13" s="100">
        <v>18</v>
      </c>
      <c r="BO13" s="100">
        <v>1533.6000000000001</v>
      </c>
      <c r="BP13" s="100">
        <v>19.047465525835271</v>
      </c>
      <c r="BQ13" s="100">
        <v>1622.8440628011651</v>
      </c>
      <c r="BR13" s="100">
        <v>20.174733203255574</v>
      </c>
      <c r="BS13" s="100">
        <v>1718.887268917375</v>
      </c>
      <c r="BT13" s="100">
        <v>31.043777659622048</v>
      </c>
      <c r="BU13" s="100">
        <v>2644.9298565997988</v>
      </c>
      <c r="BV13" s="100">
        <v>20</v>
      </c>
      <c r="BW13" s="100">
        <v>1704</v>
      </c>
      <c r="BX13" s="100">
        <v>24.854398514167649</v>
      </c>
      <c r="BY13" s="100">
        <v>2117.5947534070838</v>
      </c>
      <c r="BZ13" s="100">
        <v>27.736457338123127</v>
      </c>
      <c r="CA13" s="100">
        <v>2363.1461652080907</v>
      </c>
      <c r="CB13" s="100">
        <v>25.416506784766089</v>
      </c>
      <c r="CC13" s="100">
        <v>2165.4863780620708</v>
      </c>
      <c r="CD13" s="100">
        <v>17</v>
      </c>
      <c r="CE13" s="100">
        <v>1448.4</v>
      </c>
      <c r="CF13" s="100">
        <v>31.373428203409709</v>
      </c>
      <c r="CG13" s="100">
        <v>2673.0160829305073</v>
      </c>
      <c r="CH13" s="100">
        <v>21.001046702612292</v>
      </c>
      <c r="CI13" s="100">
        <v>1789.2891790625674</v>
      </c>
      <c r="CJ13" s="100">
        <v>22.023203522925591</v>
      </c>
      <c r="CK13" s="100">
        <v>1876.3769401532604</v>
      </c>
      <c r="CL13" s="100">
        <v>27.389947080702441</v>
      </c>
      <c r="CM13" s="100">
        <v>2333.6234912758482</v>
      </c>
      <c r="CN13" s="100">
        <v>17</v>
      </c>
      <c r="CO13" s="100">
        <v>1448.4</v>
      </c>
      <c r="CP13" s="100">
        <v>20</v>
      </c>
      <c r="CQ13" s="100">
        <v>1704</v>
      </c>
      <c r="CR13" s="100">
        <v>24.985140761738258</v>
      </c>
      <c r="CS13" s="100">
        <v>2128.7339929000996</v>
      </c>
      <c r="CT13" s="100">
        <v>23</v>
      </c>
      <c r="CU13" s="100">
        <v>1959.6000000000001</v>
      </c>
    </row>
    <row r="14" spans="1:99">
      <c r="C14" s="99" t="s">
        <v>180</v>
      </c>
      <c r="D14" s="100">
        <v>23</v>
      </c>
      <c r="E14" s="100">
        <v>11233.199999999999</v>
      </c>
      <c r="F14" s="100">
        <v>15</v>
      </c>
      <c r="G14" s="100">
        <v>7326</v>
      </c>
      <c r="H14" s="100">
        <v>25.851125491662788</v>
      </c>
      <c r="I14" s="100">
        <v>12625.689690128105</v>
      </c>
      <c r="J14" s="100">
        <v>18</v>
      </c>
      <c r="K14" s="100">
        <v>8791.1999999999989</v>
      </c>
      <c r="L14" s="100">
        <v>16</v>
      </c>
      <c r="M14" s="100">
        <v>7814.4</v>
      </c>
      <c r="N14" s="100">
        <v>19.929576807067296</v>
      </c>
      <c r="O14" s="100">
        <v>9733.6053125716662</v>
      </c>
      <c r="P14" s="100">
        <v>21.205660220745493</v>
      </c>
      <c r="Q14" s="100">
        <v>10356.844451812098</v>
      </c>
      <c r="R14" s="100">
        <v>16</v>
      </c>
      <c r="S14" s="100">
        <v>7814.4</v>
      </c>
      <c r="T14" s="100">
        <v>22</v>
      </c>
      <c r="U14" s="100">
        <v>10744.8</v>
      </c>
      <c r="V14" s="100">
        <v>21</v>
      </c>
      <c r="W14" s="100">
        <v>10256.4</v>
      </c>
      <c r="X14" s="100">
        <v>23.745755447885443</v>
      </c>
      <c r="Y14" s="100">
        <v>11597.426960747251</v>
      </c>
      <c r="Z14" s="100">
        <v>19.458554520557545</v>
      </c>
      <c r="AA14" s="100">
        <v>9503.5580278403049</v>
      </c>
      <c r="AB14" s="100">
        <v>17.832084296264465</v>
      </c>
      <c r="AC14" s="100">
        <v>8709.1899702955652</v>
      </c>
      <c r="AD14" s="100">
        <v>16.358460663448167</v>
      </c>
      <c r="AE14" s="100">
        <v>7989.472188028084</v>
      </c>
      <c r="AF14" s="100">
        <v>15.049951032050446</v>
      </c>
      <c r="AG14" s="100">
        <v>7350.3960840534373</v>
      </c>
      <c r="AH14" s="100">
        <v>18.983004901759632</v>
      </c>
      <c r="AI14" s="100">
        <v>9271.2995940194032</v>
      </c>
      <c r="AJ14" s="100">
        <v>22</v>
      </c>
      <c r="AK14" s="100">
        <v>10744.8</v>
      </c>
      <c r="AL14" s="100">
        <v>28</v>
      </c>
      <c r="AM14" s="100">
        <v>13675.199999999999</v>
      </c>
      <c r="AN14" s="100">
        <v>16</v>
      </c>
      <c r="AO14" s="100">
        <v>7814.4</v>
      </c>
      <c r="AP14" s="100">
        <v>21</v>
      </c>
      <c r="AQ14" s="100">
        <v>10256.4</v>
      </c>
      <c r="AR14" s="100">
        <v>25.839428454800885</v>
      </c>
      <c r="AS14" s="100">
        <v>12619.976857324751</v>
      </c>
      <c r="AT14" s="100">
        <v>18</v>
      </c>
      <c r="AU14" s="100">
        <v>8791.1999999999989</v>
      </c>
      <c r="AV14" s="100">
        <v>23</v>
      </c>
      <c r="AW14" s="100">
        <v>11233.199999999999</v>
      </c>
      <c r="AX14" s="100">
        <v>19</v>
      </c>
      <c r="AY14" s="100">
        <v>9279.6</v>
      </c>
      <c r="AZ14" s="100">
        <v>19.931706294150104</v>
      </c>
      <c r="BA14" s="100">
        <v>9734.64535406291</v>
      </c>
      <c r="BB14" s="100">
        <v>21.082757983554469</v>
      </c>
      <c r="BC14" s="100">
        <v>10296.818999168003</v>
      </c>
      <c r="BD14" s="100">
        <v>15</v>
      </c>
      <c r="BE14" s="100">
        <v>7326</v>
      </c>
      <c r="BF14" s="100">
        <v>22.922112821128831</v>
      </c>
      <c r="BG14" s="100">
        <v>11195.159901839321</v>
      </c>
      <c r="BH14" s="100">
        <v>19</v>
      </c>
      <c r="BI14" s="100">
        <v>9279.6</v>
      </c>
      <c r="BJ14" s="100">
        <v>23.724084959123608</v>
      </c>
      <c r="BK14" s="100">
        <v>11586.84309403597</v>
      </c>
      <c r="BL14" s="100">
        <v>27.33816208543406</v>
      </c>
      <c r="BM14" s="100">
        <v>13351.958362525995</v>
      </c>
      <c r="BN14" s="100">
        <v>16</v>
      </c>
      <c r="BO14" s="100">
        <v>7814.4</v>
      </c>
      <c r="BP14" s="100">
        <v>19.95448769373219</v>
      </c>
      <c r="BQ14" s="100">
        <v>9745.7717896188005</v>
      </c>
      <c r="BR14" s="100">
        <v>18.493505436317612</v>
      </c>
      <c r="BS14" s="100">
        <v>9032.2280550975211</v>
      </c>
      <c r="BT14" s="100">
        <v>28.133423504032478</v>
      </c>
      <c r="BU14" s="100">
        <v>13740.364039369462</v>
      </c>
      <c r="BV14" s="100">
        <v>18</v>
      </c>
      <c r="BW14" s="100">
        <v>8791.1999999999989</v>
      </c>
      <c r="BX14" s="100">
        <v>27.615998349075166</v>
      </c>
      <c r="BY14" s="100">
        <v>13487.65359368831</v>
      </c>
      <c r="BZ14" s="100">
        <v>22.981636080159163</v>
      </c>
      <c r="CA14" s="100">
        <v>11224.231061549735</v>
      </c>
      <c r="CB14" s="100">
        <v>20.650911762622446</v>
      </c>
      <c r="CC14" s="100">
        <v>10085.905304864802</v>
      </c>
      <c r="CD14" s="100">
        <v>17</v>
      </c>
      <c r="CE14" s="100">
        <v>8302.7999999999993</v>
      </c>
      <c r="CF14" s="100">
        <v>29.527932426738552</v>
      </c>
      <c r="CG14" s="100">
        <v>14421.442197219108</v>
      </c>
      <c r="CH14" s="100">
        <v>17.889780524447506</v>
      </c>
      <c r="CI14" s="100">
        <v>8737.3688081401615</v>
      </c>
      <c r="CJ14" s="100">
        <v>19.270303082559888</v>
      </c>
      <c r="CK14" s="100">
        <v>9411.6160255222494</v>
      </c>
      <c r="CL14" s="100">
        <v>22.409956702392911</v>
      </c>
      <c r="CM14" s="100">
        <v>10945.022853448698</v>
      </c>
      <c r="CN14" s="100">
        <v>16</v>
      </c>
      <c r="CO14" s="100">
        <v>7814.4</v>
      </c>
      <c r="CP14" s="100">
        <v>21</v>
      </c>
      <c r="CQ14" s="100">
        <v>10256.4</v>
      </c>
      <c r="CR14" s="100">
        <v>23.063206856989162</v>
      </c>
      <c r="CS14" s="100">
        <v>11264.070228953506</v>
      </c>
      <c r="CT14" s="100">
        <v>21</v>
      </c>
      <c r="CU14" s="100">
        <v>10256.4</v>
      </c>
    </row>
    <row r="15" spans="1:99">
      <c r="C15" s="99" t="s">
        <v>181</v>
      </c>
      <c r="D15" s="100">
        <v>19</v>
      </c>
      <c r="E15" s="100">
        <v>14500.8</v>
      </c>
      <c r="F15" s="100">
        <v>16</v>
      </c>
      <c r="G15" s="100">
        <v>12211.199999999999</v>
      </c>
      <c r="H15" s="100">
        <v>22.978778214811367</v>
      </c>
      <c r="I15" s="100">
        <v>17537.403533544035</v>
      </c>
      <c r="J15" s="100">
        <v>19</v>
      </c>
      <c r="K15" s="100">
        <v>14500.8</v>
      </c>
      <c r="L15" s="100">
        <v>15</v>
      </c>
      <c r="M15" s="100">
        <v>11447.999999999998</v>
      </c>
      <c r="N15" s="100">
        <v>16.940140286007203</v>
      </c>
      <c r="O15" s="100">
        <v>12928.715066280696</v>
      </c>
      <c r="P15" s="100">
        <v>20.24176657434797</v>
      </c>
      <c r="Q15" s="100">
        <v>15448.51624954237</v>
      </c>
      <c r="R15" s="100">
        <v>16</v>
      </c>
      <c r="S15" s="100">
        <v>12211.199999999999</v>
      </c>
      <c r="T15" s="100">
        <v>19</v>
      </c>
      <c r="U15" s="100">
        <v>14500.8</v>
      </c>
      <c r="V15" s="100">
        <v>23</v>
      </c>
      <c r="W15" s="100">
        <v>17553.599999999999</v>
      </c>
      <c r="X15" s="100">
        <v>19.788129539904535</v>
      </c>
      <c r="Y15" s="100">
        <v>15102.30046485514</v>
      </c>
      <c r="Z15" s="100">
        <v>21.150602739736463</v>
      </c>
      <c r="AA15" s="100">
        <v>16142.140010966867</v>
      </c>
      <c r="AB15" s="100">
        <v>14.647783529074381</v>
      </c>
      <c r="AC15" s="100">
        <v>11179.188389389567</v>
      </c>
      <c r="AD15" s="100">
        <v>16.358460663448167</v>
      </c>
      <c r="AE15" s="100">
        <v>12484.77717834364</v>
      </c>
      <c r="AF15" s="100">
        <v>15.049951032050446</v>
      </c>
      <c r="AG15" s="100">
        <v>11486.1226276609</v>
      </c>
      <c r="AH15" s="100">
        <v>18.983004901759632</v>
      </c>
      <c r="AI15" s="100">
        <v>14487.829341022949</v>
      </c>
      <c r="AJ15" s="100">
        <v>22</v>
      </c>
      <c r="AK15" s="100">
        <v>16790.399999999998</v>
      </c>
      <c r="AL15" s="100">
        <v>25</v>
      </c>
      <c r="AM15" s="100">
        <v>19080</v>
      </c>
      <c r="AN15" s="100">
        <v>17</v>
      </c>
      <c r="AO15" s="100">
        <v>12974.4</v>
      </c>
      <c r="AP15" s="100">
        <v>20</v>
      </c>
      <c r="AQ15" s="100">
        <v>15263.999999999998</v>
      </c>
      <c r="AR15" s="100">
        <v>23.85178011212389</v>
      </c>
      <c r="AS15" s="100">
        <v>18203.678581572953</v>
      </c>
      <c r="AT15" s="100">
        <v>17</v>
      </c>
      <c r="AU15" s="100">
        <v>12974.4</v>
      </c>
      <c r="AV15" s="100">
        <v>22</v>
      </c>
      <c r="AW15" s="100">
        <v>16790.399999999998</v>
      </c>
      <c r="AX15" s="100">
        <v>21</v>
      </c>
      <c r="AY15" s="100">
        <v>16027.199999999999</v>
      </c>
      <c r="AZ15" s="100">
        <v>19.931706294150104</v>
      </c>
      <c r="BA15" s="100">
        <v>15211.878243695357</v>
      </c>
      <c r="BB15" s="100">
        <v>23.612688941581006</v>
      </c>
      <c r="BC15" s="100">
        <v>18021.204200214623</v>
      </c>
      <c r="BD15" s="100">
        <v>15</v>
      </c>
      <c r="BE15" s="100">
        <v>11447.999999999998</v>
      </c>
      <c r="BF15" s="100">
        <v>22.922112821128831</v>
      </c>
      <c r="BG15" s="100">
        <v>17494.156505085521</v>
      </c>
      <c r="BH15" s="100">
        <v>18</v>
      </c>
      <c r="BI15" s="100">
        <v>13737.599999999999</v>
      </c>
      <c r="BJ15" s="100">
        <v>22.735581419160123</v>
      </c>
      <c r="BK15" s="100">
        <v>17351.795739103003</v>
      </c>
      <c r="BL15" s="100">
        <v>24.604345876890655</v>
      </c>
      <c r="BM15" s="100">
        <v>18778.036773242948</v>
      </c>
      <c r="BN15" s="100">
        <v>14</v>
      </c>
      <c r="BO15" s="100">
        <v>10684.8</v>
      </c>
      <c r="BP15" s="100">
        <v>17.23342119004144</v>
      </c>
      <c r="BQ15" s="100">
        <v>13152.547052239626</v>
      </c>
      <c r="BR15" s="100">
        <v>16.812277669379647</v>
      </c>
      <c r="BS15" s="100">
        <v>12831.130317270545</v>
      </c>
      <c r="BT15" s="100">
        <v>24.252951296579724</v>
      </c>
      <c r="BU15" s="100">
        <v>18509.852429549643</v>
      </c>
      <c r="BV15" s="100">
        <v>16</v>
      </c>
      <c r="BW15" s="100">
        <v>12211.199999999999</v>
      </c>
      <c r="BX15" s="100">
        <v>25.774931792470152</v>
      </c>
      <c r="BY15" s="100">
        <v>19671.42794401322</v>
      </c>
      <c r="BZ15" s="100">
        <v>25.359046709141147</v>
      </c>
      <c r="CA15" s="100">
        <v>19354.024448416523</v>
      </c>
      <c r="CB15" s="100">
        <v>23.033709273694267</v>
      </c>
      <c r="CC15" s="100">
        <v>17579.326917683462</v>
      </c>
      <c r="CD15" s="100">
        <v>16</v>
      </c>
      <c r="CE15" s="100">
        <v>12211.199999999999</v>
      </c>
      <c r="CF15" s="100">
        <v>28.605184538402973</v>
      </c>
      <c r="CG15" s="100">
        <v>21831.476839709147</v>
      </c>
      <c r="CH15" s="100">
        <v>19.445413613529897</v>
      </c>
      <c r="CI15" s="100">
        <v>14840.739669846016</v>
      </c>
      <c r="CJ15" s="100">
        <v>21.105570042803688</v>
      </c>
      <c r="CK15" s="100">
        <v>16107.771056667772</v>
      </c>
      <c r="CL15" s="100">
        <v>24.899951891547676</v>
      </c>
      <c r="CM15" s="100">
        <v>19003.643283629186</v>
      </c>
      <c r="CN15" s="100">
        <v>15</v>
      </c>
      <c r="CO15" s="100">
        <v>11447.999999999998</v>
      </c>
      <c r="CP15" s="100">
        <v>21</v>
      </c>
      <c r="CQ15" s="100">
        <v>16027.199999999999</v>
      </c>
      <c r="CR15" s="100">
        <v>24.985140761738258</v>
      </c>
      <c r="CS15" s="100">
        <v>19068.659429358635</v>
      </c>
      <c r="CT15" s="100">
        <v>18</v>
      </c>
      <c r="CU15" s="100">
        <v>13737.599999999999</v>
      </c>
    </row>
    <row r="16" spans="1:99">
      <c r="C16" s="99" t="s">
        <v>182</v>
      </c>
      <c r="D16" s="100">
        <v>22</v>
      </c>
      <c r="E16" s="100">
        <v>7497.6</v>
      </c>
      <c r="F16" s="100">
        <v>14</v>
      </c>
      <c r="G16" s="100">
        <v>4771.2</v>
      </c>
      <c r="H16" s="100">
        <v>22.978778214811367</v>
      </c>
      <c r="I16" s="100">
        <v>7831.1676156077137</v>
      </c>
      <c r="J16" s="100">
        <v>18</v>
      </c>
      <c r="K16" s="100">
        <v>6134.4000000000005</v>
      </c>
      <c r="L16" s="100">
        <v>15</v>
      </c>
      <c r="M16" s="100">
        <v>5112</v>
      </c>
      <c r="N16" s="100">
        <v>20.926055647420664</v>
      </c>
      <c r="O16" s="100">
        <v>7131.5997646409623</v>
      </c>
      <c r="P16" s="100">
        <v>19.277872927950447</v>
      </c>
      <c r="Q16" s="100">
        <v>6569.8990938455127</v>
      </c>
      <c r="R16" s="100">
        <v>17</v>
      </c>
      <c r="S16" s="100">
        <v>5793.6</v>
      </c>
      <c r="T16" s="100">
        <v>20</v>
      </c>
      <c r="U16" s="100">
        <v>6816</v>
      </c>
      <c r="V16" s="100">
        <v>24</v>
      </c>
      <c r="W16" s="100">
        <v>8179.2000000000007</v>
      </c>
      <c r="X16" s="100">
        <v>22.756348970890215</v>
      </c>
      <c r="Y16" s="100">
        <v>7755.3637292793856</v>
      </c>
      <c r="Z16" s="100">
        <v>19.458554520557545</v>
      </c>
      <c r="AA16" s="100">
        <v>6631.4753806060116</v>
      </c>
      <c r="AB16" s="100">
        <v>17.195224142826447</v>
      </c>
      <c r="AC16" s="100">
        <v>5860.1323878752537</v>
      </c>
      <c r="AD16" s="100">
        <v>17.137434980755224</v>
      </c>
      <c r="AE16" s="100">
        <v>5840.4378414413804</v>
      </c>
      <c r="AF16" s="100">
        <v>16.554946135255491</v>
      </c>
      <c r="AG16" s="100">
        <v>5641.9256428950721</v>
      </c>
      <c r="AH16" s="100">
        <v>21.571596479272305</v>
      </c>
      <c r="AI16" s="100">
        <v>7351.6000801360015</v>
      </c>
      <c r="AJ16" s="100">
        <v>21</v>
      </c>
      <c r="AK16" s="100">
        <v>7156.8</v>
      </c>
      <c r="AL16" s="100">
        <v>27</v>
      </c>
      <c r="AM16" s="100">
        <v>9201.6</v>
      </c>
      <c r="AN16" s="100">
        <v>18</v>
      </c>
      <c r="AO16" s="100">
        <v>6134.4000000000005</v>
      </c>
      <c r="AP16" s="100">
        <v>21</v>
      </c>
      <c r="AQ16" s="100">
        <v>7156.8</v>
      </c>
      <c r="AR16" s="100">
        <v>23.85178011212389</v>
      </c>
      <c r="AS16" s="100">
        <v>8128.6866622118223</v>
      </c>
      <c r="AT16" s="100">
        <v>19</v>
      </c>
      <c r="AU16" s="100">
        <v>6475.2</v>
      </c>
      <c r="AV16" s="100">
        <v>20</v>
      </c>
      <c r="AW16" s="100">
        <v>6816</v>
      </c>
      <c r="AX16" s="100">
        <v>22</v>
      </c>
      <c r="AY16" s="100">
        <v>7497.6</v>
      </c>
      <c r="AZ16" s="100">
        <v>19.025719644416007</v>
      </c>
      <c r="BA16" s="100">
        <v>6483.9652548169752</v>
      </c>
      <c r="BB16" s="100">
        <v>22.769378622238825</v>
      </c>
      <c r="BC16" s="100">
        <v>7759.8042344589921</v>
      </c>
      <c r="BD16" s="100">
        <v>18</v>
      </c>
      <c r="BE16" s="100">
        <v>6134.4000000000005</v>
      </c>
      <c r="BF16" s="100">
        <v>23.686183248499791</v>
      </c>
      <c r="BG16" s="100">
        <v>8072.2512510887291</v>
      </c>
      <c r="BH16" s="100">
        <v>17</v>
      </c>
      <c r="BI16" s="100">
        <v>5793.6</v>
      </c>
      <c r="BJ16" s="100">
        <v>22.735581419160123</v>
      </c>
      <c r="BK16" s="100">
        <v>7748.2861476497701</v>
      </c>
      <c r="BL16" s="100">
        <v>24.604345876890655</v>
      </c>
      <c r="BM16" s="100">
        <v>8385.1610748443345</v>
      </c>
      <c r="BN16" s="100">
        <v>16</v>
      </c>
      <c r="BO16" s="100">
        <v>5452.8</v>
      </c>
      <c r="BP16" s="100">
        <v>18.140443357938356</v>
      </c>
      <c r="BQ16" s="100">
        <v>6182.2630963853917</v>
      </c>
      <c r="BR16" s="100">
        <v>21.015347086724557</v>
      </c>
      <c r="BS16" s="100">
        <v>7162.0302871557287</v>
      </c>
      <c r="BT16" s="100">
        <v>28.133423504032478</v>
      </c>
      <c r="BU16" s="100">
        <v>9587.8707301742688</v>
      </c>
      <c r="BV16" s="100">
        <v>17</v>
      </c>
      <c r="BW16" s="100">
        <v>5793.6</v>
      </c>
      <c r="BX16" s="100">
        <v>25.774931792470152</v>
      </c>
      <c r="BY16" s="100">
        <v>8784.0967548738281</v>
      </c>
      <c r="BZ16" s="100">
        <v>24.566576499480483</v>
      </c>
      <c r="CA16" s="100">
        <v>8372.2892710229498</v>
      </c>
      <c r="CB16" s="100">
        <v>21.445177599646385</v>
      </c>
      <c r="CC16" s="100">
        <v>7308.5165259594887</v>
      </c>
      <c r="CD16" s="100">
        <v>18</v>
      </c>
      <c r="CE16" s="100">
        <v>6134.4000000000005</v>
      </c>
      <c r="CF16" s="100">
        <v>32.296176091745288</v>
      </c>
      <c r="CG16" s="100">
        <v>11006.536812066794</v>
      </c>
      <c r="CH16" s="100">
        <v>17.889780524447506</v>
      </c>
      <c r="CI16" s="100">
        <v>6096.83720273171</v>
      </c>
      <c r="CJ16" s="100">
        <v>22.940837003047488</v>
      </c>
      <c r="CK16" s="100">
        <v>7818.2372506385836</v>
      </c>
      <c r="CL16" s="100">
        <v>24.899951891547676</v>
      </c>
      <c r="CM16" s="100">
        <v>8485.9036046394485</v>
      </c>
      <c r="CN16" s="100">
        <v>16</v>
      </c>
      <c r="CO16" s="100">
        <v>5452.8</v>
      </c>
      <c r="CP16" s="100">
        <v>22</v>
      </c>
      <c r="CQ16" s="100">
        <v>7497.6</v>
      </c>
      <c r="CR16" s="100">
        <v>24.024173809363706</v>
      </c>
      <c r="CS16" s="100">
        <v>8187.4384342311514</v>
      </c>
      <c r="CT16" s="100">
        <v>22</v>
      </c>
      <c r="CU16" s="100">
        <v>7497.6</v>
      </c>
    </row>
    <row r="17" spans="2:99">
      <c r="C17" s="99" t="s">
        <v>183</v>
      </c>
      <c r="D17" s="100">
        <v>24</v>
      </c>
      <c r="E17" s="100">
        <v>10137.599999999999</v>
      </c>
      <c r="F17" s="100">
        <v>14</v>
      </c>
      <c r="G17" s="100">
        <v>5913.5999999999995</v>
      </c>
      <c r="H17" s="100">
        <v>24.893676399378979</v>
      </c>
      <c r="I17" s="100">
        <v>10515.08891109768</v>
      </c>
      <c r="J17" s="100">
        <v>19</v>
      </c>
      <c r="K17" s="100">
        <v>8025.5999999999995</v>
      </c>
      <c r="L17" s="100">
        <v>14</v>
      </c>
      <c r="M17" s="100">
        <v>5913.5999999999995</v>
      </c>
      <c r="N17" s="100">
        <v>18.93309796671393</v>
      </c>
      <c r="O17" s="100">
        <v>7997.3405811399634</v>
      </c>
      <c r="P17" s="100">
        <v>20.24176657434797</v>
      </c>
      <c r="Q17" s="100">
        <v>8550.1222010045822</v>
      </c>
      <c r="R17" s="100">
        <v>15</v>
      </c>
      <c r="S17" s="100">
        <v>6336</v>
      </c>
      <c r="T17" s="100">
        <v>19</v>
      </c>
      <c r="U17" s="100">
        <v>8025.5999999999995</v>
      </c>
      <c r="V17" s="100">
        <v>25</v>
      </c>
      <c r="W17" s="100">
        <v>10560</v>
      </c>
      <c r="X17" s="100">
        <v>19.788129539904535</v>
      </c>
      <c r="Y17" s="100">
        <v>8358.5059176556751</v>
      </c>
      <c r="Z17" s="100">
        <v>19.458554520557545</v>
      </c>
      <c r="AA17" s="100">
        <v>8219.2934294835068</v>
      </c>
      <c r="AB17" s="100">
        <v>17.195224142826447</v>
      </c>
      <c r="AC17" s="100">
        <v>7263.2626779298907</v>
      </c>
      <c r="AD17" s="100">
        <v>15.57948634614111</v>
      </c>
      <c r="AE17" s="100">
        <v>6580.775032610004</v>
      </c>
      <c r="AF17" s="100">
        <v>15.049951032050446</v>
      </c>
      <c r="AG17" s="100">
        <v>6357.0993159381078</v>
      </c>
      <c r="AH17" s="100">
        <v>20.708732620101415</v>
      </c>
      <c r="AI17" s="100">
        <v>8747.3686587308366</v>
      </c>
      <c r="AJ17" s="100">
        <v>21</v>
      </c>
      <c r="AK17" s="100">
        <v>8870.4</v>
      </c>
      <c r="AL17" s="100">
        <v>27</v>
      </c>
      <c r="AM17" s="100">
        <v>11404.8</v>
      </c>
      <c r="AN17" s="100">
        <v>16</v>
      </c>
      <c r="AO17" s="100">
        <v>6758.4</v>
      </c>
      <c r="AP17" s="100">
        <v>21</v>
      </c>
      <c r="AQ17" s="100">
        <v>8870.4</v>
      </c>
      <c r="AR17" s="100">
        <v>24.845604283462386</v>
      </c>
      <c r="AS17" s="100">
        <v>10494.78324933451</v>
      </c>
      <c r="AT17" s="100">
        <v>18</v>
      </c>
      <c r="AU17" s="100">
        <v>7603.2</v>
      </c>
      <c r="AV17" s="100">
        <v>23</v>
      </c>
      <c r="AW17" s="100">
        <v>9715.1999999999989</v>
      </c>
      <c r="AX17" s="100">
        <v>20</v>
      </c>
      <c r="AY17" s="100">
        <v>8448</v>
      </c>
      <c r="AZ17" s="100">
        <v>18.119732994681915</v>
      </c>
      <c r="BA17" s="100">
        <v>7653.7752169536407</v>
      </c>
      <c r="BB17" s="100">
        <v>21.926068302896645</v>
      </c>
      <c r="BC17" s="100">
        <v>9261.5712511435431</v>
      </c>
      <c r="BD17" s="100">
        <v>16</v>
      </c>
      <c r="BE17" s="100">
        <v>6758.4</v>
      </c>
      <c r="BF17" s="100">
        <v>23.686183248499791</v>
      </c>
      <c r="BG17" s="100">
        <v>10005.043804166311</v>
      </c>
      <c r="BH17" s="100">
        <v>18</v>
      </c>
      <c r="BI17" s="100">
        <v>7603.2</v>
      </c>
      <c r="BJ17" s="100">
        <v>24.71258849908709</v>
      </c>
      <c r="BK17" s="100">
        <v>10438.597382014386</v>
      </c>
      <c r="BL17" s="100">
        <v>29.160706224462999</v>
      </c>
      <c r="BM17" s="100">
        <v>12317.48230921317</v>
      </c>
      <c r="BN17" s="100">
        <v>14</v>
      </c>
      <c r="BO17" s="100">
        <v>5913.5999999999995</v>
      </c>
      <c r="BP17" s="100">
        <v>21.768532029526025</v>
      </c>
      <c r="BQ17" s="100">
        <v>9195.0279292717933</v>
      </c>
      <c r="BR17" s="100">
        <v>20.174733203255574</v>
      </c>
      <c r="BS17" s="100">
        <v>8521.8073050551538</v>
      </c>
      <c r="BT17" s="100">
        <v>28.133423504032478</v>
      </c>
      <c r="BU17" s="100">
        <v>11883.558088103318</v>
      </c>
      <c r="BV17" s="100">
        <v>16</v>
      </c>
      <c r="BW17" s="100">
        <v>6758.4</v>
      </c>
      <c r="BX17" s="100">
        <v>23.013331957562634</v>
      </c>
      <c r="BY17" s="100">
        <v>9720.8314188744571</v>
      </c>
      <c r="BZ17" s="100">
        <v>24.566576499480483</v>
      </c>
      <c r="CA17" s="100">
        <v>10376.921913380556</v>
      </c>
      <c r="CB17" s="100">
        <v>20.650911762622446</v>
      </c>
      <c r="CC17" s="100">
        <v>8722.9451285317209</v>
      </c>
      <c r="CD17" s="100">
        <v>19</v>
      </c>
      <c r="CE17" s="100">
        <v>8025.5999999999995</v>
      </c>
      <c r="CF17" s="100">
        <v>30.450680315074131</v>
      </c>
      <c r="CG17" s="100">
        <v>12862.367365087312</v>
      </c>
      <c r="CH17" s="100">
        <v>19.445413613529897</v>
      </c>
      <c r="CI17" s="100">
        <v>8213.742710355029</v>
      </c>
      <c r="CJ17" s="100">
        <v>22.023203522925591</v>
      </c>
      <c r="CK17" s="100">
        <v>9302.6011680837692</v>
      </c>
      <c r="CL17" s="100">
        <v>24.899951891547676</v>
      </c>
      <c r="CM17" s="100">
        <v>10517.739678989738</v>
      </c>
      <c r="CN17" s="100">
        <v>18</v>
      </c>
      <c r="CO17" s="100">
        <v>7603.2</v>
      </c>
      <c r="CP17" s="100">
        <v>21</v>
      </c>
      <c r="CQ17" s="100">
        <v>8870.4</v>
      </c>
      <c r="CR17" s="100">
        <v>24.985140761738258</v>
      </c>
      <c r="CS17" s="100">
        <v>10553.72345775824</v>
      </c>
      <c r="CT17" s="100">
        <v>20</v>
      </c>
      <c r="CU17" s="100">
        <v>8448</v>
      </c>
    </row>
    <row r="18" spans="2:99">
      <c r="C18" s="99" t="s">
        <v>184</v>
      </c>
      <c r="D18" s="100">
        <v>23</v>
      </c>
      <c r="E18" s="100">
        <v>15014.4</v>
      </c>
      <c r="F18" s="100">
        <v>14</v>
      </c>
      <c r="G18" s="100">
        <v>9139.1999999999989</v>
      </c>
      <c r="H18" s="100">
        <v>23.936227307095173</v>
      </c>
      <c r="I18" s="100">
        <v>15625.569186071727</v>
      </c>
      <c r="J18" s="100">
        <v>17</v>
      </c>
      <c r="K18" s="100">
        <v>11097.599999999999</v>
      </c>
      <c r="L18" s="100">
        <v>14</v>
      </c>
      <c r="M18" s="100">
        <v>9139.1999999999989</v>
      </c>
      <c r="N18" s="100">
        <v>17.936619126360565</v>
      </c>
      <c r="O18" s="100">
        <v>11709.024965688175</v>
      </c>
      <c r="P18" s="100">
        <v>19.277872927950447</v>
      </c>
      <c r="Q18" s="100">
        <v>12584.595447366051</v>
      </c>
      <c r="R18" s="100">
        <v>15</v>
      </c>
      <c r="S18" s="100">
        <v>9792</v>
      </c>
      <c r="T18" s="100">
        <v>21</v>
      </c>
      <c r="U18" s="100">
        <v>13708.8</v>
      </c>
      <c r="V18" s="100">
        <v>21</v>
      </c>
      <c r="W18" s="100">
        <v>13708.8</v>
      </c>
      <c r="X18" s="100">
        <v>22.756348970890215</v>
      </c>
      <c r="Y18" s="100">
        <v>14855.344608197132</v>
      </c>
      <c r="Z18" s="100">
        <v>18.612530410968088</v>
      </c>
      <c r="AA18" s="100">
        <v>12150.259852279967</v>
      </c>
      <c r="AB18" s="100">
        <v>17.195224142826447</v>
      </c>
      <c r="AC18" s="100">
        <v>11225.042320437104</v>
      </c>
      <c r="AD18" s="100">
        <v>14.800512028834056</v>
      </c>
      <c r="AE18" s="100">
        <v>9661.7742524228706</v>
      </c>
      <c r="AF18" s="100">
        <v>17.307443686858011</v>
      </c>
      <c r="AG18" s="100">
        <v>11298.29923878091</v>
      </c>
      <c r="AH18" s="100">
        <v>19.845868760930522</v>
      </c>
      <c r="AI18" s="100">
        <v>12955.383127135443</v>
      </c>
      <c r="AJ18" s="100">
        <v>19</v>
      </c>
      <c r="AK18" s="100">
        <v>12403.199999999999</v>
      </c>
      <c r="AL18" s="100">
        <v>30</v>
      </c>
      <c r="AM18" s="100">
        <v>19584</v>
      </c>
      <c r="AN18" s="100">
        <v>15</v>
      </c>
      <c r="AO18" s="100">
        <v>9792</v>
      </c>
      <c r="AP18" s="100">
        <v>22</v>
      </c>
      <c r="AQ18" s="100">
        <v>14361.599999999999</v>
      </c>
      <c r="AR18" s="100">
        <v>26.83325262613938</v>
      </c>
      <c r="AS18" s="100">
        <v>17516.747314343786</v>
      </c>
      <c r="AT18" s="100">
        <v>18</v>
      </c>
      <c r="AU18" s="100">
        <v>11750.4</v>
      </c>
      <c r="AV18" s="100">
        <v>21</v>
      </c>
      <c r="AW18" s="100">
        <v>13708.8</v>
      </c>
      <c r="AX18" s="100">
        <v>21</v>
      </c>
      <c r="AY18" s="100">
        <v>13708.8</v>
      </c>
      <c r="AZ18" s="100">
        <v>20.8376929438842</v>
      </c>
      <c r="BA18" s="100">
        <v>13602.845953767604</v>
      </c>
      <c r="BB18" s="100">
        <v>21.082757983554469</v>
      </c>
      <c r="BC18" s="100">
        <v>13762.824411664356</v>
      </c>
      <c r="BD18" s="100">
        <v>18</v>
      </c>
      <c r="BE18" s="100">
        <v>11750.4</v>
      </c>
      <c r="BF18" s="100">
        <v>23.686183248499791</v>
      </c>
      <c r="BG18" s="100">
        <v>15462.340424620663</v>
      </c>
      <c r="BH18" s="100">
        <v>18</v>
      </c>
      <c r="BI18" s="100">
        <v>11750.4</v>
      </c>
      <c r="BJ18" s="100">
        <v>22.735581419160123</v>
      </c>
      <c r="BK18" s="100">
        <v>14841.787550427727</v>
      </c>
      <c r="BL18" s="100">
        <v>26.426890015919593</v>
      </c>
      <c r="BM18" s="100">
        <v>17251.473802392309</v>
      </c>
      <c r="BN18" s="100">
        <v>16</v>
      </c>
      <c r="BO18" s="100">
        <v>10444.799999999999</v>
      </c>
      <c r="BP18" s="100">
        <v>18.140443357938356</v>
      </c>
      <c r="BQ18" s="100">
        <v>11842.081424062158</v>
      </c>
      <c r="BR18" s="100">
        <v>20.174733203255574</v>
      </c>
      <c r="BS18" s="100">
        <v>13170.065835085237</v>
      </c>
      <c r="BT18" s="100">
        <v>27.163305452169293</v>
      </c>
      <c r="BU18" s="100">
        <v>17732.205799176114</v>
      </c>
      <c r="BV18" s="100">
        <v>16</v>
      </c>
      <c r="BW18" s="100">
        <v>10444.799999999999</v>
      </c>
      <c r="BX18" s="100">
        <v>23.933865235865142</v>
      </c>
      <c r="BY18" s="100">
        <v>15624.027225972763</v>
      </c>
      <c r="BZ18" s="100">
        <v>22.189165870498503</v>
      </c>
      <c r="CA18" s="100">
        <v>14485.087480261422</v>
      </c>
      <c r="CB18" s="100">
        <v>21.445177599646385</v>
      </c>
      <c r="CC18" s="100">
        <v>13999.411937049159</v>
      </c>
      <c r="CD18" s="100">
        <v>17</v>
      </c>
      <c r="CE18" s="100">
        <v>11097.599999999999</v>
      </c>
      <c r="CF18" s="100">
        <v>31.373428203409709</v>
      </c>
      <c r="CG18" s="100">
        <v>20480.573931185856</v>
      </c>
      <c r="CH18" s="100">
        <v>17.11196397990631</v>
      </c>
      <c r="CI18" s="100">
        <v>11170.690086082839</v>
      </c>
      <c r="CJ18" s="100">
        <v>22.023203522925591</v>
      </c>
      <c r="CK18" s="100">
        <v>14376.747259765825</v>
      </c>
      <c r="CL18" s="100">
        <v>23.239955098777831</v>
      </c>
      <c r="CM18" s="100">
        <v>15171.042688482166</v>
      </c>
      <c r="CN18" s="100">
        <v>17</v>
      </c>
      <c r="CO18" s="100">
        <v>11097.599999999999</v>
      </c>
      <c r="CP18" s="100">
        <v>20</v>
      </c>
      <c r="CQ18" s="100">
        <v>13056</v>
      </c>
      <c r="CR18" s="100">
        <v>22.102239904614613</v>
      </c>
      <c r="CS18" s="100">
        <v>14428.342209732418</v>
      </c>
      <c r="CT18" s="100">
        <v>21</v>
      </c>
      <c r="CU18" s="100">
        <v>13708.8</v>
      </c>
    </row>
    <row r="19" spans="2:99">
      <c r="C19" s="99" t="s">
        <v>185</v>
      </c>
      <c r="D19" s="100">
        <v>22</v>
      </c>
      <c r="E19" s="100">
        <v>7260</v>
      </c>
      <c r="F19" s="100">
        <v>14</v>
      </c>
      <c r="G19" s="100">
        <v>4620</v>
      </c>
      <c r="H19" s="100">
        <v>24.893676399378979</v>
      </c>
      <c r="I19" s="100">
        <v>8214.913211795063</v>
      </c>
      <c r="J19" s="100">
        <v>20</v>
      </c>
      <c r="K19" s="100">
        <v>6600</v>
      </c>
      <c r="L19" s="100">
        <v>16</v>
      </c>
      <c r="M19" s="100">
        <v>5280</v>
      </c>
      <c r="N19" s="100">
        <v>19.929576807067296</v>
      </c>
      <c r="O19" s="100">
        <v>6576.7603463322075</v>
      </c>
      <c r="P19" s="100">
        <v>20.24176657434797</v>
      </c>
      <c r="Q19" s="100">
        <v>6679.78296953483</v>
      </c>
      <c r="R19" s="100">
        <v>17</v>
      </c>
      <c r="S19" s="100">
        <v>5610</v>
      </c>
      <c r="T19" s="100">
        <v>23</v>
      </c>
      <c r="U19" s="100">
        <v>7590</v>
      </c>
      <c r="V19" s="100">
        <v>23</v>
      </c>
      <c r="W19" s="100">
        <v>7590</v>
      </c>
      <c r="X19" s="100">
        <v>21.766942493894987</v>
      </c>
      <c r="Y19" s="100">
        <v>7183.0910229853462</v>
      </c>
      <c r="Z19" s="100">
        <v>21.150602739736463</v>
      </c>
      <c r="AA19" s="100">
        <v>6979.6989041130328</v>
      </c>
      <c r="AB19" s="100">
        <v>17.195224142826447</v>
      </c>
      <c r="AC19" s="100">
        <v>5674.4239671327277</v>
      </c>
      <c r="AD19" s="100">
        <v>15.57948634614111</v>
      </c>
      <c r="AE19" s="100">
        <v>5141.2304942265664</v>
      </c>
      <c r="AF19" s="100">
        <v>15.049951032050446</v>
      </c>
      <c r="AG19" s="100">
        <v>4966.4838405766468</v>
      </c>
      <c r="AH19" s="100">
        <v>19.845868760930522</v>
      </c>
      <c r="AI19" s="100">
        <v>6549.1366911070718</v>
      </c>
      <c r="AJ19" s="100">
        <v>23</v>
      </c>
      <c r="AK19" s="100">
        <v>7590</v>
      </c>
      <c r="AL19" s="100">
        <v>31</v>
      </c>
      <c r="AM19" s="100">
        <v>10230</v>
      </c>
      <c r="AN19" s="100">
        <v>17</v>
      </c>
      <c r="AO19" s="100">
        <v>5610</v>
      </c>
      <c r="AP19" s="100">
        <v>23</v>
      </c>
      <c r="AQ19" s="100">
        <v>7590</v>
      </c>
      <c r="AR19" s="100">
        <v>25.839428454800885</v>
      </c>
      <c r="AS19" s="100">
        <v>8527.0113900842916</v>
      </c>
      <c r="AT19" s="100">
        <v>18</v>
      </c>
      <c r="AU19" s="100">
        <v>5940</v>
      </c>
      <c r="AV19" s="100">
        <v>20</v>
      </c>
      <c r="AW19" s="100">
        <v>6600</v>
      </c>
      <c r="AX19" s="100">
        <v>21</v>
      </c>
      <c r="AY19" s="100">
        <v>6930</v>
      </c>
      <c r="AZ19" s="100">
        <v>19.025719644416007</v>
      </c>
      <c r="BA19" s="100">
        <v>6278.4874826572823</v>
      </c>
      <c r="BB19" s="100">
        <v>21.926068302896645</v>
      </c>
      <c r="BC19" s="100">
        <v>7235.602539955893</v>
      </c>
      <c r="BD19" s="100">
        <v>18</v>
      </c>
      <c r="BE19" s="100">
        <v>5940</v>
      </c>
      <c r="BF19" s="100">
        <v>23.686183248499791</v>
      </c>
      <c r="BG19" s="100">
        <v>7816.4404720049315</v>
      </c>
      <c r="BH19" s="100">
        <v>19</v>
      </c>
      <c r="BI19" s="100">
        <v>6270</v>
      </c>
      <c r="BJ19" s="100">
        <v>24.71258849908709</v>
      </c>
      <c r="BK19" s="100">
        <v>8155.1542046987397</v>
      </c>
      <c r="BL19" s="100">
        <v>30.07197829397747</v>
      </c>
      <c r="BM19" s="100">
        <v>9923.7528370125656</v>
      </c>
      <c r="BN19" s="100">
        <v>17</v>
      </c>
      <c r="BO19" s="100">
        <v>5610</v>
      </c>
      <c r="BP19" s="100">
        <v>19.047465525835271</v>
      </c>
      <c r="BQ19" s="100">
        <v>6285.6636235256392</v>
      </c>
      <c r="BR19" s="100">
        <v>19.334119319786591</v>
      </c>
      <c r="BS19" s="100">
        <v>6380.2593755295748</v>
      </c>
      <c r="BT19" s="100">
        <v>30.073659607758859</v>
      </c>
      <c r="BU19" s="100">
        <v>9924.3076705604235</v>
      </c>
      <c r="BV19" s="100">
        <v>17</v>
      </c>
      <c r="BW19" s="100">
        <v>5610</v>
      </c>
      <c r="BX19" s="100">
        <v>26.695465070772656</v>
      </c>
      <c r="BY19" s="100">
        <v>8809.5034733549764</v>
      </c>
      <c r="BZ19" s="100">
        <v>22.981636080159163</v>
      </c>
      <c r="CA19" s="100">
        <v>7583.9399064525242</v>
      </c>
      <c r="CB19" s="100">
        <v>25.416506784766089</v>
      </c>
      <c r="CC19" s="100">
        <v>8387.4472389728089</v>
      </c>
      <c r="CD19" s="100">
        <v>17</v>
      </c>
      <c r="CE19" s="100">
        <v>5610</v>
      </c>
      <c r="CF19" s="100">
        <v>29.527932426738552</v>
      </c>
      <c r="CG19" s="100">
        <v>9744.2177008237213</v>
      </c>
      <c r="CH19" s="100">
        <v>18.667597068988702</v>
      </c>
      <c r="CI19" s="100">
        <v>6160.3070327662717</v>
      </c>
      <c r="CJ19" s="100">
        <v>20.187936562681791</v>
      </c>
      <c r="CK19" s="100">
        <v>6662.0190656849909</v>
      </c>
      <c r="CL19" s="100">
        <v>24.899951891547676</v>
      </c>
      <c r="CM19" s="100">
        <v>8216.9841242107341</v>
      </c>
      <c r="CN19" s="100">
        <v>18</v>
      </c>
      <c r="CO19" s="100">
        <v>5940</v>
      </c>
      <c r="CP19" s="100">
        <v>22</v>
      </c>
      <c r="CQ19" s="100">
        <v>7260</v>
      </c>
      <c r="CR19" s="100">
        <v>25.946107714112806</v>
      </c>
      <c r="CS19" s="100">
        <v>8562.2155456572254</v>
      </c>
      <c r="CT19" s="100">
        <v>19</v>
      </c>
      <c r="CU19" s="100">
        <v>6270</v>
      </c>
    </row>
    <row r="20" spans="2:99">
      <c r="B20" s="99" t="s">
        <v>127</v>
      </c>
      <c r="C20" s="99" t="s">
        <v>186</v>
      </c>
      <c r="D20" s="100">
        <v>30</v>
      </c>
      <c r="E20" s="100">
        <v>8604</v>
      </c>
      <c r="F20" s="100">
        <v>18</v>
      </c>
      <c r="G20" s="100">
        <v>5162.4000000000005</v>
      </c>
      <c r="H20" s="100">
        <v>22.978778214811367</v>
      </c>
      <c r="I20" s="100">
        <v>6590.3135920079003</v>
      </c>
      <c r="J20" s="100">
        <v>23</v>
      </c>
      <c r="K20" s="100">
        <v>6596.4000000000005</v>
      </c>
      <c r="L20" s="100">
        <v>20</v>
      </c>
      <c r="M20" s="100">
        <v>5736</v>
      </c>
      <c r="N20" s="100">
        <v>29.894365210600945</v>
      </c>
      <c r="O20" s="100">
        <v>8573.7039424003506</v>
      </c>
      <c r="P20" s="100">
        <v>25.06123480633558</v>
      </c>
      <c r="Q20" s="100">
        <v>7187.5621424570445</v>
      </c>
      <c r="R20" s="100">
        <v>19</v>
      </c>
      <c r="S20" s="100">
        <v>5449.2</v>
      </c>
      <c r="T20" s="100">
        <v>24</v>
      </c>
      <c r="U20" s="100">
        <v>6883.2000000000007</v>
      </c>
      <c r="V20" s="100">
        <v>31</v>
      </c>
      <c r="W20" s="100">
        <v>8890.8000000000011</v>
      </c>
      <c r="X20" s="100">
        <v>21.766942493894987</v>
      </c>
      <c r="Y20" s="100">
        <v>6242.7591072490823</v>
      </c>
      <c r="Z20" s="100">
        <v>21.996626849325921</v>
      </c>
      <c r="AA20" s="100">
        <v>6308.6325803866739</v>
      </c>
      <c r="AB20" s="100">
        <v>20.379524910016531</v>
      </c>
      <c r="AC20" s="100">
        <v>5844.8477441927416</v>
      </c>
      <c r="AD20" s="100">
        <v>19.474357932676387</v>
      </c>
      <c r="AE20" s="100">
        <v>5585.2458550915881</v>
      </c>
      <c r="AF20" s="100">
        <v>17.307443686858011</v>
      </c>
      <c r="AG20" s="100">
        <v>4963.7748493908775</v>
      </c>
      <c r="AH20" s="100">
        <v>15.531549465076061</v>
      </c>
      <c r="AI20" s="100">
        <v>4454.4483865838147</v>
      </c>
      <c r="AJ20" s="100">
        <v>21</v>
      </c>
      <c r="AK20" s="100">
        <v>6022.8</v>
      </c>
      <c r="AL20" s="100">
        <v>17</v>
      </c>
      <c r="AM20" s="100">
        <v>4875.6000000000004</v>
      </c>
      <c r="AN20" s="100">
        <v>23</v>
      </c>
      <c r="AO20" s="100">
        <v>6596.4000000000005</v>
      </c>
      <c r="AP20" s="100">
        <v>24</v>
      </c>
      <c r="AQ20" s="100">
        <v>6883.2000000000007</v>
      </c>
      <c r="AR20" s="100">
        <v>20.870307598108408</v>
      </c>
      <c r="AS20" s="100">
        <v>5985.6042191374918</v>
      </c>
      <c r="AT20" s="100">
        <v>17</v>
      </c>
      <c r="AU20" s="100">
        <v>4875.6000000000004</v>
      </c>
      <c r="AV20" s="100">
        <v>20</v>
      </c>
      <c r="AW20" s="100">
        <v>5736</v>
      </c>
      <c r="AX20" s="100">
        <v>25</v>
      </c>
      <c r="AY20" s="100">
        <v>7170</v>
      </c>
      <c r="AZ20" s="100">
        <v>26.273612842288774</v>
      </c>
      <c r="BA20" s="100">
        <v>7535.2721631684208</v>
      </c>
      <c r="BB20" s="100">
        <v>27.829240538291899</v>
      </c>
      <c r="BC20" s="100">
        <v>7981.4261863821166</v>
      </c>
      <c r="BD20" s="100">
        <v>24</v>
      </c>
      <c r="BE20" s="100">
        <v>6883.2000000000007</v>
      </c>
      <c r="BF20" s="100">
        <v>22.922112821128831</v>
      </c>
      <c r="BG20" s="100">
        <v>6574.0619570997487</v>
      </c>
      <c r="BH20" s="100">
        <v>25</v>
      </c>
      <c r="BI20" s="100">
        <v>7170</v>
      </c>
      <c r="BJ20" s="100">
        <v>20.758574339233157</v>
      </c>
      <c r="BK20" s="100">
        <v>5953.5591204920693</v>
      </c>
      <c r="BL20" s="100">
        <v>20.047985529318311</v>
      </c>
      <c r="BM20" s="100">
        <v>5749.762249808492</v>
      </c>
      <c r="BN20" s="100">
        <v>22</v>
      </c>
      <c r="BO20" s="100">
        <v>6309.6</v>
      </c>
      <c r="BP20" s="100">
        <v>23.582576365319863</v>
      </c>
      <c r="BQ20" s="100">
        <v>6763.4829015737369</v>
      </c>
      <c r="BR20" s="100">
        <v>21.855960970193543</v>
      </c>
      <c r="BS20" s="100">
        <v>6268.2896062515083</v>
      </c>
      <c r="BT20" s="100">
        <v>18.432242985400588</v>
      </c>
      <c r="BU20" s="100">
        <v>5286.3672882128885</v>
      </c>
      <c r="BV20" s="100">
        <v>29</v>
      </c>
      <c r="BW20" s="100">
        <v>8317.2000000000007</v>
      </c>
      <c r="BX20" s="100">
        <v>23.933865235865142</v>
      </c>
      <c r="BY20" s="100">
        <v>6864.2325496461226</v>
      </c>
      <c r="BZ20" s="100">
        <v>26.943987128462467</v>
      </c>
      <c r="CA20" s="100">
        <v>7727.5355084430357</v>
      </c>
      <c r="CB20" s="100">
        <v>24.622240947742146</v>
      </c>
      <c r="CC20" s="100">
        <v>7061.658703812448</v>
      </c>
      <c r="CD20" s="100">
        <v>18</v>
      </c>
      <c r="CE20" s="100">
        <v>5162.4000000000005</v>
      </c>
      <c r="CF20" s="100">
        <v>16.609461990040433</v>
      </c>
      <c r="CG20" s="100">
        <v>4763.5936987435962</v>
      </c>
      <c r="CH20" s="100">
        <v>23.334496336235876</v>
      </c>
      <c r="CI20" s="100">
        <v>6692.3335492324495</v>
      </c>
      <c r="CJ20" s="100">
        <v>22.023203522925591</v>
      </c>
      <c r="CK20" s="100">
        <v>6316.2547703750597</v>
      </c>
      <c r="CL20" s="100">
        <v>20.749959909623065</v>
      </c>
      <c r="CM20" s="100">
        <v>5951.0885020798951</v>
      </c>
      <c r="CN20" s="100">
        <v>21</v>
      </c>
      <c r="CO20" s="100">
        <v>6022.8</v>
      </c>
      <c r="CP20" s="100">
        <v>28</v>
      </c>
      <c r="CQ20" s="100">
        <v>8030.4000000000005</v>
      </c>
      <c r="CR20" s="100">
        <v>22.102239904614613</v>
      </c>
      <c r="CS20" s="100">
        <v>6338.9224046434711</v>
      </c>
      <c r="CT20" s="100">
        <v>19</v>
      </c>
      <c r="CU20" s="100">
        <v>5449.2</v>
      </c>
    </row>
    <row r="21" spans="2:99">
      <c r="C21" s="99" t="s">
        <v>187</v>
      </c>
      <c r="D21" s="100">
        <v>26</v>
      </c>
      <c r="E21" s="100">
        <v>1622.3999999999999</v>
      </c>
      <c r="F21" s="100">
        <v>18</v>
      </c>
      <c r="G21" s="100">
        <v>1123.2</v>
      </c>
      <c r="H21" s="100">
        <v>26.808574583946594</v>
      </c>
      <c r="I21" s="100">
        <v>1672.8550540382676</v>
      </c>
      <c r="J21" s="100">
        <v>23</v>
      </c>
      <c r="K21" s="100">
        <v>1435.2</v>
      </c>
      <c r="L21" s="100">
        <v>20</v>
      </c>
      <c r="M21" s="100">
        <v>1248</v>
      </c>
      <c r="N21" s="100">
        <v>28.89788637024758</v>
      </c>
      <c r="O21" s="100">
        <v>1803.2281095034489</v>
      </c>
      <c r="P21" s="100">
        <v>27.952915745528149</v>
      </c>
      <c r="Q21" s="100">
        <v>1744.2619425209564</v>
      </c>
      <c r="R21" s="100">
        <v>19</v>
      </c>
      <c r="S21" s="100">
        <v>1185.5999999999999</v>
      </c>
      <c r="T21" s="100">
        <v>25</v>
      </c>
      <c r="U21" s="100">
        <v>1560</v>
      </c>
      <c r="V21" s="100">
        <v>29</v>
      </c>
      <c r="W21" s="100">
        <v>1809.6</v>
      </c>
      <c r="X21" s="100">
        <v>21.766942493894987</v>
      </c>
      <c r="Y21" s="100">
        <v>1358.2572116190472</v>
      </c>
      <c r="Z21" s="100">
        <v>26.226747397273215</v>
      </c>
      <c r="AA21" s="100">
        <v>1636.5490375898485</v>
      </c>
      <c r="AB21" s="100">
        <v>17.832084296264465</v>
      </c>
      <c r="AC21" s="100">
        <v>1112.7220600869027</v>
      </c>
      <c r="AD21" s="100">
        <v>21.811280884597554</v>
      </c>
      <c r="AE21" s="100">
        <v>1361.0239271988873</v>
      </c>
      <c r="AF21" s="100">
        <v>20.317433893268102</v>
      </c>
      <c r="AG21" s="100">
        <v>1267.8078749399297</v>
      </c>
      <c r="AH21" s="100">
        <v>13.805821746734276</v>
      </c>
      <c r="AI21" s="100">
        <v>861.48327699621882</v>
      </c>
      <c r="AJ21" s="100">
        <v>20</v>
      </c>
      <c r="AK21" s="100">
        <v>1248</v>
      </c>
      <c r="AL21" s="100">
        <v>18</v>
      </c>
      <c r="AM21" s="100">
        <v>1123.2</v>
      </c>
      <c r="AN21" s="100">
        <v>27</v>
      </c>
      <c r="AO21" s="100">
        <v>1684.8</v>
      </c>
      <c r="AP21" s="100">
        <v>23</v>
      </c>
      <c r="AQ21" s="100">
        <v>1435.2</v>
      </c>
      <c r="AR21" s="100">
        <v>24.845604283462386</v>
      </c>
      <c r="AS21" s="100">
        <v>1550.3657072880528</v>
      </c>
      <c r="AT21" s="100">
        <v>18</v>
      </c>
      <c r="AU21" s="100">
        <v>1123.2</v>
      </c>
      <c r="AV21" s="100">
        <v>21</v>
      </c>
      <c r="AW21" s="100">
        <v>1310.3999999999999</v>
      </c>
      <c r="AX21" s="100">
        <v>25</v>
      </c>
      <c r="AY21" s="100">
        <v>1560</v>
      </c>
      <c r="AZ21" s="100">
        <v>28.991572791491059</v>
      </c>
      <c r="BA21" s="100">
        <v>1809.074142189042</v>
      </c>
      <c r="BB21" s="100">
        <v>23.612688941581006</v>
      </c>
      <c r="BC21" s="100">
        <v>1473.4317899546547</v>
      </c>
      <c r="BD21" s="100">
        <v>23</v>
      </c>
      <c r="BE21" s="100">
        <v>1435.2</v>
      </c>
      <c r="BF21" s="100">
        <v>24.450253675870755</v>
      </c>
      <c r="BG21" s="100">
        <v>1525.6958293743351</v>
      </c>
      <c r="BH21" s="100">
        <v>27</v>
      </c>
      <c r="BI21" s="100">
        <v>1684.8</v>
      </c>
      <c r="BJ21" s="100">
        <v>19.770070799269671</v>
      </c>
      <c r="BK21" s="100">
        <v>1233.6524178744276</v>
      </c>
      <c r="BL21" s="100">
        <v>21.870529668347249</v>
      </c>
      <c r="BM21" s="100">
        <v>1364.7210513048683</v>
      </c>
      <c r="BN21" s="100">
        <v>24</v>
      </c>
      <c r="BO21" s="100">
        <v>1497.6</v>
      </c>
      <c r="BP21" s="100">
        <v>25.396620701113697</v>
      </c>
      <c r="BQ21" s="100">
        <v>1584.7491317494946</v>
      </c>
      <c r="BR21" s="100">
        <v>24.377802620600487</v>
      </c>
      <c r="BS21" s="100">
        <v>1521.1748835254705</v>
      </c>
      <c r="BT21" s="100">
        <v>18.432242985400588</v>
      </c>
      <c r="BU21" s="100">
        <v>1150.1719622889966</v>
      </c>
      <c r="BV21" s="100">
        <v>33</v>
      </c>
      <c r="BW21" s="100">
        <v>2059.1999999999998</v>
      </c>
      <c r="BX21" s="100">
        <v>23.013331957562634</v>
      </c>
      <c r="BY21" s="100">
        <v>1436.0319141519083</v>
      </c>
      <c r="BZ21" s="100">
        <v>27.736457338123127</v>
      </c>
      <c r="CA21" s="100">
        <v>1730.7549378988831</v>
      </c>
      <c r="CB21" s="100">
        <v>26.210772621790028</v>
      </c>
      <c r="CC21" s="100">
        <v>1635.5522115996978</v>
      </c>
      <c r="CD21" s="100">
        <v>20</v>
      </c>
      <c r="CE21" s="100">
        <v>1248</v>
      </c>
      <c r="CF21" s="100">
        <v>17.532209878376015</v>
      </c>
      <c r="CG21" s="100">
        <v>1094.0098964106633</v>
      </c>
      <c r="CH21" s="100">
        <v>26.445762514400663</v>
      </c>
      <c r="CI21" s="100">
        <v>1650.2155808986013</v>
      </c>
      <c r="CJ21" s="100">
        <v>21.105570042803688</v>
      </c>
      <c r="CK21" s="100">
        <v>1316.9875706709502</v>
      </c>
      <c r="CL21" s="100">
        <v>23.239955098777831</v>
      </c>
      <c r="CM21" s="100">
        <v>1450.1731981637365</v>
      </c>
      <c r="CN21" s="100">
        <v>21</v>
      </c>
      <c r="CO21" s="100">
        <v>1310.3999999999999</v>
      </c>
      <c r="CP21" s="100">
        <v>26</v>
      </c>
      <c r="CQ21" s="100">
        <v>1622.3999999999999</v>
      </c>
      <c r="CR21" s="100">
        <v>23.063206856989162</v>
      </c>
      <c r="CS21" s="100">
        <v>1439.1441078761236</v>
      </c>
      <c r="CT21" s="100">
        <v>17</v>
      </c>
      <c r="CU21" s="100">
        <v>1060.8</v>
      </c>
    </row>
    <row r="22" spans="2:99">
      <c r="C22" s="99" t="s">
        <v>188</v>
      </c>
      <c r="D22" s="100">
        <v>31</v>
      </c>
      <c r="E22" s="100">
        <v>5803.2</v>
      </c>
      <c r="F22" s="100">
        <v>20</v>
      </c>
      <c r="G22" s="100">
        <v>3744</v>
      </c>
      <c r="H22" s="100">
        <v>22.978778214811367</v>
      </c>
      <c r="I22" s="100">
        <v>4301.6272818126872</v>
      </c>
      <c r="J22" s="100">
        <v>25</v>
      </c>
      <c r="K22" s="100">
        <v>4680</v>
      </c>
      <c r="L22" s="100">
        <v>20</v>
      </c>
      <c r="M22" s="100">
        <v>3744</v>
      </c>
      <c r="N22" s="100">
        <v>24.911971008834122</v>
      </c>
      <c r="O22" s="100">
        <v>4663.5209728537475</v>
      </c>
      <c r="P22" s="100">
        <v>26.989022099130629</v>
      </c>
      <c r="Q22" s="100">
        <v>5052.3449369572536</v>
      </c>
      <c r="R22" s="100">
        <v>20</v>
      </c>
      <c r="S22" s="100">
        <v>3744</v>
      </c>
      <c r="T22" s="100">
        <v>23</v>
      </c>
      <c r="U22" s="100">
        <v>4305.5999999999995</v>
      </c>
      <c r="V22" s="100">
        <v>31</v>
      </c>
      <c r="W22" s="100">
        <v>5803.2</v>
      </c>
      <c r="X22" s="100">
        <v>23.745755447885443</v>
      </c>
      <c r="Y22" s="100">
        <v>4445.2054198441547</v>
      </c>
      <c r="Z22" s="100">
        <v>24.534699178094296</v>
      </c>
      <c r="AA22" s="100">
        <v>4592.8956861392517</v>
      </c>
      <c r="AB22" s="100">
        <v>19.742664756578513</v>
      </c>
      <c r="AC22" s="100">
        <v>3695.8268424314974</v>
      </c>
      <c r="AD22" s="100">
        <v>21.032306567290501</v>
      </c>
      <c r="AE22" s="100">
        <v>3937.2477893967816</v>
      </c>
      <c r="AF22" s="100">
        <v>17.307443686858011</v>
      </c>
      <c r="AG22" s="100">
        <v>3239.9534581798193</v>
      </c>
      <c r="AH22" s="100">
        <v>13.805821746734276</v>
      </c>
      <c r="AI22" s="100">
        <v>2584.4498309886562</v>
      </c>
      <c r="AJ22" s="100">
        <v>20</v>
      </c>
      <c r="AK22" s="100">
        <v>3744</v>
      </c>
      <c r="AL22" s="100">
        <v>20</v>
      </c>
      <c r="AM22" s="100">
        <v>3744</v>
      </c>
      <c r="AN22" s="100">
        <v>24</v>
      </c>
      <c r="AO22" s="100">
        <v>4492.7999999999993</v>
      </c>
      <c r="AP22" s="100">
        <v>24</v>
      </c>
      <c r="AQ22" s="100">
        <v>4492.7999999999993</v>
      </c>
      <c r="AR22" s="100">
        <v>20.870307598108408</v>
      </c>
      <c r="AS22" s="100">
        <v>3906.9215823658938</v>
      </c>
      <c r="AT22" s="100">
        <v>20</v>
      </c>
      <c r="AU22" s="100">
        <v>3744</v>
      </c>
      <c r="AV22" s="100">
        <v>21</v>
      </c>
      <c r="AW22" s="100">
        <v>3931.2</v>
      </c>
      <c r="AX22" s="100">
        <v>23</v>
      </c>
      <c r="AY22" s="100">
        <v>4305.5999999999995</v>
      </c>
      <c r="AZ22" s="100">
        <v>27.179599492022867</v>
      </c>
      <c r="BA22" s="100">
        <v>5088.0210249066804</v>
      </c>
      <c r="BB22" s="100">
        <v>24.455999260923182</v>
      </c>
      <c r="BC22" s="100">
        <v>4578.1630616448192</v>
      </c>
      <c r="BD22" s="100">
        <v>23</v>
      </c>
      <c r="BE22" s="100">
        <v>4305.5999999999995</v>
      </c>
      <c r="BF22" s="100">
        <v>22.158042393757874</v>
      </c>
      <c r="BG22" s="100">
        <v>4147.9855361114742</v>
      </c>
      <c r="BH22" s="100">
        <v>26</v>
      </c>
      <c r="BI22" s="100">
        <v>4867.2</v>
      </c>
      <c r="BJ22" s="100">
        <v>22.735581419160123</v>
      </c>
      <c r="BK22" s="100">
        <v>4256.1008416667746</v>
      </c>
      <c r="BL22" s="100">
        <v>18.225441390289372</v>
      </c>
      <c r="BM22" s="100">
        <v>3411.8026282621704</v>
      </c>
      <c r="BN22" s="100">
        <v>22</v>
      </c>
      <c r="BO22" s="100">
        <v>4118.3999999999996</v>
      </c>
      <c r="BP22" s="100">
        <v>24.489598533216782</v>
      </c>
      <c r="BQ22" s="100">
        <v>4584.4528454181809</v>
      </c>
      <c r="BR22" s="100">
        <v>23.537188737131505</v>
      </c>
      <c r="BS22" s="100">
        <v>4406.1617315910171</v>
      </c>
      <c r="BT22" s="100">
        <v>16.492006881674211</v>
      </c>
      <c r="BU22" s="100">
        <v>3087.3036882494121</v>
      </c>
      <c r="BV22" s="100">
        <v>29</v>
      </c>
      <c r="BW22" s="100">
        <v>5428.7999999999993</v>
      </c>
      <c r="BX22" s="100">
        <v>25.774931792470152</v>
      </c>
      <c r="BY22" s="100">
        <v>4825.0672315504125</v>
      </c>
      <c r="BZ22" s="100">
        <v>26.151516918801807</v>
      </c>
      <c r="CA22" s="100">
        <v>4895.5639671996978</v>
      </c>
      <c r="CB22" s="100">
        <v>26.210772621790028</v>
      </c>
      <c r="CC22" s="100">
        <v>4906.6566347990929</v>
      </c>
      <c r="CD22" s="100">
        <v>20</v>
      </c>
      <c r="CE22" s="100">
        <v>3744</v>
      </c>
      <c r="CF22" s="100">
        <v>16.609461990040433</v>
      </c>
      <c r="CG22" s="100">
        <v>3109.291284535569</v>
      </c>
      <c r="CH22" s="100">
        <v>26.445762514400663</v>
      </c>
      <c r="CI22" s="100">
        <v>4950.6467426958034</v>
      </c>
      <c r="CJ22" s="100">
        <v>22.023203522925591</v>
      </c>
      <c r="CK22" s="100">
        <v>4122.7436994916707</v>
      </c>
      <c r="CL22" s="100">
        <v>23.239955098777831</v>
      </c>
      <c r="CM22" s="100">
        <v>4350.5195944912093</v>
      </c>
      <c r="CN22" s="100">
        <v>19</v>
      </c>
      <c r="CO22" s="100">
        <v>3556.7999999999997</v>
      </c>
      <c r="CP22" s="100">
        <v>26</v>
      </c>
      <c r="CQ22" s="100">
        <v>4867.2</v>
      </c>
      <c r="CR22" s="100">
        <v>24.024173809363706</v>
      </c>
      <c r="CS22" s="100">
        <v>4497.3253371128858</v>
      </c>
      <c r="CT22" s="100">
        <v>19</v>
      </c>
      <c r="CU22" s="100">
        <v>3556.7999999999997</v>
      </c>
    </row>
    <row r="23" spans="2:99">
      <c r="C23" s="99" t="s">
        <v>189</v>
      </c>
      <c r="D23" s="100">
        <v>27</v>
      </c>
      <c r="E23" s="100">
        <v>7938</v>
      </c>
      <c r="F23" s="100">
        <v>20</v>
      </c>
      <c r="G23" s="100">
        <v>5880</v>
      </c>
      <c r="H23" s="100">
        <v>26.808574583946594</v>
      </c>
      <c r="I23" s="100">
        <v>7881.7209276802987</v>
      </c>
      <c r="J23" s="100">
        <v>24</v>
      </c>
      <c r="K23" s="100">
        <v>7056</v>
      </c>
      <c r="L23" s="100">
        <v>18</v>
      </c>
      <c r="M23" s="100">
        <v>5292</v>
      </c>
      <c r="N23" s="100">
        <v>28.89788637024758</v>
      </c>
      <c r="O23" s="100">
        <v>8495.978592852789</v>
      </c>
      <c r="P23" s="100">
        <v>25.06123480633558</v>
      </c>
      <c r="Q23" s="100">
        <v>7368.0030330626605</v>
      </c>
      <c r="R23" s="100">
        <v>18</v>
      </c>
      <c r="S23" s="100">
        <v>5292</v>
      </c>
      <c r="T23" s="100">
        <v>20</v>
      </c>
      <c r="U23" s="100">
        <v>5880</v>
      </c>
      <c r="V23" s="100">
        <v>29</v>
      </c>
      <c r="W23" s="100">
        <v>8526</v>
      </c>
      <c r="X23" s="100">
        <v>21.766942493894987</v>
      </c>
      <c r="Y23" s="100">
        <v>6399.4810932051259</v>
      </c>
      <c r="Z23" s="100">
        <v>25.380723287683754</v>
      </c>
      <c r="AA23" s="100">
        <v>7461.9326465790236</v>
      </c>
      <c r="AB23" s="100">
        <v>17.832084296264465</v>
      </c>
      <c r="AC23" s="100">
        <v>5242.6327831017525</v>
      </c>
      <c r="AD23" s="100">
        <v>19.474357932676387</v>
      </c>
      <c r="AE23" s="100">
        <v>5725.4612322068579</v>
      </c>
      <c r="AF23" s="100">
        <v>18.812438790063059</v>
      </c>
      <c r="AG23" s="100">
        <v>5530.8570042785395</v>
      </c>
      <c r="AH23" s="100">
        <v>13.805821746734276</v>
      </c>
      <c r="AI23" s="100">
        <v>4058.9115935398772</v>
      </c>
      <c r="AJ23" s="100">
        <v>22</v>
      </c>
      <c r="AK23" s="100">
        <v>6468</v>
      </c>
      <c r="AL23" s="100">
        <v>20</v>
      </c>
      <c r="AM23" s="100">
        <v>5880</v>
      </c>
      <c r="AN23" s="100">
        <v>25</v>
      </c>
      <c r="AO23" s="100">
        <v>7350</v>
      </c>
      <c r="AP23" s="100">
        <v>23</v>
      </c>
      <c r="AQ23" s="100">
        <v>6762</v>
      </c>
      <c r="AR23" s="100">
        <v>21.864131769446903</v>
      </c>
      <c r="AS23" s="100">
        <v>6428.0547402173897</v>
      </c>
      <c r="AT23" s="100">
        <v>19</v>
      </c>
      <c r="AU23" s="100">
        <v>5586</v>
      </c>
      <c r="AV23" s="100">
        <v>19</v>
      </c>
      <c r="AW23" s="100">
        <v>5586</v>
      </c>
      <c r="AX23" s="100">
        <v>23</v>
      </c>
      <c r="AY23" s="100">
        <v>6762</v>
      </c>
      <c r="AZ23" s="100">
        <v>28.085586141756963</v>
      </c>
      <c r="BA23" s="100">
        <v>8257.162325676547</v>
      </c>
      <c r="BB23" s="100">
        <v>22.769378622238825</v>
      </c>
      <c r="BC23" s="100">
        <v>6694.1973149382147</v>
      </c>
      <c r="BD23" s="100">
        <v>23</v>
      </c>
      <c r="BE23" s="100">
        <v>6762</v>
      </c>
      <c r="BF23" s="100">
        <v>20.62990153901595</v>
      </c>
      <c r="BG23" s="100">
        <v>6065.1910524706891</v>
      </c>
      <c r="BH23" s="100">
        <v>26</v>
      </c>
      <c r="BI23" s="100">
        <v>7644</v>
      </c>
      <c r="BJ23" s="100">
        <v>19.770070799269671</v>
      </c>
      <c r="BK23" s="100">
        <v>5812.4008149852834</v>
      </c>
      <c r="BL23" s="100">
        <v>17.314169320774905</v>
      </c>
      <c r="BM23" s="100">
        <v>5090.3657803078222</v>
      </c>
      <c r="BN23" s="100">
        <v>22</v>
      </c>
      <c r="BO23" s="100">
        <v>6468</v>
      </c>
      <c r="BP23" s="100">
        <v>23.582576365319863</v>
      </c>
      <c r="BQ23" s="100">
        <v>6933.2774514040393</v>
      </c>
      <c r="BR23" s="100">
        <v>23.537188737131505</v>
      </c>
      <c r="BS23" s="100">
        <v>6919.9334887166624</v>
      </c>
      <c r="BT23" s="100">
        <v>17.462124933537403</v>
      </c>
      <c r="BU23" s="100">
        <v>5133.8647304599963</v>
      </c>
      <c r="BV23" s="100">
        <v>32</v>
      </c>
      <c r="BW23" s="100">
        <v>9408</v>
      </c>
      <c r="BX23" s="100">
        <v>24.854398514167649</v>
      </c>
      <c r="BY23" s="100">
        <v>7307.1931631652888</v>
      </c>
      <c r="BZ23" s="100">
        <v>26.943987128462467</v>
      </c>
      <c r="CA23" s="100">
        <v>7921.5322157679657</v>
      </c>
      <c r="CB23" s="100">
        <v>26.210772621790028</v>
      </c>
      <c r="CC23" s="100">
        <v>7705.9671508062684</v>
      </c>
      <c r="CD23" s="100">
        <v>19</v>
      </c>
      <c r="CE23" s="100">
        <v>5586</v>
      </c>
      <c r="CF23" s="100">
        <v>18.454957766711594</v>
      </c>
      <c r="CG23" s="100">
        <v>5425.7575834132085</v>
      </c>
      <c r="CH23" s="100">
        <v>23.334496336235876</v>
      </c>
      <c r="CI23" s="100">
        <v>6860.3419228533476</v>
      </c>
      <c r="CJ23" s="100">
        <v>22.940837003047488</v>
      </c>
      <c r="CK23" s="100">
        <v>6744.6060788959612</v>
      </c>
      <c r="CL23" s="100">
        <v>21.579958306007985</v>
      </c>
      <c r="CM23" s="100">
        <v>6344.5077419663476</v>
      </c>
      <c r="CN23" s="100">
        <v>22</v>
      </c>
      <c r="CO23" s="100">
        <v>6468</v>
      </c>
      <c r="CP23" s="100">
        <v>25</v>
      </c>
      <c r="CQ23" s="100">
        <v>7350</v>
      </c>
      <c r="CR23" s="100">
        <v>22.102239904614613</v>
      </c>
      <c r="CS23" s="100">
        <v>6498.0585319566962</v>
      </c>
      <c r="CT23" s="100">
        <v>17</v>
      </c>
      <c r="CU23" s="100">
        <v>4998</v>
      </c>
    </row>
    <row r="24" spans="2:99">
      <c r="C24" s="99" t="s">
        <v>190</v>
      </c>
      <c r="D24" s="100">
        <v>28</v>
      </c>
      <c r="E24" s="100">
        <v>10281.6</v>
      </c>
      <c r="F24" s="100">
        <v>19</v>
      </c>
      <c r="G24" s="100">
        <v>6976.8</v>
      </c>
      <c r="H24" s="100">
        <v>22.021329122527561</v>
      </c>
      <c r="I24" s="100">
        <v>8086.2320537921205</v>
      </c>
      <c r="J24" s="100">
        <v>25</v>
      </c>
      <c r="K24" s="100">
        <v>9180</v>
      </c>
      <c r="L24" s="100">
        <v>20</v>
      </c>
      <c r="M24" s="100">
        <v>7344</v>
      </c>
      <c r="N24" s="100">
        <v>29.894365210600945</v>
      </c>
      <c r="O24" s="100">
        <v>10977.210905332668</v>
      </c>
      <c r="P24" s="100">
        <v>25.06123480633558</v>
      </c>
      <c r="Q24" s="100">
        <v>9202.4854208864253</v>
      </c>
      <c r="R24" s="100">
        <v>20</v>
      </c>
      <c r="S24" s="100">
        <v>7344</v>
      </c>
      <c r="T24" s="100">
        <v>23</v>
      </c>
      <c r="U24" s="100">
        <v>8445.6</v>
      </c>
      <c r="V24" s="100">
        <v>28</v>
      </c>
      <c r="W24" s="100">
        <v>10281.6</v>
      </c>
      <c r="X24" s="100">
        <v>20.777536016899763</v>
      </c>
      <c r="Y24" s="100">
        <v>7629.511225405593</v>
      </c>
      <c r="Z24" s="100">
        <v>24.534699178094296</v>
      </c>
      <c r="AA24" s="100">
        <v>9009.1415381962252</v>
      </c>
      <c r="AB24" s="100">
        <v>20.379524910016531</v>
      </c>
      <c r="AC24" s="100">
        <v>7483.36154695807</v>
      </c>
      <c r="AD24" s="100">
        <v>22.590255201904611</v>
      </c>
      <c r="AE24" s="100">
        <v>8295.1417101393727</v>
      </c>
      <c r="AF24" s="100">
        <v>18.812438790063059</v>
      </c>
      <c r="AG24" s="100">
        <v>6907.9275237111551</v>
      </c>
      <c r="AH24" s="100">
        <v>14.668685605905168</v>
      </c>
      <c r="AI24" s="100">
        <v>5386.3413544883779</v>
      </c>
      <c r="AJ24" s="100">
        <v>20</v>
      </c>
      <c r="AK24" s="100">
        <v>7344</v>
      </c>
      <c r="AL24" s="100">
        <v>19</v>
      </c>
      <c r="AM24" s="100">
        <v>6976.8</v>
      </c>
      <c r="AN24" s="100">
        <v>22</v>
      </c>
      <c r="AO24" s="100">
        <v>8078.4</v>
      </c>
      <c r="AP24" s="100">
        <v>26</v>
      </c>
      <c r="AQ24" s="100">
        <v>9547.1999999999989</v>
      </c>
      <c r="AR24" s="100">
        <v>20.870307598108408</v>
      </c>
      <c r="AS24" s="100">
        <v>7663.5769500254073</v>
      </c>
      <c r="AT24" s="100">
        <v>19</v>
      </c>
      <c r="AU24" s="100">
        <v>6976.8</v>
      </c>
      <c r="AV24" s="100">
        <v>19</v>
      </c>
      <c r="AW24" s="100">
        <v>6976.8</v>
      </c>
      <c r="AX24" s="100">
        <v>21</v>
      </c>
      <c r="AY24" s="100">
        <v>7711.2</v>
      </c>
      <c r="AZ24" s="100">
        <v>26.273612842288774</v>
      </c>
      <c r="BA24" s="100">
        <v>9647.670635688437</v>
      </c>
      <c r="BB24" s="100">
        <v>23.612688941581006</v>
      </c>
      <c r="BC24" s="100">
        <v>8670.5793793485445</v>
      </c>
      <c r="BD24" s="100">
        <v>23</v>
      </c>
      <c r="BE24" s="100">
        <v>8445.6</v>
      </c>
      <c r="BF24" s="100">
        <v>22.158042393757874</v>
      </c>
      <c r="BG24" s="100">
        <v>8136.4331669878911</v>
      </c>
      <c r="BH24" s="100">
        <v>22</v>
      </c>
      <c r="BI24" s="100">
        <v>8078.4</v>
      </c>
      <c r="BJ24" s="100">
        <v>19.770070799269671</v>
      </c>
      <c r="BK24" s="100">
        <v>7259.5699974918234</v>
      </c>
      <c r="BL24" s="100">
        <v>19.136713459803843</v>
      </c>
      <c r="BM24" s="100">
        <v>7027.0011824399708</v>
      </c>
      <c r="BN24" s="100">
        <v>24</v>
      </c>
      <c r="BO24" s="100">
        <v>8812.7999999999993</v>
      </c>
      <c r="BP24" s="100">
        <v>23.582576365319863</v>
      </c>
      <c r="BQ24" s="100">
        <v>8659.5220413454535</v>
      </c>
      <c r="BR24" s="100">
        <v>23.537188737131505</v>
      </c>
      <c r="BS24" s="100">
        <v>8642.8557042746888</v>
      </c>
      <c r="BT24" s="100">
        <v>19.40236103726378</v>
      </c>
      <c r="BU24" s="100">
        <v>7124.5469728832604</v>
      </c>
      <c r="BV24" s="100">
        <v>30</v>
      </c>
      <c r="BW24" s="100">
        <v>11016</v>
      </c>
      <c r="BX24" s="100">
        <v>21.172265400957627</v>
      </c>
      <c r="BY24" s="100">
        <v>7774.4558552316403</v>
      </c>
      <c r="BZ24" s="100">
        <v>24.566576499480483</v>
      </c>
      <c r="CA24" s="100">
        <v>9020.846890609233</v>
      </c>
      <c r="CB24" s="100">
        <v>26.210772621790028</v>
      </c>
      <c r="CC24" s="100">
        <v>9624.5957067212985</v>
      </c>
      <c r="CD24" s="100">
        <v>20</v>
      </c>
      <c r="CE24" s="100">
        <v>7344</v>
      </c>
      <c r="CF24" s="100">
        <v>18.454957766711594</v>
      </c>
      <c r="CG24" s="100">
        <v>6776.6604919364972</v>
      </c>
      <c r="CH24" s="100">
        <v>23.334496336235876</v>
      </c>
      <c r="CI24" s="100">
        <v>8568.4270546658136</v>
      </c>
      <c r="CJ24" s="100">
        <v>21.105570042803688</v>
      </c>
      <c r="CK24" s="100">
        <v>7749.9653197175139</v>
      </c>
      <c r="CL24" s="100">
        <v>20.749959909623065</v>
      </c>
      <c r="CM24" s="100">
        <v>7619.3852788135891</v>
      </c>
      <c r="CN24" s="100">
        <v>20</v>
      </c>
      <c r="CO24" s="100">
        <v>7344</v>
      </c>
      <c r="CP24" s="100">
        <v>27</v>
      </c>
      <c r="CQ24" s="100">
        <v>9914.4</v>
      </c>
      <c r="CR24" s="100">
        <v>24.985140761738258</v>
      </c>
      <c r="CS24" s="100">
        <v>9174.5436877102875</v>
      </c>
      <c r="CT24" s="100">
        <v>17</v>
      </c>
      <c r="CU24" s="100">
        <v>6242.4</v>
      </c>
    </row>
    <row r="25" spans="2:99">
      <c r="C25" s="99" t="s">
        <v>191</v>
      </c>
      <c r="D25" s="100">
        <v>29</v>
      </c>
      <c r="E25" s="100">
        <v>15381.599999999999</v>
      </c>
      <c r="F25" s="100">
        <v>20</v>
      </c>
      <c r="G25" s="100">
        <v>10608</v>
      </c>
      <c r="H25" s="100">
        <v>22.021329122527561</v>
      </c>
      <c r="I25" s="100">
        <v>11680.112966588618</v>
      </c>
      <c r="J25" s="100">
        <v>23</v>
      </c>
      <c r="K25" s="100">
        <v>12199.199999999999</v>
      </c>
      <c r="L25" s="100">
        <v>18</v>
      </c>
      <c r="M25" s="100">
        <v>9547.1999999999989</v>
      </c>
      <c r="N25" s="100">
        <v>23.915492168480753</v>
      </c>
      <c r="O25" s="100">
        <v>12684.777046162191</v>
      </c>
      <c r="P25" s="100">
        <v>23.133447513540535</v>
      </c>
      <c r="Q25" s="100">
        <v>12269.980561181899</v>
      </c>
      <c r="R25" s="100">
        <v>17</v>
      </c>
      <c r="S25" s="100">
        <v>9016.7999999999993</v>
      </c>
      <c r="T25" s="100">
        <v>21</v>
      </c>
      <c r="U25" s="100">
        <v>11138.4</v>
      </c>
      <c r="V25" s="100">
        <v>29</v>
      </c>
      <c r="W25" s="100">
        <v>15381.599999999999</v>
      </c>
      <c r="X25" s="100">
        <v>21.766942493894987</v>
      </c>
      <c r="Y25" s="100">
        <v>11545.186298761901</v>
      </c>
      <c r="Z25" s="100">
        <v>21.996626849325921</v>
      </c>
      <c r="AA25" s="100">
        <v>11667.010880882468</v>
      </c>
      <c r="AB25" s="100">
        <v>19.105804603140498</v>
      </c>
      <c r="AC25" s="100">
        <v>10133.718761505719</v>
      </c>
      <c r="AD25" s="100">
        <v>21.032306567290501</v>
      </c>
      <c r="AE25" s="100">
        <v>11155.535403290882</v>
      </c>
      <c r="AF25" s="100">
        <v>16.554946135255491</v>
      </c>
      <c r="AG25" s="100">
        <v>8780.7434301395115</v>
      </c>
      <c r="AH25" s="100">
        <v>13.805821746734276</v>
      </c>
      <c r="AI25" s="100">
        <v>7322.6078544678594</v>
      </c>
      <c r="AJ25" s="100">
        <v>19</v>
      </c>
      <c r="AK25" s="100">
        <v>10077.6</v>
      </c>
      <c r="AL25" s="100">
        <v>18</v>
      </c>
      <c r="AM25" s="100">
        <v>9547.1999999999989</v>
      </c>
      <c r="AN25" s="100">
        <v>22</v>
      </c>
      <c r="AO25" s="100">
        <v>11668.8</v>
      </c>
      <c r="AP25" s="100">
        <v>24</v>
      </c>
      <c r="AQ25" s="100">
        <v>12729.599999999999</v>
      </c>
      <c r="AR25" s="100">
        <v>19.876483426769909</v>
      </c>
      <c r="AS25" s="100">
        <v>10542.486809558759</v>
      </c>
      <c r="AT25" s="100">
        <v>19</v>
      </c>
      <c r="AU25" s="100">
        <v>10077.6</v>
      </c>
      <c r="AV25" s="100">
        <v>19</v>
      </c>
      <c r="AW25" s="100">
        <v>10077.6</v>
      </c>
      <c r="AX25" s="100">
        <v>21</v>
      </c>
      <c r="AY25" s="100">
        <v>11138.4</v>
      </c>
      <c r="AZ25" s="100">
        <v>27.179599492022867</v>
      </c>
      <c r="BA25" s="100">
        <v>14416.059570568928</v>
      </c>
      <c r="BB25" s="100">
        <v>24.455999260923182</v>
      </c>
      <c r="BC25" s="100">
        <v>12971.462007993656</v>
      </c>
      <c r="BD25" s="100">
        <v>23</v>
      </c>
      <c r="BE25" s="100">
        <v>12199.199999999999</v>
      </c>
      <c r="BF25" s="100">
        <v>20.62990153901595</v>
      </c>
      <c r="BG25" s="100">
        <v>10942.099776294059</v>
      </c>
      <c r="BH25" s="100">
        <v>23</v>
      </c>
      <c r="BI25" s="100">
        <v>12199.199999999999</v>
      </c>
      <c r="BJ25" s="100">
        <v>21.747077879196638</v>
      </c>
      <c r="BK25" s="100">
        <v>11534.650107125897</v>
      </c>
      <c r="BL25" s="100">
        <v>19.136713459803843</v>
      </c>
      <c r="BM25" s="100">
        <v>10150.112819079957</v>
      </c>
      <c r="BN25" s="100">
        <v>22</v>
      </c>
      <c r="BO25" s="100">
        <v>11668.8</v>
      </c>
      <c r="BP25" s="100">
        <v>19.95448769373219</v>
      </c>
      <c r="BQ25" s="100">
        <v>10583.860272755554</v>
      </c>
      <c r="BR25" s="100">
        <v>20.174733203255574</v>
      </c>
      <c r="BS25" s="100">
        <v>10700.678491006756</v>
      </c>
      <c r="BT25" s="100">
        <v>18.432242985400588</v>
      </c>
      <c r="BU25" s="100">
        <v>9776.4616794564718</v>
      </c>
      <c r="BV25" s="100">
        <v>31</v>
      </c>
      <c r="BW25" s="100">
        <v>16442.399999999998</v>
      </c>
      <c r="BX25" s="100">
        <v>21.172265400957627</v>
      </c>
      <c r="BY25" s="100">
        <v>11229.769568667925</v>
      </c>
      <c r="BZ25" s="100">
        <v>23.774106289819827</v>
      </c>
      <c r="CA25" s="100">
        <v>12609.785976120436</v>
      </c>
      <c r="CB25" s="100">
        <v>26.210772621790028</v>
      </c>
      <c r="CC25" s="100">
        <v>13902.193798597431</v>
      </c>
      <c r="CD25" s="100">
        <v>18</v>
      </c>
      <c r="CE25" s="100">
        <v>9547.1999999999989</v>
      </c>
      <c r="CF25" s="100">
        <v>17.532209878376015</v>
      </c>
      <c r="CG25" s="100">
        <v>9299.0841194906388</v>
      </c>
      <c r="CH25" s="100">
        <v>24.890129425318268</v>
      </c>
      <c r="CI25" s="100">
        <v>13201.724647188808</v>
      </c>
      <c r="CJ25" s="100">
        <v>22.023203522925591</v>
      </c>
      <c r="CK25" s="100">
        <v>11681.107148559733</v>
      </c>
      <c r="CL25" s="100">
        <v>21.579958306007985</v>
      </c>
      <c r="CM25" s="100">
        <v>11446.009885506635</v>
      </c>
      <c r="CN25" s="100">
        <v>19</v>
      </c>
      <c r="CO25" s="100">
        <v>10077.6</v>
      </c>
      <c r="CP25" s="100">
        <v>29</v>
      </c>
      <c r="CQ25" s="100">
        <v>15381.599999999999</v>
      </c>
      <c r="CR25" s="100">
        <v>24.985140761738258</v>
      </c>
      <c r="CS25" s="100">
        <v>13252.118660025972</v>
      </c>
      <c r="CT25" s="100">
        <v>17</v>
      </c>
      <c r="CU25" s="100">
        <v>9016.7999999999993</v>
      </c>
    </row>
    <row r="26" spans="2:99">
      <c r="C26" s="99" t="s">
        <v>192</v>
      </c>
      <c r="D26" s="100">
        <v>25</v>
      </c>
      <c r="E26" s="100">
        <v>12150</v>
      </c>
      <c r="F26" s="100">
        <v>17</v>
      </c>
      <c r="G26" s="100">
        <v>8262</v>
      </c>
      <c r="H26" s="100">
        <v>25.851125491662788</v>
      </c>
      <c r="I26" s="100">
        <v>12563.646988948116</v>
      </c>
      <c r="J26" s="100">
        <v>22</v>
      </c>
      <c r="K26" s="100">
        <v>10692</v>
      </c>
      <c r="L26" s="100">
        <v>21</v>
      </c>
      <c r="M26" s="100">
        <v>10206</v>
      </c>
      <c r="N26" s="100">
        <v>29.894365210600945</v>
      </c>
      <c r="O26" s="100">
        <v>14528.661492352059</v>
      </c>
      <c r="P26" s="100">
        <v>26.025128452733103</v>
      </c>
      <c r="Q26" s="100">
        <v>12648.212428028288</v>
      </c>
      <c r="R26" s="100">
        <v>19</v>
      </c>
      <c r="S26" s="100">
        <v>9234</v>
      </c>
      <c r="T26" s="100">
        <v>21</v>
      </c>
      <c r="U26" s="100">
        <v>10206</v>
      </c>
      <c r="V26" s="100">
        <v>29</v>
      </c>
      <c r="W26" s="100">
        <v>14094</v>
      </c>
      <c r="X26" s="100">
        <v>21.766942493894987</v>
      </c>
      <c r="Y26" s="100">
        <v>10578.734052032964</v>
      </c>
      <c r="Z26" s="100">
        <v>23.688675068504839</v>
      </c>
      <c r="AA26" s="100">
        <v>11512.696083293351</v>
      </c>
      <c r="AB26" s="100">
        <v>17.832084296264465</v>
      </c>
      <c r="AC26" s="100">
        <v>8666.3929679845296</v>
      </c>
      <c r="AD26" s="100">
        <v>21.032306567290501</v>
      </c>
      <c r="AE26" s="100">
        <v>10221.700991703183</v>
      </c>
      <c r="AF26" s="100">
        <v>16.554946135255491</v>
      </c>
      <c r="AG26" s="100">
        <v>8045.7038217341687</v>
      </c>
      <c r="AH26" s="100">
        <v>14.668685605905168</v>
      </c>
      <c r="AI26" s="100">
        <v>7128.981204469912</v>
      </c>
      <c r="AJ26" s="100">
        <v>18</v>
      </c>
      <c r="AK26" s="100">
        <v>8748</v>
      </c>
      <c r="AL26" s="100">
        <v>17</v>
      </c>
      <c r="AM26" s="100">
        <v>8262</v>
      </c>
      <c r="AN26" s="100">
        <v>26</v>
      </c>
      <c r="AO26" s="100">
        <v>12636</v>
      </c>
      <c r="AP26" s="100">
        <v>23</v>
      </c>
      <c r="AQ26" s="100">
        <v>11178</v>
      </c>
      <c r="AR26" s="100">
        <v>22.857955940785395</v>
      </c>
      <c r="AS26" s="100">
        <v>11108.966587221701</v>
      </c>
      <c r="AT26" s="100">
        <v>19</v>
      </c>
      <c r="AU26" s="100">
        <v>9234</v>
      </c>
      <c r="AV26" s="100">
        <v>19</v>
      </c>
      <c r="AW26" s="100">
        <v>9234</v>
      </c>
      <c r="AX26" s="100">
        <v>24</v>
      </c>
      <c r="AY26" s="100">
        <v>11664</v>
      </c>
      <c r="AZ26" s="100">
        <v>23.555652893086485</v>
      </c>
      <c r="BA26" s="100">
        <v>11448.047306040031</v>
      </c>
      <c r="BB26" s="100">
        <v>24.455999260923182</v>
      </c>
      <c r="BC26" s="100">
        <v>11885.615640808666</v>
      </c>
      <c r="BD26" s="100">
        <v>21</v>
      </c>
      <c r="BE26" s="100">
        <v>10206</v>
      </c>
      <c r="BF26" s="100">
        <v>22.158042393757874</v>
      </c>
      <c r="BG26" s="100">
        <v>10768.808603366328</v>
      </c>
      <c r="BH26" s="100">
        <v>26</v>
      </c>
      <c r="BI26" s="100">
        <v>12636</v>
      </c>
      <c r="BJ26" s="100">
        <v>19.770070799269671</v>
      </c>
      <c r="BK26" s="100">
        <v>9608.2544084450601</v>
      </c>
      <c r="BL26" s="100">
        <v>19.136713459803843</v>
      </c>
      <c r="BM26" s="100">
        <v>9300.4427414646671</v>
      </c>
      <c r="BN26" s="100">
        <v>21</v>
      </c>
      <c r="BO26" s="100">
        <v>10206</v>
      </c>
      <c r="BP26" s="100">
        <v>20.861509861629109</v>
      </c>
      <c r="BQ26" s="100">
        <v>10138.693792751747</v>
      </c>
      <c r="BR26" s="100">
        <v>20.174733203255574</v>
      </c>
      <c r="BS26" s="100">
        <v>9804.9203367822083</v>
      </c>
      <c r="BT26" s="100">
        <v>16.492006881674211</v>
      </c>
      <c r="BU26" s="100">
        <v>8015.1153444936663</v>
      </c>
      <c r="BV26" s="100">
        <v>27</v>
      </c>
      <c r="BW26" s="100">
        <v>13122</v>
      </c>
      <c r="BX26" s="100">
        <v>21.172265400957627</v>
      </c>
      <c r="BY26" s="100">
        <v>10289.720984865407</v>
      </c>
      <c r="BZ26" s="100">
        <v>22.981636080159163</v>
      </c>
      <c r="CA26" s="100">
        <v>11169.075134957353</v>
      </c>
      <c r="CB26" s="100">
        <v>23.033709273694267</v>
      </c>
      <c r="CC26" s="100">
        <v>11194.382707015415</v>
      </c>
      <c r="CD26" s="100">
        <v>18</v>
      </c>
      <c r="CE26" s="100">
        <v>8748</v>
      </c>
      <c r="CF26" s="100">
        <v>17.532209878376015</v>
      </c>
      <c r="CG26" s="100">
        <v>8520.6540008907432</v>
      </c>
      <c r="CH26" s="100">
        <v>22.55667979169468</v>
      </c>
      <c r="CI26" s="100">
        <v>10962.546378763614</v>
      </c>
      <c r="CJ26" s="100">
        <v>20.187936562681791</v>
      </c>
      <c r="CK26" s="100">
        <v>9811.3371694633515</v>
      </c>
      <c r="CL26" s="100">
        <v>19.919961513238142</v>
      </c>
      <c r="CM26" s="100">
        <v>9681.1012954337366</v>
      </c>
      <c r="CN26" s="100">
        <v>21</v>
      </c>
      <c r="CO26" s="100">
        <v>10206</v>
      </c>
      <c r="CP26" s="100">
        <v>25</v>
      </c>
      <c r="CQ26" s="100">
        <v>12150</v>
      </c>
      <c r="CR26" s="100">
        <v>24.985140761738258</v>
      </c>
      <c r="CS26" s="100">
        <v>12142.778410204794</v>
      </c>
      <c r="CT26" s="100">
        <v>17</v>
      </c>
      <c r="CU26" s="100">
        <v>8262</v>
      </c>
    </row>
    <row r="27" spans="2:99">
      <c r="C27" s="99" t="s">
        <v>193</v>
      </c>
      <c r="D27" s="100">
        <v>28</v>
      </c>
      <c r="E27" s="100">
        <v>11961.6</v>
      </c>
      <c r="F27" s="100">
        <v>18</v>
      </c>
      <c r="G27" s="100">
        <v>7689.5999999999995</v>
      </c>
      <c r="H27" s="100">
        <v>23.936227307095173</v>
      </c>
      <c r="I27" s="100">
        <v>10225.556305591057</v>
      </c>
      <c r="J27" s="100">
        <v>25</v>
      </c>
      <c r="K27" s="100">
        <v>10680</v>
      </c>
      <c r="L27" s="100">
        <v>21</v>
      </c>
      <c r="M27" s="100">
        <v>8971.1999999999989</v>
      </c>
      <c r="N27" s="100">
        <v>24.911971008834122</v>
      </c>
      <c r="O27" s="100">
        <v>10642.394014973937</v>
      </c>
      <c r="P27" s="100">
        <v>23.133447513540535</v>
      </c>
      <c r="Q27" s="100">
        <v>9882.6087777845169</v>
      </c>
      <c r="R27" s="100">
        <v>20</v>
      </c>
      <c r="S27" s="100">
        <v>8544</v>
      </c>
      <c r="T27" s="100">
        <v>23</v>
      </c>
      <c r="U27" s="100">
        <v>9825.6</v>
      </c>
      <c r="V27" s="100">
        <v>30</v>
      </c>
      <c r="W27" s="100">
        <v>12816</v>
      </c>
      <c r="X27" s="100">
        <v>23.745755447885443</v>
      </c>
      <c r="Y27" s="100">
        <v>10144.186727336661</v>
      </c>
      <c r="Z27" s="100">
        <v>25.380723287683754</v>
      </c>
      <c r="AA27" s="100">
        <v>10842.6449884985</v>
      </c>
      <c r="AB27" s="100">
        <v>17.195224142826447</v>
      </c>
      <c r="AC27" s="100">
        <v>7345.7997538154577</v>
      </c>
      <c r="AD27" s="100">
        <v>18.695383615369334</v>
      </c>
      <c r="AE27" s="100">
        <v>7986.6678804857793</v>
      </c>
      <c r="AF27" s="100">
        <v>18.059941238460535</v>
      </c>
      <c r="AG27" s="100">
        <v>7715.2068970703403</v>
      </c>
      <c r="AH27" s="100">
        <v>14.668685605905168</v>
      </c>
      <c r="AI27" s="100">
        <v>6266.4624908426877</v>
      </c>
      <c r="AJ27" s="100">
        <v>19</v>
      </c>
      <c r="AK27" s="100">
        <v>8116.8</v>
      </c>
      <c r="AL27" s="100">
        <v>17</v>
      </c>
      <c r="AM27" s="100">
        <v>7262.4</v>
      </c>
      <c r="AN27" s="100">
        <v>24</v>
      </c>
      <c r="AO27" s="100">
        <v>10252.799999999999</v>
      </c>
      <c r="AP27" s="100">
        <v>25</v>
      </c>
      <c r="AQ27" s="100">
        <v>10680</v>
      </c>
      <c r="AR27" s="100">
        <v>24.845604283462386</v>
      </c>
      <c r="AS27" s="100">
        <v>10614.042149895131</v>
      </c>
      <c r="AT27" s="100">
        <v>19</v>
      </c>
      <c r="AU27" s="100">
        <v>8116.8</v>
      </c>
      <c r="AV27" s="100">
        <v>20</v>
      </c>
      <c r="AW27" s="100">
        <v>8544</v>
      </c>
      <c r="AX27" s="100">
        <v>21</v>
      </c>
      <c r="AY27" s="100">
        <v>8971.1999999999989</v>
      </c>
      <c r="AZ27" s="100">
        <v>25.367626192554678</v>
      </c>
      <c r="BA27" s="100">
        <v>10837.049909459358</v>
      </c>
      <c r="BB27" s="100">
        <v>26.142619899607542</v>
      </c>
      <c r="BC27" s="100">
        <v>11168.127221112341</v>
      </c>
      <c r="BD27" s="100">
        <v>24</v>
      </c>
      <c r="BE27" s="100">
        <v>10252.799999999999</v>
      </c>
      <c r="BF27" s="100">
        <v>21.393971966386911</v>
      </c>
      <c r="BG27" s="100">
        <v>9139.5048240404885</v>
      </c>
      <c r="BH27" s="100">
        <v>26</v>
      </c>
      <c r="BI27" s="100">
        <v>11107.199999999999</v>
      </c>
      <c r="BJ27" s="100">
        <v>18.78156725930619</v>
      </c>
      <c r="BK27" s="100">
        <v>8023.4855331756044</v>
      </c>
      <c r="BL27" s="100">
        <v>20.959257598832778</v>
      </c>
      <c r="BM27" s="100">
        <v>8953.7948462213626</v>
      </c>
      <c r="BN27" s="100">
        <v>20</v>
      </c>
      <c r="BO27" s="100">
        <v>8544</v>
      </c>
      <c r="BP27" s="100">
        <v>23.582576365319863</v>
      </c>
      <c r="BQ27" s="100">
        <v>10074.476623264645</v>
      </c>
      <c r="BR27" s="100">
        <v>20.174733203255574</v>
      </c>
      <c r="BS27" s="100">
        <v>8618.6460244307818</v>
      </c>
      <c r="BT27" s="100">
        <v>19.40236103726378</v>
      </c>
      <c r="BU27" s="100">
        <v>8288.688635119086</v>
      </c>
      <c r="BV27" s="100">
        <v>29</v>
      </c>
      <c r="BW27" s="100">
        <v>12388.8</v>
      </c>
      <c r="BX27" s="100">
        <v>23.013331957562634</v>
      </c>
      <c r="BY27" s="100">
        <v>9831.2954122707579</v>
      </c>
      <c r="BZ27" s="100">
        <v>23.774106289819827</v>
      </c>
      <c r="CA27" s="100">
        <v>10156.29820701103</v>
      </c>
      <c r="CB27" s="100">
        <v>24.622240947742146</v>
      </c>
      <c r="CC27" s="100">
        <v>10518.621332875444</v>
      </c>
      <c r="CD27" s="100">
        <v>17</v>
      </c>
      <c r="CE27" s="100">
        <v>7262.4</v>
      </c>
      <c r="CF27" s="100">
        <v>15.686714101704855</v>
      </c>
      <c r="CG27" s="100">
        <v>6701.3642642483137</v>
      </c>
      <c r="CH27" s="100">
        <v>21.778863247153488</v>
      </c>
      <c r="CI27" s="100">
        <v>9303.9303791839702</v>
      </c>
      <c r="CJ27" s="100">
        <v>22.023203522925591</v>
      </c>
      <c r="CK27" s="100">
        <v>9408.3125449938125</v>
      </c>
      <c r="CL27" s="100">
        <v>21.579958306007985</v>
      </c>
      <c r="CM27" s="100">
        <v>9218.958188326611</v>
      </c>
      <c r="CN27" s="100">
        <v>22</v>
      </c>
      <c r="CO27" s="100">
        <v>9398.4</v>
      </c>
      <c r="CP27" s="100">
        <v>27</v>
      </c>
      <c r="CQ27" s="100">
        <v>11534.4</v>
      </c>
      <c r="CR27" s="100">
        <v>23.063206856989162</v>
      </c>
      <c r="CS27" s="100">
        <v>9852.6019693057697</v>
      </c>
      <c r="CT27" s="100">
        <v>17</v>
      </c>
      <c r="CU27" s="100">
        <v>7262.4</v>
      </c>
    </row>
    <row r="28" spans="2:99">
      <c r="C28" s="99" t="s">
        <v>194</v>
      </c>
      <c r="D28" s="100">
        <v>27</v>
      </c>
      <c r="E28" s="100">
        <v>19926</v>
      </c>
      <c r="F28" s="100">
        <v>19</v>
      </c>
      <c r="G28" s="100">
        <v>14022</v>
      </c>
      <c r="H28" s="100">
        <v>22.978778214811367</v>
      </c>
      <c r="I28" s="100">
        <v>16958.338322530788</v>
      </c>
      <c r="J28" s="100">
        <v>21</v>
      </c>
      <c r="K28" s="100">
        <v>15498</v>
      </c>
      <c r="L28" s="100">
        <v>20</v>
      </c>
      <c r="M28" s="100">
        <v>14760</v>
      </c>
      <c r="N28" s="100">
        <v>24.911971008834122</v>
      </c>
      <c r="O28" s="100">
        <v>18385.034604519584</v>
      </c>
      <c r="P28" s="100">
        <v>24.097341159938058</v>
      </c>
      <c r="Q28" s="100">
        <v>17783.837776034288</v>
      </c>
      <c r="R28" s="100">
        <v>17</v>
      </c>
      <c r="S28" s="100">
        <v>12546</v>
      </c>
      <c r="T28" s="100">
        <v>21</v>
      </c>
      <c r="U28" s="100">
        <v>15498</v>
      </c>
      <c r="V28" s="100">
        <v>25</v>
      </c>
      <c r="W28" s="100">
        <v>18450</v>
      </c>
      <c r="X28" s="100">
        <v>19.788129539904535</v>
      </c>
      <c r="Y28" s="100">
        <v>14603.639600449547</v>
      </c>
      <c r="Z28" s="100">
        <v>21.150602739736463</v>
      </c>
      <c r="AA28" s="100">
        <v>15609.144821925511</v>
      </c>
      <c r="AB28" s="100">
        <v>18.468944449702484</v>
      </c>
      <c r="AC28" s="100">
        <v>13630.081003880434</v>
      </c>
      <c r="AD28" s="100">
        <v>19.474357932676387</v>
      </c>
      <c r="AE28" s="100">
        <v>14372.076154315173</v>
      </c>
      <c r="AF28" s="100">
        <v>16.554946135255491</v>
      </c>
      <c r="AG28" s="100">
        <v>12217.550247818554</v>
      </c>
      <c r="AH28" s="100">
        <v>13.805821746734276</v>
      </c>
      <c r="AI28" s="100">
        <v>10188.696449089895</v>
      </c>
      <c r="AJ28" s="100">
        <v>21</v>
      </c>
      <c r="AK28" s="100">
        <v>15498</v>
      </c>
      <c r="AL28" s="100">
        <v>18</v>
      </c>
      <c r="AM28" s="100">
        <v>13284</v>
      </c>
      <c r="AN28" s="100">
        <v>25</v>
      </c>
      <c r="AO28" s="100">
        <v>18450</v>
      </c>
      <c r="AP28" s="100">
        <v>26</v>
      </c>
      <c r="AQ28" s="100">
        <v>19188</v>
      </c>
      <c r="AR28" s="100">
        <v>19.876483426769909</v>
      </c>
      <c r="AS28" s="100">
        <v>14668.844768956193</v>
      </c>
      <c r="AT28" s="100">
        <v>18</v>
      </c>
      <c r="AU28" s="100">
        <v>13284</v>
      </c>
      <c r="AV28" s="100">
        <v>20</v>
      </c>
      <c r="AW28" s="100">
        <v>14760</v>
      </c>
      <c r="AX28" s="100">
        <v>22</v>
      </c>
      <c r="AY28" s="100">
        <v>16236</v>
      </c>
      <c r="AZ28" s="100">
        <v>24.461639542820581</v>
      </c>
      <c r="BA28" s="100">
        <v>18052.689982601591</v>
      </c>
      <c r="BB28" s="100">
        <v>23.612688941581006</v>
      </c>
      <c r="BC28" s="100">
        <v>17426.164438886783</v>
      </c>
      <c r="BD28" s="100">
        <v>22</v>
      </c>
      <c r="BE28" s="100">
        <v>16236</v>
      </c>
      <c r="BF28" s="100">
        <v>19.86583111164499</v>
      </c>
      <c r="BG28" s="100">
        <v>14660.983360394002</v>
      </c>
      <c r="BH28" s="100">
        <v>25</v>
      </c>
      <c r="BI28" s="100">
        <v>18450</v>
      </c>
      <c r="BJ28" s="100">
        <v>20.758574339233157</v>
      </c>
      <c r="BK28" s="100">
        <v>15319.82786235407</v>
      </c>
      <c r="BL28" s="100">
        <v>18.225441390289372</v>
      </c>
      <c r="BM28" s="100">
        <v>13450.375746033556</v>
      </c>
      <c r="BN28" s="100">
        <v>21</v>
      </c>
      <c r="BO28" s="100">
        <v>15498</v>
      </c>
      <c r="BP28" s="100">
        <v>19.047465525835271</v>
      </c>
      <c r="BQ28" s="100">
        <v>14057.02955806643</v>
      </c>
      <c r="BR28" s="100">
        <v>19.334119319786591</v>
      </c>
      <c r="BS28" s="100">
        <v>14268.580058002504</v>
      </c>
      <c r="BT28" s="100">
        <v>17.462124933537403</v>
      </c>
      <c r="BU28" s="100">
        <v>12887.048200950603</v>
      </c>
      <c r="BV28" s="100">
        <v>27</v>
      </c>
      <c r="BW28" s="100">
        <v>19926</v>
      </c>
      <c r="BX28" s="100">
        <v>23.933865235865142</v>
      </c>
      <c r="BY28" s="100">
        <v>17663.192544068475</v>
      </c>
      <c r="BZ28" s="100">
        <v>23.774106289819827</v>
      </c>
      <c r="CA28" s="100">
        <v>17545.290441887031</v>
      </c>
      <c r="CB28" s="100">
        <v>25.416506784766089</v>
      </c>
      <c r="CC28" s="100">
        <v>18757.382007157372</v>
      </c>
      <c r="CD28" s="100">
        <v>16</v>
      </c>
      <c r="CE28" s="100">
        <v>11808</v>
      </c>
      <c r="CF28" s="100">
        <v>15.686714101704855</v>
      </c>
      <c r="CG28" s="100">
        <v>11576.795007058183</v>
      </c>
      <c r="CH28" s="100">
        <v>21.778863247153488</v>
      </c>
      <c r="CI28" s="100">
        <v>16072.801076399275</v>
      </c>
      <c r="CJ28" s="100">
        <v>22.023203522925591</v>
      </c>
      <c r="CK28" s="100">
        <v>16253.124199919086</v>
      </c>
      <c r="CL28" s="100">
        <v>19.08996311685322</v>
      </c>
      <c r="CM28" s="100">
        <v>14088.392780237677</v>
      </c>
      <c r="CN28" s="100">
        <v>21</v>
      </c>
      <c r="CO28" s="100">
        <v>15498</v>
      </c>
      <c r="CP28" s="100">
        <v>25</v>
      </c>
      <c r="CQ28" s="100">
        <v>18450</v>
      </c>
      <c r="CR28" s="100">
        <v>24.024173809363706</v>
      </c>
      <c r="CS28" s="100">
        <v>17729.840271310415</v>
      </c>
      <c r="CT28" s="100">
        <v>19</v>
      </c>
      <c r="CU28" s="100">
        <v>14022</v>
      </c>
    </row>
    <row r="29" spans="2:99">
      <c r="C29" s="99" t="s">
        <v>195</v>
      </c>
      <c r="D29" s="100">
        <v>27</v>
      </c>
      <c r="E29" s="100">
        <v>9136.7999999999993</v>
      </c>
      <c r="F29" s="100">
        <v>19</v>
      </c>
      <c r="G29" s="100">
        <v>6429.5999999999995</v>
      </c>
      <c r="H29" s="100">
        <v>22.978778214811367</v>
      </c>
      <c r="I29" s="100">
        <v>7776.0185478921658</v>
      </c>
      <c r="J29" s="100">
        <v>22</v>
      </c>
      <c r="K29" s="100">
        <v>7444.7999999999993</v>
      </c>
      <c r="L29" s="100">
        <v>21</v>
      </c>
      <c r="M29" s="100">
        <v>7106.4</v>
      </c>
      <c r="N29" s="100">
        <v>27.901407529894215</v>
      </c>
      <c r="O29" s="100">
        <v>9441.8363081162024</v>
      </c>
      <c r="P29" s="100">
        <v>25.06123480633558</v>
      </c>
      <c r="Q29" s="100">
        <v>8480.7218584639595</v>
      </c>
      <c r="R29" s="100">
        <v>20</v>
      </c>
      <c r="S29" s="100">
        <v>6768</v>
      </c>
      <c r="T29" s="100">
        <v>22</v>
      </c>
      <c r="U29" s="100">
        <v>7444.7999999999993</v>
      </c>
      <c r="V29" s="100">
        <v>30</v>
      </c>
      <c r="W29" s="100">
        <v>10152</v>
      </c>
      <c r="X29" s="100">
        <v>22.756348970890215</v>
      </c>
      <c r="Y29" s="100">
        <v>7700.7484917492484</v>
      </c>
      <c r="Z29" s="100">
        <v>25.380723287683754</v>
      </c>
      <c r="AA29" s="100">
        <v>8588.8367605521817</v>
      </c>
      <c r="AB29" s="100">
        <v>17.195224142826447</v>
      </c>
      <c r="AC29" s="100">
        <v>5818.8638499324697</v>
      </c>
      <c r="AD29" s="100">
        <v>18.695383615369334</v>
      </c>
      <c r="AE29" s="100">
        <v>6326.5178154409823</v>
      </c>
      <c r="AF29" s="100">
        <v>20.317433893268102</v>
      </c>
      <c r="AG29" s="100">
        <v>6875.4196294819258</v>
      </c>
      <c r="AH29" s="100">
        <v>13.805821746734276</v>
      </c>
      <c r="AI29" s="100">
        <v>4671.8900790948783</v>
      </c>
      <c r="AJ29" s="100">
        <v>19</v>
      </c>
      <c r="AK29" s="100">
        <v>6429.5999999999995</v>
      </c>
      <c r="AL29" s="100">
        <v>19</v>
      </c>
      <c r="AM29" s="100">
        <v>6429.5999999999995</v>
      </c>
      <c r="AN29" s="100">
        <v>24</v>
      </c>
      <c r="AO29" s="100">
        <v>8121.5999999999995</v>
      </c>
      <c r="AP29" s="100">
        <v>25</v>
      </c>
      <c r="AQ29" s="100">
        <v>8460</v>
      </c>
      <c r="AR29" s="100">
        <v>20.870307598108408</v>
      </c>
      <c r="AS29" s="100">
        <v>7062.5120911998847</v>
      </c>
      <c r="AT29" s="100">
        <v>17</v>
      </c>
      <c r="AU29" s="100">
        <v>5752.7999999999993</v>
      </c>
      <c r="AV29" s="100">
        <v>20</v>
      </c>
      <c r="AW29" s="100">
        <v>6768</v>
      </c>
      <c r="AX29" s="100">
        <v>22</v>
      </c>
      <c r="AY29" s="100">
        <v>7444.7999999999993</v>
      </c>
      <c r="AZ29" s="100">
        <v>26.273612842288774</v>
      </c>
      <c r="BA29" s="100">
        <v>8890.990585830521</v>
      </c>
      <c r="BB29" s="100">
        <v>22.769378622238825</v>
      </c>
      <c r="BC29" s="100">
        <v>7705.1577257656181</v>
      </c>
      <c r="BD29" s="100">
        <v>23</v>
      </c>
      <c r="BE29" s="100">
        <v>7783.2</v>
      </c>
      <c r="BF29" s="100">
        <v>21.393971966386911</v>
      </c>
      <c r="BG29" s="100">
        <v>7239.7201134253301</v>
      </c>
      <c r="BH29" s="100">
        <v>25</v>
      </c>
      <c r="BI29" s="100">
        <v>8460</v>
      </c>
      <c r="BJ29" s="100">
        <v>22.735581419160123</v>
      </c>
      <c r="BK29" s="100">
        <v>7693.7207522437848</v>
      </c>
      <c r="BL29" s="100">
        <v>20.047985529318311</v>
      </c>
      <c r="BM29" s="100">
        <v>6784.2383031213158</v>
      </c>
      <c r="BN29" s="100">
        <v>24</v>
      </c>
      <c r="BO29" s="100">
        <v>8121.5999999999995</v>
      </c>
      <c r="BP29" s="100">
        <v>22.675554197422944</v>
      </c>
      <c r="BQ29" s="100">
        <v>7673.407540407924</v>
      </c>
      <c r="BR29" s="100">
        <v>21.855960970193543</v>
      </c>
      <c r="BS29" s="100">
        <v>7396.0571923134949</v>
      </c>
      <c r="BT29" s="100">
        <v>18.432242985400588</v>
      </c>
      <c r="BU29" s="100">
        <v>6237.471026259559</v>
      </c>
      <c r="BV29" s="100">
        <v>28</v>
      </c>
      <c r="BW29" s="100">
        <v>9475.1999999999989</v>
      </c>
      <c r="BX29" s="100">
        <v>24.854398514167649</v>
      </c>
      <c r="BY29" s="100">
        <v>8410.728457194331</v>
      </c>
      <c r="BZ29" s="100">
        <v>23.774106289819827</v>
      </c>
      <c r="CA29" s="100">
        <v>8045.1575684750287</v>
      </c>
      <c r="CB29" s="100">
        <v>24.622240947742146</v>
      </c>
      <c r="CC29" s="100">
        <v>8332.1663367159417</v>
      </c>
      <c r="CD29" s="100">
        <v>19</v>
      </c>
      <c r="CE29" s="100">
        <v>6429.5999999999995</v>
      </c>
      <c r="CF29" s="100">
        <v>16.609461990040433</v>
      </c>
      <c r="CG29" s="100">
        <v>5620.641937429682</v>
      </c>
      <c r="CH29" s="100">
        <v>24.112312880777072</v>
      </c>
      <c r="CI29" s="100">
        <v>8159.6066788549606</v>
      </c>
      <c r="CJ29" s="100">
        <v>19.270303082559888</v>
      </c>
      <c r="CK29" s="100">
        <v>6521.0705631382652</v>
      </c>
      <c r="CL29" s="100">
        <v>18.259964720468297</v>
      </c>
      <c r="CM29" s="100">
        <v>6179.1720614064716</v>
      </c>
      <c r="CN29" s="100">
        <v>21</v>
      </c>
      <c r="CO29" s="100">
        <v>7106.4</v>
      </c>
      <c r="CP29" s="100">
        <v>28</v>
      </c>
      <c r="CQ29" s="100">
        <v>9475.1999999999989</v>
      </c>
      <c r="CR29" s="100">
        <v>25.946107714112806</v>
      </c>
      <c r="CS29" s="100">
        <v>8780.1628504557721</v>
      </c>
      <c r="CT29" s="100">
        <v>17</v>
      </c>
      <c r="CU29" s="100">
        <v>5752.7999999999993</v>
      </c>
    </row>
    <row r="30" spans="2:99">
      <c r="C30" s="99" t="s">
        <v>196</v>
      </c>
      <c r="D30" s="100">
        <v>29</v>
      </c>
      <c r="E30" s="100">
        <v>4036.7999999999997</v>
      </c>
      <c r="F30" s="100">
        <v>19</v>
      </c>
      <c r="G30" s="100">
        <v>2644.7999999999997</v>
      </c>
      <c r="H30" s="100">
        <v>22.978778214811367</v>
      </c>
      <c r="I30" s="100">
        <v>3198.6459275017419</v>
      </c>
      <c r="J30" s="100">
        <v>22</v>
      </c>
      <c r="K30" s="100">
        <v>3062.3999999999996</v>
      </c>
      <c r="L30" s="100">
        <v>20</v>
      </c>
      <c r="M30" s="100">
        <v>2784</v>
      </c>
      <c r="N30" s="100">
        <v>29.894365210600945</v>
      </c>
      <c r="O30" s="100">
        <v>4161.2956373156512</v>
      </c>
      <c r="P30" s="100">
        <v>26.989022099130629</v>
      </c>
      <c r="Q30" s="100">
        <v>3756.8718761989835</v>
      </c>
      <c r="R30" s="100">
        <v>21</v>
      </c>
      <c r="S30" s="100">
        <v>2923.2</v>
      </c>
      <c r="T30" s="100">
        <v>21</v>
      </c>
      <c r="U30" s="100">
        <v>2923.2</v>
      </c>
      <c r="V30" s="100">
        <v>30</v>
      </c>
      <c r="W30" s="100">
        <v>4176</v>
      </c>
      <c r="X30" s="100">
        <v>24.735161924880664</v>
      </c>
      <c r="Y30" s="100">
        <v>3443.1345399433881</v>
      </c>
      <c r="Z30" s="100">
        <v>23.688675068504839</v>
      </c>
      <c r="AA30" s="100">
        <v>3297.4635695358734</v>
      </c>
      <c r="AB30" s="100">
        <v>19.742664756578513</v>
      </c>
      <c r="AC30" s="100">
        <v>2748.1789341157287</v>
      </c>
      <c r="AD30" s="100">
        <v>21.811280884597554</v>
      </c>
      <c r="AE30" s="100">
        <v>3036.1302991359794</v>
      </c>
      <c r="AF30" s="100">
        <v>21.069931444870626</v>
      </c>
      <c r="AG30" s="100">
        <v>2932.9344571259908</v>
      </c>
      <c r="AH30" s="100">
        <v>14.668685605905168</v>
      </c>
      <c r="AI30" s="100">
        <v>2041.8810363419991</v>
      </c>
      <c r="AJ30" s="100">
        <v>23</v>
      </c>
      <c r="AK30" s="100">
        <v>3201.6</v>
      </c>
      <c r="AL30" s="100">
        <v>17</v>
      </c>
      <c r="AM30" s="100">
        <v>2366.3999999999996</v>
      </c>
      <c r="AN30" s="100">
        <v>23</v>
      </c>
      <c r="AO30" s="100">
        <v>3201.6</v>
      </c>
      <c r="AP30" s="100">
        <v>27</v>
      </c>
      <c r="AQ30" s="100">
        <v>3758.3999999999996</v>
      </c>
      <c r="AR30" s="100">
        <v>22.857955940785395</v>
      </c>
      <c r="AS30" s="100">
        <v>3181.8274669573266</v>
      </c>
      <c r="AT30" s="100">
        <v>19</v>
      </c>
      <c r="AU30" s="100">
        <v>2644.7999999999997</v>
      </c>
      <c r="AV30" s="100">
        <v>20</v>
      </c>
      <c r="AW30" s="100">
        <v>2784</v>
      </c>
      <c r="AX30" s="100">
        <v>23</v>
      </c>
      <c r="AY30" s="100">
        <v>3201.6</v>
      </c>
      <c r="AZ30" s="100">
        <v>29.897559441225159</v>
      </c>
      <c r="BA30" s="100">
        <v>4161.7402742185413</v>
      </c>
      <c r="BB30" s="100">
        <v>25.299309580265362</v>
      </c>
      <c r="BC30" s="100">
        <v>3521.6638935729379</v>
      </c>
      <c r="BD30" s="100">
        <v>24</v>
      </c>
      <c r="BE30" s="100">
        <v>3340.7999999999997</v>
      </c>
      <c r="BF30" s="100">
        <v>22.922112821128831</v>
      </c>
      <c r="BG30" s="100">
        <v>3190.7581047011331</v>
      </c>
      <c r="BH30" s="100">
        <v>23</v>
      </c>
      <c r="BI30" s="100">
        <v>3201.6</v>
      </c>
      <c r="BJ30" s="100">
        <v>19.770070799269671</v>
      </c>
      <c r="BK30" s="100">
        <v>2751.993855258338</v>
      </c>
      <c r="BL30" s="100">
        <v>19.136713459803843</v>
      </c>
      <c r="BM30" s="100">
        <v>2663.8305136046947</v>
      </c>
      <c r="BN30" s="100">
        <v>21</v>
      </c>
      <c r="BO30" s="100">
        <v>2923.2</v>
      </c>
      <c r="BP30" s="100">
        <v>21.768532029526025</v>
      </c>
      <c r="BQ30" s="100">
        <v>3030.1796585100224</v>
      </c>
      <c r="BR30" s="100">
        <v>23.537188737131505</v>
      </c>
      <c r="BS30" s="100">
        <v>3276.3766722087053</v>
      </c>
      <c r="BT30" s="100">
        <v>18.432242985400588</v>
      </c>
      <c r="BU30" s="100">
        <v>2565.7682235677617</v>
      </c>
      <c r="BV30" s="100">
        <v>34</v>
      </c>
      <c r="BW30" s="100">
        <v>4732.7999999999993</v>
      </c>
      <c r="BX30" s="100">
        <v>23.013331957562634</v>
      </c>
      <c r="BY30" s="100">
        <v>3203.4558084927185</v>
      </c>
      <c r="BZ30" s="100">
        <v>27.736457338123127</v>
      </c>
      <c r="CA30" s="100">
        <v>3860.9148614667392</v>
      </c>
      <c r="CB30" s="100">
        <v>27.005038458813971</v>
      </c>
      <c r="CC30" s="100">
        <v>3759.1013534669046</v>
      </c>
      <c r="CD30" s="100">
        <v>20</v>
      </c>
      <c r="CE30" s="100">
        <v>2784</v>
      </c>
      <c r="CF30" s="100">
        <v>19.377705655047173</v>
      </c>
      <c r="CG30" s="100">
        <v>2697.3766271825662</v>
      </c>
      <c r="CH30" s="100">
        <v>24.112312880777072</v>
      </c>
      <c r="CI30" s="100">
        <v>3356.433953004168</v>
      </c>
      <c r="CJ30" s="100">
        <v>22.023203522925591</v>
      </c>
      <c r="CK30" s="100">
        <v>3065.6299303912419</v>
      </c>
      <c r="CL30" s="100">
        <v>19.919961513238142</v>
      </c>
      <c r="CM30" s="100">
        <v>2772.8586426427491</v>
      </c>
      <c r="CN30" s="100">
        <v>22</v>
      </c>
      <c r="CO30" s="100">
        <v>3062.3999999999996</v>
      </c>
      <c r="CP30" s="100">
        <v>27</v>
      </c>
      <c r="CQ30" s="100">
        <v>3758.3999999999996</v>
      </c>
      <c r="CR30" s="100">
        <v>25.946107714112806</v>
      </c>
      <c r="CS30" s="100">
        <v>3611.6981938045024</v>
      </c>
      <c r="CT30" s="100">
        <v>17</v>
      </c>
      <c r="CU30" s="100">
        <v>2366.3999999999996</v>
      </c>
    </row>
    <row r="31" spans="2:99">
      <c r="C31" s="99" t="s">
        <v>197</v>
      </c>
      <c r="D31" s="100">
        <v>29</v>
      </c>
      <c r="E31" s="100">
        <v>9883.2000000000007</v>
      </c>
      <c r="F31" s="100">
        <v>18</v>
      </c>
      <c r="G31" s="100">
        <v>6134.4000000000005</v>
      </c>
      <c r="H31" s="100">
        <v>22.978778214811367</v>
      </c>
      <c r="I31" s="100">
        <v>7831.1676156077137</v>
      </c>
      <c r="J31" s="100">
        <v>22</v>
      </c>
      <c r="K31" s="100">
        <v>7497.6</v>
      </c>
      <c r="L31" s="100">
        <v>21</v>
      </c>
      <c r="M31" s="100">
        <v>7156.8</v>
      </c>
      <c r="N31" s="100">
        <v>24.911971008834122</v>
      </c>
      <c r="O31" s="100">
        <v>8489.9997198106685</v>
      </c>
      <c r="P31" s="100">
        <v>26.025128452733103</v>
      </c>
      <c r="Q31" s="100">
        <v>8869.3637766914417</v>
      </c>
      <c r="R31" s="100">
        <v>20</v>
      </c>
      <c r="S31" s="100">
        <v>6816</v>
      </c>
      <c r="T31" s="100">
        <v>24</v>
      </c>
      <c r="U31" s="100">
        <v>8179.2000000000007</v>
      </c>
      <c r="V31" s="100">
        <v>30</v>
      </c>
      <c r="W31" s="100">
        <v>10224</v>
      </c>
      <c r="X31" s="100">
        <v>22.756348970890215</v>
      </c>
      <c r="Y31" s="100">
        <v>7755.3637292793856</v>
      </c>
      <c r="Z31" s="100">
        <v>23.688675068504839</v>
      </c>
      <c r="AA31" s="100">
        <v>8073.100463346449</v>
      </c>
      <c r="AB31" s="100">
        <v>17.832084296264465</v>
      </c>
      <c r="AC31" s="100">
        <v>6077.1743281669296</v>
      </c>
      <c r="AD31" s="100">
        <v>21.811280884597554</v>
      </c>
      <c r="AE31" s="100">
        <v>7433.2845254708463</v>
      </c>
      <c r="AF31" s="100">
        <v>18.812438790063059</v>
      </c>
      <c r="AG31" s="100">
        <v>6411.2791396534903</v>
      </c>
      <c r="AH31" s="100">
        <v>14.668685605905168</v>
      </c>
      <c r="AI31" s="100">
        <v>4999.0880544924812</v>
      </c>
      <c r="AJ31" s="100">
        <v>19</v>
      </c>
      <c r="AK31" s="100">
        <v>6475.2</v>
      </c>
      <c r="AL31" s="100">
        <v>19</v>
      </c>
      <c r="AM31" s="100">
        <v>6475.2</v>
      </c>
      <c r="AN31" s="100">
        <v>23</v>
      </c>
      <c r="AO31" s="100">
        <v>7838.4000000000005</v>
      </c>
      <c r="AP31" s="100">
        <v>27</v>
      </c>
      <c r="AQ31" s="100">
        <v>9201.6</v>
      </c>
      <c r="AR31" s="100">
        <v>22.857955940785395</v>
      </c>
      <c r="AS31" s="100">
        <v>7789.9913846196632</v>
      </c>
      <c r="AT31" s="100">
        <v>20</v>
      </c>
      <c r="AU31" s="100">
        <v>6816</v>
      </c>
      <c r="AV31" s="100">
        <v>19</v>
      </c>
      <c r="AW31" s="100">
        <v>6475.2</v>
      </c>
      <c r="AX31" s="100">
        <v>23</v>
      </c>
      <c r="AY31" s="100">
        <v>7838.4000000000005</v>
      </c>
      <c r="AZ31" s="100">
        <v>27.179599492022867</v>
      </c>
      <c r="BA31" s="100">
        <v>9262.8075068813923</v>
      </c>
      <c r="BB31" s="100">
        <v>24.455999260923182</v>
      </c>
      <c r="BC31" s="100">
        <v>8334.6045481226211</v>
      </c>
      <c r="BD31" s="100">
        <v>23</v>
      </c>
      <c r="BE31" s="100">
        <v>7838.4000000000005</v>
      </c>
      <c r="BF31" s="100">
        <v>24.450253675870755</v>
      </c>
      <c r="BG31" s="100">
        <v>8332.6464527367534</v>
      </c>
      <c r="BH31" s="100">
        <v>25</v>
      </c>
      <c r="BI31" s="100">
        <v>8520</v>
      </c>
      <c r="BJ31" s="100">
        <v>21.747077879196638</v>
      </c>
      <c r="BK31" s="100">
        <v>7411.4041412302149</v>
      </c>
      <c r="BL31" s="100">
        <v>20.959257598832778</v>
      </c>
      <c r="BM31" s="100">
        <v>7142.9149896822109</v>
      </c>
      <c r="BN31" s="100">
        <v>23</v>
      </c>
      <c r="BO31" s="100">
        <v>7838.4000000000005</v>
      </c>
      <c r="BP31" s="100">
        <v>24.489598533216782</v>
      </c>
      <c r="BQ31" s="100">
        <v>8346.0551801202801</v>
      </c>
      <c r="BR31" s="100">
        <v>22.696574853662526</v>
      </c>
      <c r="BS31" s="100">
        <v>7734.9927101281892</v>
      </c>
      <c r="BT31" s="100">
        <v>18.432242985400588</v>
      </c>
      <c r="BU31" s="100">
        <v>6281.7084094245211</v>
      </c>
      <c r="BV31" s="100">
        <v>30</v>
      </c>
      <c r="BW31" s="100">
        <v>10224</v>
      </c>
      <c r="BX31" s="100">
        <v>22.092798679260131</v>
      </c>
      <c r="BY31" s="100">
        <v>7529.2257898918533</v>
      </c>
      <c r="BZ31" s="100">
        <v>26.943987128462467</v>
      </c>
      <c r="CA31" s="100">
        <v>9182.5108133800095</v>
      </c>
      <c r="CB31" s="100">
        <v>27.799304295837906</v>
      </c>
      <c r="CC31" s="100">
        <v>9474.0029040215595</v>
      </c>
      <c r="CD31" s="100">
        <v>18</v>
      </c>
      <c r="CE31" s="100">
        <v>6134.4000000000005</v>
      </c>
      <c r="CF31" s="100">
        <v>15.686714101704855</v>
      </c>
      <c r="CG31" s="100">
        <v>5346.0321658610146</v>
      </c>
      <c r="CH31" s="100">
        <v>24.890129425318268</v>
      </c>
      <c r="CI31" s="100">
        <v>8482.5561081484666</v>
      </c>
      <c r="CJ31" s="100">
        <v>22.023203522925591</v>
      </c>
      <c r="CK31" s="100">
        <v>7505.5077606130417</v>
      </c>
      <c r="CL31" s="100">
        <v>19.08996311685322</v>
      </c>
      <c r="CM31" s="100">
        <v>6505.8594302235779</v>
      </c>
      <c r="CN31" s="100">
        <v>22</v>
      </c>
      <c r="CO31" s="100">
        <v>7497.6</v>
      </c>
      <c r="CP31" s="100">
        <v>26</v>
      </c>
      <c r="CQ31" s="100">
        <v>8860.8000000000011</v>
      </c>
      <c r="CR31" s="100">
        <v>23.063206856989162</v>
      </c>
      <c r="CS31" s="100">
        <v>7859.9408968619064</v>
      </c>
      <c r="CT31" s="100">
        <v>17</v>
      </c>
      <c r="CU31" s="100">
        <v>5793.6</v>
      </c>
    </row>
    <row r="32" spans="2:99">
      <c r="C32" s="99" t="s">
        <v>198</v>
      </c>
      <c r="D32" s="100">
        <v>25</v>
      </c>
      <c r="E32" s="100">
        <v>21000</v>
      </c>
      <c r="F32" s="100">
        <v>19</v>
      </c>
      <c r="G32" s="100">
        <v>15960</v>
      </c>
      <c r="H32" s="100">
        <v>21.063880030243752</v>
      </c>
      <c r="I32" s="100">
        <v>17693.65922540475</v>
      </c>
      <c r="J32" s="100">
        <v>20</v>
      </c>
      <c r="K32" s="100">
        <v>16800</v>
      </c>
      <c r="L32" s="100">
        <v>20</v>
      </c>
      <c r="M32" s="100">
        <v>16800</v>
      </c>
      <c r="N32" s="100">
        <v>23.915492168480753</v>
      </c>
      <c r="O32" s="100">
        <v>20089.013421523832</v>
      </c>
      <c r="P32" s="100">
        <v>24.097341159938058</v>
      </c>
      <c r="Q32" s="100">
        <v>20241.76657434797</v>
      </c>
      <c r="R32" s="100">
        <v>18</v>
      </c>
      <c r="S32" s="100">
        <v>15120</v>
      </c>
      <c r="T32" s="100">
        <v>20</v>
      </c>
      <c r="U32" s="100">
        <v>16800</v>
      </c>
      <c r="V32" s="100">
        <v>28</v>
      </c>
      <c r="W32" s="100">
        <v>23520</v>
      </c>
      <c r="X32" s="100">
        <v>22.756348970890215</v>
      </c>
      <c r="Y32" s="100">
        <v>19115.333135547782</v>
      </c>
      <c r="Z32" s="100">
        <v>20.304578630147002</v>
      </c>
      <c r="AA32" s="100">
        <v>17055.846049323482</v>
      </c>
      <c r="AB32" s="100">
        <v>16.558363989388432</v>
      </c>
      <c r="AC32" s="100">
        <v>13909.025751086283</v>
      </c>
      <c r="AD32" s="100">
        <v>19.474357932676387</v>
      </c>
      <c r="AE32" s="100">
        <v>16358.460663448166</v>
      </c>
      <c r="AF32" s="100">
        <v>15.80244858365297</v>
      </c>
      <c r="AG32" s="100">
        <v>13274.056810268494</v>
      </c>
      <c r="AH32" s="100">
        <v>13.805821746734276</v>
      </c>
      <c r="AI32" s="100">
        <v>11596.890267256791</v>
      </c>
      <c r="AJ32" s="100">
        <v>18</v>
      </c>
      <c r="AK32" s="100">
        <v>15120</v>
      </c>
      <c r="AL32" s="100">
        <v>16</v>
      </c>
      <c r="AM32" s="100">
        <v>13440</v>
      </c>
      <c r="AN32" s="100">
        <v>21</v>
      </c>
      <c r="AO32" s="100">
        <v>17640</v>
      </c>
      <c r="AP32" s="100">
        <v>22</v>
      </c>
      <c r="AQ32" s="100">
        <v>18480</v>
      </c>
      <c r="AR32" s="100">
        <v>22.857955940785395</v>
      </c>
      <c r="AS32" s="100">
        <v>19200.682990259731</v>
      </c>
      <c r="AT32" s="100">
        <v>18</v>
      </c>
      <c r="AU32" s="100">
        <v>15120</v>
      </c>
      <c r="AV32" s="100">
        <v>20</v>
      </c>
      <c r="AW32" s="100">
        <v>16800</v>
      </c>
      <c r="AX32" s="100">
        <v>22</v>
      </c>
      <c r="AY32" s="100">
        <v>18480</v>
      </c>
      <c r="AZ32" s="100">
        <v>27.179599492022867</v>
      </c>
      <c r="BA32" s="100">
        <v>22830.863573299208</v>
      </c>
      <c r="BB32" s="100">
        <v>26.142619899607542</v>
      </c>
      <c r="BC32" s="100">
        <v>21959.800715670335</v>
      </c>
      <c r="BD32" s="100">
        <v>19</v>
      </c>
      <c r="BE32" s="100">
        <v>15960</v>
      </c>
      <c r="BF32" s="100">
        <v>22.922112821128831</v>
      </c>
      <c r="BG32" s="100">
        <v>19254.574769748218</v>
      </c>
      <c r="BH32" s="100">
        <v>23</v>
      </c>
      <c r="BI32" s="100">
        <v>19320</v>
      </c>
      <c r="BJ32" s="100">
        <v>21.747077879196638</v>
      </c>
      <c r="BK32" s="100">
        <v>18267.545418525177</v>
      </c>
      <c r="BL32" s="100">
        <v>17.314169320774905</v>
      </c>
      <c r="BM32" s="100">
        <v>14543.90222945092</v>
      </c>
      <c r="BN32" s="100">
        <v>21</v>
      </c>
      <c r="BO32" s="100">
        <v>17640</v>
      </c>
      <c r="BP32" s="100">
        <v>20.861509861629109</v>
      </c>
      <c r="BQ32" s="100">
        <v>17523.668283768453</v>
      </c>
      <c r="BR32" s="100">
        <v>18.493505436317612</v>
      </c>
      <c r="BS32" s="100">
        <v>15534.544566506795</v>
      </c>
      <c r="BT32" s="100">
        <v>15.521888829811024</v>
      </c>
      <c r="BU32" s="100">
        <v>13038.38661704126</v>
      </c>
      <c r="BV32" s="100">
        <v>27</v>
      </c>
      <c r="BW32" s="100">
        <v>22680</v>
      </c>
      <c r="BX32" s="100">
        <v>22.092798679260131</v>
      </c>
      <c r="BY32" s="100">
        <v>18557.950890578511</v>
      </c>
      <c r="BZ32" s="100">
        <v>25.359046709141147</v>
      </c>
      <c r="CA32" s="100">
        <v>21301.599235678565</v>
      </c>
      <c r="CB32" s="100">
        <v>22.239443436670328</v>
      </c>
      <c r="CC32" s="100">
        <v>18681.132486803075</v>
      </c>
      <c r="CD32" s="100">
        <v>17</v>
      </c>
      <c r="CE32" s="100">
        <v>14280</v>
      </c>
      <c r="CF32" s="100">
        <v>16.609461990040433</v>
      </c>
      <c r="CG32" s="100">
        <v>13951.948071633964</v>
      </c>
      <c r="CH32" s="100">
        <v>21.778863247153488</v>
      </c>
      <c r="CI32" s="100">
        <v>18294.24512760893</v>
      </c>
      <c r="CJ32" s="100">
        <v>20.187936562681791</v>
      </c>
      <c r="CK32" s="100">
        <v>16957.866712652703</v>
      </c>
      <c r="CL32" s="100">
        <v>17.429966324083374</v>
      </c>
      <c r="CM32" s="100">
        <v>14641.171712230034</v>
      </c>
      <c r="CN32" s="100">
        <v>20</v>
      </c>
      <c r="CO32" s="100">
        <v>16800</v>
      </c>
      <c r="CP32" s="100">
        <v>27</v>
      </c>
      <c r="CQ32" s="100">
        <v>22680</v>
      </c>
      <c r="CR32" s="100">
        <v>24.024173809363706</v>
      </c>
      <c r="CS32" s="100">
        <v>20180.305999865512</v>
      </c>
      <c r="CT32" s="100">
        <v>17</v>
      </c>
      <c r="CU32" s="100">
        <v>14280</v>
      </c>
    </row>
    <row r="33" spans="2:99">
      <c r="C33" s="99" t="s">
        <v>199</v>
      </c>
      <c r="D33" s="100">
        <v>26</v>
      </c>
      <c r="E33" s="100">
        <v>12324</v>
      </c>
      <c r="F33" s="100">
        <v>20</v>
      </c>
      <c r="G33" s="100">
        <v>9480</v>
      </c>
      <c r="H33" s="100">
        <v>24.893676399378979</v>
      </c>
      <c r="I33" s="100">
        <v>11799.602613305637</v>
      </c>
      <c r="J33" s="100">
        <v>24</v>
      </c>
      <c r="K33" s="100">
        <v>11376</v>
      </c>
      <c r="L33" s="100">
        <v>18</v>
      </c>
      <c r="M33" s="100">
        <v>8532</v>
      </c>
      <c r="N33" s="100">
        <v>27.901407529894215</v>
      </c>
      <c r="O33" s="100">
        <v>13225.267169169858</v>
      </c>
      <c r="P33" s="100">
        <v>26.025128452733103</v>
      </c>
      <c r="Q33" s="100">
        <v>12335.910886595491</v>
      </c>
      <c r="R33" s="100">
        <v>19</v>
      </c>
      <c r="S33" s="100">
        <v>9006</v>
      </c>
      <c r="T33" s="100">
        <v>21</v>
      </c>
      <c r="U33" s="100">
        <v>9954</v>
      </c>
      <c r="V33" s="100">
        <v>29</v>
      </c>
      <c r="W33" s="100">
        <v>13746</v>
      </c>
      <c r="X33" s="100">
        <v>21.766942493894987</v>
      </c>
      <c r="Y33" s="100">
        <v>10317.530742106224</v>
      </c>
      <c r="Z33" s="100">
        <v>21.150602739736463</v>
      </c>
      <c r="AA33" s="100">
        <v>10025.385698635084</v>
      </c>
      <c r="AB33" s="100">
        <v>19.105804603140498</v>
      </c>
      <c r="AC33" s="100">
        <v>9056.151381888596</v>
      </c>
      <c r="AD33" s="100">
        <v>17.916409298062277</v>
      </c>
      <c r="AE33" s="100">
        <v>8492.3780072815189</v>
      </c>
      <c r="AF33" s="100">
        <v>18.812438790063059</v>
      </c>
      <c r="AG33" s="100">
        <v>8917.0959864898905</v>
      </c>
      <c r="AH33" s="100">
        <v>15.531549465076061</v>
      </c>
      <c r="AI33" s="100">
        <v>7361.9544464460532</v>
      </c>
      <c r="AJ33" s="100">
        <v>21</v>
      </c>
      <c r="AK33" s="100">
        <v>9954</v>
      </c>
      <c r="AL33" s="100">
        <v>17</v>
      </c>
      <c r="AM33" s="100">
        <v>8058</v>
      </c>
      <c r="AN33" s="100">
        <v>23</v>
      </c>
      <c r="AO33" s="100">
        <v>10902</v>
      </c>
      <c r="AP33" s="100">
        <v>24</v>
      </c>
      <c r="AQ33" s="100">
        <v>11376</v>
      </c>
      <c r="AR33" s="100">
        <v>22.857955940785395</v>
      </c>
      <c r="AS33" s="100">
        <v>10834.671115932277</v>
      </c>
      <c r="AT33" s="100">
        <v>17</v>
      </c>
      <c r="AU33" s="100">
        <v>8058</v>
      </c>
      <c r="AV33" s="100">
        <v>21</v>
      </c>
      <c r="AW33" s="100">
        <v>9954</v>
      </c>
      <c r="AX33" s="100">
        <v>21</v>
      </c>
      <c r="AY33" s="100">
        <v>9954</v>
      </c>
      <c r="AZ33" s="100">
        <v>24.461639542820581</v>
      </c>
      <c r="BA33" s="100">
        <v>11594.817143296956</v>
      </c>
      <c r="BB33" s="100">
        <v>26.985930218949719</v>
      </c>
      <c r="BC33" s="100">
        <v>12791.330923782167</v>
      </c>
      <c r="BD33" s="100">
        <v>22</v>
      </c>
      <c r="BE33" s="100">
        <v>10428</v>
      </c>
      <c r="BF33" s="100">
        <v>22.158042393757874</v>
      </c>
      <c r="BG33" s="100">
        <v>10502.912094641233</v>
      </c>
      <c r="BH33" s="100">
        <v>23</v>
      </c>
      <c r="BI33" s="100">
        <v>10902</v>
      </c>
      <c r="BJ33" s="100">
        <v>19.770070799269671</v>
      </c>
      <c r="BK33" s="100">
        <v>9371.0135588538251</v>
      </c>
      <c r="BL33" s="100">
        <v>17.314169320774905</v>
      </c>
      <c r="BM33" s="100">
        <v>8206.9162580473057</v>
      </c>
      <c r="BN33" s="100">
        <v>20</v>
      </c>
      <c r="BO33" s="100">
        <v>9480</v>
      </c>
      <c r="BP33" s="100">
        <v>23.582576365319863</v>
      </c>
      <c r="BQ33" s="100">
        <v>11178.141197161614</v>
      </c>
      <c r="BR33" s="100">
        <v>22.696574853662526</v>
      </c>
      <c r="BS33" s="100">
        <v>10758.176480636037</v>
      </c>
      <c r="BT33" s="100">
        <v>18.432242985400588</v>
      </c>
      <c r="BU33" s="100">
        <v>8736.8831750798781</v>
      </c>
      <c r="BV33" s="100">
        <v>31</v>
      </c>
      <c r="BW33" s="100">
        <v>14694</v>
      </c>
      <c r="BX33" s="100">
        <v>22.092798679260131</v>
      </c>
      <c r="BY33" s="100">
        <v>10471.986573969301</v>
      </c>
      <c r="BZ33" s="100">
        <v>24.566576499480483</v>
      </c>
      <c r="CA33" s="100">
        <v>11644.557260753749</v>
      </c>
      <c r="CB33" s="100">
        <v>24.622240947742146</v>
      </c>
      <c r="CC33" s="100">
        <v>11670.942209229777</v>
      </c>
      <c r="CD33" s="100">
        <v>19</v>
      </c>
      <c r="CE33" s="100">
        <v>9006</v>
      </c>
      <c r="CF33" s="100">
        <v>18.454957766711594</v>
      </c>
      <c r="CG33" s="100">
        <v>8747.6499814212948</v>
      </c>
      <c r="CH33" s="100">
        <v>24.890129425318268</v>
      </c>
      <c r="CI33" s="100">
        <v>11797.921347600859</v>
      </c>
      <c r="CJ33" s="100">
        <v>22.940837003047488</v>
      </c>
      <c r="CK33" s="100">
        <v>10873.956739444509</v>
      </c>
      <c r="CL33" s="100">
        <v>18.259964720468297</v>
      </c>
      <c r="CM33" s="100">
        <v>8655.2232775019729</v>
      </c>
      <c r="CN33" s="100">
        <v>19</v>
      </c>
      <c r="CO33" s="100">
        <v>9006</v>
      </c>
      <c r="CP33" s="100">
        <v>25</v>
      </c>
      <c r="CQ33" s="100">
        <v>11850</v>
      </c>
      <c r="CR33" s="100">
        <v>24.985140761738258</v>
      </c>
      <c r="CS33" s="100">
        <v>11842.956721063934</v>
      </c>
      <c r="CT33" s="100">
        <v>19</v>
      </c>
      <c r="CU33" s="100">
        <v>9006</v>
      </c>
    </row>
    <row r="34" spans="2:99">
      <c r="C34" s="99" t="s">
        <v>200</v>
      </c>
      <c r="D34" s="100">
        <v>29</v>
      </c>
      <c r="E34" s="100">
        <v>15903.599999999999</v>
      </c>
      <c r="F34" s="100">
        <v>19</v>
      </c>
      <c r="G34" s="100">
        <v>10419.6</v>
      </c>
      <c r="H34" s="100">
        <v>23.936227307095173</v>
      </c>
      <c r="I34" s="100">
        <v>13126.627055210993</v>
      </c>
      <c r="J34" s="100">
        <v>24</v>
      </c>
      <c r="K34" s="100">
        <v>13161.599999999999</v>
      </c>
      <c r="L34" s="100">
        <v>18</v>
      </c>
      <c r="M34" s="100">
        <v>9871.1999999999989</v>
      </c>
      <c r="N34" s="100">
        <v>25.908449849187484</v>
      </c>
      <c r="O34" s="100">
        <v>14208.193897294415</v>
      </c>
      <c r="P34" s="100">
        <v>23.133447513540535</v>
      </c>
      <c r="Q34" s="100">
        <v>12686.382616425628</v>
      </c>
      <c r="R34" s="100">
        <v>18</v>
      </c>
      <c r="S34" s="100">
        <v>9871.1999999999989</v>
      </c>
      <c r="T34" s="100">
        <v>22</v>
      </c>
      <c r="U34" s="100">
        <v>12064.8</v>
      </c>
      <c r="V34" s="100">
        <v>29</v>
      </c>
      <c r="W34" s="100">
        <v>15903.599999999999</v>
      </c>
      <c r="X34" s="100">
        <v>19.788129539904535</v>
      </c>
      <c r="Y34" s="100">
        <v>10851.810239683646</v>
      </c>
      <c r="Z34" s="100">
        <v>24.534699178094296</v>
      </c>
      <c r="AA34" s="100">
        <v>13454.829029266912</v>
      </c>
      <c r="AB34" s="100">
        <v>18.468944449702484</v>
      </c>
      <c r="AC34" s="100">
        <v>10128.369136216841</v>
      </c>
      <c r="AD34" s="100">
        <v>20.253332249983444</v>
      </c>
      <c r="AE34" s="100">
        <v>11106.92740589092</v>
      </c>
      <c r="AF34" s="100">
        <v>18.812438790063059</v>
      </c>
      <c r="AG34" s="100">
        <v>10316.741432470581</v>
      </c>
      <c r="AH34" s="100">
        <v>13.805821746734276</v>
      </c>
      <c r="AI34" s="100">
        <v>7571.1126459090765</v>
      </c>
      <c r="AJ34" s="100">
        <v>19</v>
      </c>
      <c r="AK34" s="100">
        <v>10419.6</v>
      </c>
      <c r="AL34" s="100">
        <v>18</v>
      </c>
      <c r="AM34" s="100">
        <v>9871.1999999999989</v>
      </c>
      <c r="AN34" s="100">
        <v>23</v>
      </c>
      <c r="AO34" s="100">
        <v>12613.199999999999</v>
      </c>
      <c r="AP34" s="100">
        <v>23</v>
      </c>
      <c r="AQ34" s="100">
        <v>12613.199999999999</v>
      </c>
      <c r="AR34" s="100">
        <v>19.876483426769909</v>
      </c>
      <c r="AS34" s="100">
        <v>10900.263511240617</v>
      </c>
      <c r="AT34" s="100">
        <v>19</v>
      </c>
      <c r="AU34" s="100">
        <v>10419.6</v>
      </c>
      <c r="AV34" s="100">
        <v>20</v>
      </c>
      <c r="AW34" s="100">
        <v>10968</v>
      </c>
      <c r="AX34" s="100">
        <v>23</v>
      </c>
      <c r="AY34" s="100">
        <v>12613.199999999999</v>
      </c>
      <c r="AZ34" s="100">
        <v>24.461639542820581</v>
      </c>
      <c r="BA34" s="100">
        <v>13414.763125282807</v>
      </c>
      <c r="BB34" s="100">
        <v>25.299309580265362</v>
      </c>
      <c r="BC34" s="100">
        <v>13874.141373817523</v>
      </c>
      <c r="BD34" s="100">
        <v>24</v>
      </c>
      <c r="BE34" s="100">
        <v>13161.599999999999</v>
      </c>
      <c r="BF34" s="100">
        <v>19.86583111164499</v>
      </c>
      <c r="BG34" s="100">
        <v>10894.421781626112</v>
      </c>
      <c r="BH34" s="100">
        <v>24</v>
      </c>
      <c r="BI34" s="100">
        <v>13161.599999999999</v>
      </c>
      <c r="BJ34" s="100">
        <v>20.758574339233157</v>
      </c>
      <c r="BK34" s="100">
        <v>11384.002167635463</v>
      </c>
      <c r="BL34" s="100">
        <v>17.314169320774905</v>
      </c>
      <c r="BM34" s="100">
        <v>9495.0904555129582</v>
      </c>
      <c r="BN34" s="100">
        <v>23</v>
      </c>
      <c r="BO34" s="100">
        <v>12613.199999999999</v>
      </c>
      <c r="BP34" s="100">
        <v>20.861509861629109</v>
      </c>
      <c r="BQ34" s="100">
        <v>11440.452008117403</v>
      </c>
      <c r="BR34" s="100">
        <v>22.696574853662526</v>
      </c>
      <c r="BS34" s="100">
        <v>12446.801649748528</v>
      </c>
      <c r="BT34" s="100">
        <v>18.432242985400588</v>
      </c>
      <c r="BU34" s="100">
        <v>10108.242053193682</v>
      </c>
      <c r="BV34" s="100">
        <v>28</v>
      </c>
      <c r="BW34" s="100">
        <v>15355.199999999999</v>
      </c>
      <c r="BX34" s="100">
        <v>23.013331957562634</v>
      </c>
      <c r="BY34" s="100">
        <v>12620.511245527348</v>
      </c>
      <c r="BZ34" s="100">
        <v>25.359046709141147</v>
      </c>
      <c r="CA34" s="100">
        <v>13906.901215293004</v>
      </c>
      <c r="CB34" s="100">
        <v>24.622240947742146</v>
      </c>
      <c r="CC34" s="100">
        <v>13502.836935741792</v>
      </c>
      <c r="CD34" s="100">
        <v>19</v>
      </c>
      <c r="CE34" s="100">
        <v>10419.6</v>
      </c>
      <c r="CF34" s="100">
        <v>16.609461990040433</v>
      </c>
      <c r="CG34" s="100">
        <v>9108.6289553381739</v>
      </c>
      <c r="CH34" s="100">
        <v>22.55667979169468</v>
      </c>
      <c r="CI34" s="100">
        <v>12370.083197765362</v>
      </c>
      <c r="CJ34" s="100">
        <v>22.023203522925591</v>
      </c>
      <c r="CK34" s="100">
        <v>12077.524811972395</v>
      </c>
      <c r="CL34" s="100">
        <v>19.919961513238142</v>
      </c>
      <c r="CM34" s="100">
        <v>10924.106893859796</v>
      </c>
      <c r="CN34" s="100">
        <v>20</v>
      </c>
      <c r="CO34" s="100">
        <v>10968</v>
      </c>
      <c r="CP34" s="100">
        <v>27</v>
      </c>
      <c r="CQ34" s="100">
        <v>14806.8</v>
      </c>
      <c r="CR34" s="100">
        <v>22.102239904614613</v>
      </c>
      <c r="CS34" s="100">
        <v>12120.868363690653</v>
      </c>
      <c r="CT34" s="100">
        <v>18</v>
      </c>
      <c r="CU34" s="100">
        <v>9871.1999999999989</v>
      </c>
    </row>
    <row r="35" spans="2:99">
      <c r="C35" s="99" t="s">
        <v>201</v>
      </c>
      <c r="D35" s="100">
        <v>29</v>
      </c>
      <c r="E35" s="100">
        <v>14581.199999999997</v>
      </c>
      <c r="F35" s="100">
        <v>17</v>
      </c>
      <c r="G35" s="100">
        <v>8547.5999999999985</v>
      </c>
      <c r="H35" s="100">
        <v>23.936227307095173</v>
      </c>
      <c r="I35" s="100">
        <v>12035.13509000745</v>
      </c>
      <c r="J35" s="100">
        <v>22</v>
      </c>
      <c r="K35" s="100">
        <v>11061.599999999999</v>
      </c>
      <c r="L35" s="100">
        <v>20</v>
      </c>
      <c r="M35" s="100">
        <v>10055.999999999998</v>
      </c>
      <c r="N35" s="100">
        <v>26.904928689540849</v>
      </c>
      <c r="O35" s="100">
        <v>13527.798145101136</v>
      </c>
      <c r="P35" s="100">
        <v>24.097341159938058</v>
      </c>
      <c r="Q35" s="100">
        <v>12116.143135216853</v>
      </c>
      <c r="R35" s="100">
        <v>17</v>
      </c>
      <c r="S35" s="100">
        <v>8547.5999999999985</v>
      </c>
      <c r="T35" s="100">
        <v>22</v>
      </c>
      <c r="U35" s="100">
        <v>11061.599999999999</v>
      </c>
      <c r="V35" s="100">
        <v>27</v>
      </c>
      <c r="W35" s="100">
        <v>13575.599999999997</v>
      </c>
      <c r="X35" s="100">
        <v>22.756348970890215</v>
      </c>
      <c r="Y35" s="100">
        <v>11441.892262563599</v>
      </c>
      <c r="Z35" s="100">
        <v>25.380723287683754</v>
      </c>
      <c r="AA35" s="100">
        <v>12761.427669047389</v>
      </c>
      <c r="AB35" s="100">
        <v>18.468944449702484</v>
      </c>
      <c r="AC35" s="100">
        <v>9286.1852693104065</v>
      </c>
      <c r="AD35" s="100">
        <v>20.253332249983444</v>
      </c>
      <c r="AE35" s="100">
        <v>10183.375455291674</v>
      </c>
      <c r="AF35" s="100">
        <v>18.059941238460535</v>
      </c>
      <c r="AG35" s="100">
        <v>9080.5384546979549</v>
      </c>
      <c r="AH35" s="100">
        <v>13.805821746734276</v>
      </c>
      <c r="AI35" s="100">
        <v>6941.5671742579925</v>
      </c>
      <c r="AJ35" s="100">
        <v>21</v>
      </c>
      <c r="AK35" s="100">
        <v>10558.799999999997</v>
      </c>
      <c r="AL35" s="100">
        <v>17</v>
      </c>
      <c r="AM35" s="100">
        <v>8547.5999999999985</v>
      </c>
      <c r="AN35" s="100">
        <v>24</v>
      </c>
      <c r="AO35" s="100">
        <v>12067.199999999997</v>
      </c>
      <c r="AP35" s="100">
        <v>23</v>
      </c>
      <c r="AQ35" s="100">
        <v>11564.399999999998</v>
      </c>
      <c r="AR35" s="100">
        <v>21.864131769446903</v>
      </c>
      <c r="AS35" s="100">
        <v>10993.285453677901</v>
      </c>
      <c r="AT35" s="100">
        <v>16</v>
      </c>
      <c r="AU35" s="100">
        <v>8044.7999999999984</v>
      </c>
      <c r="AV35" s="100">
        <v>18</v>
      </c>
      <c r="AW35" s="100">
        <v>9050.3999999999978</v>
      </c>
      <c r="AX35" s="100">
        <v>20</v>
      </c>
      <c r="AY35" s="100">
        <v>10055.999999999998</v>
      </c>
      <c r="AZ35" s="100">
        <v>27.179599492022867</v>
      </c>
      <c r="BA35" s="100">
        <v>13665.902624589095</v>
      </c>
      <c r="BB35" s="100">
        <v>24.455999260923182</v>
      </c>
      <c r="BC35" s="100">
        <v>12296.476428392174</v>
      </c>
      <c r="BD35" s="100">
        <v>20</v>
      </c>
      <c r="BE35" s="100">
        <v>10055.999999999998</v>
      </c>
      <c r="BF35" s="100">
        <v>20.62990153901595</v>
      </c>
      <c r="BG35" s="100">
        <v>10372.714493817217</v>
      </c>
      <c r="BH35" s="100">
        <v>24</v>
      </c>
      <c r="BI35" s="100">
        <v>12067.199999999997</v>
      </c>
      <c r="BJ35" s="100">
        <v>20.758574339233157</v>
      </c>
      <c r="BK35" s="100">
        <v>10437.411177766429</v>
      </c>
      <c r="BL35" s="100">
        <v>18.225441390289372</v>
      </c>
      <c r="BM35" s="100">
        <v>9163.7519310374937</v>
      </c>
      <c r="BN35" s="100">
        <v>21</v>
      </c>
      <c r="BO35" s="100">
        <v>10558.799999999997</v>
      </c>
      <c r="BP35" s="100">
        <v>21.768532029526025</v>
      </c>
      <c r="BQ35" s="100">
        <v>10945.217904445683</v>
      </c>
      <c r="BR35" s="100">
        <v>20.174733203255574</v>
      </c>
      <c r="BS35" s="100">
        <v>10143.855854596901</v>
      </c>
      <c r="BT35" s="100">
        <v>16.492006881674211</v>
      </c>
      <c r="BU35" s="100">
        <v>8292.1810601057914</v>
      </c>
      <c r="BV35" s="100">
        <v>32</v>
      </c>
      <c r="BW35" s="100">
        <v>16089.599999999997</v>
      </c>
      <c r="BX35" s="100">
        <v>21.172265400957627</v>
      </c>
      <c r="BY35" s="100">
        <v>10645.415043601493</v>
      </c>
      <c r="BZ35" s="100">
        <v>22.189165870498503</v>
      </c>
      <c r="CA35" s="100">
        <v>11156.712599686645</v>
      </c>
      <c r="CB35" s="100">
        <v>23.827975110718207</v>
      </c>
      <c r="CC35" s="100">
        <v>11980.705885669111</v>
      </c>
      <c r="CD35" s="100">
        <v>17</v>
      </c>
      <c r="CE35" s="100">
        <v>8547.5999999999985</v>
      </c>
      <c r="CF35" s="100">
        <v>17.532209878376015</v>
      </c>
      <c r="CG35" s="100">
        <v>8815.1951268474586</v>
      </c>
      <c r="CH35" s="100">
        <v>26.445762514400663</v>
      </c>
      <c r="CI35" s="100">
        <v>13296.92939224065</v>
      </c>
      <c r="CJ35" s="100">
        <v>22.023203522925591</v>
      </c>
      <c r="CK35" s="100">
        <v>11073.266731326985</v>
      </c>
      <c r="CL35" s="100">
        <v>18.259964720468297</v>
      </c>
      <c r="CM35" s="100">
        <v>9181.1102614514584</v>
      </c>
      <c r="CN35" s="100">
        <v>21</v>
      </c>
      <c r="CO35" s="100">
        <v>10558.799999999997</v>
      </c>
      <c r="CP35" s="100">
        <v>26</v>
      </c>
      <c r="CQ35" s="100">
        <v>13072.799999999997</v>
      </c>
      <c r="CR35" s="100">
        <v>21.141272952240062</v>
      </c>
      <c r="CS35" s="100">
        <v>10629.832040386302</v>
      </c>
      <c r="CT35" s="100">
        <v>19</v>
      </c>
      <c r="CU35" s="100">
        <v>9553.1999999999989</v>
      </c>
    </row>
    <row r="36" spans="2:99">
      <c r="C36" s="99" t="s">
        <v>202</v>
      </c>
      <c r="D36" s="100">
        <v>27</v>
      </c>
      <c r="E36" s="100">
        <v>20541.599999999999</v>
      </c>
      <c r="F36" s="100">
        <v>19</v>
      </c>
      <c r="G36" s="100">
        <v>14455.199999999999</v>
      </c>
      <c r="H36" s="100">
        <v>22.021329122527561</v>
      </c>
      <c r="I36" s="100">
        <v>16753.827196418966</v>
      </c>
      <c r="J36" s="100">
        <v>23</v>
      </c>
      <c r="K36" s="100">
        <v>17498.399999999998</v>
      </c>
      <c r="L36" s="100">
        <v>17</v>
      </c>
      <c r="M36" s="100">
        <v>12933.599999999999</v>
      </c>
      <c r="N36" s="100">
        <v>25.908449849187484</v>
      </c>
      <c r="O36" s="100">
        <v>19711.148645261837</v>
      </c>
      <c r="P36" s="100">
        <v>23.133447513540535</v>
      </c>
      <c r="Q36" s="100">
        <v>17599.926868301638</v>
      </c>
      <c r="R36" s="100">
        <v>18</v>
      </c>
      <c r="S36" s="100">
        <v>13694.4</v>
      </c>
      <c r="T36" s="100">
        <v>22</v>
      </c>
      <c r="U36" s="100">
        <v>16737.599999999999</v>
      </c>
      <c r="V36" s="100">
        <v>28</v>
      </c>
      <c r="W36" s="100">
        <v>21302.399999999998</v>
      </c>
      <c r="X36" s="100">
        <v>21.766942493894987</v>
      </c>
      <c r="Y36" s="100">
        <v>16560.289849355304</v>
      </c>
      <c r="Z36" s="100">
        <v>20.304578630147002</v>
      </c>
      <c r="AA36" s="100">
        <v>15447.723421815839</v>
      </c>
      <c r="AB36" s="100">
        <v>19.105804603140498</v>
      </c>
      <c r="AC36" s="100">
        <v>14535.69614206929</v>
      </c>
      <c r="AD36" s="100">
        <v>21.032306567290501</v>
      </c>
      <c r="AE36" s="100">
        <v>16001.378836394611</v>
      </c>
      <c r="AF36" s="100">
        <v>18.059941238460535</v>
      </c>
      <c r="AG36" s="100">
        <v>13740.003294220774</v>
      </c>
      <c r="AH36" s="100">
        <v>15.531549465076061</v>
      </c>
      <c r="AI36" s="100">
        <v>11816.402833029866</v>
      </c>
      <c r="AJ36" s="100">
        <v>20</v>
      </c>
      <c r="AK36" s="100">
        <v>15216</v>
      </c>
      <c r="AL36" s="100">
        <v>19</v>
      </c>
      <c r="AM36" s="100">
        <v>14455.199999999999</v>
      </c>
      <c r="AN36" s="100">
        <v>25</v>
      </c>
      <c r="AO36" s="100">
        <v>19020</v>
      </c>
      <c r="AP36" s="100">
        <v>25</v>
      </c>
      <c r="AQ36" s="100">
        <v>19020</v>
      </c>
      <c r="AR36" s="100">
        <v>20.870307598108408</v>
      </c>
      <c r="AS36" s="100">
        <v>15878.130020640876</v>
      </c>
      <c r="AT36" s="100">
        <v>18</v>
      </c>
      <c r="AU36" s="100">
        <v>13694.4</v>
      </c>
      <c r="AV36" s="100">
        <v>18</v>
      </c>
      <c r="AW36" s="100">
        <v>13694.4</v>
      </c>
      <c r="AX36" s="100">
        <v>21</v>
      </c>
      <c r="AY36" s="100">
        <v>15976.8</v>
      </c>
      <c r="AZ36" s="100">
        <v>25.367626192554678</v>
      </c>
      <c r="BA36" s="100">
        <v>19299.690007295598</v>
      </c>
      <c r="BB36" s="100">
        <v>22.769378622238825</v>
      </c>
      <c r="BC36" s="100">
        <v>17322.943255799299</v>
      </c>
      <c r="BD36" s="100">
        <v>19</v>
      </c>
      <c r="BE36" s="100">
        <v>14455.199999999999</v>
      </c>
      <c r="BF36" s="100">
        <v>19.86583111164499</v>
      </c>
      <c r="BG36" s="100">
        <v>15113.924309739508</v>
      </c>
      <c r="BH36" s="100">
        <v>25</v>
      </c>
      <c r="BI36" s="100">
        <v>19020</v>
      </c>
      <c r="BJ36" s="100">
        <v>20.758574339233157</v>
      </c>
      <c r="BK36" s="100">
        <v>15793.123357288585</v>
      </c>
      <c r="BL36" s="100">
        <v>17.314169320774905</v>
      </c>
      <c r="BM36" s="100">
        <v>13172.620019245547</v>
      </c>
      <c r="BN36" s="100">
        <v>20</v>
      </c>
      <c r="BO36" s="100">
        <v>15216</v>
      </c>
      <c r="BP36" s="100">
        <v>20.861509861629109</v>
      </c>
      <c r="BQ36" s="100">
        <v>15871.436702727426</v>
      </c>
      <c r="BR36" s="100">
        <v>21.015347086724557</v>
      </c>
      <c r="BS36" s="100">
        <v>15988.476063580041</v>
      </c>
      <c r="BT36" s="100">
        <v>17.462124933537403</v>
      </c>
      <c r="BU36" s="100">
        <v>13285.184649435256</v>
      </c>
      <c r="BV36" s="100">
        <v>26</v>
      </c>
      <c r="BW36" s="100">
        <v>19780.8</v>
      </c>
      <c r="BX36" s="100">
        <v>22.092798679260131</v>
      </c>
      <c r="BY36" s="100">
        <v>16808.201235181106</v>
      </c>
      <c r="BZ36" s="100">
        <v>25.359046709141147</v>
      </c>
      <c r="CA36" s="100">
        <v>19293.162736314582</v>
      </c>
      <c r="CB36" s="100">
        <v>24.622240947742146</v>
      </c>
      <c r="CC36" s="100">
        <v>18732.600913042224</v>
      </c>
      <c r="CD36" s="100">
        <v>16</v>
      </c>
      <c r="CE36" s="100">
        <v>12172.8</v>
      </c>
      <c r="CF36" s="100">
        <v>15.686714101704855</v>
      </c>
      <c r="CG36" s="100">
        <v>11934.452088577053</v>
      </c>
      <c r="CH36" s="100">
        <v>25.667945969859463</v>
      </c>
      <c r="CI36" s="100">
        <v>19528.17329386908</v>
      </c>
      <c r="CJ36" s="100">
        <v>22.023203522925591</v>
      </c>
      <c r="CK36" s="100">
        <v>16755.253240241789</v>
      </c>
      <c r="CL36" s="100">
        <v>19.08996311685322</v>
      </c>
      <c r="CM36" s="100">
        <v>14523.643939301928</v>
      </c>
      <c r="CN36" s="100">
        <v>19</v>
      </c>
      <c r="CO36" s="100">
        <v>14455.199999999999</v>
      </c>
      <c r="CP36" s="100">
        <v>24</v>
      </c>
      <c r="CQ36" s="100">
        <v>18259.199999999997</v>
      </c>
      <c r="CR36" s="100">
        <v>24.985140761738258</v>
      </c>
      <c r="CS36" s="100">
        <v>19008.695091530466</v>
      </c>
      <c r="CT36" s="100">
        <v>17</v>
      </c>
      <c r="CU36" s="100">
        <v>12933.599999999999</v>
      </c>
    </row>
    <row r="37" spans="2:99">
      <c r="B37" s="99" t="s">
        <v>128</v>
      </c>
      <c r="C37" s="99" t="s">
        <v>203</v>
      </c>
      <c r="D37" s="100">
        <v>20</v>
      </c>
      <c r="E37" s="100">
        <v>17208</v>
      </c>
      <c r="F37" s="100">
        <v>13</v>
      </c>
      <c r="G37" s="100">
        <v>11185.199999999999</v>
      </c>
      <c r="H37" s="100">
        <v>13.404287291973297</v>
      </c>
      <c r="I37" s="100">
        <v>11533.048786013824</v>
      </c>
      <c r="J37" s="100">
        <v>14</v>
      </c>
      <c r="K37" s="100">
        <v>12045.6</v>
      </c>
      <c r="L37" s="100">
        <v>13</v>
      </c>
      <c r="M37" s="100">
        <v>11185.199999999999</v>
      </c>
      <c r="N37" s="100">
        <v>15.943661445653836</v>
      </c>
      <c r="O37" s="100">
        <v>13717.92630784056</v>
      </c>
      <c r="P37" s="100">
        <v>13.494511049565315</v>
      </c>
      <c r="Q37" s="100">
        <v>11610.677307045997</v>
      </c>
      <c r="R37" s="100">
        <v>16</v>
      </c>
      <c r="S37" s="100">
        <v>13766.4</v>
      </c>
      <c r="T37" s="100">
        <v>10</v>
      </c>
      <c r="U37" s="100">
        <v>8604</v>
      </c>
      <c r="V37" s="100">
        <v>14</v>
      </c>
      <c r="W37" s="100">
        <v>12045.6</v>
      </c>
      <c r="X37" s="100">
        <v>15.830503631923627</v>
      </c>
      <c r="Y37" s="100">
        <v>13620.565324907087</v>
      </c>
      <c r="Z37" s="100">
        <v>14.382409863020795</v>
      </c>
      <c r="AA37" s="100">
        <v>12374.625446143093</v>
      </c>
      <c r="AB37" s="100">
        <v>10.826622608446284</v>
      </c>
      <c r="AC37" s="100">
        <v>9315.2260923071826</v>
      </c>
      <c r="AD37" s="100">
        <v>9.3476918076846669</v>
      </c>
      <c r="AE37" s="100">
        <v>8042.7540313318868</v>
      </c>
      <c r="AF37" s="100">
        <v>8.2774730676277457</v>
      </c>
      <c r="AG37" s="100">
        <v>7121.9378273869124</v>
      </c>
      <c r="AH37" s="100">
        <v>10.354366310050708</v>
      </c>
      <c r="AI37" s="100">
        <v>8908.8967731676294</v>
      </c>
      <c r="AJ37" s="100">
        <v>11</v>
      </c>
      <c r="AK37" s="100">
        <v>9464.4</v>
      </c>
      <c r="AL37" s="100">
        <v>17</v>
      </c>
      <c r="AM37" s="100">
        <v>14626.8</v>
      </c>
      <c r="AN37" s="100">
        <v>11</v>
      </c>
      <c r="AO37" s="100">
        <v>9464.4</v>
      </c>
      <c r="AP37" s="100">
        <v>17</v>
      </c>
      <c r="AQ37" s="100">
        <v>14626.8</v>
      </c>
      <c r="AR37" s="100">
        <v>18.882659255431413</v>
      </c>
      <c r="AS37" s="100">
        <v>16246.640023373187</v>
      </c>
      <c r="AT37" s="100">
        <v>12</v>
      </c>
      <c r="AU37" s="100">
        <v>10324.799999999999</v>
      </c>
      <c r="AV37" s="100">
        <v>19</v>
      </c>
      <c r="AW37" s="100">
        <v>16347.6</v>
      </c>
      <c r="AX37" s="100">
        <v>19</v>
      </c>
      <c r="AY37" s="100">
        <v>16347.6</v>
      </c>
      <c r="AZ37" s="100">
        <v>9.9658531470750518</v>
      </c>
      <c r="BA37" s="100">
        <v>8574.620047743374</v>
      </c>
      <c r="BB37" s="100">
        <v>8.4331031934217879</v>
      </c>
      <c r="BC37" s="100">
        <v>7255.841987620106</v>
      </c>
      <c r="BD37" s="100">
        <v>15</v>
      </c>
      <c r="BE37" s="100">
        <v>12906</v>
      </c>
      <c r="BF37" s="100">
        <v>13.7532676926773</v>
      </c>
      <c r="BG37" s="100">
        <v>11833.311522779548</v>
      </c>
      <c r="BH37" s="100">
        <v>13</v>
      </c>
      <c r="BI37" s="100">
        <v>11185.199999999999</v>
      </c>
      <c r="BJ37" s="100">
        <v>17.793063719342705</v>
      </c>
      <c r="BK37" s="100">
        <v>15309.152024122463</v>
      </c>
      <c r="BL37" s="100">
        <v>10.023992764659155</v>
      </c>
      <c r="BM37" s="100">
        <v>8624.6433747127376</v>
      </c>
      <c r="BN37" s="100">
        <v>18</v>
      </c>
      <c r="BO37" s="100">
        <v>15487.199999999999</v>
      </c>
      <c r="BP37" s="100">
        <v>13.605332518453766</v>
      </c>
      <c r="BQ37" s="100">
        <v>11706.028098877619</v>
      </c>
      <c r="BR37" s="100">
        <v>15.971663785910664</v>
      </c>
      <c r="BS37" s="100">
        <v>13742.019521397535</v>
      </c>
      <c r="BT37" s="100">
        <v>9.7011805186318902</v>
      </c>
      <c r="BU37" s="100">
        <v>8346.8957182308786</v>
      </c>
      <c r="BV37" s="100">
        <v>10</v>
      </c>
      <c r="BW37" s="100">
        <v>8604</v>
      </c>
      <c r="BX37" s="100">
        <v>11.966932617932571</v>
      </c>
      <c r="BY37" s="100">
        <v>10296.348824469183</v>
      </c>
      <c r="BZ37" s="100">
        <v>12.679523354570573</v>
      </c>
      <c r="CA37" s="100">
        <v>10909.461894272521</v>
      </c>
      <c r="CB37" s="100">
        <v>10.325455881311223</v>
      </c>
      <c r="CC37" s="100">
        <v>8884.0222402801755</v>
      </c>
      <c r="CD37" s="100">
        <v>15</v>
      </c>
      <c r="CE37" s="100">
        <v>12906</v>
      </c>
      <c r="CF37" s="100">
        <v>11.995722548362536</v>
      </c>
      <c r="CG37" s="100">
        <v>10321.119680611126</v>
      </c>
      <c r="CH37" s="100">
        <v>14.000697801741527</v>
      </c>
      <c r="CI37" s="100">
        <v>12046.20038861841</v>
      </c>
      <c r="CJ37" s="100">
        <v>11.929235241584694</v>
      </c>
      <c r="CK37" s="100">
        <v>10263.91400185947</v>
      </c>
      <c r="CL37" s="100">
        <v>14.109972738543684</v>
      </c>
      <c r="CM37" s="100">
        <v>12140.220544242986</v>
      </c>
      <c r="CN37" s="100">
        <v>12</v>
      </c>
      <c r="CO37" s="100">
        <v>10324.799999999999</v>
      </c>
      <c r="CP37" s="100">
        <v>10</v>
      </c>
      <c r="CQ37" s="100">
        <v>8604</v>
      </c>
      <c r="CR37" s="100">
        <v>12.492570380869129</v>
      </c>
      <c r="CS37" s="100">
        <v>10748.607555699798</v>
      </c>
      <c r="CT37" s="100">
        <v>14</v>
      </c>
      <c r="CU37" s="100">
        <v>12045.6</v>
      </c>
    </row>
    <row r="38" spans="2:99">
      <c r="C38" s="99" t="s">
        <v>204</v>
      </c>
      <c r="D38" s="100">
        <v>17</v>
      </c>
      <c r="E38" s="100">
        <v>21114</v>
      </c>
      <c r="F38" s="100">
        <v>13</v>
      </c>
      <c r="G38" s="100">
        <v>16146</v>
      </c>
      <c r="H38" s="100">
        <v>13.404287291973297</v>
      </c>
      <c r="I38" s="100">
        <v>16648.124816630836</v>
      </c>
      <c r="J38" s="100">
        <v>13</v>
      </c>
      <c r="K38" s="100">
        <v>16146</v>
      </c>
      <c r="L38" s="100">
        <v>11</v>
      </c>
      <c r="M38" s="100">
        <v>13662</v>
      </c>
      <c r="N38" s="100">
        <v>14.947182605300473</v>
      </c>
      <c r="O38" s="100">
        <v>18564.400795783185</v>
      </c>
      <c r="P38" s="100">
        <v>13.494511049565315</v>
      </c>
      <c r="Q38" s="100">
        <v>16760.182723560119</v>
      </c>
      <c r="R38" s="100">
        <v>14</v>
      </c>
      <c r="S38" s="100">
        <v>17388</v>
      </c>
      <c r="T38" s="100">
        <v>9</v>
      </c>
      <c r="U38" s="100">
        <v>11178</v>
      </c>
      <c r="V38" s="100">
        <v>14</v>
      </c>
      <c r="W38" s="100">
        <v>17388</v>
      </c>
      <c r="X38" s="100">
        <v>15.830503631923627</v>
      </c>
      <c r="Y38" s="100">
        <v>19661.485510849143</v>
      </c>
      <c r="Z38" s="100">
        <v>11.84433753425242</v>
      </c>
      <c r="AA38" s="100">
        <v>14710.667217541504</v>
      </c>
      <c r="AB38" s="100">
        <v>10.189762455008266</v>
      </c>
      <c r="AC38" s="100">
        <v>12655.684969120266</v>
      </c>
      <c r="AD38" s="100">
        <v>9.3476918076846669</v>
      </c>
      <c r="AE38" s="100">
        <v>11609.833225144357</v>
      </c>
      <c r="AF38" s="100">
        <v>7.524975516025223</v>
      </c>
      <c r="AG38" s="100">
        <v>9346.0195909033264</v>
      </c>
      <c r="AH38" s="100">
        <v>9.4915024508798158</v>
      </c>
      <c r="AI38" s="100">
        <v>11788.446043992732</v>
      </c>
      <c r="AJ38" s="100">
        <v>12</v>
      </c>
      <c r="AK38" s="100">
        <v>14904</v>
      </c>
      <c r="AL38" s="100">
        <v>17</v>
      </c>
      <c r="AM38" s="100">
        <v>21114</v>
      </c>
      <c r="AN38" s="100">
        <v>10</v>
      </c>
      <c r="AO38" s="100">
        <v>12420</v>
      </c>
      <c r="AP38" s="100">
        <v>17</v>
      </c>
      <c r="AQ38" s="100">
        <v>21114</v>
      </c>
      <c r="AR38" s="100">
        <v>17.888835084092918</v>
      </c>
      <c r="AS38" s="100">
        <v>22217.933174443402</v>
      </c>
      <c r="AT38" s="100">
        <v>13</v>
      </c>
      <c r="AU38" s="100">
        <v>16146</v>
      </c>
      <c r="AV38" s="100">
        <v>17</v>
      </c>
      <c r="AW38" s="100">
        <v>21114</v>
      </c>
      <c r="AX38" s="100">
        <v>16</v>
      </c>
      <c r="AY38" s="100">
        <v>19872</v>
      </c>
      <c r="AZ38" s="100">
        <v>10.871839796809148</v>
      </c>
      <c r="BA38" s="100">
        <v>13502.825027636962</v>
      </c>
      <c r="BB38" s="100">
        <v>9.2764135127639662</v>
      </c>
      <c r="BC38" s="100">
        <v>11521.305582852847</v>
      </c>
      <c r="BD38" s="100">
        <v>14</v>
      </c>
      <c r="BE38" s="100">
        <v>17388</v>
      </c>
      <c r="BF38" s="100">
        <v>12.989197265306338</v>
      </c>
      <c r="BG38" s="100">
        <v>16132.583003510472</v>
      </c>
      <c r="BH38" s="100">
        <v>14</v>
      </c>
      <c r="BI38" s="100">
        <v>17388</v>
      </c>
      <c r="BJ38" s="100">
        <v>13.839049559488771</v>
      </c>
      <c r="BK38" s="100">
        <v>17188.099552885054</v>
      </c>
      <c r="BL38" s="100">
        <v>9.1127206951446862</v>
      </c>
      <c r="BM38" s="100">
        <v>11317.999103369701</v>
      </c>
      <c r="BN38" s="100">
        <v>18</v>
      </c>
      <c r="BO38" s="100">
        <v>22356</v>
      </c>
      <c r="BP38" s="100">
        <v>11.791288182659931</v>
      </c>
      <c r="BQ38" s="100">
        <v>14644.779922863634</v>
      </c>
      <c r="BR38" s="100">
        <v>14.290436018972699</v>
      </c>
      <c r="BS38" s="100">
        <v>17748.721535564091</v>
      </c>
      <c r="BT38" s="100">
        <v>9.7011805186318902</v>
      </c>
      <c r="BU38" s="100">
        <v>12048.866204140808</v>
      </c>
      <c r="BV38" s="100">
        <v>9</v>
      </c>
      <c r="BW38" s="100">
        <v>11178</v>
      </c>
      <c r="BX38" s="100">
        <v>13.807999174537583</v>
      </c>
      <c r="BY38" s="100">
        <v>17149.534974775677</v>
      </c>
      <c r="BZ38" s="100">
        <v>13.471993564231234</v>
      </c>
      <c r="CA38" s="100">
        <v>16732.216006775194</v>
      </c>
      <c r="CB38" s="100">
        <v>11.119721718335164</v>
      </c>
      <c r="CC38" s="100">
        <v>13810.694374172273</v>
      </c>
      <c r="CD38" s="100">
        <v>14</v>
      </c>
      <c r="CE38" s="100">
        <v>17388</v>
      </c>
      <c r="CF38" s="100">
        <v>13.841218325033696</v>
      </c>
      <c r="CG38" s="100">
        <v>17190.79315969185</v>
      </c>
      <c r="CH38" s="100">
        <v>11.667248168117938</v>
      </c>
      <c r="CI38" s="100">
        <v>14490.722224802479</v>
      </c>
      <c r="CJ38" s="100">
        <v>11.929235241584694</v>
      </c>
      <c r="CK38" s="100">
        <v>14816.11017004819</v>
      </c>
      <c r="CL38" s="100">
        <v>15.76996953131353</v>
      </c>
      <c r="CM38" s="100">
        <v>19586.302157891405</v>
      </c>
      <c r="CN38" s="100">
        <v>11</v>
      </c>
      <c r="CO38" s="100">
        <v>13662</v>
      </c>
      <c r="CP38" s="100">
        <v>11</v>
      </c>
      <c r="CQ38" s="100">
        <v>13662</v>
      </c>
      <c r="CR38" s="100">
        <v>11.531603428494581</v>
      </c>
      <c r="CS38" s="100">
        <v>14322.251458190269</v>
      </c>
      <c r="CT38" s="100">
        <v>14</v>
      </c>
      <c r="CU38" s="100">
        <v>17388</v>
      </c>
    </row>
    <row r="39" spans="2:99">
      <c r="C39" s="99" t="s">
        <v>205</v>
      </c>
      <c r="D39" s="100">
        <v>18</v>
      </c>
      <c r="E39" s="100">
        <v>25617.600000000002</v>
      </c>
      <c r="F39" s="100">
        <v>12</v>
      </c>
      <c r="G39" s="100">
        <v>17078.400000000001</v>
      </c>
      <c r="H39" s="100">
        <v>12.446838199689489</v>
      </c>
      <c r="I39" s="100">
        <v>17714.34012579808</v>
      </c>
      <c r="J39" s="100">
        <v>12</v>
      </c>
      <c r="K39" s="100">
        <v>17078.400000000001</v>
      </c>
      <c r="L39" s="100">
        <v>11</v>
      </c>
      <c r="M39" s="100">
        <v>15655.2</v>
      </c>
      <c r="N39" s="100">
        <v>13.950703764947107</v>
      </c>
      <c r="O39" s="100">
        <v>19854.641598272723</v>
      </c>
      <c r="P39" s="100">
        <v>13.494511049565315</v>
      </c>
      <c r="Q39" s="100">
        <v>19205.388125741356</v>
      </c>
      <c r="R39" s="100">
        <v>13</v>
      </c>
      <c r="S39" s="100">
        <v>18501.600000000002</v>
      </c>
      <c r="T39" s="100">
        <v>11</v>
      </c>
      <c r="U39" s="100">
        <v>15655.2</v>
      </c>
      <c r="V39" s="100">
        <v>14</v>
      </c>
      <c r="W39" s="100">
        <v>19924.8</v>
      </c>
      <c r="X39" s="100">
        <v>13.851690677933172</v>
      </c>
      <c r="Y39" s="100">
        <v>19713.726172834493</v>
      </c>
      <c r="Z39" s="100">
        <v>12.690361643841877</v>
      </c>
      <c r="AA39" s="100">
        <v>18060.92269151576</v>
      </c>
      <c r="AB39" s="100">
        <v>11.463482761884299</v>
      </c>
      <c r="AC39" s="100">
        <v>16314.828666713734</v>
      </c>
      <c r="AD39" s="100">
        <v>9.3476918076846669</v>
      </c>
      <c r="AE39" s="100">
        <v>13303.634980696819</v>
      </c>
      <c r="AF39" s="100">
        <v>8.2774730676277457</v>
      </c>
      <c r="AG39" s="100">
        <v>11780.499669847808</v>
      </c>
      <c r="AH39" s="100">
        <v>10.354366310050708</v>
      </c>
      <c r="AI39" s="100">
        <v>14736.334132464168</v>
      </c>
      <c r="AJ39" s="100">
        <v>10</v>
      </c>
      <c r="AK39" s="100">
        <v>14232</v>
      </c>
      <c r="AL39" s="100">
        <v>15</v>
      </c>
      <c r="AM39" s="100">
        <v>21348</v>
      </c>
      <c r="AN39" s="100">
        <v>9</v>
      </c>
      <c r="AO39" s="100">
        <v>12808.800000000001</v>
      </c>
      <c r="AP39" s="100">
        <v>18</v>
      </c>
      <c r="AQ39" s="100">
        <v>25617.600000000002</v>
      </c>
      <c r="AR39" s="100">
        <v>18.882659255431413</v>
      </c>
      <c r="AS39" s="100">
        <v>26873.800652329988</v>
      </c>
      <c r="AT39" s="100">
        <v>13</v>
      </c>
      <c r="AU39" s="100">
        <v>18501.600000000002</v>
      </c>
      <c r="AV39" s="100">
        <v>17</v>
      </c>
      <c r="AW39" s="100">
        <v>24194.400000000001</v>
      </c>
      <c r="AX39" s="100">
        <v>18</v>
      </c>
      <c r="AY39" s="100">
        <v>25617.600000000002</v>
      </c>
      <c r="AZ39" s="100">
        <v>9.9658531470750518</v>
      </c>
      <c r="BA39" s="100">
        <v>14183.402198917214</v>
      </c>
      <c r="BB39" s="100">
        <v>9.2764135127639662</v>
      </c>
      <c r="BC39" s="100">
        <v>13202.191711365676</v>
      </c>
      <c r="BD39" s="100">
        <v>12</v>
      </c>
      <c r="BE39" s="100">
        <v>17078.400000000001</v>
      </c>
      <c r="BF39" s="100">
        <v>13.7532676926773</v>
      </c>
      <c r="BG39" s="100">
        <v>19573.650580218335</v>
      </c>
      <c r="BH39" s="100">
        <v>12</v>
      </c>
      <c r="BI39" s="100">
        <v>17078.400000000001</v>
      </c>
      <c r="BJ39" s="100">
        <v>15.816056639415738</v>
      </c>
      <c r="BK39" s="100">
        <v>22509.411809216479</v>
      </c>
      <c r="BL39" s="100">
        <v>9.1127206951446862</v>
      </c>
      <c r="BM39" s="100">
        <v>12969.224093329918</v>
      </c>
      <c r="BN39" s="100">
        <v>15</v>
      </c>
      <c r="BO39" s="100">
        <v>21348</v>
      </c>
      <c r="BP39" s="100">
        <v>11.791288182659931</v>
      </c>
      <c r="BQ39" s="100">
        <v>16781.361341561616</v>
      </c>
      <c r="BR39" s="100">
        <v>15.131049902441683</v>
      </c>
      <c r="BS39" s="100">
        <v>21534.510221155004</v>
      </c>
      <c r="BT39" s="100">
        <v>9.7011805186318902</v>
      </c>
      <c r="BU39" s="100">
        <v>13806.720114116906</v>
      </c>
      <c r="BV39" s="100">
        <v>10</v>
      </c>
      <c r="BW39" s="100">
        <v>14232</v>
      </c>
      <c r="BX39" s="100">
        <v>12.887465896235076</v>
      </c>
      <c r="BY39" s="100">
        <v>18341.441463521762</v>
      </c>
      <c r="BZ39" s="100">
        <v>11.887053144909913</v>
      </c>
      <c r="CA39" s="100">
        <v>16917.654035835789</v>
      </c>
      <c r="CB39" s="100">
        <v>11.119721718335164</v>
      </c>
      <c r="CC39" s="100">
        <v>15825.587949534605</v>
      </c>
      <c r="CD39" s="100">
        <v>15</v>
      </c>
      <c r="CE39" s="100">
        <v>21348</v>
      </c>
      <c r="CF39" s="100">
        <v>11.072974660026956</v>
      </c>
      <c r="CG39" s="100">
        <v>15759.057536150365</v>
      </c>
      <c r="CH39" s="100">
        <v>13.222881257200331</v>
      </c>
      <c r="CI39" s="100">
        <v>18818.804605247511</v>
      </c>
      <c r="CJ39" s="100">
        <v>11.929235241584694</v>
      </c>
      <c r="CK39" s="100">
        <v>16977.687595823336</v>
      </c>
      <c r="CL39" s="100">
        <v>14.109972738543684</v>
      </c>
      <c r="CM39" s="100">
        <v>20081.31320149537</v>
      </c>
      <c r="CN39" s="100">
        <v>12</v>
      </c>
      <c r="CO39" s="100">
        <v>17078.400000000001</v>
      </c>
      <c r="CP39" s="100">
        <v>11</v>
      </c>
      <c r="CQ39" s="100">
        <v>15655.2</v>
      </c>
      <c r="CR39" s="100">
        <v>10.570636476120031</v>
      </c>
      <c r="CS39" s="100">
        <v>15044.129832814029</v>
      </c>
      <c r="CT39" s="100">
        <v>14</v>
      </c>
      <c r="CU39" s="100">
        <v>19924.8</v>
      </c>
    </row>
    <row r="40" spans="2:99">
      <c r="C40" s="99" t="s">
        <v>206</v>
      </c>
      <c r="D40" s="100">
        <v>21</v>
      </c>
      <c r="E40" s="100">
        <v>15220.8</v>
      </c>
      <c r="F40" s="100">
        <v>13</v>
      </c>
      <c r="G40" s="100">
        <v>9422.4</v>
      </c>
      <c r="H40" s="100">
        <v>14.361736384257105</v>
      </c>
      <c r="I40" s="100">
        <v>10409.386531309548</v>
      </c>
      <c r="J40" s="100">
        <v>12</v>
      </c>
      <c r="K40" s="100">
        <v>8697.5999999999985</v>
      </c>
      <c r="L40" s="100">
        <v>12</v>
      </c>
      <c r="M40" s="100">
        <v>8697.5999999999985</v>
      </c>
      <c r="N40" s="100">
        <v>15.943661445653836</v>
      </c>
      <c r="O40" s="100">
        <v>11555.965815809899</v>
      </c>
      <c r="P40" s="100">
        <v>15.422298342360358</v>
      </c>
      <c r="Q40" s="100">
        <v>11178.081838542786</v>
      </c>
      <c r="R40" s="100">
        <v>15</v>
      </c>
      <c r="S40" s="100">
        <v>10872</v>
      </c>
      <c r="T40" s="100">
        <v>12</v>
      </c>
      <c r="U40" s="100">
        <v>8697.5999999999985</v>
      </c>
      <c r="V40" s="100">
        <v>16</v>
      </c>
      <c r="W40" s="100">
        <v>11596.8</v>
      </c>
      <c r="X40" s="100">
        <v>17.809316585914083</v>
      </c>
      <c r="Y40" s="100">
        <v>12908.192661470526</v>
      </c>
      <c r="Z40" s="100">
        <v>13.536385753431334</v>
      </c>
      <c r="AA40" s="100">
        <v>9811.1723940870306</v>
      </c>
      <c r="AB40" s="100">
        <v>12.737203068760332</v>
      </c>
      <c r="AC40" s="100">
        <v>9231.924784237488</v>
      </c>
      <c r="AD40" s="100">
        <v>10.126666124991722</v>
      </c>
      <c r="AE40" s="100">
        <v>7339.8076073940001</v>
      </c>
      <c r="AF40" s="100">
        <v>9.0299706192302676</v>
      </c>
      <c r="AG40" s="100">
        <v>6544.9227048180974</v>
      </c>
      <c r="AH40" s="100">
        <v>11.217230169221599</v>
      </c>
      <c r="AI40" s="100">
        <v>8130.248426651815</v>
      </c>
      <c r="AJ40" s="100">
        <v>11</v>
      </c>
      <c r="AK40" s="100">
        <v>7972.7999999999993</v>
      </c>
      <c r="AL40" s="100">
        <v>16</v>
      </c>
      <c r="AM40" s="100">
        <v>11596.8</v>
      </c>
      <c r="AN40" s="100">
        <v>10</v>
      </c>
      <c r="AO40" s="100">
        <v>7248</v>
      </c>
      <c r="AP40" s="100">
        <v>19</v>
      </c>
      <c r="AQ40" s="100">
        <v>13771.199999999999</v>
      </c>
      <c r="AR40" s="100">
        <v>19.876483426769909</v>
      </c>
      <c r="AS40" s="100">
        <v>14406.475187722828</v>
      </c>
      <c r="AT40" s="100">
        <v>15</v>
      </c>
      <c r="AU40" s="100">
        <v>10872</v>
      </c>
      <c r="AV40" s="100">
        <v>18</v>
      </c>
      <c r="AW40" s="100">
        <v>13046.4</v>
      </c>
      <c r="AX40" s="100">
        <v>20</v>
      </c>
      <c r="AY40" s="100">
        <v>14496</v>
      </c>
      <c r="AZ40" s="100">
        <v>10.871839796809148</v>
      </c>
      <c r="BA40" s="100">
        <v>7879.90948472727</v>
      </c>
      <c r="BB40" s="100">
        <v>9.2764135127639662</v>
      </c>
      <c r="BC40" s="100">
        <v>6723.544514051322</v>
      </c>
      <c r="BD40" s="100">
        <v>15</v>
      </c>
      <c r="BE40" s="100">
        <v>10872</v>
      </c>
      <c r="BF40" s="100">
        <v>13.7532676926773</v>
      </c>
      <c r="BG40" s="100">
        <v>9968.368423652506</v>
      </c>
      <c r="BH40" s="100">
        <v>13</v>
      </c>
      <c r="BI40" s="100">
        <v>9422.4</v>
      </c>
      <c r="BJ40" s="100">
        <v>17.793063719342705</v>
      </c>
      <c r="BK40" s="100">
        <v>12896.412583779591</v>
      </c>
      <c r="BL40" s="100">
        <v>9.1127206951446862</v>
      </c>
      <c r="BM40" s="100">
        <v>6604.8999598408682</v>
      </c>
      <c r="BN40" s="100">
        <v>16</v>
      </c>
      <c r="BO40" s="100">
        <v>11596.8</v>
      </c>
      <c r="BP40" s="100">
        <v>12.698310350556849</v>
      </c>
      <c r="BQ40" s="100">
        <v>9203.7353420836025</v>
      </c>
      <c r="BR40" s="100">
        <v>16.812277669379647</v>
      </c>
      <c r="BS40" s="100">
        <v>12185.538854766368</v>
      </c>
      <c r="BT40" s="100">
        <v>10.671298570495079</v>
      </c>
      <c r="BU40" s="100">
        <v>7734.557203894833</v>
      </c>
      <c r="BV40" s="100">
        <v>9</v>
      </c>
      <c r="BW40" s="100">
        <v>6523.2</v>
      </c>
      <c r="BX40" s="100">
        <v>12.887465896235076</v>
      </c>
      <c r="BY40" s="100">
        <v>9340.8352815911821</v>
      </c>
      <c r="BZ40" s="100">
        <v>12.679523354570573</v>
      </c>
      <c r="CA40" s="100">
        <v>9190.1185273927513</v>
      </c>
      <c r="CB40" s="100">
        <v>11.913987555359103</v>
      </c>
      <c r="CC40" s="100">
        <v>8635.2581801242777</v>
      </c>
      <c r="CD40" s="100">
        <v>17</v>
      </c>
      <c r="CE40" s="100">
        <v>12321.599999999999</v>
      </c>
      <c r="CF40" s="100">
        <v>11.995722548362536</v>
      </c>
      <c r="CG40" s="100">
        <v>8694.4997030531667</v>
      </c>
      <c r="CH40" s="100">
        <v>14.778514346282723</v>
      </c>
      <c r="CI40" s="100">
        <v>10711.467198185717</v>
      </c>
      <c r="CJ40" s="100">
        <v>12.846868721706594</v>
      </c>
      <c r="CK40" s="100">
        <v>9311.4104494929379</v>
      </c>
      <c r="CL40" s="100">
        <v>15.76996953131353</v>
      </c>
      <c r="CM40" s="100">
        <v>11430.073916296045</v>
      </c>
      <c r="CN40" s="100">
        <v>13</v>
      </c>
      <c r="CO40" s="100">
        <v>9422.4</v>
      </c>
      <c r="CP40" s="100">
        <v>11</v>
      </c>
      <c r="CQ40" s="100">
        <v>7972.7999999999993</v>
      </c>
      <c r="CR40" s="100">
        <v>12.492570380869129</v>
      </c>
      <c r="CS40" s="100">
        <v>9054.6150120539442</v>
      </c>
      <c r="CT40" s="100">
        <v>13</v>
      </c>
      <c r="CU40" s="100">
        <v>9422.4</v>
      </c>
    </row>
    <row r="41" spans="2:99">
      <c r="C41" s="99" t="s">
        <v>207</v>
      </c>
      <c r="D41" s="100">
        <v>18</v>
      </c>
      <c r="E41" s="100">
        <v>11880</v>
      </c>
      <c r="F41" s="100">
        <v>12</v>
      </c>
      <c r="G41" s="100">
        <v>7920</v>
      </c>
      <c r="H41" s="100">
        <v>14.361736384257105</v>
      </c>
      <c r="I41" s="100">
        <v>9478.7460136096888</v>
      </c>
      <c r="J41" s="100">
        <v>13</v>
      </c>
      <c r="K41" s="100">
        <v>8580</v>
      </c>
      <c r="L41" s="100">
        <v>13</v>
      </c>
      <c r="M41" s="100">
        <v>8580</v>
      </c>
      <c r="N41" s="100">
        <v>16.940140286007203</v>
      </c>
      <c r="O41" s="100">
        <v>11180.492588764753</v>
      </c>
      <c r="P41" s="100">
        <v>14.458404695962836</v>
      </c>
      <c r="Q41" s="100">
        <v>9542.547099335472</v>
      </c>
      <c r="R41" s="100">
        <v>14</v>
      </c>
      <c r="S41" s="100">
        <v>9240</v>
      </c>
      <c r="T41" s="100">
        <v>10</v>
      </c>
      <c r="U41" s="100">
        <v>6600</v>
      </c>
      <c r="V41" s="100">
        <v>16</v>
      </c>
      <c r="W41" s="100">
        <v>10560</v>
      </c>
      <c r="X41" s="100">
        <v>15.830503631923627</v>
      </c>
      <c r="Y41" s="100">
        <v>10448.132397069594</v>
      </c>
      <c r="Z41" s="100">
        <v>14.382409863020795</v>
      </c>
      <c r="AA41" s="100">
        <v>9492.3905095937243</v>
      </c>
      <c r="AB41" s="100">
        <v>11.463482761884299</v>
      </c>
      <c r="AC41" s="100">
        <v>7565.898622843637</v>
      </c>
      <c r="AD41" s="100">
        <v>10.126666124991722</v>
      </c>
      <c r="AE41" s="100">
        <v>6683.599642494537</v>
      </c>
      <c r="AF41" s="100">
        <v>8.2774730676277457</v>
      </c>
      <c r="AG41" s="100">
        <v>5463.1322246343125</v>
      </c>
      <c r="AH41" s="100">
        <v>12.080094028392491</v>
      </c>
      <c r="AI41" s="100">
        <v>7972.8620587390442</v>
      </c>
      <c r="AJ41" s="100">
        <v>11</v>
      </c>
      <c r="AK41" s="100">
        <v>7260</v>
      </c>
      <c r="AL41" s="100">
        <v>18</v>
      </c>
      <c r="AM41" s="100">
        <v>11880</v>
      </c>
      <c r="AN41" s="100">
        <v>11</v>
      </c>
      <c r="AO41" s="100">
        <v>7260</v>
      </c>
      <c r="AP41" s="100">
        <v>20</v>
      </c>
      <c r="AQ41" s="100">
        <v>13200</v>
      </c>
      <c r="AR41" s="100">
        <v>17.888835084092918</v>
      </c>
      <c r="AS41" s="100">
        <v>11806.631155501325</v>
      </c>
      <c r="AT41" s="100">
        <v>13</v>
      </c>
      <c r="AU41" s="100">
        <v>8580</v>
      </c>
      <c r="AV41" s="100">
        <v>20</v>
      </c>
      <c r="AW41" s="100">
        <v>13200</v>
      </c>
      <c r="AX41" s="100">
        <v>18</v>
      </c>
      <c r="AY41" s="100">
        <v>11880</v>
      </c>
      <c r="AZ41" s="100">
        <v>10.871839796809148</v>
      </c>
      <c r="BA41" s="100">
        <v>7175.4142658940373</v>
      </c>
      <c r="BB41" s="100">
        <v>9.2764135127639662</v>
      </c>
      <c r="BC41" s="100">
        <v>6122.4329184242179</v>
      </c>
      <c r="BD41" s="100">
        <v>13</v>
      </c>
      <c r="BE41" s="100">
        <v>8580</v>
      </c>
      <c r="BF41" s="100">
        <v>15.281408547419222</v>
      </c>
      <c r="BG41" s="100">
        <v>10085.729641296686</v>
      </c>
      <c r="BH41" s="100">
        <v>14</v>
      </c>
      <c r="BI41" s="100">
        <v>9240</v>
      </c>
      <c r="BJ41" s="100">
        <v>14.827553099452253</v>
      </c>
      <c r="BK41" s="100">
        <v>9786.1850456384873</v>
      </c>
      <c r="BL41" s="100">
        <v>10.935264834173624</v>
      </c>
      <c r="BM41" s="100">
        <v>7217.2747905545921</v>
      </c>
      <c r="BN41" s="100">
        <v>17</v>
      </c>
      <c r="BO41" s="100">
        <v>11220</v>
      </c>
      <c r="BP41" s="100">
        <v>13.605332518453766</v>
      </c>
      <c r="BQ41" s="100">
        <v>8979.5194621794853</v>
      </c>
      <c r="BR41" s="100">
        <v>15.971663785910664</v>
      </c>
      <c r="BS41" s="100">
        <v>10541.298098701038</v>
      </c>
      <c r="BT41" s="100">
        <v>11.641416622358268</v>
      </c>
      <c r="BU41" s="100">
        <v>7683.3349707564566</v>
      </c>
      <c r="BV41" s="100">
        <v>11</v>
      </c>
      <c r="BW41" s="100">
        <v>7260</v>
      </c>
      <c r="BX41" s="100">
        <v>12.887465896235076</v>
      </c>
      <c r="BY41" s="100">
        <v>8505.7274915151502</v>
      </c>
      <c r="BZ41" s="100">
        <v>12.679523354570573</v>
      </c>
      <c r="CA41" s="100">
        <v>8368.4854140165789</v>
      </c>
      <c r="CB41" s="100">
        <v>11.119721718335164</v>
      </c>
      <c r="CC41" s="100">
        <v>7339.0163341012085</v>
      </c>
      <c r="CD41" s="100">
        <v>15</v>
      </c>
      <c r="CE41" s="100">
        <v>9900</v>
      </c>
      <c r="CF41" s="100">
        <v>13.841218325033696</v>
      </c>
      <c r="CG41" s="100">
        <v>9135.2040945222398</v>
      </c>
      <c r="CH41" s="100">
        <v>14.778514346282723</v>
      </c>
      <c r="CI41" s="100">
        <v>9753.8194685465969</v>
      </c>
      <c r="CJ41" s="100">
        <v>13.764502201828494</v>
      </c>
      <c r="CK41" s="100">
        <v>9084.571453206805</v>
      </c>
      <c r="CL41" s="100">
        <v>15.76996953131353</v>
      </c>
      <c r="CM41" s="100">
        <v>10408.17989066693</v>
      </c>
      <c r="CN41" s="100">
        <v>14</v>
      </c>
      <c r="CO41" s="100">
        <v>9240</v>
      </c>
      <c r="CP41" s="100">
        <v>11</v>
      </c>
      <c r="CQ41" s="100">
        <v>7260</v>
      </c>
      <c r="CR41" s="100">
        <v>10.570636476120031</v>
      </c>
      <c r="CS41" s="100">
        <v>6976.6200742392202</v>
      </c>
      <c r="CT41" s="100">
        <v>13</v>
      </c>
      <c r="CU41" s="100">
        <v>8580</v>
      </c>
    </row>
    <row r="42" spans="2:99">
      <c r="C42" s="99" t="s">
        <v>208</v>
      </c>
      <c r="D42" s="100">
        <v>19</v>
      </c>
      <c r="E42" s="100">
        <v>16074</v>
      </c>
      <c r="F42" s="100">
        <v>13</v>
      </c>
      <c r="G42" s="100">
        <v>10998</v>
      </c>
      <c r="H42" s="100">
        <v>12.446838199689489</v>
      </c>
      <c r="I42" s="100">
        <v>10530.025116937308</v>
      </c>
      <c r="J42" s="100">
        <v>13</v>
      </c>
      <c r="K42" s="100">
        <v>10998</v>
      </c>
      <c r="L42" s="100">
        <v>13</v>
      </c>
      <c r="M42" s="100">
        <v>10998</v>
      </c>
      <c r="N42" s="100">
        <v>16.940140286007203</v>
      </c>
      <c r="O42" s="100">
        <v>14331.358681962094</v>
      </c>
      <c r="P42" s="100">
        <v>14.458404695962836</v>
      </c>
      <c r="Q42" s="100">
        <v>12231.810372784559</v>
      </c>
      <c r="R42" s="100">
        <v>15</v>
      </c>
      <c r="S42" s="100">
        <v>12690</v>
      </c>
      <c r="T42" s="100">
        <v>10</v>
      </c>
      <c r="U42" s="100">
        <v>8460</v>
      </c>
      <c r="V42" s="100">
        <v>14</v>
      </c>
      <c r="W42" s="100">
        <v>11844</v>
      </c>
      <c r="X42" s="100">
        <v>16.819910108918855</v>
      </c>
      <c r="Y42" s="100">
        <v>14229.64395214535</v>
      </c>
      <c r="Z42" s="100">
        <v>12.690361643841877</v>
      </c>
      <c r="AA42" s="100">
        <v>10736.045950690228</v>
      </c>
      <c r="AB42" s="100">
        <v>12.737203068760332</v>
      </c>
      <c r="AC42" s="100">
        <v>10775.673796171241</v>
      </c>
      <c r="AD42" s="100">
        <v>10.126666124991722</v>
      </c>
      <c r="AE42" s="100">
        <v>8567.1595417429962</v>
      </c>
      <c r="AF42" s="100">
        <v>9.0299706192302676</v>
      </c>
      <c r="AG42" s="100">
        <v>7639.3551438688064</v>
      </c>
      <c r="AH42" s="100">
        <v>10.354366310050708</v>
      </c>
      <c r="AI42" s="100">
        <v>8759.793898302898</v>
      </c>
      <c r="AJ42" s="100">
        <v>11</v>
      </c>
      <c r="AK42" s="100">
        <v>9306</v>
      </c>
      <c r="AL42" s="100">
        <v>17</v>
      </c>
      <c r="AM42" s="100">
        <v>14382</v>
      </c>
      <c r="AN42" s="100">
        <v>11</v>
      </c>
      <c r="AO42" s="100">
        <v>9306</v>
      </c>
      <c r="AP42" s="100">
        <v>20</v>
      </c>
      <c r="AQ42" s="100">
        <v>16920</v>
      </c>
      <c r="AR42" s="100">
        <v>16.895010912754422</v>
      </c>
      <c r="AS42" s="100">
        <v>14293.179232190241</v>
      </c>
      <c r="AT42" s="100">
        <v>13</v>
      </c>
      <c r="AU42" s="100">
        <v>10998</v>
      </c>
      <c r="AV42" s="100">
        <v>19</v>
      </c>
      <c r="AW42" s="100">
        <v>16074</v>
      </c>
      <c r="AX42" s="100">
        <v>16</v>
      </c>
      <c r="AY42" s="100">
        <v>13536</v>
      </c>
      <c r="AZ42" s="100">
        <v>9.9658531470750518</v>
      </c>
      <c r="BA42" s="100">
        <v>8431.111762425493</v>
      </c>
      <c r="BB42" s="100">
        <v>8.4331031934217879</v>
      </c>
      <c r="BC42" s="100">
        <v>7134.4053016348325</v>
      </c>
      <c r="BD42" s="100">
        <v>13</v>
      </c>
      <c r="BE42" s="100">
        <v>10998</v>
      </c>
      <c r="BF42" s="100">
        <v>16.045478974790182</v>
      </c>
      <c r="BG42" s="100">
        <v>13574.475212672494</v>
      </c>
      <c r="BH42" s="100">
        <v>13</v>
      </c>
      <c r="BI42" s="100">
        <v>10998</v>
      </c>
      <c r="BJ42" s="100">
        <v>15.816056639415738</v>
      </c>
      <c r="BK42" s="100">
        <v>13380.383916945713</v>
      </c>
      <c r="BL42" s="100">
        <v>10.023992764659155</v>
      </c>
      <c r="BM42" s="100">
        <v>8480.2978789016452</v>
      </c>
      <c r="BN42" s="100">
        <v>17</v>
      </c>
      <c r="BO42" s="100">
        <v>14382</v>
      </c>
      <c r="BP42" s="100">
        <v>11.791288182659931</v>
      </c>
      <c r="BQ42" s="100">
        <v>9975.4298025303015</v>
      </c>
      <c r="BR42" s="100">
        <v>15.131049902441683</v>
      </c>
      <c r="BS42" s="100">
        <v>12800.868217465664</v>
      </c>
      <c r="BT42" s="100">
        <v>10.671298570495079</v>
      </c>
      <c r="BU42" s="100">
        <v>9027.9185906388375</v>
      </c>
      <c r="BV42" s="100">
        <v>9</v>
      </c>
      <c r="BW42" s="100">
        <v>7614</v>
      </c>
      <c r="BX42" s="100">
        <v>13.807999174537583</v>
      </c>
      <c r="BY42" s="100">
        <v>11681.567301658795</v>
      </c>
      <c r="BZ42" s="100">
        <v>14.264463773891894</v>
      </c>
      <c r="CA42" s="100">
        <v>12067.736352712542</v>
      </c>
      <c r="CB42" s="100">
        <v>10.325455881311223</v>
      </c>
      <c r="CC42" s="100">
        <v>8735.3356755892946</v>
      </c>
      <c r="CD42" s="100">
        <v>16</v>
      </c>
      <c r="CE42" s="100">
        <v>13536</v>
      </c>
      <c r="CF42" s="100">
        <v>12.918470436698117</v>
      </c>
      <c r="CG42" s="100">
        <v>10929.025989446607</v>
      </c>
      <c r="CH42" s="100">
        <v>14.778514346282723</v>
      </c>
      <c r="CI42" s="100">
        <v>12502.623136955184</v>
      </c>
      <c r="CJ42" s="100">
        <v>12.846868721706594</v>
      </c>
      <c r="CK42" s="100">
        <v>10868.450938563778</v>
      </c>
      <c r="CL42" s="100">
        <v>14.939971134928607</v>
      </c>
      <c r="CM42" s="100">
        <v>12639.215580149601</v>
      </c>
      <c r="CN42" s="100">
        <v>12</v>
      </c>
      <c r="CO42" s="100">
        <v>10152</v>
      </c>
      <c r="CP42" s="100">
        <v>10</v>
      </c>
      <c r="CQ42" s="100">
        <v>8460</v>
      </c>
      <c r="CR42" s="100">
        <v>11.531603428494581</v>
      </c>
      <c r="CS42" s="100">
        <v>9755.7365005064148</v>
      </c>
      <c r="CT42" s="100">
        <v>13</v>
      </c>
      <c r="CU42" s="100">
        <v>10998</v>
      </c>
    </row>
    <row r="43" spans="2:99">
      <c r="C43" s="99" t="s">
        <v>209</v>
      </c>
      <c r="D43" s="100">
        <v>17</v>
      </c>
      <c r="E43" s="100">
        <v>17380.8</v>
      </c>
      <c r="F43" s="100">
        <v>12</v>
      </c>
      <c r="G43" s="100">
        <v>12268.8</v>
      </c>
      <c r="H43" s="100">
        <v>13.404287291973297</v>
      </c>
      <c r="I43" s="100">
        <v>13704.543327313499</v>
      </c>
      <c r="J43" s="100">
        <v>14</v>
      </c>
      <c r="K43" s="100">
        <v>14313.6</v>
      </c>
      <c r="L43" s="100">
        <v>12</v>
      </c>
      <c r="M43" s="100">
        <v>12268.8</v>
      </c>
      <c r="N43" s="100">
        <v>15.943661445653836</v>
      </c>
      <c r="O43" s="100">
        <v>16300.799462036483</v>
      </c>
      <c r="P43" s="100">
        <v>13.494511049565315</v>
      </c>
      <c r="Q43" s="100">
        <v>13796.788097075578</v>
      </c>
      <c r="R43" s="100">
        <v>15</v>
      </c>
      <c r="S43" s="100">
        <v>15336</v>
      </c>
      <c r="T43" s="100">
        <v>11</v>
      </c>
      <c r="U43" s="100">
        <v>11246.4</v>
      </c>
      <c r="V43" s="100">
        <v>16</v>
      </c>
      <c r="W43" s="100">
        <v>16358.4</v>
      </c>
      <c r="X43" s="100">
        <v>14.8410971549284</v>
      </c>
      <c r="Y43" s="100">
        <v>15173.537731198796</v>
      </c>
      <c r="Z43" s="100">
        <v>13.536385753431334</v>
      </c>
      <c r="AA43" s="100">
        <v>13839.600794308197</v>
      </c>
      <c r="AB43" s="100">
        <v>12.100342915322317</v>
      </c>
      <c r="AC43" s="100">
        <v>12371.390596625537</v>
      </c>
      <c r="AD43" s="100">
        <v>8.5687174903776118</v>
      </c>
      <c r="AE43" s="100">
        <v>8760.6567621620707</v>
      </c>
      <c r="AF43" s="100">
        <v>8.2774730676277457</v>
      </c>
      <c r="AG43" s="100">
        <v>8462.8884643426063</v>
      </c>
      <c r="AH43" s="100">
        <v>10.354366310050708</v>
      </c>
      <c r="AI43" s="100">
        <v>10586.304115395844</v>
      </c>
      <c r="AJ43" s="100">
        <v>11</v>
      </c>
      <c r="AK43" s="100">
        <v>11246.4</v>
      </c>
      <c r="AL43" s="100">
        <v>17</v>
      </c>
      <c r="AM43" s="100">
        <v>17380.8</v>
      </c>
      <c r="AN43" s="100">
        <v>11</v>
      </c>
      <c r="AO43" s="100">
        <v>11246.4</v>
      </c>
      <c r="AP43" s="100">
        <v>19</v>
      </c>
      <c r="AQ43" s="100">
        <v>19425.599999999999</v>
      </c>
      <c r="AR43" s="100">
        <v>17.888835084092918</v>
      </c>
      <c r="AS43" s="100">
        <v>18289.544989976599</v>
      </c>
      <c r="AT43" s="100">
        <v>13</v>
      </c>
      <c r="AU43" s="100">
        <v>13291.199999999999</v>
      </c>
      <c r="AV43" s="100">
        <v>17</v>
      </c>
      <c r="AW43" s="100">
        <v>17380.8</v>
      </c>
      <c r="AX43" s="100">
        <v>16</v>
      </c>
      <c r="AY43" s="100">
        <v>16358.4</v>
      </c>
      <c r="AZ43" s="100">
        <v>9.9658531470750518</v>
      </c>
      <c r="BA43" s="100">
        <v>10189.088257569532</v>
      </c>
      <c r="BB43" s="100">
        <v>8.4331031934217879</v>
      </c>
      <c r="BC43" s="100">
        <v>8622.0047049544355</v>
      </c>
      <c r="BD43" s="100">
        <v>14</v>
      </c>
      <c r="BE43" s="100">
        <v>14313.6</v>
      </c>
      <c r="BF43" s="100">
        <v>14.51733812004826</v>
      </c>
      <c r="BG43" s="100">
        <v>14842.526493937341</v>
      </c>
      <c r="BH43" s="100">
        <v>13</v>
      </c>
      <c r="BI43" s="100">
        <v>13291.199999999999</v>
      </c>
      <c r="BJ43" s="100">
        <v>15.816056639415738</v>
      </c>
      <c r="BK43" s="100">
        <v>16170.336308138651</v>
      </c>
      <c r="BL43" s="100">
        <v>9.1127206951446862</v>
      </c>
      <c r="BM43" s="100">
        <v>9316.8456387159276</v>
      </c>
      <c r="BN43" s="100">
        <v>18</v>
      </c>
      <c r="BO43" s="100">
        <v>18403.2</v>
      </c>
      <c r="BP43" s="100">
        <v>12.698310350556849</v>
      </c>
      <c r="BQ43" s="100">
        <v>12982.752502409321</v>
      </c>
      <c r="BR43" s="100">
        <v>15.971663785910664</v>
      </c>
      <c r="BS43" s="100">
        <v>16329.429054715063</v>
      </c>
      <c r="BT43" s="100">
        <v>10.671298570495079</v>
      </c>
      <c r="BU43" s="100">
        <v>10910.335658474169</v>
      </c>
      <c r="BV43" s="100">
        <v>9</v>
      </c>
      <c r="BW43" s="100">
        <v>9201.6</v>
      </c>
      <c r="BX43" s="100">
        <v>11.966932617932571</v>
      </c>
      <c r="BY43" s="100">
        <v>12234.99190857426</v>
      </c>
      <c r="BZ43" s="100">
        <v>13.471993564231234</v>
      </c>
      <c r="CA43" s="100">
        <v>13773.766220070012</v>
      </c>
      <c r="CB43" s="100">
        <v>11.913987555359103</v>
      </c>
      <c r="CC43" s="100">
        <v>12180.860876599147</v>
      </c>
      <c r="CD43" s="100">
        <v>15</v>
      </c>
      <c r="CE43" s="100">
        <v>15336</v>
      </c>
      <c r="CF43" s="100">
        <v>11.072974660026956</v>
      </c>
      <c r="CG43" s="100">
        <v>11321.00929241156</v>
      </c>
      <c r="CH43" s="100">
        <v>11.667248168117938</v>
      </c>
      <c r="CI43" s="100">
        <v>11928.59452708378</v>
      </c>
      <c r="CJ43" s="100">
        <v>11.929235241584694</v>
      </c>
      <c r="CK43" s="100">
        <v>12196.450110996191</v>
      </c>
      <c r="CL43" s="100">
        <v>14.939971134928607</v>
      </c>
      <c r="CM43" s="100">
        <v>15274.626488351007</v>
      </c>
      <c r="CN43" s="100">
        <v>12</v>
      </c>
      <c r="CO43" s="100">
        <v>12268.8</v>
      </c>
      <c r="CP43" s="100">
        <v>12</v>
      </c>
      <c r="CQ43" s="100">
        <v>12268.8</v>
      </c>
      <c r="CR43" s="100">
        <v>10.570636476120031</v>
      </c>
      <c r="CS43" s="100">
        <v>10807.418733185119</v>
      </c>
      <c r="CT43" s="100">
        <v>14</v>
      </c>
      <c r="CU43" s="100">
        <v>14313.6</v>
      </c>
    </row>
    <row r="44" spans="2:99">
      <c r="C44" s="99" t="s">
        <v>210</v>
      </c>
      <c r="D44" s="100">
        <v>20</v>
      </c>
      <c r="E44" s="100">
        <v>20448</v>
      </c>
      <c r="F44" s="100">
        <v>14</v>
      </c>
      <c r="G44" s="100">
        <v>14313.6</v>
      </c>
      <c r="H44" s="100">
        <v>13.404287291973297</v>
      </c>
      <c r="I44" s="100">
        <v>13704.543327313499</v>
      </c>
      <c r="J44" s="100">
        <v>12</v>
      </c>
      <c r="K44" s="100">
        <v>12268.8</v>
      </c>
      <c r="L44" s="100">
        <v>12</v>
      </c>
      <c r="M44" s="100">
        <v>12268.8</v>
      </c>
      <c r="N44" s="100">
        <v>16.940140286007203</v>
      </c>
      <c r="O44" s="100">
        <v>17319.599428413763</v>
      </c>
      <c r="P44" s="100">
        <v>12.53061740316779</v>
      </c>
      <c r="Q44" s="100">
        <v>12811.303232998749</v>
      </c>
      <c r="R44" s="100">
        <v>14</v>
      </c>
      <c r="S44" s="100">
        <v>14313.6</v>
      </c>
      <c r="T44" s="100">
        <v>10</v>
      </c>
      <c r="U44" s="100">
        <v>10224</v>
      </c>
      <c r="V44" s="100">
        <v>15</v>
      </c>
      <c r="W44" s="100">
        <v>15336</v>
      </c>
      <c r="X44" s="100">
        <v>15.830503631923627</v>
      </c>
      <c r="Y44" s="100">
        <v>16185.106913278716</v>
      </c>
      <c r="Z44" s="100">
        <v>13.536385753431334</v>
      </c>
      <c r="AA44" s="100">
        <v>13839.600794308197</v>
      </c>
      <c r="AB44" s="100">
        <v>11.463482761884299</v>
      </c>
      <c r="AC44" s="100">
        <v>11720.264775750507</v>
      </c>
      <c r="AD44" s="100">
        <v>10.126666124991722</v>
      </c>
      <c r="AE44" s="100">
        <v>10353.503446191537</v>
      </c>
      <c r="AF44" s="100">
        <v>8.2774730676277457</v>
      </c>
      <c r="AG44" s="100">
        <v>8462.8884643426063</v>
      </c>
      <c r="AH44" s="100">
        <v>10.354366310050708</v>
      </c>
      <c r="AI44" s="100">
        <v>10586.304115395844</v>
      </c>
      <c r="AJ44" s="100">
        <v>12</v>
      </c>
      <c r="AK44" s="100">
        <v>12268.8</v>
      </c>
      <c r="AL44" s="100">
        <v>17</v>
      </c>
      <c r="AM44" s="100">
        <v>17380.8</v>
      </c>
      <c r="AN44" s="100">
        <v>10</v>
      </c>
      <c r="AO44" s="100">
        <v>10224</v>
      </c>
      <c r="AP44" s="100">
        <v>19</v>
      </c>
      <c r="AQ44" s="100">
        <v>19425.599999999999</v>
      </c>
      <c r="AR44" s="100">
        <v>16.895010912754422</v>
      </c>
      <c r="AS44" s="100">
        <v>17273.459157200123</v>
      </c>
      <c r="AT44" s="100">
        <v>12</v>
      </c>
      <c r="AU44" s="100">
        <v>12268.8</v>
      </c>
      <c r="AV44" s="100">
        <v>19</v>
      </c>
      <c r="AW44" s="100">
        <v>19425.599999999999</v>
      </c>
      <c r="AX44" s="100">
        <v>18</v>
      </c>
      <c r="AY44" s="100">
        <v>18403.2</v>
      </c>
      <c r="AZ44" s="100">
        <v>11.777826446543243</v>
      </c>
      <c r="BA44" s="100">
        <v>12041.64975894581</v>
      </c>
      <c r="BB44" s="100">
        <v>8.4331031934217879</v>
      </c>
      <c r="BC44" s="100">
        <v>8622.0047049544355</v>
      </c>
      <c r="BD44" s="100">
        <v>13</v>
      </c>
      <c r="BE44" s="100">
        <v>13291.199999999999</v>
      </c>
      <c r="BF44" s="100">
        <v>15.281408547419222</v>
      </c>
      <c r="BG44" s="100">
        <v>15623.712098881411</v>
      </c>
      <c r="BH44" s="100">
        <v>14</v>
      </c>
      <c r="BI44" s="100">
        <v>14313.6</v>
      </c>
      <c r="BJ44" s="100">
        <v>16.804560179379223</v>
      </c>
      <c r="BK44" s="100">
        <v>17180.982327397316</v>
      </c>
      <c r="BL44" s="100">
        <v>10.023992764659155</v>
      </c>
      <c r="BM44" s="100">
        <v>10248.530202587521</v>
      </c>
      <c r="BN44" s="100">
        <v>18</v>
      </c>
      <c r="BO44" s="100">
        <v>18403.2</v>
      </c>
      <c r="BP44" s="100">
        <v>12.698310350556849</v>
      </c>
      <c r="BQ44" s="100">
        <v>12982.752502409321</v>
      </c>
      <c r="BR44" s="100">
        <v>14.290436018972699</v>
      </c>
      <c r="BS44" s="100">
        <v>14610.541785797686</v>
      </c>
      <c r="BT44" s="100">
        <v>10.671298570495079</v>
      </c>
      <c r="BU44" s="100">
        <v>10910.335658474169</v>
      </c>
      <c r="BV44" s="100">
        <v>10</v>
      </c>
      <c r="BW44" s="100">
        <v>10224</v>
      </c>
      <c r="BX44" s="100">
        <v>13.807999174537583</v>
      </c>
      <c r="BY44" s="100">
        <v>14117.298356047224</v>
      </c>
      <c r="BZ44" s="100">
        <v>12.679523354570573</v>
      </c>
      <c r="CA44" s="100">
        <v>12963.544677712955</v>
      </c>
      <c r="CB44" s="100">
        <v>10.325455881311223</v>
      </c>
      <c r="CC44" s="100">
        <v>10556.746093052594</v>
      </c>
      <c r="CD44" s="100">
        <v>16</v>
      </c>
      <c r="CE44" s="100">
        <v>16358.4</v>
      </c>
      <c r="CF44" s="100">
        <v>12.918470436698117</v>
      </c>
      <c r="CG44" s="100">
        <v>13207.844174480155</v>
      </c>
      <c r="CH44" s="100">
        <v>14.000697801741527</v>
      </c>
      <c r="CI44" s="100">
        <v>14314.313432500538</v>
      </c>
      <c r="CJ44" s="100">
        <v>12.846868721706594</v>
      </c>
      <c r="CK44" s="100">
        <v>13134.638581072821</v>
      </c>
      <c r="CL44" s="100">
        <v>13.279974342158761</v>
      </c>
      <c r="CM44" s="100">
        <v>13577.445767423116</v>
      </c>
      <c r="CN44" s="100">
        <v>13</v>
      </c>
      <c r="CO44" s="100">
        <v>13291.199999999999</v>
      </c>
      <c r="CP44" s="100">
        <v>12</v>
      </c>
      <c r="CQ44" s="100">
        <v>12268.8</v>
      </c>
      <c r="CR44" s="100">
        <v>9.6096695237454846</v>
      </c>
      <c r="CS44" s="100">
        <v>9824.9261210773839</v>
      </c>
      <c r="CT44" s="100">
        <v>14</v>
      </c>
      <c r="CU44" s="100">
        <v>14313.6</v>
      </c>
    </row>
    <row r="45" spans="2:99">
      <c r="C45" s="99" t="s">
        <v>211</v>
      </c>
      <c r="D45" s="100">
        <v>19</v>
      </c>
      <c r="E45" s="100">
        <v>23734.799999999999</v>
      </c>
      <c r="F45" s="100">
        <v>12</v>
      </c>
      <c r="G45" s="100">
        <v>14990.400000000001</v>
      </c>
      <c r="H45" s="100">
        <v>11.489389107405684</v>
      </c>
      <c r="I45" s="100">
        <v>14352.544872971181</v>
      </c>
      <c r="J45" s="100">
        <v>13</v>
      </c>
      <c r="K45" s="100">
        <v>16239.6</v>
      </c>
      <c r="L45" s="100">
        <v>13</v>
      </c>
      <c r="M45" s="100">
        <v>16239.6</v>
      </c>
      <c r="N45" s="100">
        <v>16.940140286007203</v>
      </c>
      <c r="O45" s="100">
        <v>21161.6232452802</v>
      </c>
      <c r="P45" s="100">
        <v>13.494511049565315</v>
      </c>
      <c r="Q45" s="100">
        <v>16857.34320311699</v>
      </c>
      <c r="R45" s="100">
        <v>16</v>
      </c>
      <c r="S45" s="100">
        <v>19987.2</v>
      </c>
      <c r="T45" s="100">
        <v>10</v>
      </c>
      <c r="U45" s="100">
        <v>12492</v>
      </c>
      <c r="V45" s="100">
        <v>16</v>
      </c>
      <c r="W45" s="100">
        <v>19987.2</v>
      </c>
      <c r="X45" s="100">
        <v>13.851690677933172</v>
      </c>
      <c r="Y45" s="100">
        <v>17303.53199487412</v>
      </c>
      <c r="Z45" s="100">
        <v>11.84433753425242</v>
      </c>
      <c r="AA45" s="100">
        <v>14795.946447788123</v>
      </c>
      <c r="AB45" s="100">
        <v>11.463482761884299</v>
      </c>
      <c r="AC45" s="100">
        <v>14320.182666145867</v>
      </c>
      <c r="AD45" s="100">
        <v>10.126666124991722</v>
      </c>
      <c r="AE45" s="100">
        <v>12650.23132333966</v>
      </c>
      <c r="AF45" s="100">
        <v>7.524975516025223</v>
      </c>
      <c r="AG45" s="100">
        <v>9400.199414618708</v>
      </c>
      <c r="AH45" s="100">
        <v>9.4915024508798158</v>
      </c>
      <c r="AI45" s="100">
        <v>11856.784861639066</v>
      </c>
      <c r="AJ45" s="100">
        <v>12</v>
      </c>
      <c r="AK45" s="100">
        <v>14990.400000000001</v>
      </c>
      <c r="AL45" s="100">
        <v>16</v>
      </c>
      <c r="AM45" s="100">
        <v>19987.2</v>
      </c>
      <c r="AN45" s="100">
        <v>9</v>
      </c>
      <c r="AO45" s="100">
        <v>11242.800000000001</v>
      </c>
      <c r="AP45" s="100">
        <v>19</v>
      </c>
      <c r="AQ45" s="100">
        <v>23734.799999999999</v>
      </c>
      <c r="AR45" s="100">
        <v>16.895010912754422</v>
      </c>
      <c r="AS45" s="100">
        <v>21105.247632212824</v>
      </c>
      <c r="AT45" s="100">
        <v>12</v>
      </c>
      <c r="AU45" s="100">
        <v>14990.400000000001</v>
      </c>
      <c r="AV45" s="100">
        <v>19</v>
      </c>
      <c r="AW45" s="100">
        <v>23734.799999999999</v>
      </c>
      <c r="AX45" s="100">
        <v>17</v>
      </c>
      <c r="AY45" s="100">
        <v>21236.400000000001</v>
      </c>
      <c r="AZ45" s="100">
        <v>9.9658531470750518</v>
      </c>
      <c r="BA45" s="100">
        <v>12449.343751326154</v>
      </c>
      <c r="BB45" s="100">
        <v>7.5897928740796088</v>
      </c>
      <c r="BC45" s="100">
        <v>9481.1692583002477</v>
      </c>
      <c r="BD45" s="100">
        <v>12</v>
      </c>
      <c r="BE45" s="100">
        <v>14990.400000000001</v>
      </c>
      <c r="BF45" s="100">
        <v>15.281408547419222</v>
      </c>
      <c r="BG45" s="100">
        <v>19089.535557436091</v>
      </c>
      <c r="BH45" s="100">
        <v>13</v>
      </c>
      <c r="BI45" s="100">
        <v>16239.6</v>
      </c>
      <c r="BJ45" s="100">
        <v>15.816056639415738</v>
      </c>
      <c r="BK45" s="100">
        <v>19757.417953958142</v>
      </c>
      <c r="BL45" s="100">
        <v>9.1127206951446862</v>
      </c>
      <c r="BM45" s="100">
        <v>11383.610692374743</v>
      </c>
      <c r="BN45" s="100">
        <v>17</v>
      </c>
      <c r="BO45" s="100">
        <v>21236.400000000001</v>
      </c>
      <c r="BP45" s="100">
        <v>11.791288182659931</v>
      </c>
      <c r="BQ45" s="100">
        <v>14729.677197778787</v>
      </c>
      <c r="BR45" s="100">
        <v>15.971663785910664</v>
      </c>
      <c r="BS45" s="100">
        <v>19951.8024013596</v>
      </c>
      <c r="BT45" s="100">
        <v>11.641416622358268</v>
      </c>
      <c r="BU45" s="100">
        <v>14542.457644649949</v>
      </c>
      <c r="BV45" s="100">
        <v>9</v>
      </c>
      <c r="BW45" s="100">
        <v>11242.800000000001</v>
      </c>
      <c r="BX45" s="100">
        <v>12.887465896235076</v>
      </c>
      <c r="BY45" s="100">
        <v>16099.022397576857</v>
      </c>
      <c r="BZ45" s="100">
        <v>12.679523354570573</v>
      </c>
      <c r="CA45" s="100">
        <v>15839.26057452956</v>
      </c>
      <c r="CB45" s="100">
        <v>9.5311900442872837</v>
      </c>
      <c r="CC45" s="100">
        <v>11906.362603323676</v>
      </c>
      <c r="CD45" s="100">
        <v>14</v>
      </c>
      <c r="CE45" s="100">
        <v>17488.8</v>
      </c>
      <c r="CF45" s="100">
        <v>11.072974660026956</v>
      </c>
      <c r="CG45" s="100">
        <v>13832.359945305674</v>
      </c>
      <c r="CH45" s="100">
        <v>12.445064712659134</v>
      </c>
      <c r="CI45" s="100">
        <v>15546.374839053791</v>
      </c>
      <c r="CJ45" s="100">
        <v>13.764502201828494</v>
      </c>
      <c r="CK45" s="100">
        <v>17194.616150524154</v>
      </c>
      <c r="CL45" s="100">
        <v>14.939971134928607</v>
      </c>
      <c r="CM45" s="100">
        <v>18663.011941752815</v>
      </c>
      <c r="CN45" s="100">
        <v>11</v>
      </c>
      <c r="CO45" s="100">
        <v>13741.2</v>
      </c>
      <c r="CP45" s="100">
        <v>10</v>
      </c>
      <c r="CQ45" s="100">
        <v>12492</v>
      </c>
      <c r="CR45" s="100">
        <v>11.531603428494581</v>
      </c>
      <c r="CS45" s="100">
        <v>14405.279002875432</v>
      </c>
      <c r="CT45" s="100">
        <v>12</v>
      </c>
      <c r="CU45" s="100">
        <v>14990.400000000001</v>
      </c>
    </row>
    <row r="46" spans="2:99">
      <c r="C46" s="99" t="s">
        <v>212</v>
      </c>
      <c r="D46" s="100">
        <v>16</v>
      </c>
      <c r="E46" s="100">
        <v>19392</v>
      </c>
      <c r="F46" s="100">
        <v>13</v>
      </c>
      <c r="G46" s="100">
        <v>15756</v>
      </c>
      <c r="H46" s="100">
        <v>12.446838199689489</v>
      </c>
      <c r="I46" s="100">
        <v>15085.567898023661</v>
      </c>
      <c r="J46" s="100">
        <v>12</v>
      </c>
      <c r="K46" s="100">
        <v>14544</v>
      </c>
      <c r="L46" s="100">
        <v>12</v>
      </c>
      <c r="M46" s="100">
        <v>14544</v>
      </c>
      <c r="N46" s="100">
        <v>15.943661445653836</v>
      </c>
      <c r="O46" s="100">
        <v>19323.71767213245</v>
      </c>
      <c r="P46" s="100">
        <v>12.53061740316779</v>
      </c>
      <c r="Q46" s="100">
        <v>15187.108292639361</v>
      </c>
      <c r="R46" s="100">
        <v>13</v>
      </c>
      <c r="S46" s="100">
        <v>15756</v>
      </c>
      <c r="T46" s="100">
        <v>10</v>
      </c>
      <c r="U46" s="100">
        <v>12120</v>
      </c>
      <c r="V46" s="100">
        <v>14</v>
      </c>
      <c r="W46" s="100">
        <v>16968</v>
      </c>
      <c r="X46" s="100">
        <v>15.830503631923627</v>
      </c>
      <c r="Y46" s="100">
        <v>19186.570401891437</v>
      </c>
      <c r="Z46" s="100">
        <v>11.84433753425242</v>
      </c>
      <c r="AA46" s="100">
        <v>14355.337091513933</v>
      </c>
      <c r="AB46" s="100">
        <v>10.826622608446284</v>
      </c>
      <c r="AC46" s="100">
        <v>13121.866601436896</v>
      </c>
      <c r="AD46" s="100">
        <v>10.126666124991722</v>
      </c>
      <c r="AE46" s="100">
        <v>12273.519343489967</v>
      </c>
      <c r="AF46" s="100">
        <v>8.2774730676277457</v>
      </c>
      <c r="AG46" s="100">
        <v>10032.297357964828</v>
      </c>
      <c r="AH46" s="100">
        <v>9.4915024508798158</v>
      </c>
      <c r="AI46" s="100">
        <v>11503.700970466336</v>
      </c>
      <c r="AJ46" s="100">
        <v>12</v>
      </c>
      <c r="AK46" s="100">
        <v>14544</v>
      </c>
      <c r="AL46" s="100">
        <v>16</v>
      </c>
      <c r="AM46" s="100">
        <v>19392</v>
      </c>
      <c r="AN46" s="100">
        <v>10</v>
      </c>
      <c r="AO46" s="100">
        <v>12120</v>
      </c>
      <c r="AP46" s="100">
        <v>18</v>
      </c>
      <c r="AQ46" s="100">
        <v>21816</v>
      </c>
      <c r="AR46" s="100">
        <v>17.888835084092918</v>
      </c>
      <c r="AS46" s="100">
        <v>21681.268121920617</v>
      </c>
      <c r="AT46" s="100">
        <v>13</v>
      </c>
      <c r="AU46" s="100">
        <v>15756</v>
      </c>
      <c r="AV46" s="100">
        <v>16</v>
      </c>
      <c r="AW46" s="100">
        <v>19392</v>
      </c>
      <c r="AX46" s="100">
        <v>17</v>
      </c>
      <c r="AY46" s="100">
        <v>20604</v>
      </c>
      <c r="AZ46" s="100">
        <v>10.871839796809148</v>
      </c>
      <c r="BA46" s="100">
        <v>13176.669833732687</v>
      </c>
      <c r="BB46" s="100">
        <v>9.2764135127639662</v>
      </c>
      <c r="BC46" s="100">
        <v>11243.013177469928</v>
      </c>
      <c r="BD46" s="100">
        <v>14</v>
      </c>
      <c r="BE46" s="100">
        <v>16968</v>
      </c>
      <c r="BF46" s="100">
        <v>16.045478974790182</v>
      </c>
      <c r="BG46" s="100">
        <v>19447.120517445699</v>
      </c>
      <c r="BH46" s="100">
        <v>13</v>
      </c>
      <c r="BI46" s="100">
        <v>15756</v>
      </c>
      <c r="BJ46" s="100">
        <v>15.816056639415738</v>
      </c>
      <c r="BK46" s="100">
        <v>19169.060646971873</v>
      </c>
      <c r="BL46" s="100">
        <v>10.023992764659155</v>
      </c>
      <c r="BM46" s="100">
        <v>12149.079230766896</v>
      </c>
      <c r="BN46" s="100">
        <v>18</v>
      </c>
      <c r="BO46" s="100">
        <v>21816</v>
      </c>
      <c r="BP46" s="100">
        <v>11.791288182659931</v>
      </c>
      <c r="BQ46" s="100">
        <v>14291.041277383836</v>
      </c>
      <c r="BR46" s="100">
        <v>15.131049902441683</v>
      </c>
      <c r="BS46" s="100">
        <v>18338.83248175932</v>
      </c>
      <c r="BT46" s="100">
        <v>10.671298570495079</v>
      </c>
      <c r="BU46" s="100">
        <v>12933.613867440035</v>
      </c>
      <c r="BV46" s="100">
        <v>9</v>
      </c>
      <c r="BW46" s="100">
        <v>10908</v>
      </c>
      <c r="BX46" s="100">
        <v>12.887465896235076</v>
      </c>
      <c r="BY46" s="100">
        <v>15619.608666236913</v>
      </c>
      <c r="BZ46" s="100">
        <v>12.679523354570573</v>
      </c>
      <c r="CA46" s="100">
        <v>15367.582305739536</v>
      </c>
      <c r="CB46" s="100">
        <v>11.119721718335164</v>
      </c>
      <c r="CC46" s="100">
        <v>13477.10272262222</v>
      </c>
      <c r="CD46" s="100">
        <v>15</v>
      </c>
      <c r="CE46" s="100">
        <v>18180</v>
      </c>
      <c r="CF46" s="100">
        <v>11.995722548362536</v>
      </c>
      <c r="CG46" s="100">
        <v>14538.815728615395</v>
      </c>
      <c r="CH46" s="100">
        <v>12.445064712659134</v>
      </c>
      <c r="CI46" s="100">
        <v>15083.41843174287</v>
      </c>
      <c r="CJ46" s="100">
        <v>11.929235241584694</v>
      </c>
      <c r="CK46" s="100">
        <v>14458.233112800648</v>
      </c>
      <c r="CL46" s="100">
        <v>14.109972738543684</v>
      </c>
      <c r="CM46" s="100">
        <v>17101.286959114947</v>
      </c>
      <c r="CN46" s="100">
        <v>13</v>
      </c>
      <c r="CO46" s="100">
        <v>15756</v>
      </c>
      <c r="CP46" s="100">
        <v>11</v>
      </c>
      <c r="CQ46" s="100">
        <v>13332</v>
      </c>
      <c r="CR46" s="100">
        <v>11.531603428494581</v>
      </c>
      <c r="CS46" s="100">
        <v>13976.303355335433</v>
      </c>
      <c r="CT46" s="100">
        <v>14</v>
      </c>
      <c r="CU46" s="100">
        <v>16968</v>
      </c>
    </row>
    <row r="47" spans="2:99">
      <c r="C47" s="99" t="s">
        <v>213</v>
      </c>
      <c r="D47" s="100">
        <v>18</v>
      </c>
      <c r="E47" s="100">
        <v>27496.799999999999</v>
      </c>
      <c r="F47" s="100">
        <v>12</v>
      </c>
      <c r="G47" s="100">
        <v>18331.199999999997</v>
      </c>
      <c r="H47" s="100">
        <v>12.446838199689489</v>
      </c>
      <c r="I47" s="100">
        <v>19013.790033845664</v>
      </c>
      <c r="J47" s="100">
        <v>13</v>
      </c>
      <c r="K47" s="100">
        <v>19858.8</v>
      </c>
      <c r="L47" s="100">
        <v>12</v>
      </c>
      <c r="M47" s="100">
        <v>18331.199999999997</v>
      </c>
      <c r="N47" s="100">
        <v>15.943661445653836</v>
      </c>
      <c r="O47" s="100">
        <v>24355.537224380798</v>
      </c>
      <c r="P47" s="100">
        <v>13.494511049565315</v>
      </c>
      <c r="Q47" s="100">
        <v>20614.215079315974</v>
      </c>
      <c r="R47" s="100">
        <v>15</v>
      </c>
      <c r="S47" s="100">
        <v>22914</v>
      </c>
      <c r="T47" s="100">
        <v>10</v>
      </c>
      <c r="U47" s="100">
        <v>15276</v>
      </c>
      <c r="V47" s="100">
        <v>15</v>
      </c>
      <c r="W47" s="100">
        <v>22914</v>
      </c>
      <c r="X47" s="100">
        <v>15.830503631923627</v>
      </c>
      <c r="Y47" s="100">
        <v>24182.67734812653</v>
      </c>
      <c r="Z47" s="100">
        <v>13.536385753431334</v>
      </c>
      <c r="AA47" s="100">
        <v>20678.182876941704</v>
      </c>
      <c r="AB47" s="100">
        <v>10.826622608446284</v>
      </c>
      <c r="AC47" s="100">
        <v>16538.748696662544</v>
      </c>
      <c r="AD47" s="100">
        <v>10.126666124991722</v>
      </c>
      <c r="AE47" s="100">
        <v>15469.495172537354</v>
      </c>
      <c r="AF47" s="100">
        <v>8.2774730676277457</v>
      </c>
      <c r="AG47" s="100">
        <v>12644.667858108143</v>
      </c>
      <c r="AH47" s="100">
        <v>10.354366310050708</v>
      </c>
      <c r="AI47" s="100">
        <v>15817.329975233461</v>
      </c>
      <c r="AJ47" s="100">
        <v>11</v>
      </c>
      <c r="AK47" s="100">
        <v>16803.599999999999</v>
      </c>
      <c r="AL47" s="100">
        <v>15</v>
      </c>
      <c r="AM47" s="100">
        <v>22914</v>
      </c>
      <c r="AN47" s="100">
        <v>10</v>
      </c>
      <c r="AO47" s="100">
        <v>15276</v>
      </c>
      <c r="AP47" s="100">
        <v>18</v>
      </c>
      <c r="AQ47" s="100">
        <v>27496.799999999999</v>
      </c>
      <c r="AR47" s="100">
        <v>18.882659255431413</v>
      </c>
      <c r="AS47" s="100">
        <v>28845.150278597026</v>
      </c>
      <c r="AT47" s="100">
        <v>12</v>
      </c>
      <c r="AU47" s="100">
        <v>18331.199999999997</v>
      </c>
      <c r="AV47" s="100">
        <v>17</v>
      </c>
      <c r="AW47" s="100">
        <v>25969.199999999997</v>
      </c>
      <c r="AX47" s="100">
        <v>16</v>
      </c>
      <c r="AY47" s="100">
        <v>24441.599999999999</v>
      </c>
      <c r="AZ47" s="100">
        <v>9.0598664973409573</v>
      </c>
      <c r="BA47" s="100">
        <v>13839.852061338046</v>
      </c>
      <c r="BB47" s="100">
        <v>8.4331031934217879</v>
      </c>
      <c r="BC47" s="100">
        <v>12882.408438271123</v>
      </c>
      <c r="BD47" s="100">
        <v>13</v>
      </c>
      <c r="BE47" s="100">
        <v>19858.8</v>
      </c>
      <c r="BF47" s="100">
        <v>13.7532676926773</v>
      </c>
      <c r="BG47" s="100">
        <v>21009.491727333843</v>
      </c>
      <c r="BH47" s="100">
        <v>13</v>
      </c>
      <c r="BI47" s="100">
        <v>19858.8</v>
      </c>
      <c r="BJ47" s="100">
        <v>15.816056639415738</v>
      </c>
      <c r="BK47" s="100">
        <v>24160.608122371479</v>
      </c>
      <c r="BL47" s="100">
        <v>9.1127206951446862</v>
      </c>
      <c r="BM47" s="100">
        <v>13920.592133903021</v>
      </c>
      <c r="BN47" s="100">
        <v>17</v>
      </c>
      <c r="BO47" s="100">
        <v>25969.199999999997</v>
      </c>
      <c r="BP47" s="100">
        <v>12.698310350556849</v>
      </c>
      <c r="BQ47" s="100">
        <v>19397.938891510639</v>
      </c>
      <c r="BR47" s="100">
        <v>14.290436018972699</v>
      </c>
      <c r="BS47" s="100">
        <v>21830.070062582694</v>
      </c>
      <c r="BT47" s="100">
        <v>9.7011805186318902</v>
      </c>
      <c r="BU47" s="100">
        <v>14819.523360262074</v>
      </c>
      <c r="BV47" s="100">
        <v>9</v>
      </c>
      <c r="BW47" s="100">
        <v>13748.4</v>
      </c>
      <c r="BX47" s="100">
        <v>11.966932617932571</v>
      </c>
      <c r="BY47" s="100">
        <v>18280.686267153793</v>
      </c>
      <c r="BZ47" s="100">
        <v>13.471993564231234</v>
      </c>
      <c r="CA47" s="100">
        <v>20579.817368719632</v>
      </c>
      <c r="CB47" s="100">
        <v>11.119721718335164</v>
      </c>
      <c r="CC47" s="100">
        <v>16986.486896928796</v>
      </c>
      <c r="CD47" s="100">
        <v>16</v>
      </c>
      <c r="CE47" s="100">
        <v>24441.599999999999</v>
      </c>
      <c r="CF47" s="100">
        <v>11.995722548362536</v>
      </c>
      <c r="CG47" s="100">
        <v>18324.665764878609</v>
      </c>
      <c r="CH47" s="100">
        <v>14.000697801741527</v>
      </c>
      <c r="CI47" s="100">
        <v>21387.465961940354</v>
      </c>
      <c r="CJ47" s="100">
        <v>12.846868721706594</v>
      </c>
      <c r="CK47" s="100">
        <v>19624.876659278991</v>
      </c>
      <c r="CL47" s="100">
        <v>14.939971134928607</v>
      </c>
      <c r="CM47" s="100">
        <v>22822.29990571694</v>
      </c>
      <c r="CN47" s="100">
        <v>12</v>
      </c>
      <c r="CO47" s="100">
        <v>18331.199999999997</v>
      </c>
      <c r="CP47" s="100">
        <v>10</v>
      </c>
      <c r="CQ47" s="100">
        <v>15276</v>
      </c>
      <c r="CR47" s="100">
        <v>9.6096695237454846</v>
      </c>
      <c r="CS47" s="100">
        <v>14679.731164473602</v>
      </c>
      <c r="CT47" s="100">
        <v>12</v>
      </c>
      <c r="CU47" s="100">
        <v>18331.199999999997</v>
      </c>
    </row>
    <row r="48" spans="2:99">
      <c r="C48" s="99" t="s">
        <v>214</v>
      </c>
      <c r="D48" s="100">
        <v>17</v>
      </c>
      <c r="E48" s="100">
        <v>14749.2</v>
      </c>
      <c r="F48" s="100">
        <v>14</v>
      </c>
      <c r="G48" s="100">
        <v>12146.4</v>
      </c>
      <c r="H48" s="100">
        <v>12.446838199689489</v>
      </c>
      <c r="I48" s="100">
        <v>10798.876822050601</v>
      </c>
      <c r="J48" s="100">
        <v>14</v>
      </c>
      <c r="K48" s="100">
        <v>12146.4</v>
      </c>
      <c r="L48" s="100">
        <v>12</v>
      </c>
      <c r="M48" s="100">
        <v>10411.200000000001</v>
      </c>
      <c r="N48" s="100">
        <v>16.940140286007203</v>
      </c>
      <c r="O48" s="100">
        <v>14697.26571213985</v>
      </c>
      <c r="P48" s="100">
        <v>13.494511049565315</v>
      </c>
      <c r="Q48" s="100">
        <v>11707.837786602868</v>
      </c>
      <c r="R48" s="100">
        <v>16</v>
      </c>
      <c r="S48" s="100">
        <v>13881.6</v>
      </c>
      <c r="T48" s="100">
        <v>12</v>
      </c>
      <c r="U48" s="100">
        <v>10411.200000000001</v>
      </c>
      <c r="V48" s="100">
        <v>14</v>
      </c>
      <c r="W48" s="100">
        <v>12146.4</v>
      </c>
      <c r="X48" s="100">
        <v>14.8410971549284</v>
      </c>
      <c r="Y48" s="100">
        <v>12876.135891615881</v>
      </c>
      <c r="Z48" s="100">
        <v>13.536385753431334</v>
      </c>
      <c r="AA48" s="100">
        <v>11744.168279677026</v>
      </c>
      <c r="AB48" s="100">
        <v>11.463482761884299</v>
      </c>
      <c r="AC48" s="100">
        <v>9945.7176442108175</v>
      </c>
      <c r="AD48" s="100">
        <v>9.3476918076846669</v>
      </c>
      <c r="AE48" s="100">
        <v>8110.057412347217</v>
      </c>
      <c r="AF48" s="100">
        <v>9.0299706192302676</v>
      </c>
      <c r="AG48" s="100">
        <v>7834.4025092441807</v>
      </c>
      <c r="AH48" s="100">
        <v>10.354366310050708</v>
      </c>
      <c r="AI48" s="100">
        <v>8983.4482105999941</v>
      </c>
      <c r="AJ48" s="100">
        <v>11</v>
      </c>
      <c r="AK48" s="100">
        <v>9543.6</v>
      </c>
      <c r="AL48" s="100">
        <v>17</v>
      </c>
      <c r="AM48" s="100">
        <v>14749.2</v>
      </c>
      <c r="AN48" s="100">
        <v>11</v>
      </c>
      <c r="AO48" s="100">
        <v>9543.6</v>
      </c>
      <c r="AP48" s="100">
        <v>17</v>
      </c>
      <c r="AQ48" s="100">
        <v>14749.2</v>
      </c>
      <c r="AR48" s="100">
        <v>18.882659255431413</v>
      </c>
      <c r="AS48" s="100">
        <v>16382.595170012295</v>
      </c>
      <c r="AT48" s="100">
        <v>12</v>
      </c>
      <c r="AU48" s="100">
        <v>10411.200000000001</v>
      </c>
      <c r="AV48" s="100">
        <v>20</v>
      </c>
      <c r="AW48" s="100">
        <v>17352</v>
      </c>
      <c r="AX48" s="100">
        <v>16</v>
      </c>
      <c r="AY48" s="100">
        <v>13881.6</v>
      </c>
      <c r="AZ48" s="100">
        <v>11.777826446543243</v>
      </c>
      <c r="BA48" s="100">
        <v>10218.442225020917</v>
      </c>
      <c r="BB48" s="100">
        <v>9.2764135127639662</v>
      </c>
      <c r="BC48" s="100">
        <v>8048.216363674017</v>
      </c>
      <c r="BD48" s="100">
        <v>14</v>
      </c>
      <c r="BE48" s="100">
        <v>12146.4</v>
      </c>
      <c r="BF48" s="100">
        <v>14.51733812004826</v>
      </c>
      <c r="BG48" s="100">
        <v>12595.24255295387</v>
      </c>
      <c r="BH48" s="100">
        <v>14</v>
      </c>
      <c r="BI48" s="100">
        <v>12146.4</v>
      </c>
      <c r="BJ48" s="100">
        <v>16.804560179379223</v>
      </c>
      <c r="BK48" s="100">
        <v>14579.636411629413</v>
      </c>
      <c r="BL48" s="100">
        <v>10.935264834173624</v>
      </c>
      <c r="BM48" s="100">
        <v>9487.4357701290373</v>
      </c>
      <c r="BN48" s="100">
        <v>16</v>
      </c>
      <c r="BO48" s="100">
        <v>13881.6</v>
      </c>
      <c r="BP48" s="100">
        <v>13.605332518453766</v>
      </c>
      <c r="BQ48" s="100">
        <v>11803.986493010487</v>
      </c>
      <c r="BR48" s="100">
        <v>14.290436018972699</v>
      </c>
      <c r="BS48" s="100">
        <v>12398.382290060714</v>
      </c>
      <c r="BT48" s="100">
        <v>10.671298570495079</v>
      </c>
      <c r="BU48" s="100">
        <v>9258.4186397615304</v>
      </c>
      <c r="BV48" s="100">
        <v>11</v>
      </c>
      <c r="BW48" s="100">
        <v>9543.6</v>
      </c>
      <c r="BX48" s="100">
        <v>13.807999174537583</v>
      </c>
      <c r="BY48" s="100">
        <v>11979.820083828807</v>
      </c>
      <c r="BZ48" s="100">
        <v>14.264463773891894</v>
      </c>
      <c r="CA48" s="100">
        <v>12375.848770228607</v>
      </c>
      <c r="CB48" s="100">
        <v>11.119721718335164</v>
      </c>
      <c r="CC48" s="100">
        <v>9647.4705628275879</v>
      </c>
      <c r="CD48" s="100">
        <v>17</v>
      </c>
      <c r="CE48" s="100">
        <v>14749.2</v>
      </c>
      <c r="CF48" s="100">
        <v>13.841218325033696</v>
      </c>
      <c r="CG48" s="100">
        <v>12008.641018799235</v>
      </c>
      <c r="CH48" s="100">
        <v>13.222881257200331</v>
      </c>
      <c r="CI48" s="100">
        <v>11472.171778747008</v>
      </c>
      <c r="CJ48" s="100">
        <v>12.846868721706594</v>
      </c>
      <c r="CK48" s="100">
        <v>11145.943302952641</v>
      </c>
      <c r="CL48" s="100">
        <v>14.939971134928607</v>
      </c>
      <c r="CM48" s="100">
        <v>12961.91895666406</v>
      </c>
      <c r="CN48" s="100">
        <v>12</v>
      </c>
      <c r="CO48" s="100">
        <v>10411.200000000001</v>
      </c>
      <c r="CP48" s="100">
        <v>12</v>
      </c>
      <c r="CQ48" s="100">
        <v>10411.200000000001</v>
      </c>
      <c r="CR48" s="100">
        <v>11.531603428494581</v>
      </c>
      <c r="CS48" s="100">
        <v>10004.819134561898</v>
      </c>
      <c r="CT48" s="100">
        <v>13</v>
      </c>
      <c r="CU48" s="100">
        <v>11278.800000000001</v>
      </c>
    </row>
    <row r="49" spans="2:99">
      <c r="B49" s="99" t="s">
        <v>129</v>
      </c>
      <c r="C49" s="99" t="s">
        <v>215</v>
      </c>
      <c r="D49" s="100">
        <v>10</v>
      </c>
      <c r="E49" s="100">
        <v>9852</v>
      </c>
      <c r="F49" s="100">
        <v>14</v>
      </c>
      <c r="G49" s="100">
        <v>13792.8</v>
      </c>
      <c r="H49" s="100">
        <v>18</v>
      </c>
      <c r="I49" s="100">
        <v>17733.599999999999</v>
      </c>
      <c r="J49" s="100">
        <v>11</v>
      </c>
      <c r="K49" s="100">
        <v>10837.199999999999</v>
      </c>
      <c r="L49" s="100">
        <v>15</v>
      </c>
      <c r="M49" s="100">
        <v>14777.999999999998</v>
      </c>
      <c r="N49" s="100">
        <v>15</v>
      </c>
      <c r="O49" s="100">
        <v>14777.999999999998</v>
      </c>
      <c r="P49" s="100">
        <v>10</v>
      </c>
      <c r="Q49" s="100">
        <v>9852</v>
      </c>
      <c r="R49" s="100">
        <v>12</v>
      </c>
      <c r="S49" s="100">
        <v>11822.4</v>
      </c>
      <c r="T49" s="100">
        <v>13</v>
      </c>
      <c r="U49" s="100">
        <v>12807.599999999999</v>
      </c>
      <c r="V49" s="100">
        <v>10</v>
      </c>
      <c r="W49" s="100">
        <v>9852</v>
      </c>
      <c r="X49" s="100">
        <v>12</v>
      </c>
      <c r="Y49" s="100">
        <v>11822.4</v>
      </c>
      <c r="Z49" s="100">
        <v>13</v>
      </c>
      <c r="AA49" s="100">
        <v>12807.599999999999</v>
      </c>
      <c r="AB49" s="100">
        <v>14</v>
      </c>
      <c r="AC49" s="100">
        <v>13792.8</v>
      </c>
      <c r="AD49" s="100">
        <v>11</v>
      </c>
      <c r="AE49" s="100">
        <v>10837.199999999999</v>
      </c>
      <c r="AF49" s="100">
        <v>16</v>
      </c>
      <c r="AG49" s="100">
        <v>15763.199999999999</v>
      </c>
      <c r="AH49" s="100">
        <v>12</v>
      </c>
      <c r="AI49" s="100">
        <v>11822.4</v>
      </c>
      <c r="AJ49" s="100">
        <v>16</v>
      </c>
      <c r="AK49" s="100">
        <v>15763.199999999999</v>
      </c>
      <c r="AL49" s="100">
        <v>9</v>
      </c>
      <c r="AM49" s="100">
        <v>8866.7999999999993</v>
      </c>
      <c r="AN49" s="100">
        <v>10</v>
      </c>
      <c r="AO49" s="100">
        <v>9852</v>
      </c>
      <c r="AP49" s="100">
        <v>10</v>
      </c>
      <c r="AQ49" s="100">
        <v>9852</v>
      </c>
      <c r="AR49" s="100">
        <v>9</v>
      </c>
      <c r="AS49" s="100">
        <v>8866.7999999999993</v>
      </c>
      <c r="AT49" s="100">
        <v>13</v>
      </c>
      <c r="AU49" s="100">
        <v>12807.599999999999</v>
      </c>
      <c r="AV49" s="100">
        <v>10</v>
      </c>
      <c r="AW49" s="100">
        <v>9852</v>
      </c>
      <c r="AX49" s="100">
        <v>13</v>
      </c>
      <c r="AY49" s="100">
        <v>12807.599999999999</v>
      </c>
      <c r="AZ49" s="100">
        <v>13</v>
      </c>
      <c r="BA49" s="100">
        <v>12807.599999999999</v>
      </c>
      <c r="BB49" s="100">
        <v>13</v>
      </c>
      <c r="BC49" s="100">
        <v>12807.599999999999</v>
      </c>
      <c r="BD49" s="100">
        <v>15</v>
      </c>
      <c r="BE49" s="100">
        <v>14777.999999999998</v>
      </c>
      <c r="BF49" s="100">
        <v>17</v>
      </c>
      <c r="BG49" s="100">
        <v>16748.399999999998</v>
      </c>
      <c r="BH49" s="100">
        <v>9</v>
      </c>
      <c r="BI49" s="100">
        <v>8866.7999999999993</v>
      </c>
      <c r="BJ49" s="100">
        <v>11</v>
      </c>
      <c r="BK49" s="100">
        <v>10837.199999999999</v>
      </c>
      <c r="BL49" s="100">
        <v>14</v>
      </c>
      <c r="BM49" s="100">
        <v>13792.8</v>
      </c>
      <c r="BN49" s="100">
        <v>14</v>
      </c>
      <c r="BO49" s="100">
        <v>13792.8</v>
      </c>
      <c r="BP49" s="100">
        <v>16</v>
      </c>
      <c r="BQ49" s="100">
        <v>15763.199999999999</v>
      </c>
      <c r="BR49" s="100">
        <v>15</v>
      </c>
      <c r="BS49" s="100">
        <v>14777.999999999998</v>
      </c>
      <c r="BT49" s="100">
        <v>14</v>
      </c>
      <c r="BU49" s="100">
        <v>13792.8</v>
      </c>
      <c r="BV49" s="100">
        <v>9</v>
      </c>
      <c r="BW49" s="100">
        <v>8866.7999999999993</v>
      </c>
      <c r="BX49" s="100">
        <v>11</v>
      </c>
      <c r="BY49" s="100">
        <v>10837.199999999999</v>
      </c>
      <c r="BZ49" s="100">
        <v>9</v>
      </c>
      <c r="CA49" s="100">
        <v>8866.7999999999993</v>
      </c>
      <c r="CB49" s="100">
        <v>12</v>
      </c>
      <c r="CC49" s="100">
        <v>11822.4</v>
      </c>
      <c r="CD49" s="100">
        <v>14</v>
      </c>
      <c r="CE49" s="100">
        <v>13792.8</v>
      </c>
      <c r="CF49" s="100">
        <v>17</v>
      </c>
      <c r="CG49" s="100">
        <v>16748.399999999998</v>
      </c>
      <c r="CH49" s="100">
        <v>15</v>
      </c>
      <c r="CI49" s="100">
        <v>14777.999999999998</v>
      </c>
      <c r="CJ49" s="100">
        <v>13</v>
      </c>
      <c r="CK49" s="100">
        <v>12807.599999999999</v>
      </c>
      <c r="CL49" s="100">
        <v>12</v>
      </c>
      <c r="CM49" s="100">
        <v>11822.4</v>
      </c>
      <c r="CN49" s="100">
        <v>10</v>
      </c>
      <c r="CO49" s="100">
        <v>9852</v>
      </c>
      <c r="CP49" s="100">
        <v>14</v>
      </c>
      <c r="CQ49" s="100">
        <v>13792.8</v>
      </c>
      <c r="CR49" s="100">
        <v>14</v>
      </c>
      <c r="CS49" s="100">
        <v>13792.8</v>
      </c>
      <c r="CT49" s="100">
        <v>9</v>
      </c>
      <c r="CU49" s="100">
        <v>8866.7999999999993</v>
      </c>
    </row>
    <row r="50" spans="2:99">
      <c r="C50" s="99" t="s">
        <v>216</v>
      </c>
      <c r="D50" s="100">
        <v>9</v>
      </c>
      <c r="E50" s="100">
        <v>2538</v>
      </c>
      <c r="F50" s="100">
        <v>16</v>
      </c>
      <c r="G50" s="100">
        <v>4512</v>
      </c>
      <c r="H50" s="100">
        <v>17.234083661108524</v>
      </c>
      <c r="I50" s="100">
        <v>4860.0115924326037</v>
      </c>
      <c r="J50" s="100">
        <v>10</v>
      </c>
      <c r="K50" s="100">
        <v>2820</v>
      </c>
      <c r="L50" s="100">
        <v>17</v>
      </c>
      <c r="M50" s="100">
        <v>4794</v>
      </c>
      <c r="N50" s="100">
        <v>13.950703764947107</v>
      </c>
      <c r="O50" s="100">
        <v>3934.0984617150843</v>
      </c>
      <c r="P50" s="100">
        <v>9.6389364639752237</v>
      </c>
      <c r="Q50" s="100">
        <v>2718.1800828410132</v>
      </c>
      <c r="R50" s="100">
        <v>14</v>
      </c>
      <c r="S50" s="100">
        <v>3948</v>
      </c>
      <c r="T50" s="100">
        <v>13</v>
      </c>
      <c r="U50" s="100">
        <v>3666</v>
      </c>
      <c r="V50" s="100">
        <v>10</v>
      </c>
      <c r="W50" s="100">
        <v>2820</v>
      </c>
      <c r="X50" s="100">
        <v>10.883471246947494</v>
      </c>
      <c r="Y50" s="100">
        <v>3069.1388916391934</v>
      </c>
      <c r="Z50" s="100">
        <v>11.84433753425242</v>
      </c>
      <c r="AA50" s="100">
        <v>3340.1031846591823</v>
      </c>
      <c r="AB50" s="100">
        <v>8.9160421481322327</v>
      </c>
      <c r="AC50" s="100">
        <v>2514.3238857732895</v>
      </c>
      <c r="AD50" s="100">
        <v>8.5687174903776118</v>
      </c>
      <c r="AE50" s="100">
        <v>2416.3783322864865</v>
      </c>
      <c r="AF50" s="100">
        <v>12.039960825640357</v>
      </c>
      <c r="AG50" s="100">
        <v>3395.2689528305805</v>
      </c>
      <c r="AH50" s="100">
        <v>10.354366310050708</v>
      </c>
      <c r="AI50" s="100">
        <v>2919.9312994342995</v>
      </c>
      <c r="AJ50" s="100">
        <v>15</v>
      </c>
      <c r="AK50" s="100">
        <v>4230</v>
      </c>
      <c r="AL50" s="100">
        <v>10</v>
      </c>
      <c r="AM50" s="100">
        <v>2820</v>
      </c>
      <c r="AN50" s="100">
        <v>10</v>
      </c>
      <c r="AO50" s="100">
        <v>2820</v>
      </c>
      <c r="AP50" s="100">
        <v>9</v>
      </c>
      <c r="AQ50" s="100">
        <v>2538</v>
      </c>
      <c r="AR50" s="100">
        <v>9.9382417133849543</v>
      </c>
      <c r="AS50" s="100">
        <v>2802.584163174557</v>
      </c>
      <c r="AT50" s="100">
        <v>14</v>
      </c>
      <c r="AU50" s="100">
        <v>3948</v>
      </c>
      <c r="AV50" s="100">
        <v>9</v>
      </c>
      <c r="AW50" s="100">
        <v>2538</v>
      </c>
      <c r="AX50" s="100">
        <v>13</v>
      </c>
      <c r="AY50" s="100">
        <v>3666</v>
      </c>
      <c r="AZ50" s="100">
        <v>13.589799746011433</v>
      </c>
      <c r="BA50" s="100">
        <v>3832.3235283752242</v>
      </c>
      <c r="BB50" s="100">
        <v>11.806344470790503</v>
      </c>
      <c r="BC50" s="100">
        <v>3329.3891407629217</v>
      </c>
      <c r="BD50" s="100">
        <v>13</v>
      </c>
      <c r="BE50" s="100">
        <v>3666</v>
      </c>
      <c r="BF50" s="100">
        <v>12.989197265306338</v>
      </c>
      <c r="BG50" s="100">
        <v>3662.9536288163872</v>
      </c>
      <c r="BH50" s="100">
        <v>10</v>
      </c>
      <c r="BI50" s="100">
        <v>2820</v>
      </c>
      <c r="BJ50" s="100">
        <v>12.850546019525288</v>
      </c>
      <c r="BK50" s="100">
        <v>3623.8539775061313</v>
      </c>
      <c r="BL50" s="100">
        <v>14.580353112231499</v>
      </c>
      <c r="BM50" s="100">
        <v>4111.6595776492832</v>
      </c>
      <c r="BN50" s="100">
        <v>14</v>
      </c>
      <c r="BO50" s="100">
        <v>3948</v>
      </c>
      <c r="BP50" s="100">
        <v>14.512354686350685</v>
      </c>
      <c r="BQ50" s="100">
        <v>4092.484021550893</v>
      </c>
      <c r="BR50" s="100">
        <v>14.290436018972699</v>
      </c>
      <c r="BS50" s="100">
        <v>4029.9029573503012</v>
      </c>
      <c r="BT50" s="100">
        <v>13.581652726084647</v>
      </c>
      <c r="BU50" s="100">
        <v>3830.0260687558703</v>
      </c>
      <c r="BV50" s="100">
        <v>11</v>
      </c>
      <c r="BW50" s="100">
        <v>3102</v>
      </c>
      <c r="BX50" s="100">
        <v>11.046399339630065</v>
      </c>
      <c r="BY50" s="100">
        <v>3115.0846137756785</v>
      </c>
      <c r="BZ50" s="100">
        <v>7.1322318869459469</v>
      </c>
      <c r="CA50" s="100">
        <v>2011.289392118757</v>
      </c>
      <c r="CB50" s="100">
        <v>11.119721718335164</v>
      </c>
      <c r="CC50" s="100">
        <v>3135.761524570516</v>
      </c>
      <c r="CD50" s="100">
        <v>14</v>
      </c>
      <c r="CE50" s="100">
        <v>3948</v>
      </c>
      <c r="CF50" s="100">
        <v>15.686714101704855</v>
      </c>
      <c r="CG50" s="100">
        <v>4423.6533766807688</v>
      </c>
      <c r="CH50" s="100">
        <v>14.000697801741527</v>
      </c>
      <c r="CI50" s="100">
        <v>3948.1967800911107</v>
      </c>
      <c r="CJ50" s="100">
        <v>12.846868721706594</v>
      </c>
      <c r="CK50" s="100">
        <v>3622.8169795212593</v>
      </c>
      <c r="CL50" s="100">
        <v>10.789979153003992</v>
      </c>
      <c r="CM50" s="100">
        <v>3042.7741211471257</v>
      </c>
      <c r="CN50" s="100">
        <v>10</v>
      </c>
      <c r="CO50" s="100">
        <v>2820</v>
      </c>
      <c r="CP50" s="100">
        <v>13</v>
      </c>
      <c r="CQ50" s="100">
        <v>3666</v>
      </c>
      <c r="CR50" s="100">
        <v>14.414504285618225</v>
      </c>
      <c r="CS50" s="100">
        <v>4064.8902085443397</v>
      </c>
      <c r="CT50" s="100">
        <v>10</v>
      </c>
      <c r="CU50" s="100">
        <v>2820</v>
      </c>
    </row>
    <row r="51" spans="2:99">
      <c r="C51" s="99" t="s">
        <v>217</v>
      </c>
      <c r="D51" s="100">
        <v>8</v>
      </c>
      <c r="E51" s="100">
        <v>6835.2</v>
      </c>
      <c r="F51" s="100">
        <v>14</v>
      </c>
      <c r="G51" s="100">
        <v>11961.6</v>
      </c>
      <c r="H51" s="100">
        <v>16.276634568824718</v>
      </c>
      <c r="I51" s="100">
        <v>13906.756575603838</v>
      </c>
      <c r="J51" s="100">
        <v>12</v>
      </c>
      <c r="K51" s="100">
        <v>10252.799999999999</v>
      </c>
      <c r="L51" s="100">
        <v>16</v>
      </c>
      <c r="M51" s="100">
        <v>13670.4</v>
      </c>
      <c r="N51" s="100">
        <v>14.947182605300473</v>
      </c>
      <c r="O51" s="100">
        <v>12770.872817968724</v>
      </c>
      <c r="P51" s="100">
        <v>9.6389364639752237</v>
      </c>
      <c r="Q51" s="100">
        <v>8235.5073148204301</v>
      </c>
      <c r="R51" s="100">
        <v>12</v>
      </c>
      <c r="S51" s="100">
        <v>10252.799999999999</v>
      </c>
      <c r="T51" s="100">
        <v>14</v>
      </c>
      <c r="U51" s="100">
        <v>11961.6</v>
      </c>
      <c r="V51" s="100">
        <v>10</v>
      </c>
      <c r="W51" s="100">
        <v>8544</v>
      </c>
      <c r="X51" s="100">
        <v>11.872877723942722</v>
      </c>
      <c r="Y51" s="100">
        <v>10144.186727336661</v>
      </c>
      <c r="Z51" s="100">
        <v>12.690361643841877</v>
      </c>
      <c r="AA51" s="100">
        <v>10842.6449884985</v>
      </c>
      <c r="AB51" s="100">
        <v>8.2791819946942162</v>
      </c>
      <c r="AC51" s="100">
        <v>7073.7330962667384</v>
      </c>
      <c r="AD51" s="100">
        <v>9.3476918076846669</v>
      </c>
      <c r="AE51" s="100">
        <v>7986.6678804857793</v>
      </c>
      <c r="AF51" s="100">
        <v>11.287463274037835</v>
      </c>
      <c r="AG51" s="100">
        <v>9644.0086213379254</v>
      </c>
      <c r="AH51" s="100">
        <v>11.217230169221599</v>
      </c>
      <c r="AI51" s="100">
        <v>9584.0014565829333</v>
      </c>
      <c r="AJ51" s="100">
        <v>14</v>
      </c>
      <c r="AK51" s="100">
        <v>11961.6</v>
      </c>
      <c r="AL51" s="100">
        <v>9</v>
      </c>
      <c r="AM51" s="100">
        <v>7689.5999999999995</v>
      </c>
      <c r="AN51" s="100">
        <v>9</v>
      </c>
      <c r="AO51" s="100">
        <v>7689.5999999999995</v>
      </c>
      <c r="AP51" s="100">
        <v>10</v>
      </c>
      <c r="AQ51" s="100">
        <v>8544</v>
      </c>
      <c r="AR51" s="100">
        <v>8.9444175420464589</v>
      </c>
      <c r="AS51" s="100">
        <v>7642.1103479244939</v>
      </c>
      <c r="AT51" s="100">
        <v>14</v>
      </c>
      <c r="AU51" s="100">
        <v>11961.6</v>
      </c>
      <c r="AV51" s="100">
        <v>10</v>
      </c>
      <c r="AW51" s="100">
        <v>8544</v>
      </c>
      <c r="AX51" s="100">
        <v>15</v>
      </c>
      <c r="AY51" s="100">
        <v>12816</v>
      </c>
      <c r="AZ51" s="100">
        <v>14.49578639574553</v>
      </c>
      <c r="BA51" s="100">
        <v>12385.19989652498</v>
      </c>
      <c r="BB51" s="100">
        <v>10.963034151448323</v>
      </c>
      <c r="BC51" s="100">
        <v>9366.816378997446</v>
      </c>
      <c r="BD51" s="100">
        <v>12</v>
      </c>
      <c r="BE51" s="100">
        <v>10252.799999999999</v>
      </c>
      <c r="BF51" s="100">
        <v>12.225126837935377</v>
      </c>
      <c r="BG51" s="100">
        <v>10445.148370331986</v>
      </c>
      <c r="BH51" s="100">
        <v>9</v>
      </c>
      <c r="BI51" s="100">
        <v>7689.5999999999995</v>
      </c>
      <c r="BJ51" s="100">
        <v>11.862042479561804</v>
      </c>
      <c r="BK51" s="100">
        <v>10134.929094537605</v>
      </c>
      <c r="BL51" s="100">
        <v>12.757808973202561</v>
      </c>
      <c r="BM51" s="100">
        <v>10900.271986704267</v>
      </c>
      <c r="BN51" s="100">
        <v>15</v>
      </c>
      <c r="BO51" s="100">
        <v>12816</v>
      </c>
      <c r="BP51" s="100">
        <v>16.326399022144521</v>
      </c>
      <c r="BQ51" s="100">
        <v>13949.275324520278</v>
      </c>
      <c r="BR51" s="100">
        <v>13.449822135503716</v>
      </c>
      <c r="BS51" s="100">
        <v>11491.528032574375</v>
      </c>
      <c r="BT51" s="100">
        <v>13.581652726084647</v>
      </c>
      <c r="BU51" s="100">
        <v>11604.164089166721</v>
      </c>
      <c r="BV51" s="100">
        <v>9</v>
      </c>
      <c r="BW51" s="100">
        <v>7689.5999999999995</v>
      </c>
      <c r="BX51" s="100">
        <v>9.2053327830250549</v>
      </c>
      <c r="BY51" s="100">
        <v>7865.0363298166067</v>
      </c>
      <c r="BZ51" s="100">
        <v>7.1322318869459469</v>
      </c>
      <c r="CA51" s="100">
        <v>6093.7789242066165</v>
      </c>
      <c r="CB51" s="100">
        <v>10.325455881311223</v>
      </c>
      <c r="CC51" s="100">
        <v>8822.0695049923088</v>
      </c>
      <c r="CD51" s="100">
        <v>13</v>
      </c>
      <c r="CE51" s="100">
        <v>11107.199999999999</v>
      </c>
      <c r="CF51" s="100">
        <v>13.841218325033696</v>
      </c>
      <c r="CG51" s="100">
        <v>11825.936936908789</v>
      </c>
      <c r="CH51" s="100">
        <v>13.222881257200331</v>
      </c>
      <c r="CI51" s="100">
        <v>11297.629746151963</v>
      </c>
      <c r="CJ51" s="100">
        <v>12.846868721706594</v>
      </c>
      <c r="CK51" s="100">
        <v>10976.364635826114</v>
      </c>
      <c r="CL51" s="100">
        <v>10.789979153003992</v>
      </c>
      <c r="CM51" s="100">
        <v>9218.958188326611</v>
      </c>
      <c r="CN51" s="100">
        <v>10</v>
      </c>
      <c r="CO51" s="100">
        <v>8544</v>
      </c>
      <c r="CP51" s="100">
        <v>13</v>
      </c>
      <c r="CQ51" s="100">
        <v>11107.199999999999</v>
      </c>
      <c r="CR51" s="100">
        <v>14.414504285618225</v>
      </c>
      <c r="CS51" s="100">
        <v>12315.752461632212</v>
      </c>
      <c r="CT51" s="100">
        <v>10</v>
      </c>
      <c r="CU51" s="100">
        <v>8544</v>
      </c>
    </row>
    <row r="52" spans="2:99">
      <c r="C52" s="99" t="s">
        <v>218</v>
      </c>
      <c r="D52" s="100">
        <v>9</v>
      </c>
      <c r="E52" s="100">
        <v>4860</v>
      </c>
      <c r="F52" s="100">
        <v>14</v>
      </c>
      <c r="G52" s="100">
        <v>7560</v>
      </c>
      <c r="H52" s="100">
        <v>17.234083661108524</v>
      </c>
      <c r="I52" s="100">
        <v>9306.4051769986036</v>
      </c>
      <c r="J52" s="100">
        <v>11</v>
      </c>
      <c r="K52" s="100">
        <v>5940</v>
      </c>
      <c r="L52" s="100">
        <v>16</v>
      </c>
      <c r="M52" s="100">
        <v>8640</v>
      </c>
      <c r="N52" s="100">
        <v>13.950703764947107</v>
      </c>
      <c r="O52" s="100">
        <v>7533.3800330714375</v>
      </c>
      <c r="P52" s="100">
        <v>10.602830110372746</v>
      </c>
      <c r="Q52" s="100">
        <v>5725.528259601283</v>
      </c>
      <c r="R52" s="100">
        <v>15</v>
      </c>
      <c r="S52" s="100">
        <v>8100</v>
      </c>
      <c r="T52" s="100">
        <v>12</v>
      </c>
      <c r="U52" s="100">
        <v>6480</v>
      </c>
      <c r="V52" s="100">
        <v>10</v>
      </c>
      <c r="W52" s="100">
        <v>5400</v>
      </c>
      <c r="X52" s="100">
        <v>13.851690677933172</v>
      </c>
      <c r="Y52" s="100">
        <v>7479.9129660839135</v>
      </c>
      <c r="Z52" s="100">
        <v>11.84433753425242</v>
      </c>
      <c r="AA52" s="100">
        <v>6395.9422684963065</v>
      </c>
      <c r="AB52" s="100">
        <v>9.5529023015702492</v>
      </c>
      <c r="AC52" s="100">
        <v>5158.5672428479347</v>
      </c>
      <c r="AD52" s="100">
        <v>9.3476918076846669</v>
      </c>
      <c r="AE52" s="100">
        <v>5047.7535761497202</v>
      </c>
      <c r="AF52" s="100">
        <v>12.039960825640357</v>
      </c>
      <c r="AG52" s="100">
        <v>6501.5788458457928</v>
      </c>
      <c r="AH52" s="100">
        <v>11.217230169221599</v>
      </c>
      <c r="AI52" s="100">
        <v>6057.3042913796635</v>
      </c>
      <c r="AJ52" s="100">
        <v>16</v>
      </c>
      <c r="AK52" s="100">
        <v>8640</v>
      </c>
      <c r="AL52" s="100">
        <v>9</v>
      </c>
      <c r="AM52" s="100">
        <v>4860</v>
      </c>
      <c r="AN52" s="100">
        <v>11</v>
      </c>
      <c r="AO52" s="100">
        <v>5940</v>
      </c>
      <c r="AP52" s="100">
        <v>9</v>
      </c>
      <c r="AQ52" s="100">
        <v>4860</v>
      </c>
      <c r="AR52" s="100">
        <v>8.9444175420464589</v>
      </c>
      <c r="AS52" s="100">
        <v>4829.9854727050879</v>
      </c>
      <c r="AT52" s="100">
        <v>13</v>
      </c>
      <c r="AU52" s="100">
        <v>7020</v>
      </c>
      <c r="AV52" s="100">
        <v>9</v>
      </c>
      <c r="AW52" s="100">
        <v>4860</v>
      </c>
      <c r="AX52" s="100">
        <v>14</v>
      </c>
      <c r="AY52" s="100">
        <v>7560</v>
      </c>
      <c r="AZ52" s="100">
        <v>14.49578639574553</v>
      </c>
      <c r="BA52" s="100">
        <v>7827.7246537025858</v>
      </c>
      <c r="BB52" s="100">
        <v>13.492965109474859</v>
      </c>
      <c r="BC52" s="100">
        <v>7286.2011591164237</v>
      </c>
      <c r="BD52" s="100">
        <v>13</v>
      </c>
      <c r="BE52" s="100">
        <v>7020</v>
      </c>
      <c r="BF52" s="100">
        <v>11.461056410564415</v>
      </c>
      <c r="BG52" s="100">
        <v>6188.9704617047846</v>
      </c>
      <c r="BH52" s="100">
        <v>10</v>
      </c>
      <c r="BI52" s="100">
        <v>5400</v>
      </c>
      <c r="BJ52" s="100">
        <v>10.873538939598319</v>
      </c>
      <c r="BK52" s="100">
        <v>5871.7110273830922</v>
      </c>
      <c r="BL52" s="100">
        <v>12.757808973202561</v>
      </c>
      <c r="BM52" s="100">
        <v>6889.2168455293831</v>
      </c>
      <c r="BN52" s="100">
        <v>15</v>
      </c>
      <c r="BO52" s="100">
        <v>8100</v>
      </c>
      <c r="BP52" s="100">
        <v>16.326399022144521</v>
      </c>
      <c r="BQ52" s="100">
        <v>8816.2554719580421</v>
      </c>
      <c r="BR52" s="100">
        <v>13.449822135503716</v>
      </c>
      <c r="BS52" s="100">
        <v>7262.9039531720064</v>
      </c>
      <c r="BT52" s="100">
        <v>11.641416622358268</v>
      </c>
      <c r="BU52" s="100">
        <v>6286.3649760734643</v>
      </c>
      <c r="BV52" s="100">
        <v>9</v>
      </c>
      <c r="BW52" s="100">
        <v>4860</v>
      </c>
      <c r="BX52" s="100">
        <v>9.2053327830250549</v>
      </c>
      <c r="BY52" s="100">
        <v>4970.8797028335293</v>
      </c>
      <c r="BZ52" s="100">
        <v>7.924702096606608</v>
      </c>
      <c r="CA52" s="100">
        <v>4279.3391321675681</v>
      </c>
      <c r="CB52" s="100">
        <v>9.5311900442872837</v>
      </c>
      <c r="CC52" s="100">
        <v>5146.8426239151331</v>
      </c>
      <c r="CD52" s="100">
        <v>14</v>
      </c>
      <c r="CE52" s="100">
        <v>7560</v>
      </c>
      <c r="CF52" s="100">
        <v>14.763966213369276</v>
      </c>
      <c r="CG52" s="100">
        <v>7972.5417552194094</v>
      </c>
      <c r="CH52" s="100">
        <v>13.222881257200331</v>
      </c>
      <c r="CI52" s="100">
        <v>7140.3558788881792</v>
      </c>
      <c r="CJ52" s="100">
        <v>13.764502201828494</v>
      </c>
      <c r="CK52" s="100">
        <v>7432.8311889873867</v>
      </c>
      <c r="CL52" s="100">
        <v>11.619977549388915</v>
      </c>
      <c r="CM52" s="100">
        <v>6274.7878766700142</v>
      </c>
      <c r="CN52" s="100">
        <v>10</v>
      </c>
      <c r="CO52" s="100">
        <v>5400</v>
      </c>
      <c r="CP52" s="100">
        <v>14</v>
      </c>
      <c r="CQ52" s="100">
        <v>7560</v>
      </c>
      <c r="CR52" s="100">
        <v>15.375471237992771</v>
      </c>
      <c r="CS52" s="100">
        <v>8302.7544685160974</v>
      </c>
      <c r="CT52" s="100">
        <v>10</v>
      </c>
      <c r="CU52" s="100">
        <v>5400</v>
      </c>
    </row>
    <row r="53" spans="2:99">
      <c r="C53" s="99" t="s">
        <v>219</v>
      </c>
      <c r="D53" s="100">
        <v>10</v>
      </c>
      <c r="E53" s="100">
        <v>4068</v>
      </c>
      <c r="F53" s="100">
        <v>14</v>
      </c>
      <c r="G53" s="100">
        <v>5695.2</v>
      </c>
      <c r="H53" s="100">
        <v>16.276634568824718</v>
      </c>
      <c r="I53" s="100">
        <v>6621.3349425978959</v>
      </c>
      <c r="J53" s="100">
        <v>11</v>
      </c>
      <c r="K53" s="100">
        <v>4474.8</v>
      </c>
      <c r="L53" s="100">
        <v>18</v>
      </c>
      <c r="M53" s="100">
        <v>7322.4000000000005</v>
      </c>
      <c r="N53" s="100">
        <v>13.950703764947107</v>
      </c>
      <c r="O53" s="100">
        <v>5675.1462915804832</v>
      </c>
      <c r="P53" s="100">
        <v>9.6389364639752237</v>
      </c>
      <c r="Q53" s="100">
        <v>3921.1193535451212</v>
      </c>
      <c r="R53" s="100">
        <v>13</v>
      </c>
      <c r="S53" s="100">
        <v>5288.4000000000005</v>
      </c>
      <c r="T53" s="100">
        <v>15</v>
      </c>
      <c r="U53" s="100">
        <v>6102</v>
      </c>
      <c r="V53" s="100">
        <v>10</v>
      </c>
      <c r="W53" s="100">
        <v>4068</v>
      </c>
      <c r="X53" s="100">
        <v>11.872877723942722</v>
      </c>
      <c r="Y53" s="100">
        <v>4829.8866580998993</v>
      </c>
      <c r="Z53" s="100">
        <v>13.536385753431334</v>
      </c>
      <c r="AA53" s="100">
        <v>5506.6017244958666</v>
      </c>
      <c r="AB53" s="100">
        <v>8.2791819946942162</v>
      </c>
      <c r="AC53" s="100">
        <v>3367.9712354416074</v>
      </c>
      <c r="AD53" s="100">
        <v>9.3476918076846669</v>
      </c>
      <c r="AE53" s="100">
        <v>3802.6410273661227</v>
      </c>
      <c r="AF53" s="100">
        <v>11.287463274037835</v>
      </c>
      <c r="AG53" s="100">
        <v>4591.7400598785916</v>
      </c>
      <c r="AH53" s="100">
        <v>10.354366310050708</v>
      </c>
      <c r="AI53" s="100">
        <v>4212.1562149286283</v>
      </c>
      <c r="AJ53" s="100">
        <v>14</v>
      </c>
      <c r="AK53" s="100">
        <v>5695.2</v>
      </c>
      <c r="AL53" s="100">
        <v>9</v>
      </c>
      <c r="AM53" s="100">
        <v>3661.2000000000003</v>
      </c>
      <c r="AN53" s="100">
        <v>9</v>
      </c>
      <c r="AO53" s="100">
        <v>3661.2000000000003</v>
      </c>
      <c r="AP53" s="100">
        <v>9</v>
      </c>
      <c r="AQ53" s="100">
        <v>3661.2000000000003</v>
      </c>
      <c r="AR53" s="100">
        <v>9.9382417133849543</v>
      </c>
      <c r="AS53" s="100">
        <v>4042.8767290049996</v>
      </c>
      <c r="AT53" s="100">
        <v>15</v>
      </c>
      <c r="AU53" s="100">
        <v>6102</v>
      </c>
      <c r="AV53" s="100">
        <v>10</v>
      </c>
      <c r="AW53" s="100">
        <v>4068</v>
      </c>
      <c r="AX53" s="100">
        <v>13</v>
      </c>
      <c r="AY53" s="100">
        <v>5288.4000000000005</v>
      </c>
      <c r="AZ53" s="100">
        <v>15.401773045479628</v>
      </c>
      <c r="BA53" s="100">
        <v>6265.4412749011126</v>
      </c>
      <c r="BB53" s="100">
        <v>11.806344470790503</v>
      </c>
      <c r="BC53" s="100">
        <v>4802.8209307175766</v>
      </c>
      <c r="BD53" s="100">
        <v>15</v>
      </c>
      <c r="BE53" s="100">
        <v>6102</v>
      </c>
      <c r="BF53" s="100">
        <v>12.989197265306338</v>
      </c>
      <c r="BG53" s="100">
        <v>5284.0054475266179</v>
      </c>
      <c r="BH53" s="100">
        <v>9</v>
      </c>
      <c r="BI53" s="100">
        <v>3661.2000000000003</v>
      </c>
      <c r="BJ53" s="100">
        <v>11.862042479561804</v>
      </c>
      <c r="BK53" s="100">
        <v>4825.4788806857423</v>
      </c>
      <c r="BL53" s="100">
        <v>13.66908104271703</v>
      </c>
      <c r="BM53" s="100">
        <v>5560.5821681772877</v>
      </c>
      <c r="BN53" s="100">
        <v>15</v>
      </c>
      <c r="BO53" s="100">
        <v>6102</v>
      </c>
      <c r="BP53" s="100">
        <v>15.419376854247602</v>
      </c>
      <c r="BQ53" s="100">
        <v>6272.6025043079244</v>
      </c>
      <c r="BR53" s="100">
        <v>13.449822135503716</v>
      </c>
      <c r="BS53" s="100">
        <v>5471.3876447229122</v>
      </c>
      <c r="BT53" s="100">
        <v>14.551770777947835</v>
      </c>
      <c r="BU53" s="100">
        <v>5919.66035246918</v>
      </c>
      <c r="BV53" s="100">
        <v>11</v>
      </c>
      <c r="BW53" s="100">
        <v>4474.8</v>
      </c>
      <c r="BX53" s="100">
        <v>10.12586606132756</v>
      </c>
      <c r="BY53" s="100">
        <v>4119.2023137480519</v>
      </c>
      <c r="BZ53" s="100">
        <v>8.717172306267269</v>
      </c>
      <c r="CA53" s="100">
        <v>3546.1456941895253</v>
      </c>
      <c r="CB53" s="100">
        <v>10.325455881311223</v>
      </c>
      <c r="CC53" s="100">
        <v>4200.3954525174058</v>
      </c>
      <c r="CD53" s="100">
        <v>15</v>
      </c>
      <c r="CE53" s="100">
        <v>6102</v>
      </c>
      <c r="CF53" s="100">
        <v>14.763966213369276</v>
      </c>
      <c r="CG53" s="100">
        <v>6005.9814555986213</v>
      </c>
      <c r="CH53" s="100">
        <v>12.445064712659134</v>
      </c>
      <c r="CI53" s="100">
        <v>5062.652325109736</v>
      </c>
      <c r="CJ53" s="100">
        <v>13.764502201828494</v>
      </c>
      <c r="CK53" s="100">
        <v>5599.3994957038312</v>
      </c>
      <c r="CL53" s="100">
        <v>11.619977549388915</v>
      </c>
      <c r="CM53" s="100">
        <v>4727.0068670914106</v>
      </c>
      <c r="CN53" s="100">
        <v>11</v>
      </c>
      <c r="CO53" s="100">
        <v>4474.8</v>
      </c>
      <c r="CP53" s="100">
        <v>13</v>
      </c>
      <c r="CQ53" s="100">
        <v>5288.4000000000005</v>
      </c>
      <c r="CR53" s="100">
        <v>14.414504285618225</v>
      </c>
      <c r="CS53" s="100">
        <v>5863.8203433894942</v>
      </c>
      <c r="CT53" s="100">
        <v>10</v>
      </c>
      <c r="CU53" s="100">
        <v>4068</v>
      </c>
    </row>
    <row r="54" spans="2:99">
      <c r="C54" s="99" t="s">
        <v>220</v>
      </c>
      <c r="D54" s="100">
        <v>9</v>
      </c>
      <c r="E54" s="100">
        <v>3013.2000000000003</v>
      </c>
      <c r="F54" s="100">
        <v>15</v>
      </c>
      <c r="G54" s="100">
        <v>5022</v>
      </c>
      <c r="H54" s="100">
        <v>16.276634568824718</v>
      </c>
      <c r="I54" s="100">
        <v>5449.4172536425158</v>
      </c>
      <c r="J54" s="100">
        <v>12</v>
      </c>
      <c r="K54" s="100">
        <v>4017.6000000000004</v>
      </c>
      <c r="L54" s="100">
        <v>17</v>
      </c>
      <c r="M54" s="100">
        <v>5691.6</v>
      </c>
      <c r="N54" s="100">
        <v>15.943661445653836</v>
      </c>
      <c r="O54" s="100">
        <v>5337.9378520049049</v>
      </c>
      <c r="P54" s="100">
        <v>10.602830110372746</v>
      </c>
      <c r="Q54" s="100">
        <v>3549.8275209527956</v>
      </c>
      <c r="R54" s="100">
        <v>13</v>
      </c>
      <c r="S54" s="100">
        <v>4352.4000000000005</v>
      </c>
      <c r="T54" s="100">
        <v>15</v>
      </c>
      <c r="U54" s="100">
        <v>5022</v>
      </c>
      <c r="V54" s="100">
        <v>10</v>
      </c>
      <c r="W54" s="100">
        <v>3348</v>
      </c>
      <c r="X54" s="100">
        <v>12.862284200937946</v>
      </c>
      <c r="Y54" s="100">
        <v>4306.2927504740246</v>
      </c>
      <c r="Z54" s="100">
        <v>12.690361643841877</v>
      </c>
      <c r="AA54" s="100">
        <v>4248.7330783582602</v>
      </c>
      <c r="AB54" s="100">
        <v>8.2791819946942162</v>
      </c>
      <c r="AC54" s="100">
        <v>2771.8701318236235</v>
      </c>
      <c r="AD54" s="100">
        <v>10.126666124991722</v>
      </c>
      <c r="AE54" s="100">
        <v>3390.4078186472289</v>
      </c>
      <c r="AF54" s="100">
        <v>11.287463274037835</v>
      </c>
      <c r="AG54" s="100">
        <v>3779.0427041478674</v>
      </c>
      <c r="AH54" s="100">
        <v>11.217230169221599</v>
      </c>
      <c r="AI54" s="100">
        <v>3755.5286606553914</v>
      </c>
      <c r="AJ54" s="100">
        <v>14</v>
      </c>
      <c r="AK54" s="100">
        <v>4687.2</v>
      </c>
      <c r="AL54" s="100">
        <v>10</v>
      </c>
      <c r="AM54" s="100">
        <v>3348</v>
      </c>
      <c r="AN54" s="100">
        <v>11</v>
      </c>
      <c r="AO54" s="100">
        <v>3682.8</v>
      </c>
      <c r="AP54" s="100">
        <v>10</v>
      </c>
      <c r="AQ54" s="100">
        <v>3348</v>
      </c>
      <c r="AR54" s="100">
        <v>9.9382417133849543</v>
      </c>
      <c r="AS54" s="100">
        <v>3327.3233256412827</v>
      </c>
      <c r="AT54" s="100">
        <v>14</v>
      </c>
      <c r="AU54" s="100">
        <v>4687.2</v>
      </c>
      <c r="AV54" s="100">
        <v>10</v>
      </c>
      <c r="AW54" s="100">
        <v>3348</v>
      </c>
      <c r="AX54" s="100">
        <v>16</v>
      </c>
      <c r="AY54" s="100">
        <v>5356.8</v>
      </c>
      <c r="AZ54" s="100">
        <v>12.683813096277339</v>
      </c>
      <c r="BA54" s="100">
        <v>4246.5406246336534</v>
      </c>
      <c r="BB54" s="100">
        <v>11.806344470790503</v>
      </c>
      <c r="BC54" s="100">
        <v>3952.7641288206605</v>
      </c>
      <c r="BD54" s="100">
        <v>15</v>
      </c>
      <c r="BE54" s="100">
        <v>5022</v>
      </c>
      <c r="BF54" s="100">
        <v>12.225126837935377</v>
      </c>
      <c r="BG54" s="100">
        <v>4092.9724653407643</v>
      </c>
      <c r="BH54" s="100">
        <v>10</v>
      </c>
      <c r="BI54" s="100">
        <v>3348</v>
      </c>
      <c r="BJ54" s="100">
        <v>12.850546019525288</v>
      </c>
      <c r="BK54" s="100">
        <v>4302.3628073370664</v>
      </c>
      <c r="BL54" s="100">
        <v>12.757808973202561</v>
      </c>
      <c r="BM54" s="100">
        <v>4271.3144442282173</v>
      </c>
      <c r="BN54" s="100">
        <v>15</v>
      </c>
      <c r="BO54" s="100">
        <v>5022</v>
      </c>
      <c r="BP54" s="100">
        <v>14.512354686350685</v>
      </c>
      <c r="BQ54" s="100">
        <v>4858.7363489902091</v>
      </c>
      <c r="BR54" s="100">
        <v>12.609208252034735</v>
      </c>
      <c r="BS54" s="100">
        <v>4221.5629227812296</v>
      </c>
      <c r="BT54" s="100">
        <v>13.581652726084647</v>
      </c>
      <c r="BU54" s="100">
        <v>4547.1373326931398</v>
      </c>
      <c r="BV54" s="100">
        <v>10</v>
      </c>
      <c r="BW54" s="100">
        <v>3348</v>
      </c>
      <c r="BX54" s="100">
        <v>10.12586606132756</v>
      </c>
      <c r="BY54" s="100">
        <v>3390.1399573324675</v>
      </c>
      <c r="BZ54" s="100">
        <v>7.924702096606608</v>
      </c>
      <c r="CA54" s="100">
        <v>2653.1902619438924</v>
      </c>
      <c r="CB54" s="100">
        <v>11.119721718335164</v>
      </c>
      <c r="CC54" s="100">
        <v>3722.8828312986129</v>
      </c>
      <c r="CD54" s="100">
        <v>14</v>
      </c>
      <c r="CE54" s="100">
        <v>4687.2</v>
      </c>
      <c r="CF54" s="100">
        <v>14.763966213369276</v>
      </c>
      <c r="CG54" s="100">
        <v>4942.9758882360338</v>
      </c>
      <c r="CH54" s="100">
        <v>12.445064712659134</v>
      </c>
      <c r="CI54" s="100">
        <v>4166.6076657982785</v>
      </c>
      <c r="CJ54" s="100">
        <v>14.682135681950394</v>
      </c>
      <c r="CK54" s="100">
        <v>4915.579026316992</v>
      </c>
      <c r="CL54" s="100">
        <v>9.9599807566190712</v>
      </c>
      <c r="CM54" s="100">
        <v>3334.6015573160653</v>
      </c>
      <c r="CN54" s="100">
        <v>10</v>
      </c>
      <c r="CO54" s="100">
        <v>3348</v>
      </c>
      <c r="CP54" s="100">
        <v>15</v>
      </c>
      <c r="CQ54" s="100">
        <v>5022</v>
      </c>
      <c r="CR54" s="100">
        <v>13.453537333243677</v>
      </c>
      <c r="CS54" s="100">
        <v>4504.2442991699836</v>
      </c>
      <c r="CT54" s="100">
        <v>10</v>
      </c>
      <c r="CU54" s="100">
        <v>3348</v>
      </c>
    </row>
    <row r="55" spans="2:99">
      <c r="C55" s="99" t="s">
        <v>221</v>
      </c>
      <c r="D55" s="100">
        <v>10</v>
      </c>
      <c r="E55" s="100">
        <v>6636</v>
      </c>
      <c r="F55" s="100">
        <v>16</v>
      </c>
      <c r="G55" s="100">
        <v>10617.6</v>
      </c>
      <c r="H55" s="100">
        <v>16.276634568824718</v>
      </c>
      <c r="I55" s="100">
        <v>10801.174699872083</v>
      </c>
      <c r="J55" s="100">
        <v>11</v>
      </c>
      <c r="K55" s="100">
        <v>7299.6</v>
      </c>
      <c r="L55" s="100">
        <v>16</v>
      </c>
      <c r="M55" s="100">
        <v>10617.6</v>
      </c>
      <c r="N55" s="100">
        <v>15.943661445653836</v>
      </c>
      <c r="O55" s="100">
        <v>10580.213735335887</v>
      </c>
      <c r="P55" s="100">
        <v>9.6389364639752237</v>
      </c>
      <c r="Q55" s="100">
        <v>6396.3982374939587</v>
      </c>
      <c r="R55" s="100">
        <v>13</v>
      </c>
      <c r="S55" s="100">
        <v>8626.8000000000011</v>
      </c>
      <c r="T55" s="100">
        <v>13</v>
      </c>
      <c r="U55" s="100">
        <v>8626.8000000000011</v>
      </c>
      <c r="V55" s="100">
        <v>8</v>
      </c>
      <c r="W55" s="100">
        <v>5308.8</v>
      </c>
      <c r="X55" s="100">
        <v>10.883471246947494</v>
      </c>
      <c r="Y55" s="100">
        <v>7222.2715194743569</v>
      </c>
      <c r="Z55" s="100">
        <v>10.99831342466296</v>
      </c>
      <c r="AA55" s="100">
        <v>7298.4807886063409</v>
      </c>
      <c r="AB55" s="100">
        <v>8.2791819946942162</v>
      </c>
      <c r="AC55" s="100">
        <v>5494.0651716790817</v>
      </c>
      <c r="AD55" s="100">
        <v>8.5687174903776118</v>
      </c>
      <c r="AE55" s="100">
        <v>5686.2009266145833</v>
      </c>
      <c r="AF55" s="100">
        <v>12.79245837724288</v>
      </c>
      <c r="AG55" s="100">
        <v>8489.0753791383759</v>
      </c>
      <c r="AH55" s="100">
        <v>10.354366310050708</v>
      </c>
      <c r="AI55" s="100">
        <v>6871.1574833496497</v>
      </c>
      <c r="AJ55" s="100">
        <v>15</v>
      </c>
      <c r="AK55" s="100">
        <v>9954</v>
      </c>
      <c r="AL55" s="100">
        <v>9</v>
      </c>
      <c r="AM55" s="100">
        <v>5972.4000000000005</v>
      </c>
      <c r="AN55" s="100">
        <v>10</v>
      </c>
      <c r="AO55" s="100">
        <v>6636</v>
      </c>
      <c r="AP55" s="100">
        <v>9</v>
      </c>
      <c r="AQ55" s="100">
        <v>5972.4000000000005</v>
      </c>
      <c r="AR55" s="100">
        <v>9.9382417133849543</v>
      </c>
      <c r="AS55" s="100">
        <v>6595.0172010022561</v>
      </c>
      <c r="AT55" s="100">
        <v>13</v>
      </c>
      <c r="AU55" s="100">
        <v>8626.8000000000011</v>
      </c>
      <c r="AV55" s="100">
        <v>10</v>
      </c>
      <c r="AW55" s="100">
        <v>6636</v>
      </c>
      <c r="AX55" s="100">
        <v>15</v>
      </c>
      <c r="AY55" s="100">
        <v>9954</v>
      </c>
      <c r="AZ55" s="100">
        <v>13.589799746011433</v>
      </c>
      <c r="BA55" s="100">
        <v>9018.1911114531867</v>
      </c>
      <c r="BB55" s="100">
        <v>11.806344470790503</v>
      </c>
      <c r="BC55" s="100">
        <v>7834.6901908165783</v>
      </c>
      <c r="BD55" s="100">
        <v>14</v>
      </c>
      <c r="BE55" s="100">
        <v>9290.4</v>
      </c>
      <c r="BF55" s="100">
        <v>12.225126837935377</v>
      </c>
      <c r="BG55" s="100">
        <v>8112.5941696539167</v>
      </c>
      <c r="BH55" s="100">
        <v>10</v>
      </c>
      <c r="BI55" s="100">
        <v>6636</v>
      </c>
      <c r="BJ55" s="100">
        <v>12.850546019525288</v>
      </c>
      <c r="BK55" s="100">
        <v>8527.622338556981</v>
      </c>
      <c r="BL55" s="100">
        <v>13.66908104271703</v>
      </c>
      <c r="BM55" s="100">
        <v>9070.8021799470207</v>
      </c>
      <c r="BN55" s="100">
        <v>13</v>
      </c>
      <c r="BO55" s="100">
        <v>8626.8000000000011</v>
      </c>
      <c r="BP55" s="100">
        <v>14.512354686350685</v>
      </c>
      <c r="BQ55" s="100">
        <v>9630.3985698623146</v>
      </c>
      <c r="BR55" s="100">
        <v>11.768594368565752</v>
      </c>
      <c r="BS55" s="100">
        <v>7809.6392229802332</v>
      </c>
      <c r="BT55" s="100">
        <v>11.641416622358268</v>
      </c>
      <c r="BU55" s="100">
        <v>7725.2440705969466</v>
      </c>
      <c r="BV55" s="100">
        <v>9</v>
      </c>
      <c r="BW55" s="100">
        <v>5972.4000000000005</v>
      </c>
      <c r="BX55" s="100">
        <v>9.2053327830250549</v>
      </c>
      <c r="BY55" s="100">
        <v>6108.6588348154264</v>
      </c>
      <c r="BZ55" s="100">
        <v>7.924702096606608</v>
      </c>
      <c r="CA55" s="100">
        <v>5258.8323113081451</v>
      </c>
      <c r="CB55" s="100">
        <v>9.5311900442872837</v>
      </c>
      <c r="CC55" s="100">
        <v>6324.8977133890421</v>
      </c>
      <c r="CD55" s="100">
        <v>13</v>
      </c>
      <c r="CE55" s="100">
        <v>8626.8000000000011</v>
      </c>
      <c r="CF55" s="100">
        <v>14.763966213369276</v>
      </c>
      <c r="CG55" s="100">
        <v>9797.3679791918512</v>
      </c>
      <c r="CH55" s="100">
        <v>11.667248168117938</v>
      </c>
      <c r="CI55" s="100">
        <v>7742.3858843630642</v>
      </c>
      <c r="CJ55" s="100">
        <v>11.929235241584694</v>
      </c>
      <c r="CK55" s="100">
        <v>7916.2405063156029</v>
      </c>
      <c r="CL55" s="100">
        <v>9.9599807566190712</v>
      </c>
      <c r="CM55" s="100">
        <v>6609.4432300924163</v>
      </c>
      <c r="CN55" s="100">
        <v>9</v>
      </c>
      <c r="CO55" s="100">
        <v>5972.4000000000005</v>
      </c>
      <c r="CP55" s="100">
        <v>14</v>
      </c>
      <c r="CQ55" s="100">
        <v>9290.4</v>
      </c>
      <c r="CR55" s="100">
        <v>14.414504285618225</v>
      </c>
      <c r="CS55" s="100">
        <v>9565.465043936254</v>
      </c>
      <c r="CT55" s="100">
        <v>10</v>
      </c>
      <c r="CU55" s="100">
        <v>6636</v>
      </c>
    </row>
    <row r="56" spans="2:99">
      <c r="C56" s="99" t="s">
        <v>222</v>
      </c>
      <c r="D56" s="100">
        <v>10</v>
      </c>
      <c r="E56" s="100">
        <v>9816</v>
      </c>
      <c r="F56" s="100">
        <v>14</v>
      </c>
      <c r="G56" s="100">
        <v>13742.399999999998</v>
      </c>
      <c r="H56" s="100">
        <v>16.278260869565219</v>
      </c>
      <c r="I56" s="100">
        <v>15978.740869565218</v>
      </c>
      <c r="J56" s="100">
        <v>8.92018779342723</v>
      </c>
      <c r="K56" s="100">
        <v>8756.0563380281674</v>
      </c>
      <c r="L56" s="100">
        <v>13.636363636363637</v>
      </c>
      <c r="M56" s="100">
        <v>13385.454545454544</v>
      </c>
      <c r="N56" s="100">
        <v>12.167487684729066</v>
      </c>
      <c r="O56" s="100">
        <v>11943.605911330051</v>
      </c>
      <c r="P56" s="100">
        <v>10</v>
      </c>
      <c r="Q56" s="100">
        <v>9816</v>
      </c>
      <c r="R56" s="100">
        <v>12</v>
      </c>
      <c r="S56" s="100">
        <v>11779.199999999999</v>
      </c>
      <c r="T56" s="100">
        <v>14</v>
      </c>
      <c r="U56" s="100">
        <v>13742.399999999998</v>
      </c>
      <c r="V56" s="100">
        <v>10</v>
      </c>
      <c r="W56" s="100">
        <v>9816</v>
      </c>
      <c r="X56" s="100">
        <v>13</v>
      </c>
      <c r="Y56" s="100">
        <v>12760.8</v>
      </c>
      <c r="Z56" s="100">
        <v>13</v>
      </c>
      <c r="AA56" s="100">
        <v>12760.8</v>
      </c>
      <c r="AB56" s="100">
        <v>13</v>
      </c>
      <c r="AC56" s="100">
        <v>12760.8</v>
      </c>
      <c r="AD56" s="100">
        <v>12</v>
      </c>
      <c r="AE56" s="100">
        <v>11779.199999999999</v>
      </c>
      <c r="AF56" s="100">
        <v>14</v>
      </c>
      <c r="AG56" s="100">
        <v>13742.399999999998</v>
      </c>
      <c r="AH56" s="100">
        <v>13</v>
      </c>
      <c r="AI56" s="100">
        <v>12760.8</v>
      </c>
      <c r="AJ56" s="100">
        <v>14</v>
      </c>
      <c r="AK56" s="100">
        <v>13742.399999999998</v>
      </c>
      <c r="AL56" s="100">
        <v>10</v>
      </c>
      <c r="AM56" s="100">
        <v>9816</v>
      </c>
      <c r="AN56" s="100">
        <v>10</v>
      </c>
      <c r="AO56" s="100">
        <v>9816</v>
      </c>
      <c r="AP56" s="100">
        <v>9</v>
      </c>
      <c r="AQ56" s="100">
        <v>8834.4</v>
      </c>
      <c r="AR56" s="100">
        <v>8</v>
      </c>
      <c r="AS56" s="100">
        <v>7852.7999999999993</v>
      </c>
      <c r="AT56" s="100">
        <v>13</v>
      </c>
      <c r="AU56" s="100">
        <v>12760.8</v>
      </c>
      <c r="AV56" s="100">
        <v>9</v>
      </c>
      <c r="AW56" s="100">
        <v>8834.4</v>
      </c>
      <c r="AX56" s="100">
        <v>15</v>
      </c>
      <c r="AY56" s="100">
        <v>14723.999999999998</v>
      </c>
      <c r="AZ56" s="100">
        <v>15</v>
      </c>
      <c r="BA56" s="100">
        <v>14723.999999999998</v>
      </c>
      <c r="BB56" s="100">
        <v>14</v>
      </c>
      <c r="BC56" s="100">
        <v>13742.399999999998</v>
      </c>
      <c r="BD56" s="100">
        <v>14</v>
      </c>
      <c r="BE56" s="100">
        <v>13742.399999999998</v>
      </c>
      <c r="BF56" s="100">
        <v>15</v>
      </c>
      <c r="BG56" s="100">
        <v>14723.999999999998</v>
      </c>
      <c r="BH56" s="100">
        <v>9</v>
      </c>
      <c r="BI56" s="100">
        <v>8834.4</v>
      </c>
      <c r="BJ56" s="100">
        <v>11</v>
      </c>
      <c r="BK56" s="100">
        <v>10797.599999999999</v>
      </c>
      <c r="BL56" s="100">
        <v>14</v>
      </c>
      <c r="BM56" s="100">
        <v>13742.399999999998</v>
      </c>
      <c r="BN56" s="100">
        <v>14</v>
      </c>
      <c r="BO56" s="100">
        <v>13742.399999999998</v>
      </c>
      <c r="BP56" s="100">
        <v>15</v>
      </c>
      <c r="BQ56" s="100">
        <v>14723.999999999998</v>
      </c>
      <c r="BR56" s="100">
        <v>15</v>
      </c>
      <c r="BS56" s="100">
        <v>14723.999999999998</v>
      </c>
      <c r="BT56" s="100">
        <v>13</v>
      </c>
      <c r="BU56" s="100">
        <v>12760.8</v>
      </c>
      <c r="BV56" s="100">
        <v>10</v>
      </c>
      <c r="BW56" s="100">
        <v>9816</v>
      </c>
      <c r="BX56" s="100">
        <v>9</v>
      </c>
      <c r="BY56" s="100">
        <v>8834.4</v>
      </c>
      <c r="BZ56" s="100">
        <v>9</v>
      </c>
      <c r="CA56" s="100">
        <v>8834.4</v>
      </c>
      <c r="CB56" s="100">
        <v>12</v>
      </c>
      <c r="CC56" s="100">
        <v>11779.199999999999</v>
      </c>
      <c r="CD56" s="100">
        <v>13</v>
      </c>
      <c r="CE56" s="100">
        <v>12760.8</v>
      </c>
      <c r="CF56" s="100">
        <v>17</v>
      </c>
      <c r="CG56" s="100">
        <v>16687.199999999997</v>
      </c>
      <c r="CH56" s="100">
        <v>17</v>
      </c>
      <c r="CI56" s="100">
        <v>16687.199999999997</v>
      </c>
      <c r="CJ56" s="100">
        <v>13</v>
      </c>
      <c r="CK56" s="100">
        <v>12760.8</v>
      </c>
      <c r="CL56" s="100">
        <v>12</v>
      </c>
      <c r="CM56" s="100">
        <v>11779.199999999999</v>
      </c>
      <c r="CN56" s="100">
        <v>10</v>
      </c>
      <c r="CO56" s="100">
        <v>9816</v>
      </c>
      <c r="CP56" s="100">
        <v>15</v>
      </c>
      <c r="CQ56" s="100">
        <v>14723.999999999998</v>
      </c>
      <c r="CR56" s="100">
        <v>14</v>
      </c>
      <c r="CS56" s="100">
        <v>13742.399999999998</v>
      </c>
      <c r="CT56" s="100">
        <v>9</v>
      </c>
      <c r="CU56" s="100">
        <v>8834.4</v>
      </c>
    </row>
    <row r="57" spans="2:99">
      <c r="C57" s="99" t="s">
        <v>223</v>
      </c>
      <c r="D57" s="100">
        <v>9</v>
      </c>
      <c r="E57" s="100">
        <v>12700.800000000001</v>
      </c>
      <c r="F57" s="100">
        <v>13</v>
      </c>
      <c r="G57" s="100">
        <v>18345.600000000002</v>
      </c>
      <c r="H57" s="100">
        <v>14.361736384257105</v>
      </c>
      <c r="I57" s="100">
        <v>20267.282385463626</v>
      </c>
      <c r="J57" s="100">
        <v>11</v>
      </c>
      <c r="K57" s="100">
        <v>15523.2</v>
      </c>
      <c r="L57" s="100">
        <v>15</v>
      </c>
      <c r="M57" s="100">
        <v>21168</v>
      </c>
      <c r="N57" s="100">
        <v>12.954224924593742</v>
      </c>
      <c r="O57" s="100">
        <v>18281.002213586689</v>
      </c>
      <c r="P57" s="100">
        <v>8.675042817577701</v>
      </c>
      <c r="Q57" s="100">
        <v>12242.220424165653</v>
      </c>
      <c r="R57" s="100">
        <v>12</v>
      </c>
      <c r="S57" s="100">
        <v>16934.400000000001</v>
      </c>
      <c r="T57" s="100">
        <v>13</v>
      </c>
      <c r="U57" s="100">
        <v>18345.600000000002</v>
      </c>
      <c r="V57" s="100">
        <v>8</v>
      </c>
      <c r="W57" s="100">
        <v>11289.6</v>
      </c>
      <c r="X57" s="100">
        <v>12.862284200937946</v>
      </c>
      <c r="Y57" s="100">
        <v>18151.255464363629</v>
      </c>
      <c r="Z57" s="100">
        <v>11.84433753425242</v>
      </c>
      <c r="AA57" s="100">
        <v>16714.729128337014</v>
      </c>
      <c r="AB57" s="100">
        <v>7.6423218412561997</v>
      </c>
      <c r="AC57" s="100">
        <v>10784.844582380749</v>
      </c>
      <c r="AD57" s="100">
        <v>7.7897431730705549</v>
      </c>
      <c r="AE57" s="100">
        <v>10992.885565837167</v>
      </c>
      <c r="AF57" s="100">
        <v>12.039960825640357</v>
      </c>
      <c r="AG57" s="100">
        <v>16990.792717143671</v>
      </c>
      <c r="AH57" s="100">
        <v>10.354366310050708</v>
      </c>
      <c r="AI57" s="100">
        <v>14612.081736743559</v>
      </c>
      <c r="AJ57" s="100">
        <v>15</v>
      </c>
      <c r="AK57" s="100">
        <v>21168</v>
      </c>
      <c r="AL57" s="100">
        <v>9</v>
      </c>
      <c r="AM57" s="100">
        <v>12700.800000000001</v>
      </c>
      <c r="AN57" s="100">
        <v>10</v>
      </c>
      <c r="AO57" s="100">
        <v>14112</v>
      </c>
      <c r="AP57" s="100">
        <v>9</v>
      </c>
      <c r="AQ57" s="100">
        <v>12700.800000000001</v>
      </c>
      <c r="AR57" s="100">
        <v>7.9505933707079643</v>
      </c>
      <c r="AS57" s="100">
        <v>11219.877364743079</v>
      </c>
      <c r="AT57" s="100">
        <v>12</v>
      </c>
      <c r="AU57" s="100">
        <v>16934.400000000001</v>
      </c>
      <c r="AV57" s="100">
        <v>9</v>
      </c>
      <c r="AW57" s="100">
        <v>12700.800000000001</v>
      </c>
      <c r="AX57" s="100">
        <v>13</v>
      </c>
      <c r="AY57" s="100">
        <v>18345.600000000002</v>
      </c>
      <c r="AZ57" s="100">
        <v>13.589799746011433</v>
      </c>
      <c r="BA57" s="100">
        <v>19177.925401571334</v>
      </c>
      <c r="BB57" s="100">
        <v>11.806344470790503</v>
      </c>
      <c r="BC57" s="100">
        <v>16661.113317179559</v>
      </c>
      <c r="BD57" s="100">
        <v>12</v>
      </c>
      <c r="BE57" s="100">
        <v>16934.400000000001</v>
      </c>
      <c r="BF57" s="100">
        <v>11.461056410564415</v>
      </c>
      <c r="BG57" s="100">
        <v>16173.842806588504</v>
      </c>
      <c r="BH57" s="100">
        <v>9</v>
      </c>
      <c r="BI57" s="100">
        <v>12700.800000000001</v>
      </c>
      <c r="BJ57" s="100">
        <v>10.873538939598319</v>
      </c>
      <c r="BK57" s="100">
        <v>15344.738151561149</v>
      </c>
      <c r="BL57" s="100">
        <v>12.757808973202561</v>
      </c>
      <c r="BM57" s="100">
        <v>18003.820022983455</v>
      </c>
      <c r="BN57" s="100">
        <v>13</v>
      </c>
      <c r="BO57" s="100">
        <v>18345.600000000002</v>
      </c>
      <c r="BP57" s="100">
        <v>14.512354686350685</v>
      </c>
      <c r="BQ57" s="100">
        <v>20479.834933378086</v>
      </c>
      <c r="BR57" s="100">
        <v>12.609208252034735</v>
      </c>
      <c r="BS57" s="100">
        <v>17794.114685271419</v>
      </c>
      <c r="BT57" s="100">
        <v>12.611534674221458</v>
      </c>
      <c r="BU57" s="100">
        <v>17797.397732261321</v>
      </c>
      <c r="BV57" s="100">
        <v>8</v>
      </c>
      <c r="BW57" s="100">
        <v>11289.6</v>
      </c>
      <c r="BX57" s="100">
        <v>9.2053327830250549</v>
      </c>
      <c r="BY57" s="100">
        <v>12990.565623404958</v>
      </c>
      <c r="BZ57" s="100">
        <v>7.1322318869459469</v>
      </c>
      <c r="CA57" s="100">
        <v>10065.00563885812</v>
      </c>
      <c r="CB57" s="100">
        <v>10.325455881311223</v>
      </c>
      <c r="CC57" s="100">
        <v>14571.283339706399</v>
      </c>
      <c r="CD57" s="100">
        <v>13</v>
      </c>
      <c r="CE57" s="100">
        <v>18345.600000000002</v>
      </c>
      <c r="CF57" s="100">
        <v>14.763966213369276</v>
      </c>
      <c r="CG57" s="100">
        <v>20834.909120306722</v>
      </c>
      <c r="CH57" s="100">
        <v>11.667248168117938</v>
      </c>
      <c r="CI57" s="100">
        <v>16464.820614848035</v>
      </c>
      <c r="CJ57" s="100">
        <v>11.929235241584694</v>
      </c>
      <c r="CK57" s="100">
        <v>16834.536772924319</v>
      </c>
      <c r="CL57" s="100">
        <v>9.1299823602341483</v>
      </c>
      <c r="CM57" s="100">
        <v>12884.23110676243</v>
      </c>
      <c r="CN57" s="100">
        <v>9</v>
      </c>
      <c r="CO57" s="100">
        <v>12700.800000000001</v>
      </c>
      <c r="CP57" s="100">
        <v>13</v>
      </c>
      <c r="CQ57" s="100">
        <v>18345.600000000002</v>
      </c>
      <c r="CR57" s="100">
        <v>14.414504285618225</v>
      </c>
      <c r="CS57" s="100">
        <v>20341.74844786444</v>
      </c>
      <c r="CT57" s="100">
        <v>9</v>
      </c>
      <c r="CU57" s="100">
        <v>12700.800000000001</v>
      </c>
    </row>
    <row r="58" spans="2:99">
      <c r="C58" s="99" t="s">
        <v>224</v>
      </c>
      <c r="D58" s="100">
        <v>9</v>
      </c>
      <c r="E58" s="100">
        <v>10594.800000000001</v>
      </c>
      <c r="F58" s="100">
        <v>14</v>
      </c>
      <c r="G58" s="100">
        <v>16480.8</v>
      </c>
      <c r="H58" s="100">
        <v>17</v>
      </c>
      <c r="I58" s="100">
        <v>20012.400000000001</v>
      </c>
      <c r="J58" s="100">
        <v>9</v>
      </c>
      <c r="K58" s="100">
        <v>10594.800000000001</v>
      </c>
      <c r="L58" s="100">
        <v>16</v>
      </c>
      <c r="M58" s="100">
        <v>18835.2</v>
      </c>
      <c r="N58" s="100">
        <v>13</v>
      </c>
      <c r="O58" s="100">
        <v>15303.6</v>
      </c>
      <c r="P58" s="100">
        <v>9</v>
      </c>
      <c r="Q58" s="100">
        <v>10594.800000000001</v>
      </c>
      <c r="R58" s="100">
        <v>13</v>
      </c>
      <c r="S58" s="100">
        <v>15303.6</v>
      </c>
      <c r="T58" s="100">
        <v>14</v>
      </c>
      <c r="U58" s="100">
        <v>16480.8</v>
      </c>
      <c r="V58" s="100">
        <v>8</v>
      </c>
      <c r="W58" s="100">
        <v>9417.6</v>
      </c>
      <c r="X58" s="100">
        <v>12</v>
      </c>
      <c r="Y58" s="100">
        <v>14126.400000000001</v>
      </c>
      <c r="Z58" s="100">
        <v>15</v>
      </c>
      <c r="AA58" s="100">
        <v>17658</v>
      </c>
      <c r="AB58" s="100">
        <v>13</v>
      </c>
      <c r="AC58" s="100">
        <v>15303.6</v>
      </c>
      <c r="AD58" s="100">
        <v>11</v>
      </c>
      <c r="AE58" s="100">
        <v>12949.2</v>
      </c>
      <c r="AF58" s="100">
        <v>15</v>
      </c>
      <c r="AG58" s="100">
        <v>17658</v>
      </c>
      <c r="AH58" s="100">
        <v>13</v>
      </c>
      <c r="AI58" s="100">
        <v>15303.6</v>
      </c>
      <c r="AJ58" s="100">
        <v>14</v>
      </c>
      <c r="AK58" s="100">
        <v>16480.8</v>
      </c>
      <c r="AL58" s="100">
        <v>9</v>
      </c>
      <c r="AM58" s="100">
        <v>10594.800000000001</v>
      </c>
      <c r="AN58" s="100">
        <v>10</v>
      </c>
      <c r="AO58" s="100">
        <v>11772</v>
      </c>
      <c r="AP58" s="100">
        <v>10</v>
      </c>
      <c r="AQ58" s="100">
        <v>11772</v>
      </c>
      <c r="AR58" s="100">
        <v>10</v>
      </c>
      <c r="AS58" s="100">
        <v>11772</v>
      </c>
      <c r="AT58" s="100">
        <v>12</v>
      </c>
      <c r="AU58" s="100">
        <v>14126.400000000001</v>
      </c>
      <c r="AV58" s="100">
        <v>9</v>
      </c>
      <c r="AW58" s="100">
        <v>10594.800000000001</v>
      </c>
      <c r="AX58" s="100">
        <v>13</v>
      </c>
      <c r="AY58" s="100">
        <v>15303.6</v>
      </c>
      <c r="AZ58" s="100">
        <v>14</v>
      </c>
      <c r="BA58" s="100">
        <v>16480.8</v>
      </c>
      <c r="BB58" s="100">
        <v>13</v>
      </c>
      <c r="BC58" s="100">
        <v>15303.6</v>
      </c>
      <c r="BD58" s="100">
        <v>12</v>
      </c>
      <c r="BE58" s="100">
        <v>14126.400000000001</v>
      </c>
      <c r="BF58" s="100">
        <v>16</v>
      </c>
      <c r="BG58" s="100">
        <v>18835.2</v>
      </c>
      <c r="BH58" s="100">
        <v>8</v>
      </c>
      <c r="BI58" s="100">
        <v>9417.6</v>
      </c>
      <c r="BJ58" s="100">
        <v>11</v>
      </c>
      <c r="BK58" s="100">
        <v>12949.2</v>
      </c>
      <c r="BL58" s="100">
        <v>13</v>
      </c>
      <c r="BM58" s="100">
        <v>15303.6</v>
      </c>
      <c r="BN58" s="100">
        <v>14</v>
      </c>
      <c r="BO58" s="100">
        <v>16480.8</v>
      </c>
      <c r="BP58" s="100">
        <v>17</v>
      </c>
      <c r="BQ58" s="100">
        <v>20012.400000000001</v>
      </c>
      <c r="BR58" s="100">
        <v>14</v>
      </c>
      <c r="BS58" s="100">
        <v>16480.8</v>
      </c>
      <c r="BT58" s="100">
        <v>13</v>
      </c>
      <c r="BU58" s="100">
        <v>15303.6</v>
      </c>
      <c r="BV58" s="100">
        <v>10</v>
      </c>
      <c r="BW58" s="100">
        <v>11772</v>
      </c>
      <c r="BX58" s="100">
        <v>10</v>
      </c>
      <c r="BY58" s="100">
        <v>11772</v>
      </c>
      <c r="BZ58" s="100">
        <v>10</v>
      </c>
      <c r="CA58" s="100">
        <v>11772</v>
      </c>
      <c r="CB58" s="100">
        <v>13</v>
      </c>
      <c r="CC58" s="100">
        <v>15303.6</v>
      </c>
      <c r="CD58" s="100">
        <v>14</v>
      </c>
      <c r="CE58" s="100">
        <v>16480.8</v>
      </c>
      <c r="CF58" s="100">
        <v>16</v>
      </c>
      <c r="CG58" s="100">
        <v>18835.2</v>
      </c>
      <c r="CH58" s="100">
        <v>15</v>
      </c>
      <c r="CI58" s="100">
        <v>17658</v>
      </c>
      <c r="CJ58" s="100">
        <v>12</v>
      </c>
      <c r="CK58" s="100">
        <v>14126.400000000001</v>
      </c>
      <c r="CL58" s="100">
        <v>11</v>
      </c>
      <c r="CM58" s="100">
        <v>12949.2</v>
      </c>
      <c r="CN58" s="100">
        <v>9</v>
      </c>
      <c r="CO58" s="100">
        <v>10594.800000000001</v>
      </c>
      <c r="CP58" s="100">
        <v>14</v>
      </c>
      <c r="CQ58" s="100">
        <v>16480.8</v>
      </c>
      <c r="CR58" s="100">
        <v>13</v>
      </c>
      <c r="CS58" s="100">
        <v>15303.6</v>
      </c>
      <c r="CT58" s="100">
        <v>10</v>
      </c>
      <c r="CU58" s="100">
        <v>11772</v>
      </c>
    </row>
    <row r="59" spans="2:99">
      <c r="C59" s="99" t="s">
        <v>225</v>
      </c>
      <c r="D59" s="100">
        <v>9</v>
      </c>
      <c r="E59" s="100">
        <v>2732.3999999999996</v>
      </c>
      <c r="F59" s="100">
        <v>15</v>
      </c>
      <c r="G59" s="100">
        <v>4553.9999999999991</v>
      </c>
      <c r="H59" s="100">
        <v>16.276634568824718</v>
      </c>
      <c r="I59" s="100">
        <v>4941.5862550951842</v>
      </c>
      <c r="J59" s="100">
        <v>11</v>
      </c>
      <c r="K59" s="100">
        <v>3339.5999999999995</v>
      </c>
      <c r="L59" s="100">
        <v>16</v>
      </c>
      <c r="M59" s="100">
        <v>4857.5999999999995</v>
      </c>
      <c r="N59" s="100">
        <v>15.943661445653836</v>
      </c>
      <c r="O59" s="100">
        <v>4840.4956149005038</v>
      </c>
      <c r="P59" s="100">
        <v>11.566723756770267</v>
      </c>
      <c r="Q59" s="100">
        <v>3511.6573325554527</v>
      </c>
      <c r="R59" s="100">
        <v>14</v>
      </c>
      <c r="S59" s="100">
        <v>4250.3999999999996</v>
      </c>
      <c r="T59" s="100">
        <v>14</v>
      </c>
      <c r="U59" s="100">
        <v>4250.3999999999996</v>
      </c>
      <c r="V59" s="100">
        <v>9</v>
      </c>
      <c r="W59" s="100">
        <v>2732.3999999999996</v>
      </c>
      <c r="X59" s="100">
        <v>12.862284200937946</v>
      </c>
      <c r="Y59" s="100">
        <v>3904.98948340476</v>
      </c>
      <c r="Z59" s="100">
        <v>11.84433753425242</v>
      </c>
      <c r="AA59" s="100">
        <v>3595.9408753990342</v>
      </c>
      <c r="AB59" s="100">
        <v>9.5529023015702492</v>
      </c>
      <c r="AC59" s="100">
        <v>2900.2611387567272</v>
      </c>
      <c r="AD59" s="100">
        <v>9.3476918076846669</v>
      </c>
      <c r="AE59" s="100">
        <v>2837.9592328130648</v>
      </c>
      <c r="AF59" s="100">
        <v>11.287463274037835</v>
      </c>
      <c r="AG59" s="100">
        <v>3426.8738499978863</v>
      </c>
      <c r="AH59" s="100">
        <v>10.354366310050708</v>
      </c>
      <c r="AI59" s="100">
        <v>3143.5856117313942</v>
      </c>
      <c r="AJ59" s="100">
        <v>14</v>
      </c>
      <c r="AK59" s="100">
        <v>4250.3999999999996</v>
      </c>
      <c r="AL59" s="100">
        <v>10</v>
      </c>
      <c r="AM59" s="100">
        <v>3035.9999999999995</v>
      </c>
      <c r="AN59" s="100">
        <v>11</v>
      </c>
      <c r="AO59" s="100">
        <v>3339.5999999999995</v>
      </c>
      <c r="AP59" s="100">
        <v>11</v>
      </c>
      <c r="AQ59" s="100">
        <v>3339.5999999999995</v>
      </c>
      <c r="AR59" s="100">
        <v>9.9382417133849543</v>
      </c>
      <c r="AS59" s="100">
        <v>3017.250184183672</v>
      </c>
      <c r="AT59" s="100">
        <v>13</v>
      </c>
      <c r="AU59" s="100">
        <v>3946.7999999999997</v>
      </c>
      <c r="AV59" s="100">
        <v>11</v>
      </c>
      <c r="AW59" s="100">
        <v>3339.5999999999995</v>
      </c>
      <c r="AX59" s="100">
        <v>14</v>
      </c>
      <c r="AY59" s="100">
        <v>4250.3999999999996</v>
      </c>
      <c r="AZ59" s="100">
        <v>13.589799746011433</v>
      </c>
      <c r="BA59" s="100">
        <v>4125.8632028890706</v>
      </c>
      <c r="BB59" s="100">
        <v>13.492965109474859</v>
      </c>
      <c r="BC59" s="100">
        <v>4096.4642072365668</v>
      </c>
      <c r="BD59" s="100">
        <v>13</v>
      </c>
      <c r="BE59" s="100">
        <v>3946.7999999999997</v>
      </c>
      <c r="BF59" s="100">
        <v>13.7532676926773</v>
      </c>
      <c r="BG59" s="100">
        <v>4175.4920714968275</v>
      </c>
      <c r="BH59" s="100">
        <v>11</v>
      </c>
      <c r="BI59" s="100">
        <v>3339.5999999999995</v>
      </c>
      <c r="BJ59" s="100">
        <v>11.862042479561804</v>
      </c>
      <c r="BK59" s="100">
        <v>3601.3160967949634</v>
      </c>
      <c r="BL59" s="100">
        <v>14.580353112231499</v>
      </c>
      <c r="BM59" s="100">
        <v>4426.5952048734825</v>
      </c>
      <c r="BN59" s="100">
        <v>14</v>
      </c>
      <c r="BO59" s="100">
        <v>4250.3999999999996</v>
      </c>
      <c r="BP59" s="100">
        <v>14.512354686350685</v>
      </c>
      <c r="BQ59" s="100">
        <v>4405.9508827760674</v>
      </c>
      <c r="BR59" s="100">
        <v>14.290436018972699</v>
      </c>
      <c r="BS59" s="100">
        <v>4338.5763753601104</v>
      </c>
      <c r="BT59" s="100">
        <v>14.551770777947835</v>
      </c>
      <c r="BU59" s="100">
        <v>4417.9176081849619</v>
      </c>
      <c r="BV59" s="100">
        <v>11</v>
      </c>
      <c r="BW59" s="100">
        <v>3339.5999999999995</v>
      </c>
      <c r="BX59" s="100">
        <v>11.046399339630065</v>
      </c>
      <c r="BY59" s="100">
        <v>3353.6868395116876</v>
      </c>
      <c r="BZ59" s="100">
        <v>7.924702096606608</v>
      </c>
      <c r="CA59" s="100">
        <v>2405.9395565297659</v>
      </c>
      <c r="CB59" s="100">
        <v>9.5311900442872837</v>
      </c>
      <c r="CC59" s="100">
        <v>2893.6692974456191</v>
      </c>
      <c r="CD59" s="100">
        <v>13</v>
      </c>
      <c r="CE59" s="100">
        <v>3946.7999999999997</v>
      </c>
      <c r="CF59" s="100">
        <v>15.686714101704855</v>
      </c>
      <c r="CG59" s="100">
        <v>4762.4864012775934</v>
      </c>
      <c r="CH59" s="100">
        <v>12.445064712659134</v>
      </c>
      <c r="CI59" s="100">
        <v>3778.3216467633124</v>
      </c>
      <c r="CJ59" s="100">
        <v>14.682135681950394</v>
      </c>
      <c r="CK59" s="100">
        <v>4457.4963930401391</v>
      </c>
      <c r="CL59" s="100">
        <v>10.789979153003992</v>
      </c>
      <c r="CM59" s="100">
        <v>3275.8376708520118</v>
      </c>
      <c r="CN59" s="100">
        <v>11</v>
      </c>
      <c r="CO59" s="100">
        <v>3339.5999999999995</v>
      </c>
      <c r="CP59" s="100">
        <v>14</v>
      </c>
      <c r="CQ59" s="100">
        <v>4250.3999999999996</v>
      </c>
      <c r="CR59" s="100">
        <v>13.453537333243677</v>
      </c>
      <c r="CS59" s="100">
        <v>4084.4939343727797</v>
      </c>
      <c r="CT59" s="100">
        <v>9</v>
      </c>
      <c r="CU59" s="100">
        <v>2732.3999999999996</v>
      </c>
    </row>
    <row r="60" spans="2:99">
      <c r="C60" s="99" t="s">
        <v>226</v>
      </c>
      <c r="D60" s="100">
        <v>9</v>
      </c>
      <c r="E60" s="100">
        <v>5864.4000000000005</v>
      </c>
      <c r="F60" s="100">
        <v>15</v>
      </c>
      <c r="G60" s="100">
        <v>9774</v>
      </c>
      <c r="H60" s="100">
        <v>15.319185476540911</v>
      </c>
      <c r="I60" s="100">
        <v>9981.9812565140583</v>
      </c>
      <c r="J60" s="100">
        <v>11</v>
      </c>
      <c r="K60" s="100">
        <v>7167.6</v>
      </c>
      <c r="L60" s="100">
        <v>17</v>
      </c>
      <c r="M60" s="100">
        <v>11077.2</v>
      </c>
      <c r="N60" s="100">
        <v>13.950703764947107</v>
      </c>
      <c r="O60" s="100">
        <v>9090.278573239535</v>
      </c>
      <c r="P60" s="100">
        <v>8.675042817577701</v>
      </c>
      <c r="Q60" s="100">
        <v>5652.6578999336298</v>
      </c>
      <c r="R60" s="100">
        <v>13</v>
      </c>
      <c r="S60" s="100">
        <v>8470.8000000000011</v>
      </c>
      <c r="T60" s="100">
        <v>13</v>
      </c>
      <c r="U60" s="100">
        <v>8470.8000000000011</v>
      </c>
      <c r="V60" s="100">
        <v>10</v>
      </c>
      <c r="W60" s="100">
        <v>6516</v>
      </c>
      <c r="X60" s="100">
        <v>10.883471246947494</v>
      </c>
      <c r="Y60" s="100">
        <v>7091.6698645109873</v>
      </c>
      <c r="Z60" s="100">
        <v>11.84433753425242</v>
      </c>
      <c r="AA60" s="100">
        <v>7717.770337318877</v>
      </c>
      <c r="AB60" s="100">
        <v>8.2791819946942162</v>
      </c>
      <c r="AC60" s="100">
        <v>5394.7149877427519</v>
      </c>
      <c r="AD60" s="100">
        <v>9.3476918076846669</v>
      </c>
      <c r="AE60" s="100">
        <v>6090.9559818873295</v>
      </c>
      <c r="AF60" s="100">
        <v>12.79245837724288</v>
      </c>
      <c r="AG60" s="100">
        <v>8335.5658786114618</v>
      </c>
      <c r="AH60" s="100">
        <v>10.354366310050708</v>
      </c>
      <c r="AI60" s="100">
        <v>6746.9050876290412</v>
      </c>
      <c r="AJ60" s="100">
        <v>16</v>
      </c>
      <c r="AK60" s="100">
        <v>10425.6</v>
      </c>
      <c r="AL60" s="100">
        <v>10</v>
      </c>
      <c r="AM60" s="100">
        <v>6516</v>
      </c>
      <c r="AN60" s="100">
        <v>9</v>
      </c>
      <c r="AO60" s="100">
        <v>5864.4000000000005</v>
      </c>
      <c r="AP60" s="100">
        <v>10</v>
      </c>
      <c r="AQ60" s="100">
        <v>6516</v>
      </c>
      <c r="AR60" s="100">
        <v>8.9444175420464589</v>
      </c>
      <c r="AS60" s="100">
        <v>5828.1824703974726</v>
      </c>
      <c r="AT60" s="100">
        <v>15</v>
      </c>
      <c r="AU60" s="100">
        <v>9774</v>
      </c>
      <c r="AV60" s="100">
        <v>10</v>
      </c>
      <c r="AW60" s="100">
        <v>6516</v>
      </c>
      <c r="AX60" s="100">
        <v>14</v>
      </c>
      <c r="AY60" s="100">
        <v>9122.4</v>
      </c>
      <c r="AZ60" s="100">
        <v>15.401773045479628</v>
      </c>
      <c r="BA60" s="100">
        <v>10035.795316434525</v>
      </c>
      <c r="BB60" s="100">
        <v>12.649654790132681</v>
      </c>
      <c r="BC60" s="100">
        <v>8242.5150612504549</v>
      </c>
      <c r="BD60" s="100">
        <v>15</v>
      </c>
      <c r="BE60" s="100">
        <v>9774</v>
      </c>
      <c r="BF60" s="100">
        <v>12.989197265306338</v>
      </c>
      <c r="BG60" s="100">
        <v>8463.7609380736103</v>
      </c>
      <c r="BH60" s="100">
        <v>10</v>
      </c>
      <c r="BI60" s="100">
        <v>6516</v>
      </c>
      <c r="BJ60" s="100">
        <v>12.850546019525288</v>
      </c>
      <c r="BK60" s="100">
        <v>8373.4157863226774</v>
      </c>
      <c r="BL60" s="100">
        <v>13.66908104271703</v>
      </c>
      <c r="BM60" s="100">
        <v>8906.7732074344167</v>
      </c>
      <c r="BN60" s="100">
        <v>13</v>
      </c>
      <c r="BO60" s="100">
        <v>8470.8000000000011</v>
      </c>
      <c r="BP60" s="100">
        <v>13.605332518453766</v>
      </c>
      <c r="BQ60" s="100">
        <v>8865.234669024474</v>
      </c>
      <c r="BR60" s="100">
        <v>12.609208252034735</v>
      </c>
      <c r="BS60" s="100">
        <v>8216.1600970258332</v>
      </c>
      <c r="BT60" s="100">
        <v>14.551770777947835</v>
      </c>
      <c r="BU60" s="100">
        <v>9481.9338389108107</v>
      </c>
      <c r="BV60" s="100">
        <v>10</v>
      </c>
      <c r="BW60" s="100">
        <v>6516</v>
      </c>
      <c r="BX60" s="100">
        <v>8.2847995047225496</v>
      </c>
      <c r="BY60" s="100">
        <v>5398.3753572772139</v>
      </c>
      <c r="BZ60" s="100">
        <v>7.1322318869459469</v>
      </c>
      <c r="CA60" s="100">
        <v>4647.3622975339795</v>
      </c>
      <c r="CB60" s="100">
        <v>11.119721718335164</v>
      </c>
      <c r="CC60" s="100">
        <v>7245.6106716671929</v>
      </c>
      <c r="CD60" s="100">
        <v>13</v>
      </c>
      <c r="CE60" s="100">
        <v>8470.8000000000011</v>
      </c>
      <c r="CF60" s="100">
        <v>14.763966213369276</v>
      </c>
      <c r="CG60" s="100">
        <v>9620.2003846314201</v>
      </c>
      <c r="CH60" s="100">
        <v>11.667248168117938</v>
      </c>
      <c r="CI60" s="100">
        <v>7602.3789063456488</v>
      </c>
      <c r="CJ60" s="100">
        <v>11.929235241584694</v>
      </c>
      <c r="CK60" s="100">
        <v>7773.0896834165869</v>
      </c>
      <c r="CL60" s="100">
        <v>10.789979153003992</v>
      </c>
      <c r="CM60" s="100">
        <v>7030.7504160974013</v>
      </c>
      <c r="CN60" s="100">
        <v>10</v>
      </c>
      <c r="CO60" s="100">
        <v>6516</v>
      </c>
      <c r="CP60" s="100">
        <v>15</v>
      </c>
      <c r="CQ60" s="100">
        <v>9774</v>
      </c>
      <c r="CR60" s="100">
        <v>15.375471237992771</v>
      </c>
      <c r="CS60" s="100">
        <v>10018.65705867609</v>
      </c>
      <c r="CT60" s="100">
        <v>9</v>
      </c>
      <c r="CU60" s="100">
        <v>5864.4000000000005</v>
      </c>
    </row>
    <row r="61" spans="2:99">
      <c r="C61" s="99" t="s">
        <v>227</v>
      </c>
      <c r="D61" s="100">
        <v>10</v>
      </c>
      <c r="E61" s="100">
        <v>9516</v>
      </c>
      <c r="F61" s="100">
        <v>13</v>
      </c>
      <c r="G61" s="100">
        <v>12370.8</v>
      </c>
      <c r="H61" s="100">
        <v>15.319185476540911</v>
      </c>
      <c r="I61" s="100">
        <v>14577.736899476329</v>
      </c>
      <c r="J61" s="100">
        <v>10</v>
      </c>
      <c r="K61" s="100">
        <v>9516</v>
      </c>
      <c r="L61" s="100">
        <v>15</v>
      </c>
      <c r="M61" s="100">
        <v>14273.999999999998</v>
      </c>
      <c r="N61" s="100">
        <v>12.954224924593742</v>
      </c>
      <c r="O61" s="100">
        <v>12327.240438243403</v>
      </c>
      <c r="P61" s="100">
        <v>9.6389364639752237</v>
      </c>
      <c r="Q61" s="100">
        <v>9172.4119391188215</v>
      </c>
      <c r="R61" s="100">
        <v>13</v>
      </c>
      <c r="S61" s="100">
        <v>12370.8</v>
      </c>
      <c r="T61" s="100">
        <v>13</v>
      </c>
      <c r="U61" s="100">
        <v>12370.8</v>
      </c>
      <c r="V61" s="100">
        <v>10</v>
      </c>
      <c r="W61" s="100">
        <v>9516</v>
      </c>
      <c r="X61" s="100">
        <v>10.883471246947494</v>
      </c>
      <c r="Y61" s="100">
        <v>10356.711238595233</v>
      </c>
      <c r="Z61" s="100">
        <v>12.690361643841877</v>
      </c>
      <c r="AA61" s="100">
        <v>12076.148140279929</v>
      </c>
      <c r="AB61" s="100">
        <v>8.2791819946942162</v>
      </c>
      <c r="AC61" s="100">
        <v>7878.4695861510154</v>
      </c>
      <c r="AD61" s="100">
        <v>8.5687174903776118</v>
      </c>
      <c r="AE61" s="100">
        <v>8153.9915638433349</v>
      </c>
      <c r="AF61" s="100">
        <v>10.534965722435313</v>
      </c>
      <c r="AG61" s="100">
        <v>10025.073381469443</v>
      </c>
      <c r="AH61" s="100">
        <v>10.354366310050708</v>
      </c>
      <c r="AI61" s="100">
        <v>9853.2149806442521</v>
      </c>
      <c r="AJ61" s="100">
        <v>15</v>
      </c>
      <c r="AK61" s="100">
        <v>14273.999999999998</v>
      </c>
      <c r="AL61" s="100">
        <v>9</v>
      </c>
      <c r="AM61" s="100">
        <v>8564.4</v>
      </c>
      <c r="AN61" s="100">
        <v>9</v>
      </c>
      <c r="AO61" s="100">
        <v>8564.4</v>
      </c>
      <c r="AP61" s="100">
        <v>10</v>
      </c>
      <c r="AQ61" s="100">
        <v>9516</v>
      </c>
      <c r="AR61" s="100">
        <v>9.9382417133849543</v>
      </c>
      <c r="AS61" s="100">
        <v>9457.2308144571216</v>
      </c>
      <c r="AT61" s="100">
        <v>12</v>
      </c>
      <c r="AU61" s="100">
        <v>11419.199999999999</v>
      </c>
      <c r="AV61" s="100">
        <v>9</v>
      </c>
      <c r="AW61" s="100">
        <v>8564.4</v>
      </c>
      <c r="AX61" s="100">
        <v>14</v>
      </c>
      <c r="AY61" s="100">
        <v>13322.399999999998</v>
      </c>
      <c r="AZ61" s="100">
        <v>14.49578639574553</v>
      </c>
      <c r="BA61" s="100">
        <v>13794.190334191444</v>
      </c>
      <c r="BB61" s="100">
        <v>12.649654790132681</v>
      </c>
      <c r="BC61" s="100">
        <v>12037.411498290257</v>
      </c>
      <c r="BD61" s="100">
        <v>15</v>
      </c>
      <c r="BE61" s="100">
        <v>14273.999999999998</v>
      </c>
      <c r="BF61" s="100">
        <v>12.225126837935377</v>
      </c>
      <c r="BG61" s="100">
        <v>11633.430698979304</v>
      </c>
      <c r="BH61" s="100">
        <v>10</v>
      </c>
      <c r="BI61" s="100">
        <v>9516</v>
      </c>
      <c r="BJ61" s="100">
        <v>10.873538939598319</v>
      </c>
      <c r="BK61" s="100">
        <v>10347.25965492176</v>
      </c>
      <c r="BL61" s="100">
        <v>11.846536903688094</v>
      </c>
      <c r="BM61" s="100">
        <v>11273.164517549589</v>
      </c>
      <c r="BN61" s="100">
        <v>14</v>
      </c>
      <c r="BO61" s="100">
        <v>13322.399999999998</v>
      </c>
      <c r="BP61" s="100">
        <v>14.512354686350685</v>
      </c>
      <c r="BQ61" s="100">
        <v>13809.95671953131</v>
      </c>
      <c r="BR61" s="100">
        <v>13.449822135503716</v>
      </c>
      <c r="BS61" s="100">
        <v>12798.850744145335</v>
      </c>
      <c r="BT61" s="100">
        <v>13.581652726084647</v>
      </c>
      <c r="BU61" s="100">
        <v>12924.300734142149</v>
      </c>
      <c r="BV61" s="100">
        <v>10</v>
      </c>
      <c r="BW61" s="100">
        <v>9516</v>
      </c>
      <c r="BX61" s="100">
        <v>9.2053327830250549</v>
      </c>
      <c r="BY61" s="100">
        <v>8759.7946763266409</v>
      </c>
      <c r="BZ61" s="100">
        <v>7.1322318869459469</v>
      </c>
      <c r="CA61" s="100">
        <v>6787.0318636177626</v>
      </c>
      <c r="CB61" s="100">
        <v>9.5311900442872837</v>
      </c>
      <c r="CC61" s="100">
        <v>9069.8804461437776</v>
      </c>
      <c r="CD61" s="100">
        <v>14</v>
      </c>
      <c r="CE61" s="100">
        <v>13322.399999999998</v>
      </c>
      <c r="CF61" s="100">
        <v>15.686714101704855</v>
      </c>
      <c r="CG61" s="100">
        <v>14927.477139182338</v>
      </c>
      <c r="CH61" s="100">
        <v>12.445064712659134</v>
      </c>
      <c r="CI61" s="100">
        <v>11842.723580566431</v>
      </c>
      <c r="CJ61" s="100">
        <v>12.846868721706594</v>
      </c>
      <c r="CK61" s="100">
        <v>12225.080275575994</v>
      </c>
      <c r="CL61" s="100">
        <v>11.619977549388915</v>
      </c>
      <c r="CM61" s="100">
        <v>11057.570635998491</v>
      </c>
      <c r="CN61" s="100">
        <v>10</v>
      </c>
      <c r="CO61" s="100">
        <v>9516</v>
      </c>
      <c r="CP61" s="100">
        <v>13</v>
      </c>
      <c r="CQ61" s="100">
        <v>12370.8</v>
      </c>
      <c r="CR61" s="100">
        <v>14.414504285618225</v>
      </c>
      <c r="CS61" s="100">
        <v>13716.842278194301</v>
      </c>
      <c r="CT61" s="100">
        <v>8</v>
      </c>
      <c r="CU61" s="100">
        <v>7612.7999999999993</v>
      </c>
    </row>
    <row r="62" spans="2:99">
      <c r="C62" s="99" t="s">
        <v>228</v>
      </c>
      <c r="D62" s="100">
        <v>8</v>
      </c>
      <c r="E62" s="100">
        <v>13353.6</v>
      </c>
      <c r="F62" s="100">
        <v>14</v>
      </c>
      <c r="G62" s="100">
        <v>23368.799999999999</v>
      </c>
      <c r="H62" s="100">
        <v>12.660869565217391</v>
      </c>
      <c r="I62" s="100">
        <v>21133.523478260871</v>
      </c>
      <c r="J62" s="100">
        <v>8.0281690140845061</v>
      </c>
      <c r="K62" s="100">
        <v>13400.619718309857</v>
      </c>
      <c r="L62" s="100">
        <v>13.636363636363637</v>
      </c>
      <c r="M62" s="100">
        <v>22761.818181818184</v>
      </c>
      <c r="N62" s="100">
        <v>13.103448275862069</v>
      </c>
      <c r="O62" s="100">
        <v>21872.275862068967</v>
      </c>
      <c r="P62" s="100">
        <v>10</v>
      </c>
      <c r="Q62" s="100">
        <v>16692</v>
      </c>
      <c r="R62" s="100">
        <v>12</v>
      </c>
      <c r="S62" s="100">
        <v>20030.400000000001</v>
      </c>
      <c r="T62" s="100">
        <v>12</v>
      </c>
      <c r="U62" s="100">
        <v>20030.400000000001</v>
      </c>
      <c r="V62" s="100">
        <v>8</v>
      </c>
      <c r="W62" s="100">
        <v>13353.6</v>
      </c>
      <c r="X62" s="100">
        <v>12</v>
      </c>
      <c r="Y62" s="100">
        <v>20030.400000000001</v>
      </c>
      <c r="Z62" s="100">
        <v>14</v>
      </c>
      <c r="AA62" s="100">
        <v>23368.799999999999</v>
      </c>
      <c r="AB62" s="100">
        <v>13</v>
      </c>
      <c r="AC62" s="100">
        <v>21699.600000000002</v>
      </c>
      <c r="AD62" s="100">
        <v>11</v>
      </c>
      <c r="AE62" s="100">
        <v>18361.2</v>
      </c>
      <c r="AF62" s="100">
        <v>14</v>
      </c>
      <c r="AG62" s="100">
        <v>23368.799999999999</v>
      </c>
      <c r="AH62" s="100">
        <v>10</v>
      </c>
      <c r="AI62" s="100">
        <v>16692</v>
      </c>
      <c r="AJ62" s="100">
        <v>13</v>
      </c>
      <c r="AK62" s="100">
        <v>21699.600000000002</v>
      </c>
      <c r="AL62" s="100">
        <v>8</v>
      </c>
      <c r="AM62" s="100">
        <v>13353.6</v>
      </c>
      <c r="AN62" s="100">
        <v>10</v>
      </c>
      <c r="AO62" s="100">
        <v>16692</v>
      </c>
      <c r="AP62" s="100">
        <v>9</v>
      </c>
      <c r="AQ62" s="100">
        <v>15022.800000000001</v>
      </c>
      <c r="AR62" s="100">
        <v>8</v>
      </c>
      <c r="AS62" s="100">
        <v>13353.6</v>
      </c>
      <c r="AT62" s="100">
        <v>14</v>
      </c>
      <c r="AU62" s="100">
        <v>23368.799999999999</v>
      </c>
      <c r="AV62" s="100">
        <v>9</v>
      </c>
      <c r="AW62" s="100">
        <v>15022.800000000001</v>
      </c>
      <c r="AX62" s="100">
        <v>13</v>
      </c>
      <c r="AY62" s="100">
        <v>21699.600000000002</v>
      </c>
      <c r="AZ62" s="100">
        <v>15</v>
      </c>
      <c r="BA62" s="100">
        <v>25038</v>
      </c>
      <c r="BB62" s="100">
        <v>13</v>
      </c>
      <c r="BC62" s="100">
        <v>21699.600000000002</v>
      </c>
      <c r="BD62" s="100">
        <v>12</v>
      </c>
      <c r="BE62" s="100">
        <v>20030.400000000001</v>
      </c>
      <c r="BF62" s="100">
        <v>15</v>
      </c>
      <c r="BG62" s="100">
        <v>25038</v>
      </c>
      <c r="BH62" s="100">
        <v>9</v>
      </c>
      <c r="BI62" s="100">
        <v>15022.800000000001</v>
      </c>
      <c r="BJ62" s="100">
        <v>11</v>
      </c>
      <c r="BK62" s="100">
        <v>18361.2</v>
      </c>
      <c r="BL62" s="100">
        <v>13</v>
      </c>
      <c r="BM62" s="100">
        <v>21699.600000000002</v>
      </c>
      <c r="BN62" s="100">
        <v>13</v>
      </c>
      <c r="BO62" s="100">
        <v>21699.600000000002</v>
      </c>
      <c r="BP62" s="100">
        <v>14</v>
      </c>
      <c r="BQ62" s="100">
        <v>23368.799999999999</v>
      </c>
      <c r="BR62" s="100">
        <v>13</v>
      </c>
      <c r="BS62" s="100">
        <v>21699.600000000002</v>
      </c>
      <c r="BT62" s="100">
        <v>12</v>
      </c>
      <c r="BU62" s="100">
        <v>20030.400000000001</v>
      </c>
      <c r="BV62" s="100">
        <v>9</v>
      </c>
      <c r="BW62" s="100">
        <v>15022.800000000001</v>
      </c>
      <c r="BX62" s="100">
        <v>10</v>
      </c>
      <c r="BY62" s="100">
        <v>16692</v>
      </c>
      <c r="BZ62" s="100">
        <v>8</v>
      </c>
      <c r="CA62" s="100">
        <v>13353.6</v>
      </c>
      <c r="CB62" s="100">
        <v>12</v>
      </c>
      <c r="CC62" s="100">
        <v>20030.400000000001</v>
      </c>
      <c r="CD62" s="100">
        <v>13</v>
      </c>
      <c r="CE62" s="100">
        <v>21699.600000000002</v>
      </c>
      <c r="CF62" s="100">
        <v>15</v>
      </c>
      <c r="CG62" s="100">
        <v>25038</v>
      </c>
      <c r="CH62" s="100">
        <v>13</v>
      </c>
      <c r="CI62" s="100">
        <v>21699.600000000002</v>
      </c>
      <c r="CJ62" s="100">
        <v>14</v>
      </c>
      <c r="CK62" s="100">
        <v>23368.799999999999</v>
      </c>
      <c r="CL62" s="100">
        <v>12</v>
      </c>
      <c r="CM62" s="100">
        <v>20030.400000000001</v>
      </c>
      <c r="CN62" s="100">
        <v>9</v>
      </c>
      <c r="CO62" s="100">
        <v>15022.800000000001</v>
      </c>
      <c r="CP62" s="100">
        <v>14</v>
      </c>
      <c r="CQ62" s="100">
        <v>23368.799999999999</v>
      </c>
      <c r="CR62" s="100">
        <v>13</v>
      </c>
      <c r="CS62" s="100">
        <v>21699.600000000002</v>
      </c>
      <c r="CT62" s="100">
        <v>8</v>
      </c>
      <c r="CU62" s="100">
        <v>13353.6</v>
      </c>
    </row>
    <row r="63" spans="2:99">
      <c r="C63" s="99" t="s">
        <v>229</v>
      </c>
      <c r="D63" s="100">
        <v>9</v>
      </c>
      <c r="E63" s="100">
        <v>7160.4000000000005</v>
      </c>
      <c r="F63" s="100">
        <v>14</v>
      </c>
      <c r="G63" s="100">
        <v>11138.4</v>
      </c>
      <c r="H63" s="100">
        <v>16.276634568824718</v>
      </c>
      <c r="I63" s="100">
        <v>12949.690462956947</v>
      </c>
      <c r="J63" s="100">
        <v>10</v>
      </c>
      <c r="K63" s="100">
        <v>7956</v>
      </c>
      <c r="L63" s="100">
        <v>17</v>
      </c>
      <c r="M63" s="100">
        <v>13525.2</v>
      </c>
      <c r="N63" s="100">
        <v>14.947182605300473</v>
      </c>
      <c r="O63" s="100">
        <v>11891.978480777056</v>
      </c>
      <c r="P63" s="100">
        <v>10.602830110372746</v>
      </c>
      <c r="Q63" s="100">
        <v>8435.6116358125582</v>
      </c>
      <c r="R63" s="100">
        <v>14</v>
      </c>
      <c r="S63" s="100">
        <v>11138.4</v>
      </c>
      <c r="T63" s="100">
        <v>13</v>
      </c>
      <c r="U63" s="100">
        <v>10342.800000000001</v>
      </c>
      <c r="V63" s="100">
        <v>9</v>
      </c>
      <c r="W63" s="100">
        <v>7160.4000000000005</v>
      </c>
      <c r="X63" s="100">
        <v>12.862284200937946</v>
      </c>
      <c r="Y63" s="100">
        <v>10233.233310266231</v>
      </c>
      <c r="Z63" s="100">
        <v>11.84433753425242</v>
      </c>
      <c r="AA63" s="100">
        <v>9423.354942251226</v>
      </c>
      <c r="AB63" s="100">
        <v>8.2791819946942162</v>
      </c>
      <c r="AC63" s="100">
        <v>6586.9171949787187</v>
      </c>
      <c r="AD63" s="100">
        <v>7.7897431730705549</v>
      </c>
      <c r="AE63" s="100">
        <v>6197.5196684949333</v>
      </c>
      <c r="AF63" s="100">
        <v>10.534965722435313</v>
      </c>
      <c r="AG63" s="100">
        <v>8381.6187287695357</v>
      </c>
      <c r="AH63" s="100">
        <v>10.354366310050708</v>
      </c>
      <c r="AI63" s="100">
        <v>8237.9338362763428</v>
      </c>
      <c r="AJ63" s="100">
        <v>14</v>
      </c>
      <c r="AK63" s="100">
        <v>11138.4</v>
      </c>
      <c r="AL63" s="100">
        <v>9</v>
      </c>
      <c r="AM63" s="100">
        <v>7160.4000000000005</v>
      </c>
      <c r="AN63" s="100">
        <v>11</v>
      </c>
      <c r="AO63" s="100">
        <v>8751.6</v>
      </c>
      <c r="AP63" s="100">
        <v>9</v>
      </c>
      <c r="AQ63" s="100">
        <v>7160.4000000000005</v>
      </c>
      <c r="AR63" s="100">
        <v>9.9382417133849543</v>
      </c>
      <c r="AS63" s="100">
        <v>7906.8651071690701</v>
      </c>
      <c r="AT63" s="100">
        <v>12</v>
      </c>
      <c r="AU63" s="100">
        <v>9547.2000000000007</v>
      </c>
      <c r="AV63" s="100">
        <v>10</v>
      </c>
      <c r="AW63" s="100">
        <v>7956</v>
      </c>
      <c r="AX63" s="100">
        <v>14</v>
      </c>
      <c r="AY63" s="100">
        <v>11138.4</v>
      </c>
      <c r="AZ63" s="100">
        <v>14.49578639574553</v>
      </c>
      <c r="BA63" s="100">
        <v>11532.847656455144</v>
      </c>
      <c r="BB63" s="100">
        <v>10.963034151448323</v>
      </c>
      <c r="BC63" s="100">
        <v>8722.1899708922865</v>
      </c>
      <c r="BD63" s="100">
        <v>14</v>
      </c>
      <c r="BE63" s="100">
        <v>11138.4</v>
      </c>
      <c r="BF63" s="100">
        <v>12.989197265306338</v>
      </c>
      <c r="BG63" s="100">
        <v>10334.205344277723</v>
      </c>
      <c r="BH63" s="100">
        <v>9</v>
      </c>
      <c r="BI63" s="100">
        <v>7160.4000000000005</v>
      </c>
      <c r="BJ63" s="100">
        <v>10.873538939598319</v>
      </c>
      <c r="BK63" s="100">
        <v>8650.9875803444229</v>
      </c>
      <c r="BL63" s="100">
        <v>12.757808973202561</v>
      </c>
      <c r="BM63" s="100">
        <v>10150.112819079957</v>
      </c>
      <c r="BN63" s="100">
        <v>14</v>
      </c>
      <c r="BO63" s="100">
        <v>11138.4</v>
      </c>
      <c r="BP63" s="100">
        <v>15.419376854247602</v>
      </c>
      <c r="BQ63" s="100">
        <v>12267.656225239392</v>
      </c>
      <c r="BR63" s="100">
        <v>12.609208252034735</v>
      </c>
      <c r="BS63" s="100">
        <v>10031.886085318836</v>
      </c>
      <c r="BT63" s="100">
        <v>12.611534674221458</v>
      </c>
      <c r="BU63" s="100">
        <v>10033.736986810592</v>
      </c>
      <c r="BV63" s="100">
        <v>10</v>
      </c>
      <c r="BW63" s="100">
        <v>7956</v>
      </c>
      <c r="BX63" s="100">
        <v>8.2847995047225496</v>
      </c>
      <c r="BY63" s="100">
        <v>6591.3864859572604</v>
      </c>
      <c r="BZ63" s="100">
        <v>7.1322318869459469</v>
      </c>
      <c r="CA63" s="100">
        <v>5674.4036892541953</v>
      </c>
      <c r="CB63" s="100">
        <v>9.5311900442872837</v>
      </c>
      <c r="CC63" s="100">
        <v>7583.014799234963</v>
      </c>
      <c r="CD63" s="100">
        <v>13</v>
      </c>
      <c r="CE63" s="100">
        <v>10342.800000000001</v>
      </c>
      <c r="CF63" s="100">
        <v>15.686714101704855</v>
      </c>
      <c r="CG63" s="100">
        <v>12480.349739316383</v>
      </c>
      <c r="CH63" s="100">
        <v>13.222881257200331</v>
      </c>
      <c r="CI63" s="100">
        <v>10520.124328228583</v>
      </c>
      <c r="CJ63" s="100">
        <v>12.846868721706594</v>
      </c>
      <c r="CK63" s="100">
        <v>10220.968754989766</v>
      </c>
      <c r="CL63" s="100">
        <v>9.9599807566190712</v>
      </c>
      <c r="CM63" s="100">
        <v>7924.1606899661328</v>
      </c>
      <c r="CN63" s="100">
        <v>11</v>
      </c>
      <c r="CO63" s="100">
        <v>8751.6</v>
      </c>
      <c r="CP63" s="100">
        <v>13</v>
      </c>
      <c r="CQ63" s="100">
        <v>10342.800000000001</v>
      </c>
      <c r="CR63" s="100">
        <v>13.453537333243677</v>
      </c>
      <c r="CS63" s="100">
        <v>10703.63430232867</v>
      </c>
      <c r="CT63" s="100">
        <v>10</v>
      </c>
      <c r="CU63" s="100">
        <v>7956</v>
      </c>
    </row>
    <row r="64" spans="2:99">
      <c r="C64" s="99" t="s">
        <v>230</v>
      </c>
      <c r="D64" s="100">
        <v>10</v>
      </c>
      <c r="E64" s="100">
        <v>10091.999999999998</v>
      </c>
      <c r="F64" s="100">
        <v>16</v>
      </c>
      <c r="G64" s="100">
        <v>16147.199999999997</v>
      </c>
      <c r="H64" s="100">
        <v>17.234083661108524</v>
      </c>
      <c r="I64" s="100">
        <v>17392.637230790719</v>
      </c>
      <c r="J64" s="100">
        <v>10</v>
      </c>
      <c r="K64" s="100">
        <v>10091.999999999998</v>
      </c>
      <c r="L64" s="100">
        <v>15</v>
      </c>
      <c r="M64" s="100">
        <v>15137.999999999996</v>
      </c>
      <c r="N64" s="100">
        <v>14.947182605300473</v>
      </c>
      <c r="O64" s="100">
        <v>15084.696685269235</v>
      </c>
      <c r="P64" s="100">
        <v>10.602830110372746</v>
      </c>
      <c r="Q64" s="100">
        <v>10700.376147388173</v>
      </c>
      <c r="R64" s="100">
        <v>14</v>
      </c>
      <c r="S64" s="100">
        <v>14128.799999999997</v>
      </c>
      <c r="T64" s="100">
        <v>14</v>
      </c>
      <c r="U64" s="100">
        <v>14128.799999999997</v>
      </c>
      <c r="V64" s="100">
        <v>9</v>
      </c>
      <c r="W64" s="100">
        <v>9082.7999999999993</v>
      </c>
      <c r="X64" s="100">
        <v>12.862284200937946</v>
      </c>
      <c r="Y64" s="100">
        <v>12980.617215586573</v>
      </c>
      <c r="Z64" s="100">
        <v>11.84433753425242</v>
      </c>
      <c r="AA64" s="100">
        <v>11953.305439567539</v>
      </c>
      <c r="AB64" s="100">
        <v>8.9160421481322327</v>
      </c>
      <c r="AC64" s="100">
        <v>8998.0697358950474</v>
      </c>
      <c r="AD64" s="100">
        <v>8.5687174903776118</v>
      </c>
      <c r="AE64" s="100">
        <v>8647.5496912890849</v>
      </c>
      <c r="AF64" s="100">
        <v>11.287463274037835</v>
      </c>
      <c r="AG64" s="100">
        <v>11391.307936158981</v>
      </c>
      <c r="AH64" s="100">
        <v>10.354366310050708</v>
      </c>
      <c r="AI64" s="100">
        <v>10449.626480103172</v>
      </c>
      <c r="AJ64" s="100">
        <v>15</v>
      </c>
      <c r="AK64" s="100">
        <v>15137.999999999996</v>
      </c>
      <c r="AL64" s="100">
        <v>9</v>
      </c>
      <c r="AM64" s="100">
        <v>9082.7999999999993</v>
      </c>
      <c r="AN64" s="100">
        <v>10</v>
      </c>
      <c r="AO64" s="100">
        <v>10091.999999999998</v>
      </c>
      <c r="AP64" s="100">
        <v>10</v>
      </c>
      <c r="AQ64" s="100">
        <v>10091.999999999998</v>
      </c>
      <c r="AR64" s="100">
        <v>9.9382417133849543</v>
      </c>
      <c r="AS64" s="100">
        <v>10029.673537148094</v>
      </c>
      <c r="AT64" s="100">
        <v>13</v>
      </c>
      <c r="AU64" s="100">
        <v>13119.599999999999</v>
      </c>
      <c r="AV64" s="100">
        <v>9</v>
      </c>
      <c r="AW64" s="100">
        <v>9082.7999999999993</v>
      </c>
      <c r="AX64" s="100">
        <v>13</v>
      </c>
      <c r="AY64" s="100">
        <v>13119.599999999999</v>
      </c>
      <c r="AZ64" s="100">
        <v>13.589799746011433</v>
      </c>
      <c r="BA64" s="100">
        <v>13714.825903674737</v>
      </c>
      <c r="BB64" s="100">
        <v>11.806344470790503</v>
      </c>
      <c r="BC64" s="100">
        <v>11914.962839921773</v>
      </c>
      <c r="BD64" s="100">
        <v>14</v>
      </c>
      <c r="BE64" s="100">
        <v>14128.799999999997</v>
      </c>
      <c r="BF64" s="100">
        <v>11.461056410564415</v>
      </c>
      <c r="BG64" s="100">
        <v>11566.498129541606</v>
      </c>
      <c r="BH64" s="100">
        <v>10</v>
      </c>
      <c r="BI64" s="100">
        <v>10091.999999999998</v>
      </c>
      <c r="BJ64" s="100">
        <v>10.873538939598319</v>
      </c>
      <c r="BK64" s="100">
        <v>10973.575497842621</v>
      </c>
      <c r="BL64" s="100">
        <v>14.580353112231499</v>
      </c>
      <c r="BM64" s="100">
        <v>14714.492360864026</v>
      </c>
      <c r="BN64" s="100">
        <v>13</v>
      </c>
      <c r="BO64" s="100">
        <v>13119.599999999999</v>
      </c>
      <c r="BP64" s="100">
        <v>13.605332518453766</v>
      </c>
      <c r="BQ64" s="100">
        <v>13730.501577623538</v>
      </c>
      <c r="BR64" s="100">
        <v>12.609208252034735</v>
      </c>
      <c r="BS64" s="100">
        <v>12725.212967953452</v>
      </c>
      <c r="BT64" s="100">
        <v>12.611534674221458</v>
      </c>
      <c r="BU64" s="100">
        <v>12727.560793224293</v>
      </c>
      <c r="BV64" s="100">
        <v>9</v>
      </c>
      <c r="BW64" s="100">
        <v>9082.7999999999993</v>
      </c>
      <c r="BX64" s="100">
        <v>9.2053327830250549</v>
      </c>
      <c r="BY64" s="100">
        <v>9290.0218446288836</v>
      </c>
      <c r="BZ64" s="100">
        <v>7.924702096606608</v>
      </c>
      <c r="CA64" s="100">
        <v>7997.6093558953871</v>
      </c>
      <c r="CB64" s="100">
        <v>10.325455881311223</v>
      </c>
      <c r="CC64" s="100">
        <v>10420.450075419285</v>
      </c>
      <c r="CD64" s="100">
        <v>12</v>
      </c>
      <c r="CE64" s="100">
        <v>12110.399999999998</v>
      </c>
      <c r="CF64" s="100">
        <v>13.841218325033696</v>
      </c>
      <c r="CG64" s="100">
        <v>13968.557533624004</v>
      </c>
      <c r="CH64" s="100">
        <v>13.222881257200331</v>
      </c>
      <c r="CI64" s="100">
        <v>13344.531764766572</v>
      </c>
      <c r="CJ64" s="100">
        <v>12.846868721706594</v>
      </c>
      <c r="CK64" s="100">
        <v>12965.059913946292</v>
      </c>
      <c r="CL64" s="100">
        <v>10.789979153003992</v>
      </c>
      <c r="CM64" s="100">
        <v>10889.246961211627</v>
      </c>
      <c r="CN64" s="100">
        <v>11</v>
      </c>
      <c r="CO64" s="100">
        <v>11101.199999999997</v>
      </c>
      <c r="CP64" s="100">
        <v>13</v>
      </c>
      <c r="CQ64" s="100">
        <v>13119.599999999999</v>
      </c>
      <c r="CR64" s="100">
        <v>15.375471237992771</v>
      </c>
      <c r="CS64" s="100">
        <v>15516.925573382303</v>
      </c>
      <c r="CT64" s="100">
        <v>9</v>
      </c>
      <c r="CU64" s="100">
        <v>9082.7999999999993</v>
      </c>
    </row>
    <row r="65" spans="2:99">
      <c r="C65" s="99" t="s">
        <v>231</v>
      </c>
      <c r="D65" s="100">
        <v>9</v>
      </c>
      <c r="E65" s="100">
        <v>9234</v>
      </c>
      <c r="F65" s="100">
        <v>15</v>
      </c>
      <c r="G65" s="100">
        <v>15390</v>
      </c>
      <c r="H65" s="100">
        <v>16.276634568824718</v>
      </c>
      <c r="I65" s="100">
        <v>16699.827067614162</v>
      </c>
      <c r="J65" s="100">
        <v>10</v>
      </c>
      <c r="K65" s="100">
        <v>10260</v>
      </c>
      <c r="L65" s="100">
        <v>15</v>
      </c>
      <c r="M65" s="100">
        <v>15390</v>
      </c>
      <c r="N65" s="100">
        <v>14.947182605300473</v>
      </c>
      <c r="O65" s="100">
        <v>15335.809353038285</v>
      </c>
      <c r="P65" s="100">
        <v>8.675042817577701</v>
      </c>
      <c r="Q65" s="100">
        <v>8900.5939308347206</v>
      </c>
      <c r="R65" s="100">
        <v>12</v>
      </c>
      <c r="S65" s="100">
        <v>12312</v>
      </c>
      <c r="T65" s="100">
        <v>14</v>
      </c>
      <c r="U65" s="100">
        <v>14364</v>
      </c>
      <c r="V65" s="100">
        <v>8</v>
      </c>
      <c r="W65" s="100">
        <v>8208</v>
      </c>
      <c r="X65" s="100">
        <v>10.883471246947494</v>
      </c>
      <c r="Y65" s="100">
        <v>11166.441499368129</v>
      </c>
      <c r="Z65" s="100">
        <v>10.99831342466296</v>
      </c>
      <c r="AA65" s="100">
        <v>11284.269573704198</v>
      </c>
      <c r="AB65" s="100">
        <v>8.2791819946942162</v>
      </c>
      <c r="AC65" s="100">
        <v>8494.4407265562659</v>
      </c>
      <c r="AD65" s="100">
        <v>8.5687174903776118</v>
      </c>
      <c r="AE65" s="100">
        <v>8791.5041451274301</v>
      </c>
      <c r="AF65" s="100">
        <v>11.287463274037835</v>
      </c>
      <c r="AG65" s="100">
        <v>11580.937319162818</v>
      </c>
      <c r="AH65" s="100">
        <v>11.217230169221599</v>
      </c>
      <c r="AI65" s="100">
        <v>11508.878153621361</v>
      </c>
      <c r="AJ65" s="100">
        <v>15</v>
      </c>
      <c r="AK65" s="100">
        <v>15390</v>
      </c>
      <c r="AL65" s="100">
        <v>9</v>
      </c>
      <c r="AM65" s="100">
        <v>9234</v>
      </c>
      <c r="AN65" s="100">
        <v>9</v>
      </c>
      <c r="AO65" s="100">
        <v>9234</v>
      </c>
      <c r="AP65" s="100">
        <v>10</v>
      </c>
      <c r="AQ65" s="100">
        <v>10260</v>
      </c>
      <c r="AR65" s="100">
        <v>8.9444175420464589</v>
      </c>
      <c r="AS65" s="100">
        <v>9176.9723981396673</v>
      </c>
      <c r="AT65" s="100">
        <v>13</v>
      </c>
      <c r="AU65" s="100">
        <v>13338</v>
      </c>
      <c r="AV65" s="100">
        <v>9</v>
      </c>
      <c r="AW65" s="100">
        <v>9234</v>
      </c>
      <c r="AX65" s="100">
        <v>13</v>
      </c>
      <c r="AY65" s="100">
        <v>13338</v>
      </c>
      <c r="AZ65" s="100">
        <v>11.777826446543243</v>
      </c>
      <c r="BA65" s="100">
        <v>12084.049934153367</v>
      </c>
      <c r="BB65" s="100">
        <v>10.963034151448323</v>
      </c>
      <c r="BC65" s="100">
        <v>11248.073039385979</v>
      </c>
      <c r="BD65" s="100">
        <v>13</v>
      </c>
      <c r="BE65" s="100">
        <v>13338</v>
      </c>
      <c r="BF65" s="100">
        <v>11.461056410564415</v>
      </c>
      <c r="BG65" s="100">
        <v>11759.04387723909</v>
      </c>
      <c r="BH65" s="100">
        <v>10</v>
      </c>
      <c r="BI65" s="100">
        <v>10260</v>
      </c>
      <c r="BJ65" s="100">
        <v>10.873538939598319</v>
      </c>
      <c r="BK65" s="100">
        <v>11156.250952027875</v>
      </c>
      <c r="BL65" s="100">
        <v>14.580353112231499</v>
      </c>
      <c r="BM65" s="100">
        <v>14959.442293149519</v>
      </c>
      <c r="BN65" s="100">
        <v>13</v>
      </c>
      <c r="BO65" s="100">
        <v>13338</v>
      </c>
      <c r="BP65" s="100">
        <v>12.698310350556849</v>
      </c>
      <c r="BQ65" s="100">
        <v>13028.466419671327</v>
      </c>
      <c r="BR65" s="100">
        <v>12.609208252034735</v>
      </c>
      <c r="BS65" s="100">
        <v>12937.047666587638</v>
      </c>
      <c r="BT65" s="100">
        <v>11.641416622358268</v>
      </c>
      <c r="BU65" s="100">
        <v>11944.093454539583</v>
      </c>
      <c r="BV65" s="100">
        <v>10</v>
      </c>
      <c r="BW65" s="100">
        <v>10260</v>
      </c>
      <c r="BX65" s="100">
        <v>8.2847995047225496</v>
      </c>
      <c r="BY65" s="100">
        <v>8500.2042918453353</v>
      </c>
      <c r="BZ65" s="100">
        <v>7.924702096606608</v>
      </c>
      <c r="CA65" s="100">
        <v>8130.7443511183801</v>
      </c>
      <c r="CB65" s="100">
        <v>8.7369242072633426</v>
      </c>
      <c r="CC65" s="100">
        <v>8964.0842366521902</v>
      </c>
      <c r="CD65" s="100">
        <v>14</v>
      </c>
      <c r="CE65" s="100">
        <v>14364</v>
      </c>
      <c r="CF65" s="100">
        <v>12.918470436698117</v>
      </c>
      <c r="CG65" s="100">
        <v>13254.350668052268</v>
      </c>
      <c r="CH65" s="100">
        <v>10.889431623576744</v>
      </c>
      <c r="CI65" s="100">
        <v>11172.556845789739</v>
      </c>
      <c r="CJ65" s="100">
        <v>12.846868721706594</v>
      </c>
      <c r="CK65" s="100">
        <v>13180.887308470965</v>
      </c>
      <c r="CL65" s="100">
        <v>10.789979153003992</v>
      </c>
      <c r="CM65" s="100">
        <v>11070.518610982097</v>
      </c>
      <c r="CN65" s="100">
        <v>10</v>
      </c>
      <c r="CO65" s="100">
        <v>10260</v>
      </c>
      <c r="CP65" s="100">
        <v>14</v>
      </c>
      <c r="CQ65" s="100">
        <v>14364</v>
      </c>
      <c r="CR65" s="100">
        <v>14.414504285618225</v>
      </c>
      <c r="CS65" s="100">
        <v>14789.281397044299</v>
      </c>
      <c r="CT65" s="100">
        <v>9</v>
      </c>
      <c r="CU65" s="100">
        <v>9234</v>
      </c>
    </row>
    <row r="66" spans="2:99">
      <c r="C66" s="99" t="s">
        <v>232</v>
      </c>
      <c r="D66" s="100">
        <v>9</v>
      </c>
      <c r="E66" s="100">
        <v>10713.599999999999</v>
      </c>
      <c r="F66" s="100">
        <v>15</v>
      </c>
      <c r="G66" s="100">
        <v>17855.999999999996</v>
      </c>
      <c r="H66" s="100">
        <v>15.319185476540911</v>
      </c>
      <c r="I66" s="100">
        <v>18235.958391274296</v>
      </c>
      <c r="J66" s="100">
        <v>10</v>
      </c>
      <c r="K66" s="100">
        <v>11903.999999999998</v>
      </c>
      <c r="L66" s="100">
        <v>14</v>
      </c>
      <c r="M66" s="100">
        <v>16665.599999999999</v>
      </c>
      <c r="N66" s="100">
        <v>12.954224924593742</v>
      </c>
      <c r="O66" s="100">
        <v>15420.70935023639</v>
      </c>
      <c r="P66" s="100">
        <v>9.6389364639752237</v>
      </c>
      <c r="Q66" s="100">
        <v>11474.189966716105</v>
      </c>
      <c r="R66" s="100">
        <v>13</v>
      </c>
      <c r="S66" s="100">
        <v>15475.199999999999</v>
      </c>
      <c r="T66" s="100">
        <v>12</v>
      </c>
      <c r="U66" s="100">
        <v>14284.8</v>
      </c>
      <c r="V66" s="100">
        <v>8</v>
      </c>
      <c r="W66" s="100">
        <v>9523.1999999999989</v>
      </c>
      <c r="X66" s="100">
        <v>10.883471246947494</v>
      </c>
      <c r="Y66" s="100">
        <v>12955.684172366295</v>
      </c>
      <c r="Z66" s="100">
        <v>12.690361643841877</v>
      </c>
      <c r="AA66" s="100">
        <v>15106.606500829368</v>
      </c>
      <c r="AB66" s="100">
        <v>7.6423218412561997</v>
      </c>
      <c r="AC66" s="100">
        <v>9097.41991983138</v>
      </c>
      <c r="AD66" s="100">
        <v>8.5687174903776118</v>
      </c>
      <c r="AE66" s="100">
        <v>10200.201300545508</v>
      </c>
      <c r="AF66" s="100">
        <v>11.287463274037835</v>
      </c>
      <c r="AG66" s="100">
        <v>13436.596281414637</v>
      </c>
      <c r="AH66" s="100">
        <v>10.354366310050708</v>
      </c>
      <c r="AI66" s="100">
        <v>12325.837655484362</v>
      </c>
      <c r="AJ66" s="100">
        <v>15</v>
      </c>
      <c r="AK66" s="100">
        <v>17855.999999999996</v>
      </c>
      <c r="AL66" s="100">
        <v>9</v>
      </c>
      <c r="AM66" s="100">
        <v>10713.599999999999</v>
      </c>
      <c r="AN66" s="100">
        <v>9</v>
      </c>
      <c r="AO66" s="100">
        <v>10713.599999999999</v>
      </c>
      <c r="AP66" s="100">
        <v>10</v>
      </c>
      <c r="AQ66" s="100">
        <v>11903.999999999998</v>
      </c>
      <c r="AR66" s="100">
        <v>8.9444175420464589</v>
      </c>
      <c r="AS66" s="100">
        <v>10647.434642052103</v>
      </c>
      <c r="AT66" s="100">
        <v>13</v>
      </c>
      <c r="AU66" s="100">
        <v>15475.199999999999</v>
      </c>
      <c r="AV66" s="100">
        <v>9</v>
      </c>
      <c r="AW66" s="100">
        <v>10713.599999999999</v>
      </c>
      <c r="AX66" s="100">
        <v>14</v>
      </c>
      <c r="AY66" s="100">
        <v>16665.599999999999</v>
      </c>
      <c r="AZ66" s="100">
        <v>12.683813096277339</v>
      </c>
      <c r="BA66" s="100">
        <v>15098.811109808543</v>
      </c>
      <c r="BB66" s="100">
        <v>11.806344470790503</v>
      </c>
      <c r="BC66" s="100">
        <v>14054.272458029012</v>
      </c>
      <c r="BD66" s="100">
        <v>12</v>
      </c>
      <c r="BE66" s="100">
        <v>14284.8</v>
      </c>
      <c r="BF66" s="100">
        <v>12.225126837935377</v>
      </c>
      <c r="BG66" s="100">
        <v>14552.790987878272</v>
      </c>
      <c r="BH66" s="100">
        <v>9</v>
      </c>
      <c r="BI66" s="100">
        <v>10713.599999999999</v>
      </c>
      <c r="BJ66" s="100">
        <v>10.873538939598319</v>
      </c>
      <c r="BK66" s="100">
        <v>12943.860753697838</v>
      </c>
      <c r="BL66" s="100">
        <v>11.846536903688094</v>
      </c>
      <c r="BM66" s="100">
        <v>14102.117530150304</v>
      </c>
      <c r="BN66" s="100">
        <v>14</v>
      </c>
      <c r="BO66" s="100">
        <v>16665.599999999999</v>
      </c>
      <c r="BP66" s="100">
        <v>15.419376854247602</v>
      </c>
      <c r="BQ66" s="100">
        <v>18355.226207296342</v>
      </c>
      <c r="BR66" s="100">
        <v>12.609208252034735</v>
      </c>
      <c r="BS66" s="100">
        <v>15010.001503222147</v>
      </c>
      <c r="BT66" s="100">
        <v>11.641416622358268</v>
      </c>
      <c r="BU66" s="100">
        <v>13857.942347255281</v>
      </c>
      <c r="BV66" s="100">
        <v>9</v>
      </c>
      <c r="BW66" s="100">
        <v>10713.599999999999</v>
      </c>
      <c r="BX66" s="100">
        <v>8.2847995047225496</v>
      </c>
      <c r="BY66" s="100">
        <v>9862.2253304217211</v>
      </c>
      <c r="BZ66" s="100">
        <v>6.3397616772852867</v>
      </c>
      <c r="CA66" s="100">
        <v>7546.8523006404048</v>
      </c>
      <c r="CB66" s="100">
        <v>10.325455881311223</v>
      </c>
      <c r="CC66" s="100">
        <v>12291.422681112879</v>
      </c>
      <c r="CD66" s="100">
        <v>14</v>
      </c>
      <c r="CE66" s="100">
        <v>16665.599999999999</v>
      </c>
      <c r="CF66" s="100">
        <v>13.841218325033696</v>
      </c>
      <c r="CG66" s="100">
        <v>16476.586294120109</v>
      </c>
      <c r="CH66" s="100">
        <v>10.889431623576744</v>
      </c>
      <c r="CI66" s="100">
        <v>12962.779404705754</v>
      </c>
      <c r="CJ66" s="100">
        <v>12.846868721706594</v>
      </c>
      <c r="CK66" s="100">
        <v>15292.912526319527</v>
      </c>
      <c r="CL66" s="100">
        <v>9.1299823602341483</v>
      </c>
      <c r="CM66" s="100">
        <v>10868.33100162273</v>
      </c>
      <c r="CN66" s="100">
        <v>10</v>
      </c>
      <c r="CO66" s="100">
        <v>11903.999999999998</v>
      </c>
      <c r="CP66" s="100">
        <v>13</v>
      </c>
      <c r="CQ66" s="100">
        <v>15475.199999999999</v>
      </c>
      <c r="CR66" s="100">
        <v>14.414504285618225</v>
      </c>
      <c r="CS66" s="100">
        <v>17159.025901599933</v>
      </c>
      <c r="CT66" s="100">
        <v>8</v>
      </c>
      <c r="CU66" s="100">
        <v>9523.1999999999989</v>
      </c>
    </row>
    <row r="67" spans="2:99">
      <c r="C67" s="99" t="s">
        <v>233</v>
      </c>
      <c r="D67" s="100">
        <v>9</v>
      </c>
      <c r="E67" s="100">
        <v>10108.800000000001</v>
      </c>
      <c r="F67" s="100">
        <v>16</v>
      </c>
      <c r="G67" s="100">
        <v>17971.2</v>
      </c>
      <c r="H67" s="100">
        <v>17.234083661108524</v>
      </c>
      <c r="I67" s="100">
        <v>19357.322768157097</v>
      </c>
      <c r="J67" s="100">
        <v>10</v>
      </c>
      <c r="K67" s="100">
        <v>11232</v>
      </c>
      <c r="L67" s="100">
        <v>15</v>
      </c>
      <c r="M67" s="100">
        <v>16848</v>
      </c>
      <c r="N67" s="100">
        <v>14.947182605300473</v>
      </c>
      <c r="O67" s="100">
        <v>16788.675502273491</v>
      </c>
      <c r="P67" s="100">
        <v>10.602830110372746</v>
      </c>
      <c r="Q67" s="100">
        <v>11909.098779970669</v>
      </c>
      <c r="R67" s="100">
        <v>13</v>
      </c>
      <c r="S67" s="100">
        <v>14601.6</v>
      </c>
      <c r="T67" s="100">
        <v>12</v>
      </c>
      <c r="U67" s="100">
        <v>13478.400000000001</v>
      </c>
      <c r="V67" s="100">
        <v>8</v>
      </c>
      <c r="W67" s="100">
        <v>8985.6</v>
      </c>
      <c r="X67" s="100">
        <v>10.883471246947494</v>
      </c>
      <c r="Y67" s="100">
        <v>12224.314904571425</v>
      </c>
      <c r="Z67" s="100">
        <v>10.99831342466296</v>
      </c>
      <c r="AA67" s="100">
        <v>12353.305638581438</v>
      </c>
      <c r="AB67" s="100">
        <v>8.9160421481322327</v>
      </c>
      <c r="AC67" s="100">
        <v>10014.498540782124</v>
      </c>
      <c r="AD67" s="100">
        <v>7.7897431730705549</v>
      </c>
      <c r="AE67" s="100">
        <v>8749.4395319928481</v>
      </c>
      <c r="AF67" s="100">
        <v>11.287463274037835</v>
      </c>
      <c r="AG67" s="100">
        <v>12678.078749399298</v>
      </c>
      <c r="AH67" s="100">
        <v>11.217230169221599</v>
      </c>
      <c r="AI67" s="100">
        <v>12599.192926069702</v>
      </c>
      <c r="AJ67" s="100">
        <v>15</v>
      </c>
      <c r="AK67" s="100">
        <v>16848</v>
      </c>
      <c r="AL67" s="100">
        <v>9</v>
      </c>
      <c r="AM67" s="100">
        <v>10108.800000000001</v>
      </c>
      <c r="AN67" s="100">
        <v>9</v>
      </c>
      <c r="AO67" s="100">
        <v>10108.800000000001</v>
      </c>
      <c r="AP67" s="100">
        <v>10</v>
      </c>
      <c r="AQ67" s="100">
        <v>11232</v>
      </c>
      <c r="AR67" s="100">
        <v>8.9444175420464589</v>
      </c>
      <c r="AS67" s="100">
        <v>10046.369783226583</v>
      </c>
      <c r="AT67" s="100">
        <v>14</v>
      </c>
      <c r="AU67" s="100">
        <v>15724.800000000001</v>
      </c>
      <c r="AV67" s="100">
        <v>9</v>
      </c>
      <c r="AW67" s="100">
        <v>10108.800000000001</v>
      </c>
      <c r="AX67" s="100">
        <v>14</v>
      </c>
      <c r="AY67" s="100">
        <v>15724.800000000001</v>
      </c>
      <c r="AZ67" s="100">
        <v>14.49578639574553</v>
      </c>
      <c r="BA67" s="100">
        <v>16281.66727970138</v>
      </c>
      <c r="BB67" s="100">
        <v>11.806344470790503</v>
      </c>
      <c r="BC67" s="100">
        <v>13260.886109591893</v>
      </c>
      <c r="BD67" s="100">
        <v>13</v>
      </c>
      <c r="BE67" s="100">
        <v>14601.6</v>
      </c>
      <c r="BF67" s="100">
        <v>11.461056410564415</v>
      </c>
      <c r="BG67" s="100">
        <v>12873.058560345951</v>
      </c>
      <c r="BH67" s="100">
        <v>10</v>
      </c>
      <c r="BI67" s="100">
        <v>11232</v>
      </c>
      <c r="BJ67" s="100">
        <v>10.873538939598319</v>
      </c>
      <c r="BK67" s="100">
        <v>12213.158936956832</v>
      </c>
      <c r="BL67" s="100">
        <v>11.846536903688094</v>
      </c>
      <c r="BM67" s="100">
        <v>13306.030250222468</v>
      </c>
      <c r="BN67" s="100">
        <v>13</v>
      </c>
      <c r="BO67" s="100">
        <v>14601.6</v>
      </c>
      <c r="BP67" s="100">
        <v>15.419376854247602</v>
      </c>
      <c r="BQ67" s="100">
        <v>17319.044082690907</v>
      </c>
      <c r="BR67" s="100">
        <v>11.768594368565752</v>
      </c>
      <c r="BS67" s="100">
        <v>13218.485194773053</v>
      </c>
      <c r="BT67" s="100">
        <v>13.581652726084647</v>
      </c>
      <c r="BU67" s="100">
        <v>15254.912341938276</v>
      </c>
      <c r="BV67" s="100">
        <v>10</v>
      </c>
      <c r="BW67" s="100">
        <v>11232</v>
      </c>
      <c r="BX67" s="100">
        <v>10.12586606132756</v>
      </c>
      <c r="BY67" s="100">
        <v>11373.372760083115</v>
      </c>
      <c r="BZ67" s="100">
        <v>7.1322318869459469</v>
      </c>
      <c r="CA67" s="100">
        <v>8010.922855417688</v>
      </c>
      <c r="CB67" s="100">
        <v>8.7369242072633426</v>
      </c>
      <c r="CC67" s="100">
        <v>9813.3132695981876</v>
      </c>
      <c r="CD67" s="100">
        <v>14</v>
      </c>
      <c r="CE67" s="100">
        <v>15724.800000000001</v>
      </c>
      <c r="CF67" s="100">
        <v>13.841218325033696</v>
      </c>
      <c r="CG67" s="100">
        <v>15546.456422677848</v>
      </c>
      <c r="CH67" s="100">
        <v>13.222881257200331</v>
      </c>
      <c r="CI67" s="100">
        <v>14851.940228087413</v>
      </c>
      <c r="CJ67" s="100">
        <v>12.846868721706594</v>
      </c>
      <c r="CK67" s="100">
        <v>14429.602948220847</v>
      </c>
      <c r="CL67" s="100">
        <v>10.789979153003992</v>
      </c>
      <c r="CM67" s="100">
        <v>12119.304584654084</v>
      </c>
      <c r="CN67" s="100">
        <v>9</v>
      </c>
      <c r="CO67" s="100">
        <v>10108.800000000001</v>
      </c>
      <c r="CP67" s="100">
        <v>14</v>
      </c>
      <c r="CQ67" s="100">
        <v>15724.800000000001</v>
      </c>
      <c r="CR67" s="100">
        <v>13.453537333243677</v>
      </c>
      <c r="CS67" s="100">
        <v>15111.013132699298</v>
      </c>
      <c r="CT67" s="100">
        <v>10</v>
      </c>
      <c r="CU67" s="100">
        <v>11232</v>
      </c>
    </row>
    <row r="68" spans="2:99">
      <c r="C68" s="99" t="s">
        <v>234</v>
      </c>
      <c r="D68" s="100">
        <v>9</v>
      </c>
      <c r="E68" s="100">
        <v>9298.8000000000011</v>
      </c>
      <c r="F68" s="100">
        <v>14</v>
      </c>
      <c r="G68" s="100">
        <v>14464.800000000001</v>
      </c>
      <c r="H68" s="100">
        <v>15.319185476540911</v>
      </c>
      <c r="I68" s="100">
        <v>15827.78243436207</v>
      </c>
      <c r="J68" s="100">
        <v>9</v>
      </c>
      <c r="K68" s="100">
        <v>9298.8000000000011</v>
      </c>
      <c r="L68" s="100">
        <v>17</v>
      </c>
      <c r="M68" s="100">
        <v>17564.400000000001</v>
      </c>
      <c r="N68" s="100">
        <v>14.947182605300473</v>
      </c>
      <c r="O68" s="100">
        <v>15443.429067796449</v>
      </c>
      <c r="P68" s="100">
        <v>10.602830110372746</v>
      </c>
      <c r="Q68" s="100">
        <v>10954.844070037123</v>
      </c>
      <c r="R68" s="100">
        <v>13</v>
      </c>
      <c r="S68" s="100">
        <v>13431.6</v>
      </c>
      <c r="T68" s="100">
        <v>12</v>
      </c>
      <c r="U68" s="100">
        <v>12398.400000000001</v>
      </c>
      <c r="V68" s="100">
        <v>9</v>
      </c>
      <c r="W68" s="100">
        <v>9298.8000000000011</v>
      </c>
      <c r="X68" s="100">
        <v>10.883471246947494</v>
      </c>
      <c r="Y68" s="100">
        <v>11244.802492346151</v>
      </c>
      <c r="Z68" s="100">
        <v>10.99831342466296</v>
      </c>
      <c r="AA68" s="100">
        <v>11363.457430361772</v>
      </c>
      <c r="AB68" s="100">
        <v>8.2791819946942162</v>
      </c>
      <c r="AC68" s="100">
        <v>8554.0508369180643</v>
      </c>
      <c r="AD68" s="100">
        <v>7.7897431730705549</v>
      </c>
      <c r="AE68" s="100">
        <v>8048.3626464164972</v>
      </c>
      <c r="AF68" s="100">
        <v>12.039960825640357</v>
      </c>
      <c r="AG68" s="100">
        <v>12439.687525051617</v>
      </c>
      <c r="AH68" s="100">
        <v>9.4915024508798158</v>
      </c>
      <c r="AI68" s="100">
        <v>9806.6203322490255</v>
      </c>
      <c r="AJ68" s="100">
        <v>14</v>
      </c>
      <c r="AK68" s="100">
        <v>14464.800000000001</v>
      </c>
      <c r="AL68" s="100">
        <v>9</v>
      </c>
      <c r="AM68" s="100">
        <v>9298.8000000000011</v>
      </c>
      <c r="AN68" s="100">
        <v>9</v>
      </c>
      <c r="AO68" s="100">
        <v>9298.8000000000011</v>
      </c>
      <c r="AP68" s="100">
        <v>10</v>
      </c>
      <c r="AQ68" s="100">
        <v>10332</v>
      </c>
      <c r="AR68" s="100">
        <v>7.9505933707079643</v>
      </c>
      <c r="AS68" s="100">
        <v>8214.5530706154696</v>
      </c>
      <c r="AT68" s="100">
        <v>12</v>
      </c>
      <c r="AU68" s="100">
        <v>12398.400000000001</v>
      </c>
      <c r="AV68" s="100">
        <v>9</v>
      </c>
      <c r="AW68" s="100">
        <v>9298.8000000000011</v>
      </c>
      <c r="AX68" s="100">
        <v>13</v>
      </c>
      <c r="AY68" s="100">
        <v>13431.6</v>
      </c>
      <c r="AZ68" s="100">
        <v>13.589799746011433</v>
      </c>
      <c r="BA68" s="100">
        <v>14040.981097579013</v>
      </c>
      <c r="BB68" s="100">
        <v>12.649654790132681</v>
      </c>
      <c r="BC68" s="100">
        <v>13069.623329165086</v>
      </c>
      <c r="BD68" s="100">
        <v>14</v>
      </c>
      <c r="BE68" s="100">
        <v>14464.800000000001</v>
      </c>
      <c r="BF68" s="100">
        <v>11.461056410564415</v>
      </c>
      <c r="BG68" s="100">
        <v>11841.563483395155</v>
      </c>
      <c r="BH68" s="100">
        <v>8</v>
      </c>
      <c r="BI68" s="100">
        <v>8265.6</v>
      </c>
      <c r="BJ68" s="100">
        <v>9.8850353996348357</v>
      </c>
      <c r="BK68" s="100">
        <v>10213.218574902712</v>
      </c>
      <c r="BL68" s="100">
        <v>13.66908104271703</v>
      </c>
      <c r="BM68" s="100">
        <v>14122.894533335237</v>
      </c>
      <c r="BN68" s="100">
        <v>14</v>
      </c>
      <c r="BO68" s="100">
        <v>14464.800000000001</v>
      </c>
      <c r="BP68" s="100">
        <v>15.419376854247602</v>
      </c>
      <c r="BQ68" s="100">
        <v>15931.300165808623</v>
      </c>
      <c r="BR68" s="100">
        <v>11.768594368565752</v>
      </c>
      <c r="BS68" s="100">
        <v>12159.311701602135</v>
      </c>
      <c r="BT68" s="100">
        <v>13.581652726084647</v>
      </c>
      <c r="BU68" s="100">
        <v>14032.563596590657</v>
      </c>
      <c r="BV68" s="100">
        <v>10</v>
      </c>
      <c r="BW68" s="100">
        <v>10332</v>
      </c>
      <c r="BX68" s="100">
        <v>9.2053327830250549</v>
      </c>
      <c r="BY68" s="100">
        <v>9510.949831421487</v>
      </c>
      <c r="BZ68" s="100">
        <v>7.1322318869459469</v>
      </c>
      <c r="CA68" s="100">
        <v>7369.0219855925525</v>
      </c>
      <c r="CB68" s="100">
        <v>9.5311900442872837</v>
      </c>
      <c r="CC68" s="100">
        <v>9847.6255537576217</v>
      </c>
      <c r="CD68" s="100">
        <v>13</v>
      </c>
      <c r="CE68" s="100">
        <v>13431.6</v>
      </c>
      <c r="CF68" s="100">
        <v>13.841218325033696</v>
      </c>
      <c r="CG68" s="100">
        <v>14300.746773424815</v>
      </c>
      <c r="CH68" s="100">
        <v>11.667248168117938</v>
      </c>
      <c r="CI68" s="100">
        <v>12054.600807299454</v>
      </c>
      <c r="CJ68" s="100">
        <v>11.929235241584694</v>
      </c>
      <c r="CK68" s="100">
        <v>12325.285851605306</v>
      </c>
      <c r="CL68" s="100">
        <v>10.789979153003992</v>
      </c>
      <c r="CM68" s="100">
        <v>11148.206460883725</v>
      </c>
      <c r="CN68" s="100">
        <v>9</v>
      </c>
      <c r="CO68" s="100">
        <v>9298.8000000000011</v>
      </c>
      <c r="CP68" s="100">
        <v>13</v>
      </c>
      <c r="CQ68" s="100">
        <v>13431.6</v>
      </c>
      <c r="CR68" s="100">
        <v>13.453537333243677</v>
      </c>
      <c r="CS68" s="100">
        <v>13900.194772707368</v>
      </c>
      <c r="CT68" s="100">
        <v>8</v>
      </c>
      <c r="CU68" s="100">
        <v>8265.6</v>
      </c>
    </row>
    <row r="69" spans="2:99">
      <c r="C69" s="99" t="s">
        <v>235</v>
      </c>
      <c r="D69" s="100">
        <v>10</v>
      </c>
      <c r="E69" s="100">
        <v>7584</v>
      </c>
      <c r="F69" s="100">
        <v>15</v>
      </c>
      <c r="G69" s="100">
        <v>11376</v>
      </c>
      <c r="H69" s="100">
        <v>16.276634568824718</v>
      </c>
      <c r="I69" s="100">
        <v>12344.199656996667</v>
      </c>
      <c r="J69" s="100">
        <v>11</v>
      </c>
      <c r="K69" s="100">
        <v>8342.4</v>
      </c>
      <c r="L69" s="100">
        <v>17</v>
      </c>
      <c r="M69" s="100">
        <v>12892.8</v>
      </c>
      <c r="N69" s="100">
        <v>15.943661445653836</v>
      </c>
      <c r="O69" s="100">
        <v>12091.67284038387</v>
      </c>
      <c r="P69" s="100">
        <v>9.6389364639752237</v>
      </c>
      <c r="Q69" s="100">
        <v>7310.1694142788092</v>
      </c>
      <c r="R69" s="100">
        <v>13</v>
      </c>
      <c r="S69" s="100">
        <v>9859.1999999999989</v>
      </c>
      <c r="T69" s="100">
        <v>12</v>
      </c>
      <c r="U69" s="100">
        <v>9100.7999999999993</v>
      </c>
      <c r="V69" s="100">
        <v>9</v>
      </c>
      <c r="W69" s="100">
        <v>6825.5999999999995</v>
      </c>
      <c r="X69" s="100">
        <v>11.872877723942722</v>
      </c>
      <c r="Y69" s="100">
        <v>9004.3904658381598</v>
      </c>
      <c r="Z69" s="100">
        <v>11.84433753425242</v>
      </c>
      <c r="AA69" s="100">
        <v>8982.7455859770344</v>
      </c>
      <c r="AB69" s="100">
        <v>8.9160421481322327</v>
      </c>
      <c r="AC69" s="100">
        <v>6761.9263651434849</v>
      </c>
      <c r="AD69" s="100">
        <v>9.3476918076846669</v>
      </c>
      <c r="AE69" s="100">
        <v>7089.2894669480511</v>
      </c>
      <c r="AF69" s="100">
        <v>12.039960825640357</v>
      </c>
      <c r="AG69" s="100">
        <v>9131.106290165646</v>
      </c>
      <c r="AH69" s="100">
        <v>10.354366310050708</v>
      </c>
      <c r="AI69" s="100">
        <v>7852.7514095424567</v>
      </c>
      <c r="AJ69" s="100">
        <v>16</v>
      </c>
      <c r="AK69" s="100">
        <v>12134.4</v>
      </c>
      <c r="AL69" s="100">
        <v>9</v>
      </c>
      <c r="AM69" s="100">
        <v>6825.5999999999995</v>
      </c>
      <c r="AN69" s="100">
        <v>9</v>
      </c>
      <c r="AO69" s="100">
        <v>6825.5999999999995</v>
      </c>
      <c r="AP69" s="100">
        <v>10</v>
      </c>
      <c r="AQ69" s="100">
        <v>7584</v>
      </c>
      <c r="AR69" s="100">
        <v>9.9382417133849543</v>
      </c>
      <c r="AS69" s="100">
        <v>7537.1625154311496</v>
      </c>
      <c r="AT69" s="100">
        <v>15</v>
      </c>
      <c r="AU69" s="100">
        <v>11376</v>
      </c>
      <c r="AV69" s="100">
        <v>10</v>
      </c>
      <c r="AW69" s="100">
        <v>7584</v>
      </c>
      <c r="AX69" s="100">
        <v>14</v>
      </c>
      <c r="AY69" s="100">
        <v>10617.6</v>
      </c>
      <c r="AZ69" s="100">
        <v>12.683813096277339</v>
      </c>
      <c r="BA69" s="100">
        <v>9619.4038522167339</v>
      </c>
      <c r="BB69" s="100">
        <v>11.806344470790503</v>
      </c>
      <c r="BC69" s="100">
        <v>8953.9316466475175</v>
      </c>
      <c r="BD69" s="100">
        <v>13</v>
      </c>
      <c r="BE69" s="100">
        <v>9859.1999999999989</v>
      </c>
      <c r="BF69" s="100">
        <v>11.461056410564415</v>
      </c>
      <c r="BG69" s="100">
        <v>8692.0651817720518</v>
      </c>
      <c r="BH69" s="100">
        <v>10</v>
      </c>
      <c r="BI69" s="100">
        <v>7584</v>
      </c>
      <c r="BJ69" s="100">
        <v>12.850546019525288</v>
      </c>
      <c r="BK69" s="100">
        <v>9745.8541012079786</v>
      </c>
      <c r="BL69" s="100">
        <v>11.846536903688094</v>
      </c>
      <c r="BM69" s="100">
        <v>8984.4135877570498</v>
      </c>
      <c r="BN69" s="100">
        <v>15</v>
      </c>
      <c r="BO69" s="100">
        <v>11376</v>
      </c>
      <c r="BP69" s="100">
        <v>14.512354686350685</v>
      </c>
      <c r="BQ69" s="100">
        <v>11006.169794128358</v>
      </c>
      <c r="BR69" s="100">
        <v>14.290436018972699</v>
      </c>
      <c r="BS69" s="100">
        <v>10837.866676788894</v>
      </c>
      <c r="BT69" s="100">
        <v>13.581652726084647</v>
      </c>
      <c r="BU69" s="100">
        <v>10300.325427462596</v>
      </c>
      <c r="BV69" s="100">
        <v>9</v>
      </c>
      <c r="BW69" s="100">
        <v>6825.5999999999995</v>
      </c>
      <c r="BX69" s="100">
        <v>9.2053327830250549</v>
      </c>
      <c r="BY69" s="100">
        <v>6981.3243826462012</v>
      </c>
      <c r="BZ69" s="100">
        <v>7.1322318869459469</v>
      </c>
      <c r="CA69" s="100">
        <v>5409.0846630598062</v>
      </c>
      <c r="CB69" s="100">
        <v>10.325455881311223</v>
      </c>
      <c r="CC69" s="100">
        <v>7830.8257403864309</v>
      </c>
      <c r="CD69" s="100">
        <v>13</v>
      </c>
      <c r="CE69" s="100">
        <v>9859.1999999999989</v>
      </c>
      <c r="CF69" s="100">
        <v>13.841218325033696</v>
      </c>
      <c r="CG69" s="100">
        <v>10497.179977705555</v>
      </c>
      <c r="CH69" s="100">
        <v>14.000697801741527</v>
      </c>
      <c r="CI69" s="100">
        <v>10618.129212840773</v>
      </c>
      <c r="CJ69" s="100">
        <v>12.846868721706594</v>
      </c>
      <c r="CK69" s="100">
        <v>9743.06523854228</v>
      </c>
      <c r="CL69" s="100">
        <v>10.789979153003992</v>
      </c>
      <c r="CM69" s="100">
        <v>8183.1201896382272</v>
      </c>
      <c r="CN69" s="100">
        <v>9</v>
      </c>
      <c r="CO69" s="100">
        <v>6825.5999999999995</v>
      </c>
      <c r="CP69" s="100">
        <v>13</v>
      </c>
      <c r="CQ69" s="100">
        <v>9859.1999999999989</v>
      </c>
      <c r="CR69" s="100">
        <v>14.414504285618225</v>
      </c>
      <c r="CS69" s="100">
        <v>10931.960050212861</v>
      </c>
      <c r="CT69" s="100">
        <v>10</v>
      </c>
      <c r="CU69" s="100">
        <v>7584</v>
      </c>
    </row>
    <row r="70" spans="2:99">
      <c r="C70" s="99" t="s">
        <v>236</v>
      </c>
      <c r="D70" s="100">
        <v>9</v>
      </c>
      <c r="E70" s="100">
        <v>4816.7999999999993</v>
      </c>
      <c r="F70" s="100">
        <v>14</v>
      </c>
      <c r="G70" s="100">
        <v>7492.7999999999993</v>
      </c>
      <c r="H70" s="100">
        <v>16.276634568824718</v>
      </c>
      <c r="I70" s="100">
        <v>8711.2548212349884</v>
      </c>
      <c r="J70" s="100">
        <v>10</v>
      </c>
      <c r="K70" s="100">
        <v>5351.9999999999991</v>
      </c>
      <c r="L70" s="100">
        <v>16</v>
      </c>
      <c r="M70" s="100">
        <v>8563.1999999999989</v>
      </c>
      <c r="N70" s="100">
        <v>13.950703764947107</v>
      </c>
      <c r="O70" s="100">
        <v>7466.4166549996908</v>
      </c>
      <c r="P70" s="100">
        <v>9.6389364639752237</v>
      </c>
      <c r="Q70" s="100">
        <v>5158.7587955195395</v>
      </c>
      <c r="R70" s="100">
        <v>13</v>
      </c>
      <c r="S70" s="100">
        <v>6957.5999999999995</v>
      </c>
      <c r="T70" s="100">
        <v>14</v>
      </c>
      <c r="U70" s="100">
        <v>7492.7999999999993</v>
      </c>
      <c r="V70" s="100">
        <v>10</v>
      </c>
      <c r="W70" s="100">
        <v>5351.9999999999991</v>
      </c>
      <c r="X70" s="100">
        <v>12.862284200937946</v>
      </c>
      <c r="Y70" s="100">
        <v>6883.8945043419881</v>
      </c>
      <c r="Z70" s="100">
        <v>12.690361643841877</v>
      </c>
      <c r="AA70" s="100">
        <v>6791.8815517841713</v>
      </c>
      <c r="AB70" s="100">
        <v>9.5529023015702492</v>
      </c>
      <c r="AC70" s="100">
        <v>5112.7133118003967</v>
      </c>
      <c r="AD70" s="100">
        <v>7.7897431730705549</v>
      </c>
      <c r="AE70" s="100">
        <v>4169.0705462273609</v>
      </c>
      <c r="AF70" s="100">
        <v>10.534965722435313</v>
      </c>
      <c r="AG70" s="100">
        <v>5638.3136546473788</v>
      </c>
      <c r="AH70" s="100">
        <v>11.217230169221599</v>
      </c>
      <c r="AI70" s="100">
        <v>6003.4615865673995</v>
      </c>
      <c r="AJ70" s="100">
        <v>16</v>
      </c>
      <c r="AK70" s="100">
        <v>8563.1999999999989</v>
      </c>
      <c r="AL70" s="100">
        <v>10</v>
      </c>
      <c r="AM70" s="100">
        <v>5351.9999999999991</v>
      </c>
      <c r="AN70" s="100">
        <v>11</v>
      </c>
      <c r="AO70" s="100">
        <v>5887.1999999999989</v>
      </c>
      <c r="AP70" s="100">
        <v>10</v>
      </c>
      <c r="AQ70" s="100">
        <v>5351.9999999999991</v>
      </c>
      <c r="AR70" s="100">
        <v>8.9444175420464589</v>
      </c>
      <c r="AS70" s="100">
        <v>4787.0522685032638</v>
      </c>
      <c r="AT70" s="100">
        <v>14</v>
      </c>
      <c r="AU70" s="100">
        <v>7492.7999999999993</v>
      </c>
      <c r="AV70" s="100">
        <v>9</v>
      </c>
      <c r="AW70" s="100">
        <v>4816.7999999999993</v>
      </c>
      <c r="AX70" s="100">
        <v>14</v>
      </c>
      <c r="AY70" s="100">
        <v>7492.7999999999993</v>
      </c>
      <c r="AZ70" s="100">
        <v>12.683813096277339</v>
      </c>
      <c r="BA70" s="100">
        <v>6788.3767691276307</v>
      </c>
      <c r="BB70" s="100">
        <v>11.806344470790503</v>
      </c>
      <c r="BC70" s="100">
        <v>6318.7555607670765</v>
      </c>
      <c r="BD70" s="100">
        <v>15</v>
      </c>
      <c r="BE70" s="100">
        <v>8027.9999999999991</v>
      </c>
      <c r="BF70" s="100">
        <v>12.225126837935377</v>
      </c>
      <c r="BG70" s="100">
        <v>6542.8878836630129</v>
      </c>
      <c r="BH70" s="100">
        <v>9</v>
      </c>
      <c r="BI70" s="100">
        <v>4816.7999999999993</v>
      </c>
      <c r="BJ70" s="100">
        <v>10.873538939598319</v>
      </c>
      <c r="BK70" s="100">
        <v>5819.5180404730199</v>
      </c>
      <c r="BL70" s="100">
        <v>14.580353112231499</v>
      </c>
      <c r="BM70" s="100">
        <v>7803.4049856662978</v>
      </c>
      <c r="BN70" s="100">
        <v>14</v>
      </c>
      <c r="BO70" s="100">
        <v>7492.7999999999993</v>
      </c>
      <c r="BP70" s="100">
        <v>14.512354686350685</v>
      </c>
      <c r="BQ70" s="100">
        <v>7767.0122281348858</v>
      </c>
      <c r="BR70" s="100">
        <v>14.290436018972699</v>
      </c>
      <c r="BS70" s="100">
        <v>7648.2413573541871</v>
      </c>
      <c r="BT70" s="100">
        <v>14.551770777947835</v>
      </c>
      <c r="BU70" s="100">
        <v>7788.1077203576806</v>
      </c>
      <c r="BV70" s="100">
        <v>10</v>
      </c>
      <c r="BW70" s="100">
        <v>5351.9999999999991</v>
      </c>
      <c r="BX70" s="100">
        <v>9.2053327830250549</v>
      </c>
      <c r="BY70" s="100">
        <v>4926.6941054750087</v>
      </c>
      <c r="BZ70" s="100">
        <v>7.924702096606608</v>
      </c>
      <c r="CA70" s="100">
        <v>4241.3005621038565</v>
      </c>
      <c r="CB70" s="100">
        <v>9.5311900442872837</v>
      </c>
      <c r="CC70" s="100">
        <v>5101.0929117025535</v>
      </c>
      <c r="CD70" s="100">
        <v>13</v>
      </c>
      <c r="CE70" s="100">
        <v>6957.5999999999995</v>
      </c>
      <c r="CF70" s="100">
        <v>15.686714101704855</v>
      </c>
      <c r="CG70" s="100">
        <v>8395.5293872324364</v>
      </c>
      <c r="CH70" s="100">
        <v>11.667248168117938</v>
      </c>
      <c r="CI70" s="100">
        <v>6244.3112195767199</v>
      </c>
      <c r="CJ70" s="100">
        <v>12.846868721706594</v>
      </c>
      <c r="CK70" s="100">
        <v>6875.6441398573679</v>
      </c>
      <c r="CL70" s="100">
        <v>9.9599807566190712</v>
      </c>
      <c r="CM70" s="100">
        <v>5330.5817009425264</v>
      </c>
      <c r="CN70" s="100">
        <v>10</v>
      </c>
      <c r="CO70" s="100">
        <v>5351.9999999999991</v>
      </c>
      <c r="CP70" s="100">
        <v>14</v>
      </c>
      <c r="CQ70" s="100">
        <v>7492.7999999999993</v>
      </c>
      <c r="CR70" s="100">
        <v>15.375471237992771</v>
      </c>
      <c r="CS70" s="100">
        <v>8228.952206573731</v>
      </c>
      <c r="CT70" s="100">
        <v>10</v>
      </c>
      <c r="CU70" s="100">
        <v>5351.9999999999991</v>
      </c>
    </row>
    <row r="71" spans="2:99">
      <c r="B71" s="99" t="s">
        <v>130</v>
      </c>
      <c r="C71" s="99" t="s">
        <v>237</v>
      </c>
      <c r="D71" s="100">
        <v>8</v>
      </c>
      <c r="E71" s="100">
        <v>4512</v>
      </c>
      <c r="F71" s="100">
        <v>8</v>
      </c>
      <c r="G71" s="100">
        <v>4512</v>
      </c>
      <c r="H71" s="100">
        <v>6</v>
      </c>
      <c r="I71" s="100">
        <v>3384</v>
      </c>
      <c r="J71" s="100">
        <v>9</v>
      </c>
      <c r="K71" s="100">
        <v>5076</v>
      </c>
      <c r="L71" s="100">
        <v>8</v>
      </c>
      <c r="M71" s="100">
        <v>4512</v>
      </c>
      <c r="N71" s="100">
        <v>7</v>
      </c>
      <c r="O71" s="100">
        <v>3948</v>
      </c>
      <c r="P71" s="100">
        <v>6</v>
      </c>
      <c r="Q71" s="100">
        <v>3384</v>
      </c>
      <c r="R71" s="100">
        <v>7</v>
      </c>
      <c r="S71" s="100">
        <v>3948</v>
      </c>
      <c r="T71" s="100">
        <v>9</v>
      </c>
      <c r="U71" s="100">
        <v>5076</v>
      </c>
      <c r="V71" s="100">
        <v>5</v>
      </c>
      <c r="W71" s="100">
        <v>2820</v>
      </c>
      <c r="X71" s="100">
        <v>6</v>
      </c>
      <c r="Y71" s="100">
        <v>3384</v>
      </c>
      <c r="Z71" s="100">
        <v>7</v>
      </c>
      <c r="AA71" s="100">
        <v>3948</v>
      </c>
      <c r="AB71" s="100">
        <v>7</v>
      </c>
      <c r="AC71" s="100">
        <v>3948</v>
      </c>
      <c r="AD71" s="100">
        <v>6</v>
      </c>
      <c r="AE71" s="100">
        <v>3384</v>
      </c>
      <c r="AF71" s="100">
        <v>7</v>
      </c>
      <c r="AG71" s="100">
        <v>3948</v>
      </c>
      <c r="AH71" s="100">
        <v>11</v>
      </c>
      <c r="AI71" s="100">
        <v>6204</v>
      </c>
      <c r="AJ71" s="100">
        <v>5</v>
      </c>
      <c r="AK71" s="100">
        <v>2820</v>
      </c>
      <c r="AL71" s="100">
        <v>5</v>
      </c>
      <c r="AM71" s="100">
        <v>2820</v>
      </c>
      <c r="AN71" s="100">
        <v>9</v>
      </c>
      <c r="AO71" s="100">
        <v>5076</v>
      </c>
      <c r="AP71" s="100">
        <v>6</v>
      </c>
      <c r="AQ71" s="100">
        <v>3384</v>
      </c>
      <c r="AR71" s="100">
        <v>6</v>
      </c>
      <c r="AS71" s="100">
        <v>3384</v>
      </c>
      <c r="AT71" s="100">
        <v>5</v>
      </c>
      <c r="AU71" s="100">
        <v>2820</v>
      </c>
      <c r="AV71" s="100">
        <v>7</v>
      </c>
      <c r="AW71" s="100">
        <v>3948</v>
      </c>
      <c r="AX71" s="100">
        <v>7</v>
      </c>
      <c r="AY71" s="100">
        <v>3948</v>
      </c>
      <c r="AZ71" s="100">
        <v>9</v>
      </c>
      <c r="BA71" s="100">
        <v>5076</v>
      </c>
      <c r="BB71" s="100">
        <v>6</v>
      </c>
      <c r="BC71" s="100">
        <v>3384</v>
      </c>
      <c r="BD71" s="100">
        <v>5</v>
      </c>
      <c r="BE71" s="100">
        <v>2820</v>
      </c>
      <c r="BF71" s="100">
        <v>11</v>
      </c>
      <c r="BG71" s="100">
        <v>6204</v>
      </c>
      <c r="BH71" s="100">
        <v>11</v>
      </c>
      <c r="BI71" s="100">
        <v>6204</v>
      </c>
      <c r="BJ71" s="100">
        <v>10</v>
      </c>
      <c r="BK71" s="100">
        <v>5640</v>
      </c>
      <c r="BL71" s="100">
        <v>7</v>
      </c>
      <c r="BM71" s="100">
        <v>3948</v>
      </c>
      <c r="BN71" s="100">
        <v>10</v>
      </c>
      <c r="BO71" s="100">
        <v>5640</v>
      </c>
      <c r="BP71" s="100">
        <v>6</v>
      </c>
      <c r="BQ71" s="100">
        <v>3384</v>
      </c>
      <c r="BR71" s="100">
        <v>7</v>
      </c>
      <c r="BS71" s="100">
        <v>3948</v>
      </c>
      <c r="BT71" s="100">
        <v>10</v>
      </c>
      <c r="BU71" s="100">
        <v>5640</v>
      </c>
      <c r="BV71" s="100">
        <v>10</v>
      </c>
      <c r="BW71" s="100">
        <v>5640</v>
      </c>
      <c r="BX71" s="100">
        <v>6</v>
      </c>
      <c r="BY71" s="100">
        <v>3384</v>
      </c>
      <c r="BZ71" s="100">
        <v>6</v>
      </c>
      <c r="CA71" s="100">
        <v>3384</v>
      </c>
      <c r="CB71" s="100">
        <v>8</v>
      </c>
      <c r="CC71" s="100">
        <v>4512</v>
      </c>
      <c r="CD71" s="100">
        <v>8</v>
      </c>
      <c r="CE71" s="100">
        <v>4512</v>
      </c>
      <c r="CF71" s="100">
        <v>8</v>
      </c>
      <c r="CG71" s="100">
        <v>4512</v>
      </c>
      <c r="CH71" s="100">
        <v>10</v>
      </c>
      <c r="CI71" s="100">
        <v>5640</v>
      </c>
      <c r="CJ71" s="100">
        <v>7</v>
      </c>
      <c r="CK71" s="100">
        <v>3948</v>
      </c>
      <c r="CL71" s="100">
        <v>8</v>
      </c>
      <c r="CM71" s="100">
        <v>4512</v>
      </c>
      <c r="CN71" s="100">
        <v>9</v>
      </c>
      <c r="CO71" s="100">
        <v>5076</v>
      </c>
      <c r="CP71" s="100">
        <v>11</v>
      </c>
      <c r="CQ71" s="100">
        <v>6204</v>
      </c>
      <c r="CR71" s="100">
        <v>6</v>
      </c>
      <c r="CS71" s="100">
        <v>3384</v>
      </c>
      <c r="CT71" s="100">
        <v>9</v>
      </c>
      <c r="CU71" s="100">
        <v>5076</v>
      </c>
    </row>
    <row r="72" spans="2:99">
      <c r="C72" s="99" t="s">
        <v>238</v>
      </c>
      <c r="D72" s="100">
        <v>7</v>
      </c>
      <c r="E72" s="100">
        <v>520.79999999999995</v>
      </c>
      <c r="F72" s="100">
        <v>9</v>
      </c>
      <c r="G72" s="100">
        <v>669.59999999999991</v>
      </c>
      <c r="H72" s="100">
        <v>6</v>
      </c>
      <c r="I72" s="100">
        <v>446.4</v>
      </c>
      <c r="J72" s="100">
        <v>8</v>
      </c>
      <c r="K72" s="100">
        <v>595.19999999999993</v>
      </c>
      <c r="L72" s="100">
        <v>8</v>
      </c>
      <c r="M72" s="100">
        <v>595.19999999999993</v>
      </c>
      <c r="N72" s="100">
        <v>7</v>
      </c>
      <c r="O72" s="100">
        <v>520.79999999999995</v>
      </c>
      <c r="P72" s="100">
        <v>7</v>
      </c>
      <c r="Q72" s="100">
        <v>520.79999999999995</v>
      </c>
      <c r="R72" s="100">
        <v>8</v>
      </c>
      <c r="S72" s="100">
        <v>595.19999999999993</v>
      </c>
      <c r="T72" s="100">
        <v>10</v>
      </c>
      <c r="U72" s="100">
        <v>743.99999999999989</v>
      </c>
      <c r="V72" s="100">
        <v>6</v>
      </c>
      <c r="W72" s="100">
        <v>446.4</v>
      </c>
      <c r="X72" s="100">
        <v>7</v>
      </c>
      <c r="Y72" s="100">
        <v>520.79999999999995</v>
      </c>
      <c r="Z72" s="100">
        <v>8</v>
      </c>
      <c r="AA72" s="100">
        <v>595.19999999999993</v>
      </c>
      <c r="AB72" s="100">
        <v>7</v>
      </c>
      <c r="AC72" s="100">
        <v>520.79999999999995</v>
      </c>
      <c r="AD72" s="100">
        <v>7</v>
      </c>
      <c r="AE72" s="100">
        <v>520.79999999999995</v>
      </c>
      <c r="AF72" s="100">
        <v>7</v>
      </c>
      <c r="AG72" s="100">
        <v>520.79999999999995</v>
      </c>
      <c r="AH72" s="100">
        <v>10</v>
      </c>
      <c r="AI72" s="100">
        <v>743.99999999999989</v>
      </c>
      <c r="AJ72" s="100">
        <v>5</v>
      </c>
      <c r="AK72" s="100">
        <v>371.99999999999994</v>
      </c>
      <c r="AL72" s="100">
        <v>6</v>
      </c>
      <c r="AM72" s="100">
        <v>446.4</v>
      </c>
      <c r="AN72" s="100">
        <v>8</v>
      </c>
      <c r="AO72" s="100">
        <v>595.19999999999993</v>
      </c>
      <c r="AP72" s="100">
        <v>6</v>
      </c>
      <c r="AQ72" s="100">
        <v>446.4</v>
      </c>
      <c r="AR72" s="100">
        <v>7</v>
      </c>
      <c r="AS72" s="100">
        <v>520.79999999999995</v>
      </c>
      <c r="AT72" s="100">
        <v>7</v>
      </c>
      <c r="AU72" s="100">
        <v>520.79999999999995</v>
      </c>
      <c r="AV72" s="100">
        <v>7</v>
      </c>
      <c r="AW72" s="100">
        <v>520.79999999999995</v>
      </c>
      <c r="AX72" s="100">
        <v>8</v>
      </c>
      <c r="AY72" s="100">
        <v>595.19999999999993</v>
      </c>
      <c r="AZ72" s="100">
        <v>10</v>
      </c>
      <c r="BA72" s="100">
        <v>743.99999999999989</v>
      </c>
      <c r="BB72" s="100">
        <v>7</v>
      </c>
      <c r="BC72" s="100">
        <v>520.79999999999995</v>
      </c>
      <c r="BD72" s="100">
        <v>6</v>
      </c>
      <c r="BE72" s="100">
        <v>446.4</v>
      </c>
      <c r="BF72" s="100">
        <v>11</v>
      </c>
      <c r="BG72" s="100">
        <v>818.39999999999986</v>
      </c>
      <c r="BH72" s="100">
        <v>11</v>
      </c>
      <c r="BI72" s="100">
        <v>818.39999999999986</v>
      </c>
      <c r="BJ72" s="100">
        <v>10</v>
      </c>
      <c r="BK72" s="100">
        <v>743.99999999999989</v>
      </c>
      <c r="BL72" s="100">
        <v>8</v>
      </c>
      <c r="BM72" s="100">
        <v>595.19999999999993</v>
      </c>
      <c r="BN72" s="100">
        <v>10</v>
      </c>
      <c r="BO72" s="100">
        <v>743.99999999999989</v>
      </c>
      <c r="BP72" s="100">
        <v>7</v>
      </c>
      <c r="BQ72" s="100">
        <v>520.79999999999995</v>
      </c>
      <c r="BR72" s="100">
        <v>7</v>
      </c>
      <c r="BS72" s="100">
        <v>520.79999999999995</v>
      </c>
      <c r="BT72" s="100">
        <v>9</v>
      </c>
      <c r="BU72" s="100">
        <v>669.59999999999991</v>
      </c>
      <c r="BV72" s="100">
        <v>10</v>
      </c>
      <c r="BW72" s="100">
        <v>743.99999999999989</v>
      </c>
      <c r="BX72" s="100">
        <v>6</v>
      </c>
      <c r="BY72" s="100">
        <v>446.4</v>
      </c>
      <c r="BZ72" s="100">
        <v>7</v>
      </c>
      <c r="CA72" s="100">
        <v>520.79999999999995</v>
      </c>
      <c r="CB72" s="100">
        <v>9</v>
      </c>
      <c r="CC72" s="100">
        <v>669.59999999999991</v>
      </c>
      <c r="CD72" s="100">
        <v>10</v>
      </c>
      <c r="CE72" s="100">
        <v>743.99999999999989</v>
      </c>
      <c r="CF72" s="100">
        <v>8</v>
      </c>
      <c r="CG72" s="100">
        <v>595.19999999999993</v>
      </c>
      <c r="CH72" s="100">
        <v>10</v>
      </c>
      <c r="CI72" s="100">
        <v>743.99999999999989</v>
      </c>
      <c r="CJ72" s="100">
        <v>7</v>
      </c>
      <c r="CK72" s="100">
        <v>520.79999999999995</v>
      </c>
      <c r="CL72" s="100">
        <v>7</v>
      </c>
      <c r="CM72" s="100">
        <v>520.79999999999995</v>
      </c>
      <c r="CN72" s="100">
        <v>9</v>
      </c>
      <c r="CO72" s="100">
        <v>669.59999999999991</v>
      </c>
      <c r="CP72" s="100">
        <v>12</v>
      </c>
      <c r="CQ72" s="100">
        <v>892.8</v>
      </c>
      <c r="CR72" s="100">
        <v>6</v>
      </c>
      <c r="CS72" s="100">
        <v>446.4</v>
      </c>
      <c r="CT72" s="100">
        <v>8</v>
      </c>
      <c r="CU72" s="100">
        <v>595.19999999999993</v>
      </c>
    </row>
    <row r="73" spans="2:99">
      <c r="C73" s="99" t="s">
        <v>239</v>
      </c>
      <c r="D73" s="100">
        <v>8</v>
      </c>
      <c r="E73" s="100">
        <v>4473.5999999999995</v>
      </c>
      <c r="F73" s="100">
        <v>7</v>
      </c>
      <c r="G73" s="100">
        <v>3914.3999999999996</v>
      </c>
      <c r="H73" s="100">
        <v>6</v>
      </c>
      <c r="I73" s="100">
        <v>3355.2</v>
      </c>
      <c r="J73" s="100">
        <v>9</v>
      </c>
      <c r="K73" s="100">
        <v>5032.7999999999993</v>
      </c>
      <c r="L73" s="100">
        <v>8</v>
      </c>
      <c r="M73" s="100">
        <v>4473.5999999999995</v>
      </c>
      <c r="N73" s="100">
        <v>6</v>
      </c>
      <c r="O73" s="100">
        <v>3355.2</v>
      </c>
      <c r="P73" s="100">
        <v>7</v>
      </c>
      <c r="Q73" s="100">
        <v>3914.3999999999996</v>
      </c>
      <c r="R73" s="100">
        <v>7</v>
      </c>
      <c r="S73" s="100">
        <v>3914.3999999999996</v>
      </c>
      <c r="T73" s="100">
        <v>10</v>
      </c>
      <c r="U73" s="100">
        <v>5591.9999999999991</v>
      </c>
      <c r="V73" s="100">
        <v>5</v>
      </c>
      <c r="W73" s="100">
        <v>2795.9999999999995</v>
      </c>
      <c r="X73" s="100">
        <v>6</v>
      </c>
      <c r="Y73" s="100">
        <v>3355.2</v>
      </c>
      <c r="Z73" s="100">
        <v>7</v>
      </c>
      <c r="AA73" s="100">
        <v>3914.3999999999996</v>
      </c>
      <c r="AB73" s="100">
        <v>7</v>
      </c>
      <c r="AC73" s="100">
        <v>3914.3999999999996</v>
      </c>
      <c r="AD73" s="100">
        <v>6</v>
      </c>
      <c r="AE73" s="100">
        <v>3355.2</v>
      </c>
      <c r="AF73" s="100">
        <v>6</v>
      </c>
      <c r="AG73" s="100">
        <v>3355.2</v>
      </c>
      <c r="AH73" s="100">
        <v>10</v>
      </c>
      <c r="AI73" s="100">
        <v>5591.9999999999991</v>
      </c>
      <c r="AJ73" s="100">
        <v>5</v>
      </c>
      <c r="AK73" s="100">
        <v>2795.9999999999995</v>
      </c>
      <c r="AL73" s="100">
        <v>6</v>
      </c>
      <c r="AM73" s="100">
        <v>3355.2</v>
      </c>
      <c r="AN73" s="100">
        <v>9</v>
      </c>
      <c r="AO73" s="100">
        <v>5032.7999999999993</v>
      </c>
      <c r="AP73" s="100">
        <v>5</v>
      </c>
      <c r="AQ73" s="100">
        <v>2795.9999999999995</v>
      </c>
      <c r="AR73" s="100">
        <v>6</v>
      </c>
      <c r="AS73" s="100">
        <v>3355.2</v>
      </c>
      <c r="AT73" s="100">
        <v>6</v>
      </c>
      <c r="AU73" s="100">
        <v>3355.2</v>
      </c>
      <c r="AV73" s="100">
        <v>7</v>
      </c>
      <c r="AW73" s="100">
        <v>3914.3999999999996</v>
      </c>
      <c r="AX73" s="100">
        <v>8</v>
      </c>
      <c r="AY73" s="100">
        <v>4473.5999999999995</v>
      </c>
      <c r="AZ73" s="100">
        <v>8</v>
      </c>
      <c r="BA73" s="100">
        <v>4473.5999999999995</v>
      </c>
      <c r="BB73" s="100">
        <v>6</v>
      </c>
      <c r="BC73" s="100">
        <v>3355.2</v>
      </c>
      <c r="BD73" s="100">
        <v>5</v>
      </c>
      <c r="BE73" s="100">
        <v>2795.9999999999995</v>
      </c>
      <c r="BF73" s="100">
        <v>11</v>
      </c>
      <c r="BG73" s="100">
        <v>6151.1999999999989</v>
      </c>
      <c r="BH73" s="100">
        <v>11</v>
      </c>
      <c r="BI73" s="100">
        <v>6151.1999999999989</v>
      </c>
      <c r="BJ73" s="100">
        <v>11</v>
      </c>
      <c r="BK73" s="100">
        <v>6151.1999999999989</v>
      </c>
      <c r="BL73" s="100">
        <v>7</v>
      </c>
      <c r="BM73" s="100">
        <v>3914.3999999999996</v>
      </c>
      <c r="BN73" s="100">
        <v>10</v>
      </c>
      <c r="BO73" s="100">
        <v>5591.9999999999991</v>
      </c>
      <c r="BP73" s="100">
        <v>7</v>
      </c>
      <c r="BQ73" s="100">
        <v>3914.3999999999996</v>
      </c>
      <c r="BR73" s="100">
        <v>7</v>
      </c>
      <c r="BS73" s="100">
        <v>3914.3999999999996</v>
      </c>
      <c r="BT73" s="100">
        <v>10</v>
      </c>
      <c r="BU73" s="100">
        <v>5591.9999999999991</v>
      </c>
      <c r="BV73" s="100">
        <v>9</v>
      </c>
      <c r="BW73" s="100">
        <v>5032.7999999999993</v>
      </c>
      <c r="BX73" s="100">
        <v>7</v>
      </c>
      <c r="BY73" s="100">
        <v>3914.3999999999996</v>
      </c>
      <c r="BZ73" s="100">
        <v>6</v>
      </c>
      <c r="CA73" s="100">
        <v>3355.2</v>
      </c>
      <c r="CB73" s="100">
        <v>8</v>
      </c>
      <c r="CC73" s="100">
        <v>4473.5999999999995</v>
      </c>
      <c r="CD73" s="100">
        <v>9</v>
      </c>
      <c r="CE73" s="100">
        <v>5032.7999999999993</v>
      </c>
      <c r="CF73" s="100">
        <v>8</v>
      </c>
      <c r="CG73" s="100">
        <v>4473.5999999999995</v>
      </c>
      <c r="CH73" s="100">
        <v>10</v>
      </c>
      <c r="CI73" s="100">
        <v>5591.9999999999991</v>
      </c>
      <c r="CJ73" s="100">
        <v>7</v>
      </c>
      <c r="CK73" s="100">
        <v>3914.3999999999996</v>
      </c>
      <c r="CL73" s="100">
        <v>8</v>
      </c>
      <c r="CM73" s="100">
        <v>4473.5999999999995</v>
      </c>
      <c r="CN73" s="100">
        <v>8</v>
      </c>
      <c r="CO73" s="100">
        <v>4473.5999999999995</v>
      </c>
      <c r="CP73" s="100">
        <v>10</v>
      </c>
      <c r="CQ73" s="100">
        <v>5591.9999999999991</v>
      </c>
      <c r="CR73" s="100">
        <v>6</v>
      </c>
      <c r="CS73" s="100">
        <v>3355.2</v>
      </c>
      <c r="CT73" s="100">
        <v>8</v>
      </c>
      <c r="CU73" s="100">
        <v>4473.5999999999995</v>
      </c>
    </row>
    <row r="74" spans="2:99">
      <c r="C74" s="99" t="s">
        <v>240</v>
      </c>
      <c r="D74" s="100">
        <v>7</v>
      </c>
      <c r="E74" s="100">
        <v>2822.4</v>
      </c>
      <c r="F74" s="100">
        <v>9</v>
      </c>
      <c r="G74" s="100">
        <v>3628.7999999999997</v>
      </c>
      <c r="H74" s="100">
        <v>7</v>
      </c>
      <c r="I74" s="100">
        <v>2822.4</v>
      </c>
      <c r="J74" s="100">
        <v>9</v>
      </c>
      <c r="K74" s="100">
        <v>3628.7999999999997</v>
      </c>
      <c r="L74" s="100">
        <v>9</v>
      </c>
      <c r="M74" s="100">
        <v>3628.7999999999997</v>
      </c>
      <c r="N74" s="100">
        <v>7</v>
      </c>
      <c r="O74" s="100">
        <v>2822.4</v>
      </c>
      <c r="P74" s="100">
        <v>7</v>
      </c>
      <c r="Q74" s="100">
        <v>2822.4</v>
      </c>
      <c r="R74" s="100">
        <v>8</v>
      </c>
      <c r="S74" s="100">
        <v>3225.6</v>
      </c>
      <c r="T74" s="100">
        <v>10</v>
      </c>
      <c r="U74" s="100">
        <v>4032</v>
      </c>
      <c r="V74" s="100">
        <v>5</v>
      </c>
      <c r="W74" s="100">
        <v>2016</v>
      </c>
      <c r="X74" s="100">
        <v>7</v>
      </c>
      <c r="Y74" s="100">
        <v>2822.4</v>
      </c>
      <c r="Z74" s="100">
        <v>7</v>
      </c>
      <c r="AA74" s="100">
        <v>2822.4</v>
      </c>
      <c r="AB74" s="100">
        <v>7</v>
      </c>
      <c r="AC74" s="100">
        <v>2822.4</v>
      </c>
      <c r="AD74" s="100">
        <v>7</v>
      </c>
      <c r="AE74" s="100">
        <v>2822.4</v>
      </c>
      <c r="AF74" s="100">
        <v>7</v>
      </c>
      <c r="AG74" s="100">
        <v>2822.4</v>
      </c>
      <c r="AH74" s="100">
        <v>10</v>
      </c>
      <c r="AI74" s="100">
        <v>4032</v>
      </c>
      <c r="AJ74" s="100">
        <v>5</v>
      </c>
      <c r="AK74" s="100">
        <v>2016</v>
      </c>
      <c r="AL74" s="100">
        <v>6</v>
      </c>
      <c r="AM74" s="100">
        <v>2419.1999999999998</v>
      </c>
      <c r="AN74" s="100">
        <v>9</v>
      </c>
      <c r="AO74" s="100">
        <v>3628.7999999999997</v>
      </c>
      <c r="AP74" s="100">
        <v>5</v>
      </c>
      <c r="AQ74" s="100">
        <v>2016</v>
      </c>
      <c r="AR74" s="100">
        <v>6</v>
      </c>
      <c r="AS74" s="100">
        <v>2419.1999999999998</v>
      </c>
      <c r="AT74" s="100">
        <v>6</v>
      </c>
      <c r="AU74" s="100">
        <v>2419.1999999999998</v>
      </c>
      <c r="AV74" s="100">
        <v>7</v>
      </c>
      <c r="AW74" s="100">
        <v>2822.4</v>
      </c>
      <c r="AX74" s="100">
        <v>9</v>
      </c>
      <c r="AY74" s="100">
        <v>3628.7999999999997</v>
      </c>
      <c r="AZ74" s="100">
        <v>9</v>
      </c>
      <c r="BA74" s="100">
        <v>3628.7999999999997</v>
      </c>
      <c r="BB74" s="100">
        <v>7</v>
      </c>
      <c r="BC74" s="100">
        <v>2822.4</v>
      </c>
      <c r="BD74" s="100">
        <v>6</v>
      </c>
      <c r="BE74" s="100">
        <v>2419.1999999999998</v>
      </c>
      <c r="BF74" s="100">
        <v>10</v>
      </c>
      <c r="BG74" s="100">
        <v>4032</v>
      </c>
      <c r="BH74" s="100">
        <v>9</v>
      </c>
      <c r="BI74" s="100">
        <v>3628.7999999999997</v>
      </c>
      <c r="BJ74" s="100">
        <v>11</v>
      </c>
      <c r="BK74" s="100">
        <v>4435.2</v>
      </c>
      <c r="BL74" s="100">
        <v>8</v>
      </c>
      <c r="BM74" s="100">
        <v>3225.6</v>
      </c>
      <c r="BN74" s="100">
        <v>10</v>
      </c>
      <c r="BO74" s="100">
        <v>4032</v>
      </c>
      <c r="BP74" s="100">
        <v>7</v>
      </c>
      <c r="BQ74" s="100">
        <v>2822.4</v>
      </c>
      <c r="BR74" s="100">
        <v>7</v>
      </c>
      <c r="BS74" s="100">
        <v>2822.4</v>
      </c>
      <c r="BT74" s="100">
        <v>10</v>
      </c>
      <c r="BU74" s="100">
        <v>4032</v>
      </c>
      <c r="BV74" s="100">
        <v>9</v>
      </c>
      <c r="BW74" s="100">
        <v>3628.7999999999997</v>
      </c>
      <c r="BX74" s="100">
        <v>7</v>
      </c>
      <c r="BY74" s="100">
        <v>2822.4</v>
      </c>
      <c r="BZ74" s="100">
        <v>6</v>
      </c>
      <c r="CA74" s="100">
        <v>2419.1999999999998</v>
      </c>
      <c r="CB74" s="100">
        <v>8</v>
      </c>
      <c r="CC74" s="100">
        <v>3225.6</v>
      </c>
      <c r="CD74" s="100">
        <v>9</v>
      </c>
      <c r="CE74" s="100">
        <v>3628.7999999999997</v>
      </c>
      <c r="CF74" s="100">
        <v>8</v>
      </c>
      <c r="CG74" s="100">
        <v>3225.6</v>
      </c>
      <c r="CH74" s="100">
        <v>10</v>
      </c>
      <c r="CI74" s="100">
        <v>4032</v>
      </c>
      <c r="CJ74" s="100">
        <v>7</v>
      </c>
      <c r="CK74" s="100">
        <v>2822.4</v>
      </c>
      <c r="CL74" s="100">
        <v>8</v>
      </c>
      <c r="CM74" s="100">
        <v>3225.6</v>
      </c>
      <c r="CN74" s="100">
        <v>9</v>
      </c>
      <c r="CO74" s="100">
        <v>3628.7999999999997</v>
      </c>
      <c r="CP74" s="100">
        <v>11</v>
      </c>
      <c r="CQ74" s="100">
        <v>4435.2</v>
      </c>
      <c r="CR74" s="100">
        <v>6</v>
      </c>
      <c r="CS74" s="100">
        <v>2419.1999999999998</v>
      </c>
      <c r="CT74" s="100">
        <v>8</v>
      </c>
      <c r="CU74" s="100">
        <v>3225.6</v>
      </c>
    </row>
    <row r="75" spans="2:99">
      <c r="C75" s="99" t="s">
        <v>241</v>
      </c>
      <c r="D75" s="100">
        <v>7</v>
      </c>
      <c r="E75" s="100">
        <v>4502.3999999999996</v>
      </c>
      <c r="F75" s="100">
        <v>8</v>
      </c>
      <c r="G75" s="100">
        <v>5145.5999999999995</v>
      </c>
      <c r="H75" s="100">
        <v>6</v>
      </c>
      <c r="I75" s="100">
        <v>3859.2</v>
      </c>
      <c r="J75" s="100">
        <v>8</v>
      </c>
      <c r="K75" s="100">
        <v>5145.5999999999995</v>
      </c>
      <c r="L75" s="100">
        <v>7</v>
      </c>
      <c r="M75" s="100">
        <v>4502.3999999999996</v>
      </c>
      <c r="N75" s="100">
        <v>7</v>
      </c>
      <c r="O75" s="100">
        <v>4502.3999999999996</v>
      </c>
      <c r="P75" s="100">
        <v>7</v>
      </c>
      <c r="Q75" s="100">
        <v>4502.3999999999996</v>
      </c>
      <c r="R75" s="100">
        <v>8</v>
      </c>
      <c r="S75" s="100">
        <v>5145.5999999999995</v>
      </c>
      <c r="T75" s="100">
        <v>9</v>
      </c>
      <c r="U75" s="100">
        <v>5788.7999999999993</v>
      </c>
      <c r="V75" s="100">
        <v>6</v>
      </c>
      <c r="W75" s="100">
        <v>3859.2</v>
      </c>
      <c r="X75" s="100">
        <v>7</v>
      </c>
      <c r="Y75" s="100">
        <v>4502.3999999999996</v>
      </c>
      <c r="Z75" s="100">
        <v>6</v>
      </c>
      <c r="AA75" s="100">
        <v>3859.2</v>
      </c>
      <c r="AB75" s="100">
        <v>7</v>
      </c>
      <c r="AC75" s="100">
        <v>4502.3999999999996</v>
      </c>
      <c r="AD75" s="100">
        <v>7</v>
      </c>
      <c r="AE75" s="100">
        <v>4502.3999999999996</v>
      </c>
      <c r="AF75" s="100">
        <v>7</v>
      </c>
      <c r="AG75" s="100">
        <v>4502.3999999999996</v>
      </c>
      <c r="AH75" s="100">
        <v>11</v>
      </c>
      <c r="AI75" s="100">
        <v>7075.1999999999989</v>
      </c>
      <c r="AJ75" s="100">
        <v>5</v>
      </c>
      <c r="AK75" s="100">
        <v>3215.9999999999995</v>
      </c>
      <c r="AL75" s="100">
        <v>5</v>
      </c>
      <c r="AM75" s="100">
        <v>3215.9999999999995</v>
      </c>
      <c r="AN75" s="100">
        <v>9</v>
      </c>
      <c r="AO75" s="100">
        <v>5788.7999999999993</v>
      </c>
      <c r="AP75" s="100">
        <v>5</v>
      </c>
      <c r="AQ75" s="100">
        <v>3215.9999999999995</v>
      </c>
      <c r="AR75" s="100">
        <v>6</v>
      </c>
      <c r="AS75" s="100">
        <v>3859.2</v>
      </c>
      <c r="AT75" s="100">
        <v>6</v>
      </c>
      <c r="AU75" s="100">
        <v>3859.2</v>
      </c>
      <c r="AV75" s="100">
        <v>7</v>
      </c>
      <c r="AW75" s="100">
        <v>4502.3999999999996</v>
      </c>
      <c r="AX75" s="100">
        <v>9</v>
      </c>
      <c r="AY75" s="100">
        <v>5788.7999999999993</v>
      </c>
      <c r="AZ75" s="100">
        <v>8</v>
      </c>
      <c r="BA75" s="100">
        <v>5145.5999999999995</v>
      </c>
      <c r="BB75" s="100">
        <v>6</v>
      </c>
      <c r="BC75" s="100">
        <v>3859.2</v>
      </c>
      <c r="BD75" s="100">
        <v>6</v>
      </c>
      <c r="BE75" s="100">
        <v>3859.2</v>
      </c>
      <c r="BF75" s="100">
        <v>10</v>
      </c>
      <c r="BG75" s="100">
        <v>6431.9999999999991</v>
      </c>
      <c r="BH75" s="100">
        <v>11</v>
      </c>
      <c r="BI75" s="100">
        <v>7075.1999999999989</v>
      </c>
      <c r="BJ75" s="100">
        <v>9</v>
      </c>
      <c r="BK75" s="100">
        <v>5788.7999999999993</v>
      </c>
      <c r="BL75" s="100">
        <v>8</v>
      </c>
      <c r="BM75" s="100">
        <v>5145.5999999999995</v>
      </c>
      <c r="BN75" s="100">
        <v>9</v>
      </c>
      <c r="BO75" s="100">
        <v>5788.7999999999993</v>
      </c>
      <c r="BP75" s="100">
        <v>7</v>
      </c>
      <c r="BQ75" s="100">
        <v>4502.3999999999996</v>
      </c>
      <c r="BR75" s="100">
        <v>7</v>
      </c>
      <c r="BS75" s="100">
        <v>4502.3999999999996</v>
      </c>
      <c r="BT75" s="100">
        <v>9</v>
      </c>
      <c r="BU75" s="100">
        <v>5788.7999999999993</v>
      </c>
      <c r="BV75" s="100">
        <v>9</v>
      </c>
      <c r="BW75" s="100">
        <v>5788.7999999999993</v>
      </c>
      <c r="BX75" s="100">
        <v>6</v>
      </c>
      <c r="BY75" s="100">
        <v>3859.2</v>
      </c>
      <c r="BZ75" s="100">
        <v>6</v>
      </c>
      <c r="CA75" s="100">
        <v>3859.2</v>
      </c>
      <c r="CB75" s="100">
        <v>9</v>
      </c>
      <c r="CC75" s="100">
        <v>5788.7999999999993</v>
      </c>
      <c r="CD75" s="100">
        <v>8</v>
      </c>
      <c r="CE75" s="100">
        <v>5145.5999999999995</v>
      </c>
      <c r="CF75" s="100">
        <v>8</v>
      </c>
      <c r="CG75" s="100">
        <v>5145.5999999999995</v>
      </c>
      <c r="CH75" s="100">
        <v>9</v>
      </c>
      <c r="CI75" s="100">
        <v>5788.7999999999993</v>
      </c>
      <c r="CJ75" s="100">
        <v>7</v>
      </c>
      <c r="CK75" s="100">
        <v>4502.3999999999996</v>
      </c>
      <c r="CL75" s="100">
        <v>8</v>
      </c>
      <c r="CM75" s="100">
        <v>5145.5999999999995</v>
      </c>
      <c r="CN75" s="100">
        <v>9</v>
      </c>
      <c r="CO75" s="100">
        <v>5788.7999999999993</v>
      </c>
      <c r="CP75" s="100">
        <v>9</v>
      </c>
      <c r="CQ75" s="100">
        <v>5788.7999999999993</v>
      </c>
      <c r="CR75" s="100">
        <v>5</v>
      </c>
      <c r="CS75" s="100">
        <v>3215.9999999999995</v>
      </c>
      <c r="CT75" s="100">
        <v>7</v>
      </c>
      <c r="CU75" s="100">
        <v>4502.3999999999996</v>
      </c>
    </row>
    <row r="76" spans="2:99">
      <c r="C76" s="99" t="s">
        <v>242</v>
      </c>
      <c r="D76" s="100">
        <v>8</v>
      </c>
      <c r="E76" s="100">
        <v>6230.4</v>
      </c>
      <c r="F76" s="100">
        <v>8</v>
      </c>
      <c r="G76" s="100">
        <v>6230.4</v>
      </c>
      <c r="H76" s="100">
        <v>7</v>
      </c>
      <c r="I76" s="100">
        <v>5451.5999999999995</v>
      </c>
      <c r="J76" s="100">
        <v>8</v>
      </c>
      <c r="K76" s="100">
        <v>6230.4</v>
      </c>
      <c r="L76" s="100">
        <v>8</v>
      </c>
      <c r="M76" s="100">
        <v>6230.4</v>
      </c>
      <c r="N76" s="100">
        <v>6</v>
      </c>
      <c r="O76" s="100">
        <v>4672.7999999999993</v>
      </c>
      <c r="P76" s="100">
        <v>6</v>
      </c>
      <c r="Q76" s="100">
        <v>4672.7999999999993</v>
      </c>
      <c r="R76" s="100">
        <v>7</v>
      </c>
      <c r="S76" s="100">
        <v>5451.5999999999995</v>
      </c>
      <c r="T76" s="100">
        <v>10</v>
      </c>
      <c r="U76" s="100">
        <v>7788</v>
      </c>
      <c r="V76" s="100">
        <v>5</v>
      </c>
      <c r="W76" s="100">
        <v>3894</v>
      </c>
      <c r="X76" s="100">
        <v>6</v>
      </c>
      <c r="Y76" s="100">
        <v>4672.7999999999993</v>
      </c>
      <c r="Z76" s="100">
        <v>6</v>
      </c>
      <c r="AA76" s="100">
        <v>4672.7999999999993</v>
      </c>
      <c r="AB76" s="100">
        <v>7</v>
      </c>
      <c r="AC76" s="100">
        <v>5451.5999999999995</v>
      </c>
      <c r="AD76" s="100">
        <v>6</v>
      </c>
      <c r="AE76" s="100">
        <v>4672.7999999999993</v>
      </c>
      <c r="AF76" s="100">
        <v>6</v>
      </c>
      <c r="AG76" s="100">
        <v>4672.7999999999993</v>
      </c>
      <c r="AH76" s="100">
        <v>10</v>
      </c>
      <c r="AI76" s="100">
        <v>7788</v>
      </c>
      <c r="AJ76" s="100">
        <v>6</v>
      </c>
      <c r="AK76" s="100">
        <v>4672.7999999999993</v>
      </c>
      <c r="AL76" s="100">
        <v>5</v>
      </c>
      <c r="AM76" s="100">
        <v>3894</v>
      </c>
      <c r="AN76" s="100">
        <v>8</v>
      </c>
      <c r="AO76" s="100">
        <v>6230.4</v>
      </c>
      <c r="AP76" s="100">
        <v>6</v>
      </c>
      <c r="AQ76" s="100">
        <v>4672.7999999999993</v>
      </c>
      <c r="AR76" s="100">
        <v>6</v>
      </c>
      <c r="AS76" s="100">
        <v>4672.7999999999993</v>
      </c>
      <c r="AT76" s="100">
        <v>5</v>
      </c>
      <c r="AU76" s="100">
        <v>3894</v>
      </c>
      <c r="AV76" s="100">
        <v>7</v>
      </c>
      <c r="AW76" s="100">
        <v>5451.5999999999995</v>
      </c>
      <c r="AX76" s="100">
        <v>9</v>
      </c>
      <c r="AY76" s="100">
        <v>7009.2</v>
      </c>
      <c r="AZ76" s="100">
        <v>8</v>
      </c>
      <c r="BA76" s="100">
        <v>6230.4</v>
      </c>
      <c r="BB76" s="100">
        <v>6</v>
      </c>
      <c r="BC76" s="100">
        <v>4672.7999999999993</v>
      </c>
      <c r="BD76" s="100">
        <v>6</v>
      </c>
      <c r="BE76" s="100">
        <v>4672.7999999999993</v>
      </c>
      <c r="BF76" s="100">
        <v>11</v>
      </c>
      <c r="BG76" s="100">
        <v>8566.7999999999993</v>
      </c>
      <c r="BH76" s="100">
        <v>10</v>
      </c>
      <c r="BI76" s="100">
        <v>7788</v>
      </c>
      <c r="BJ76" s="100">
        <v>10</v>
      </c>
      <c r="BK76" s="100">
        <v>7788</v>
      </c>
      <c r="BL76" s="100">
        <v>8</v>
      </c>
      <c r="BM76" s="100">
        <v>6230.4</v>
      </c>
      <c r="BN76" s="100">
        <v>10</v>
      </c>
      <c r="BO76" s="100">
        <v>7788</v>
      </c>
      <c r="BP76" s="100">
        <v>6</v>
      </c>
      <c r="BQ76" s="100">
        <v>4672.7999999999993</v>
      </c>
      <c r="BR76" s="100">
        <v>7</v>
      </c>
      <c r="BS76" s="100">
        <v>5451.5999999999995</v>
      </c>
      <c r="BT76" s="100">
        <v>9</v>
      </c>
      <c r="BU76" s="100">
        <v>7009.2</v>
      </c>
      <c r="BV76" s="100">
        <v>9</v>
      </c>
      <c r="BW76" s="100">
        <v>7009.2</v>
      </c>
      <c r="BX76" s="100">
        <v>6</v>
      </c>
      <c r="BY76" s="100">
        <v>4672.7999999999993</v>
      </c>
      <c r="BZ76" s="100">
        <v>6</v>
      </c>
      <c r="CA76" s="100">
        <v>4672.7999999999993</v>
      </c>
      <c r="CB76" s="100">
        <v>8</v>
      </c>
      <c r="CC76" s="100">
        <v>6230.4</v>
      </c>
      <c r="CD76" s="100">
        <v>9</v>
      </c>
      <c r="CE76" s="100">
        <v>7009.2</v>
      </c>
      <c r="CF76" s="100">
        <v>8</v>
      </c>
      <c r="CG76" s="100">
        <v>6230.4</v>
      </c>
      <c r="CH76" s="100">
        <v>9</v>
      </c>
      <c r="CI76" s="100">
        <v>7009.2</v>
      </c>
      <c r="CJ76" s="100">
        <v>7</v>
      </c>
      <c r="CK76" s="100">
        <v>5451.5999999999995</v>
      </c>
      <c r="CL76" s="100">
        <v>7</v>
      </c>
      <c r="CM76" s="100">
        <v>5451.5999999999995</v>
      </c>
      <c r="CN76" s="100">
        <v>9</v>
      </c>
      <c r="CO76" s="100">
        <v>7009.2</v>
      </c>
      <c r="CP76" s="100">
        <v>10</v>
      </c>
      <c r="CQ76" s="100">
        <v>7788</v>
      </c>
      <c r="CR76" s="100">
        <v>5</v>
      </c>
      <c r="CS76" s="100">
        <v>3894</v>
      </c>
      <c r="CT76" s="100">
        <v>7</v>
      </c>
      <c r="CU76" s="100">
        <v>5451.5999999999995</v>
      </c>
    </row>
    <row r="77" spans="2:99">
      <c r="C77" s="99" t="s">
        <v>243</v>
      </c>
      <c r="D77" s="100">
        <v>7</v>
      </c>
      <c r="E77" s="100">
        <v>1948.7999999999997</v>
      </c>
      <c r="F77" s="100">
        <v>8</v>
      </c>
      <c r="G77" s="100">
        <v>2227.1999999999998</v>
      </c>
      <c r="H77" s="100">
        <v>7</v>
      </c>
      <c r="I77" s="100">
        <v>1948.7999999999997</v>
      </c>
      <c r="J77" s="100">
        <v>9</v>
      </c>
      <c r="K77" s="100">
        <v>2505.6</v>
      </c>
      <c r="L77" s="100">
        <v>8</v>
      </c>
      <c r="M77" s="100">
        <v>2227.1999999999998</v>
      </c>
      <c r="N77" s="100">
        <v>6</v>
      </c>
      <c r="O77" s="100">
        <v>1670.3999999999999</v>
      </c>
      <c r="P77" s="100">
        <v>7</v>
      </c>
      <c r="Q77" s="100">
        <v>1948.7999999999997</v>
      </c>
      <c r="R77" s="100">
        <v>8</v>
      </c>
      <c r="S77" s="100">
        <v>2227.1999999999998</v>
      </c>
      <c r="T77" s="100">
        <v>9</v>
      </c>
      <c r="U77" s="100">
        <v>2505.6</v>
      </c>
      <c r="V77" s="100">
        <v>6</v>
      </c>
      <c r="W77" s="100">
        <v>1670.3999999999999</v>
      </c>
      <c r="X77" s="100">
        <v>6</v>
      </c>
      <c r="Y77" s="100">
        <v>1670.3999999999999</v>
      </c>
      <c r="Z77" s="100">
        <v>7</v>
      </c>
      <c r="AA77" s="100">
        <v>1948.7999999999997</v>
      </c>
      <c r="AB77" s="100">
        <v>7</v>
      </c>
      <c r="AC77" s="100">
        <v>1948.7999999999997</v>
      </c>
      <c r="AD77" s="100">
        <v>6</v>
      </c>
      <c r="AE77" s="100">
        <v>1670.3999999999999</v>
      </c>
      <c r="AF77" s="100">
        <v>7</v>
      </c>
      <c r="AG77" s="100">
        <v>1948.7999999999997</v>
      </c>
      <c r="AH77" s="100">
        <v>10</v>
      </c>
      <c r="AI77" s="100">
        <v>2784</v>
      </c>
      <c r="AJ77" s="100">
        <v>6</v>
      </c>
      <c r="AK77" s="100">
        <v>1670.3999999999999</v>
      </c>
      <c r="AL77" s="100">
        <v>6</v>
      </c>
      <c r="AM77" s="100">
        <v>1670.3999999999999</v>
      </c>
      <c r="AN77" s="100">
        <v>9</v>
      </c>
      <c r="AO77" s="100">
        <v>2505.6</v>
      </c>
      <c r="AP77" s="100">
        <v>6</v>
      </c>
      <c r="AQ77" s="100">
        <v>1670.3999999999999</v>
      </c>
      <c r="AR77" s="100">
        <v>7</v>
      </c>
      <c r="AS77" s="100">
        <v>1948.7999999999997</v>
      </c>
      <c r="AT77" s="100">
        <v>6</v>
      </c>
      <c r="AU77" s="100">
        <v>1670.3999999999999</v>
      </c>
      <c r="AV77" s="100">
        <v>7</v>
      </c>
      <c r="AW77" s="100">
        <v>1948.7999999999997</v>
      </c>
      <c r="AX77" s="100">
        <v>9</v>
      </c>
      <c r="AY77" s="100">
        <v>2505.6</v>
      </c>
      <c r="AZ77" s="100">
        <v>10</v>
      </c>
      <c r="BA77" s="100">
        <v>2784</v>
      </c>
      <c r="BB77" s="100">
        <v>6</v>
      </c>
      <c r="BC77" s="100">
        <v>1670.3999999999999</v>
      </c>
      <c r="BD77" s="100">
        <v>6</v>
      </c>
      <c r="BE77" s="100">
        <v>1670.3999999999999</v>
      </c>
      <c r="BF77" s="100">
        <v>10</v>
      </c>
      <c r="BG77" s="100">
        <v>2784</v>
      </c>
      <c r="BH77" s="100">
        <v>11</v>
      </c>
      <c r="BI77" s="100">
        <v>3062.3999999999996</v>
      </c>
      <c r="BJ77" s="100">
        <v>10</v>
      </c>
      <c r="BK77" s="100">
        <v>2784</v>
      </c>
      <c r="BL77" s="100">
        <v>8</v>
      </c>
      <c r="BM77" s="100">
        <v>2227.1999999999998</v>
      </c>
      <c r="BN77" s="100">
        <v>10</v>
      </c>
      <c r="BO77" s="100">
        <v>2784</v>
      </c>
      <c r="BP77" s="100">
        <v>7</v>
      </c>
      <c r="BQ77" s="100">
        <v>1948.7999999999997</v>
      </c>
      <c r="BR77" s="100">
        <v>6</v>
      </c>
      <c r="BS77" s="100">
        <v>1670.3999999999999</v>
      </c>
      <c r="BT77" s="100">
        <v>11</v>
      </c>
      <c r="BU77" s="100">
        <v>3062.3999999999996</v>
      </c>
      <c r="BV77" s="100">
        <v>11</v>
      </c>
      <c r="BW77" s="100">
        <v>3062.3999999999996</v>
      </c>
      <c r="BX77" s="100">
        <v>7</v>
      </c>
      <c r="BY77" s="100">
        <v>1948.7999999999997</v>
      </c>
      <c r="BZ77" s="100">
        <v>6</v>
      </c>
      <c r="CA77" s="100">
        <v>1670.3999999999999</v>
      </c>
      <c r="CB77" s="100">
        <v>9</v>
      </c>
      <c r="CC77" s="100">
        <v>2505.6</v>
      </c>
      <c r="CD77" s="100">
        <v>8</v>
      </c>
      <c r="CE77" s="100">
        <v>2227.1999999999998</v>
      </c>
      <c r="CF77" s="100">
        <v>8</v>
      </c>
      <c r="CG77" s="100">
        <v>2227.1999999999998</v>
      </c>
      <c r="CH77" s="100">
        <v>10</v>
      </c>
      <c r="CI77" s="100">
        <v>2784</v>
      </c>
      <c r="CJ77" s="100">
        <v>6</v>
      </c>
      <c r="CK77" s="100">
        <v>1670.3999999999999</v>
      </c>
      <c r="CL77" s="100">
        <v>8</v>
      </c>
      <c r="CM77" s="100">
        <v>2227.1999999999998</v>
      </c>
      <c r="CN77" s="100">
        <v>9</v>
      </c>
      <c r="CO77" s="100">
        <v>2505.6</v>
      </c>
      <c r="CP77" s="100">
        <v>11</v>
      </c>
      <c r="CQ77" s="100">
        <v>3062.3999999999996</v>
      </c>
      <c r="CR77" s="100">
        <v>6</v>
      </c>
      <c r="CS77" s="100">
        <v>1670.3999999999999</v>
      </c>
      <c r="CT77" s="100">
        <v>7</v>
      </c>
      <c r="CU77" s="100">
        <v>1948.7999999999997</v>
      </c>
    </row>
    <row r="78" spans="2:99">
      <c r="C78" s="99" t="s">
        <v>244</v>
      </c>
      <c r="D78" s="100">
        <v>7</v>
      </c>
      <c r="E78" s="100">
        <v>3864</v>
      </c>
      <c r="F78" s="100">
        <v>8</v>
      </c>
      <c r="G78" s="100">
        <v>4416</v>
      </c>
      <c r="H78" s="100">
        <v>6</v>
      </c>
      <c r="I78" s="100">
        <v>3312</v>
      </c>
      <c r="J78" s="100">
        <v>9</v>
      </c>
      <c r="K78" s="100">
        <v>4968</v>
      </c>
      <c r="L78" s="100">
        <v>7</v>
      </c>
      <c r="M78" s="100">
        <v>3864</v>
      </c>
      <c r="N78" s="100">
        <v>7</v>
      </c>
      <c r="O78" s="100">
        <v>3864</v>
      </c>
      <c r="P78" s="100">
        <v>6</v>
      </c>
      <c r="Q78" s="100">
        <v>3312</v>
      </c>
      <c r="R78" s="100">
        <v>8</v>
      </c>
      <c r="S78" s="100">
        <v>4416</v>
      </c>
      <c r="T78" s="100">
        <v>9</v>
      </c>
      <c r="U78" s="100">
        <v>4968</v>
      </c>
      <c r="V78" s="100">
        <v>5</v>
      </c>
      <c r="W78" s="100">
        <v>2760</v>
      </c>
      <c r="X78" s="100">
        <v>6</v>
      </c>
      <c r="Y78" s="100">
        <v>3312</v>
      </c>
      <c r="Z78" s="100">
        <v>8</v>
      </c>
      <c r="AA78" s="100">
        <v>4416</v>
      </c>
      <c r="AB78" s="100">
        <v>6</v>
      </c>
      <c r="AC78" s="100">
        <v>3312</v>
      </c>
      <c r="AD78" s="100">
        <v>6</v>
      </c>
      <c r="AE78" s="100">
        <v>3312</v>
      </c>
      <c r="AF78" s="100">
        <v>7</v>
      </c>
      <c r="AG78" s="100">
        <v>3864</v>
      </c>
      <c r="AH78" s="100">
        <v>10</v>
      </c>
      <c r="AI78" s="100">
        <v>5520</v>
      </c>
      <c r="AJ78" s="100">
        <v>5</v>
      </c>
      <c r="AK78" s="100">
        <v>2760</v>
      </c>
      <c r="AL78" s="100">
        <v>6</v>
      </c>
      <c r="AM78" s="100">
        <v>3312</v>
      </c>
      <c r="AN78" s="100">
        <v>9</v>
      </c>
      <c r="AO78" s="100">
        <v>4968</v>
      </c>
      <c r="AP78" s="100">
        <v>5</v>
      </c>
      <c r="AQ78" s="100">
        <v>2760</v>
      </c>
      <c r="AR78" s="100">
        <v>6</v>
      </c>
      <c r="AS78" s="100">
        <v>3312</v>
      </c>
      <c r="AT78" s="100">
        <v>7</v>
      </c>
      <c r="AU78" s="100">
        <v>3864</v>
      </c>
      <c r="AV78" s="100">
        <v>6</v>
      </c>
      <c r="AW78" s="100">
        <v>3312</v>
      </c>
      <c r="AX78" s="100">
        <v>7</v>
      </c>
      <c r="AY78" s="100">
        <v>3864</v>
      </c>
      <c r="AZ78" s="100">
        <v>9</v>
      </c>
      <c r="BA78" s="100">
        <v>4968</v>
      </c>
      <c r="BB78" s="100">
        <v>6</v>
      </c>
      <c r="BC78" s="100">
        <v>3312</v>
      </c>
      <c r="BD78" s="100">
        <v>6</v>
      </c>
      <c r="BE78" s="100">
        <v>3312</v>
      </c>
      <c r="BF78" s="100">
        <v>9</v>
      </c>
      <c r="BG78" s="100">
        <v>4968</v>
      </c>
      <c r="BH78" s="100">
        <v>11</v>
      </c>
      <c r="BI78" s="100">
        <v>6072</v>
      </c>
      <c r="BJ78" s="100">
        <v>10</v>
      </c>
      <c r="BK78" s="100">
        <v>5520</v>
      </c>
      <c r="BL78" s="100">
        <v>8</v>
      </c>
      <c r="BM78" s="100">
        <v>4416</v>
      </c>
      <c r="BN78" s="100">
        <v>10</v>
      </c>
      <c r="BO78" s="100">
        <v>5520</v>
      </c>
      <c r="BP78" s="100">
        <v>7</v>
      </c>
      <c r="BQ78" s="100">
        <v>3864</v>
      </c>
      <c r="BR78" s="100">
        <v>7</v>
      </c>
      <c r="BS78" s="100">
        <v>3864</v>
      </c>
      <c r="BT78" s="100">
        <v>10</v>
      </c>
      <c r="BU78" s="100">
        <v>5520</v>
      </c>
      <c r="BV78" s="100">
        <v>10</v>
      </c>
      <c r="BW78" s="100">
        <v>5520</v>
      </c>
      <c r="BX78" s="100">
        <v>7</v>
      </c>
      <c r="BY78" s="100">
        <v>3864</v>
      </c>
      <c r="BZ78" s="100">
        <v>6</v>
      </c>
      <c r="CA78" s="100">
        <v>3312</v>
      </c>
      <c r="CB78" s="100">
        <v>8</v>
      </c>
      <c r="CC78" s="100">
        <v>4416</v>
      </c>
      <c r="CD78" s="100">
        <v>9</v>
      </c>
      <c r="CE78" s="100">
        <v>4968</v>
      </c>
      <c r="CF78" s="100">
        <v>9</v>
      </c>
      <c r="CG78" s="100">
        <v>4968</v>
      </c>
      <c r="CH78" s="100">
        <v>9</v>
      </c>
      <c r="CI78" s="100">
        <v>4968</v>
      </c>
      <c r="CJ78" s="100">
        <v>6</v>
      </c>
      <c r="CK78" s="100">
        <v>3312</v>
      </c>
      <c r="CL78" s="100">
        <v>8</v>
      </c>
      <c r="CM78" s="100">
        <v>4416</v>
      </c>
      <c r="CN78" s="100">
        <v>8</v>
      </c>
      <c r="CO78" s="100">
        <v>4416</v>
      </c>
      <c r="CP78" s="100">
        <v>10</v>
      </c>
      <c r="CQ78" s="100">
        <v>5520</v>
      </c>
      <c r="CR78" s="100">
        <v>6</v>
      </c>
      <c r="CS78" s="100">
        <v>3312</v>
      </c>
      <c r="CT78" s="100">
        <v>7</v>
      </c>
      <c r="CU78" s="100">
        <v>3864</v>
      </c>
    </row>
    <row r="79" spans="2:99">
      <c r="C79" s="99" t="s">
        <v>245</v>
      </c>
      <c r="D79" s="100">
        <v>7</v>
      </c>
      <c r="E79" s="100">
        <v>5300.4</v>
      </c>
      <c r="F79" s="100">
        <v>7</v>
      </c>
      <c r="G79" s="100">
        <v>5300.4</v>
      </c>
      <c r="H79" s="100">
        <v>6</v>
      </c>
      <c r="I79" s="100">
        <v>4543.2</v>
      </c>
      <c r="J79" s="100">
        <v>8</v>
      </c>
      <c r="K79" s="100">
        <v>6057.5999999999995</v>
      </c>
      <c r="L79" s="100">
        <v>8</v>
      </c>
      <c r="M79" s="100">
        <v>6057.5999999999995</v>
      </c>
      <c r="N79" s="100">
        <v>7</v>
      </c>
      <c r="O79" s="100">
        <v>5300.4</v>
      </c>
      <c r="P79" s="100">
        <v>6</v>
      </c>
      <c r="Q79" s="100">
        <v>4543.2</v>
      </c>
      <c r="R79" s="100">
        <v>8</v>
      </c>
      <c r="S79" s="100">
        <v>6057.5999999999995</v>
      </c>
      <c r="T79" s="100">
        <v>10</v>
      </c>
      <c r="U79" s="100">
        <v>7571.9999999999991</v>
      </c>
      <c r="V79" s="100">
        <v>6</v>
      </c>
      <c r="W79" s="100">
        <v>4543.2</v>
      </c>
      <c r="X79" s="100">
        <v>6</v>
      </c>
      <c r="Y79" s="100">
        <v>4543.2</v>
      </c>
      <c r="Z79" s="100">
        <v>6</v>
      </c>
      <c r="AA79" s="100">
        <v>4543.2</v>
      </c>
      <c r="AB79" s="100">
        <v>6</v>
      </c>
      <c r="AC79" s="100">
        <v>4543.2</v>
      </c>
      <c r="AD79" s="100">
        <v>6</v>
      </c>
      <c r="AE79" s="100">
        <v>4543.2</v>
      </c>
      <c r="AF79" s="100">
        <v>7</v>
      </c>
      <c r="AG79" s="100">
        <v>5300.4</v>
      </c>
      <c r="AH79" s="100">
        <v>10</v>
      </c>
      <c r="AI79" s="100">
        <v>7571.9999999999991</v>
      </c>
      <c r="AJ79" s="100">
        <v>6</v>
      </c>
      <c r="AK79" s="100">
        <v>4543.2</v>
      </c>
      <c r="AL79" s="100">
        <v>6</v>
      </c>
      <c r="AM79" s="100">
        <v>4543.2</v>
      </c>
      <c r="AN79" s="100">
        <v>8</v>
      </c>
      <c r="AO79" s="100">
        <v>6057.5999999999995</v>
      </c>
      <c r="AP79" s="100">
        <v>5</v>
      </c>
      <c r="AQ79" s="100">
        <v>3785.9999999999995</v>
      </c>
      <c r="AR79" s="100">
        <v>6</v>
      </c>
      <c r="AS79" s="100">
        <v>4543.2</v>
      </c>
      <c r="AT79" s="100">
        <v>5</v>
      </c>
      <c r="AU79" s="100">
        <v>3785.9999999999995</v>
      </c>
      <c r="AV79" s="100">
        <v>7</v>
      </c>
      <c r="AW79" s="100">
        <v>5300.4</v>
      </c>
      <c r="AX79" s="100">
        <v>8</v>
      </c>
      <c r="AY79" s="100">
        <v>6057.5999999999995</v>
      </c>
      <c r="AZ79" s="100">
        <v>9</v>
      </c>
      <c r="BA79" s="100">
        <v>6814.7999999999993</v>
      </c>
      <c r="BB79" s="100">
        <v>6</v>
      </c>
      <c r="BC79" s="100">
        <v>4543.2</v>
      </c>
      <c r="BD79" s="100">
        <v>6</v>
      </c>
      <c r="BE79" s="100">
        <v>4543.2</v>
      </c>
      <c r="BF79" s="100">
        <v>9</v>
      </c>
      <c r="BG79" s="100">
        <v>6814.7999999999993</v>
      </c>
      <c r="BH79" s="100">
        <v>9</v>
      </c>
      <c r="BI79" s="100">
        <v>6814.7999999999993</v>
      </c>
      <c r="BJ79" s="100">
        <v>10</v>
      </c>
      <c r="BK79" s="100">
        <v>7571.9999999999991</v>
      </c>
      <c r="BL79" s="100">
        <v>8</v>
      </c>
      <c r="BM79" s="100">
        <v>6057.5999999999995</v>
      </c>
      <c r="BN79" s="100">
        <v>9</v>
      </c>
      <c r="BO79" s="100">
        <v>6814.7999999999993</v>
      </c>
      <c r="BP79" s="100">
        <v>7</v>
      </c>
      <c r="BQ79" s="100">
        <v>5300.4</v>
      </c>
      <c r="BR79" s="100">
        <v>7</v>
      </c>
      <c r="BS79" s="100">
        <v>5300.4</v>
      </c>
      <c r="BT79" s="100">
        <v>9</v>
      </c>
      <c r="BU79" s="100">
        <v>6814.7999999999993</v>
      </c>
      <c r="BV79" s="100">
        <v>10</v>
      </c>
      <c r="BW79" s="100">
        <v>7571.9999999999991</v>
      </c>
      <c r="BX79" s="100">
        <v>6</v>
      </c>
      <c r="BY79" s="100">
        <v>4543.2</v>
      </c>
      <c r="BZ79" s="100">
        <v>5</v>
      </c>
      <c r="CA79" s="100">
        <v>3785.9999999999995</v>
      </c>
      <c r="CB79" s="100">
        <v>8</v>
      </c>
      <c r="CC79" s="100">
        <v>6057.5999999999995</v>
      </c>
      <c r="CD79" s="100">
        <v>9</v>
      </c>
      <c r="CE79" s="100">
        <v>6814.7999999999993</v>
      </c>
      <c r="CF79" s="100">
        <v>8</v>
      </c>
      <c r="CG79" s="100">
        <v>6057.5999999999995</v>
      </c>
      <c r="CH79" s="100">
        <v>8</v>
      </c>
      <c r="CI79" s="100">
        <v>6057.5999999999995</v>
      </c>
      <c r="CJ79" s="100">
        <v>7</v>
      </c>
      <c r="CK79" s="100">
        <v>5300.4</v>
      </c>
      <c r="CL79" s="100">
        <v>8</v>
      </c>
      <c r="CM79" s="100">
        <v>6057.5999999999995</v>
      </c>
      <c r="CN79" s="100">
        <v>8</v>
      </c>
      <c r="CO79" s="100">
        <v>6057.5999999999995</v>
      </c>
      <c r="CP79" s="100">
        <v>10</v>
      </c>
      <c r="CQ79" s="100">
        <v>7571.9999999999991</v>
      </c>
      <c r="CR79" s="100">
        <v>6</v>
      </c>
      <c r="CS79" s="100">
        <v>4543.2</v>
      </c>
      <c r="CT79" s="100">
        <v>7</v>
      </c>
      <c r="CU79" s="100">
        <v>5300.4</v>
      </c>
    </row>
    <row r="80" spans="2:99">
      <c r="C80" s="99" t="s">
        <v>246</v>
      </c>
      <c r="D80" s="100">
        <v>6</v>
      </c>
      <c r="E80" s="100">
        <v>4831.2</v>
      </c>
      <c r="F80" s="100">
        <v>9</v>
      </c>
      <c r="G80" s="100">
        <v>7246.7999999999993</v>
      </c>
      <c r="H80" s="100">
        <v>6</v>
      </c>
      <c r="I80" s="100">
        <v>4831.2</v>
      </c>
      <c r="J80" s="100">
        <v>7</v>
      </c>
      <c r="K80" s="100">
        <v>5636.4</v>
      </c>
      <c r="L80" s="100">
        <v>8</v>
      </c>
      <c r="M80" s="100">
        <v>6441.5999999999995</v>
      </c>
      <c r="N80" s="100">
        <v>7</v>
      </c>
      <c r="O80" s="100">
        <v>5636.4</v>
      </c>
      <c r="P80" s="100">
        <v>6</v>
      </c>
      <c r="Q80" s="100">
        <v>4831.2</v>
      </c>
      <c r="R80" s="100">
        <v>7</v>
      </c>
      <c r="S80" s="100">
        <v>5636.4</v>
      </c>
      <c r="T80" s="100">
        <v>10</v>
      </c>
      <c r="U80" s="100">
        <v>8051.9999999999991</v>
      </c>
      <c r="V80" s="100">
        <v>6</v>
      </c>
      <c r="W80" s="100">
        <v>4831.2</v>
      </c>
      <c r="X80" s="100">
        <v>6</v>
      </c>
      <c r="Y80" s="100">
        <v>4831.2</v>
      </c>
      <c r="Z80" s="100">
        <v>7</v>
      </c>
      <c r="AA80" s="100">
        <v>5636.4</v>
      </c>
      <c r="AB80" s="100">
        <v>6</v>
      </c>
      <c r="AC80" s="100">
        <v>4831.2</v>
      </c>
      <c r="AD80" s="100">
        <v>6</v>
      </c>
      <c r="AE80" s="100">
        <v>4831.2</v>
      </c>
      <c r="AF80" s="100">
        <v>7</v>
      </c>
      <c r="AG80" s="100">
        <v>5636.4</v>
      </c>
      <c r="AH80" s="100">
        <v>10</v>
      </c>
      <c r="AI80" s="100">
        <v>8051.9999999999991</v>
      </c>
      <c r="AJ80" s="100">
        <v>5</v>
      </c>
      <c r="AK80" s="100">
        <v>4025.9999999999995</v>
      </c>
      <c r="AL80" s="100">
        <v>5</v>
      </c>
      <c r="AM80" s="100">
        <v>4025.9999999999995</v>
      </c>
      <c r="AN80" s="100">
        <v>8</v>
      </c>
      <c r="AO80" s="100">
        <v>6441.5999999999995</v>
      </c>
      <c r="AP80" s="100">
        <v>5</v>
      </c>
      <c r="AQ80" s="100">
        <v>4025.9999999999995</v>
      </c>
      <c r="AR80" s="100">
        <v>6</v>
      </c>
      <c r="AS80" s="100">
        <v>4831.2</v>
      </c>
      <c r="AT80" s="100">
        <v>5</v>
      </c>
      <c r="AU80" s="100">
        <v>4025.9999999999995</v>
      </c>
      <c r="AV80" s="100">
        <v>7</v>
      </c>
      <c r="AW80" s="100">
        <v>5636.4</v>
      </c>
      <c r="AX80" s="100">
        <v>8</v>
      </c>
      <c r="AY80" s="100">
        <v>6441.5999999999995</v>
      </c>
      <c r="AZ80" s="100">
        <v>9</v>
      </c>
      <c r="BA80" s="100">
        <v>7246.7999999999993</v>
      </c>
      <c r="BB80" s="100">
        <v>6</v>
      </c>
      <c r="BC80" s="100">
        <v>4831.2</v>
      </c>
      <c r="BD80" s="100">
        <v>6</v>
      </c>
      <c r="BE80" s="100">
        <v>4831.2</v>
      </c>
      <c r="BF80" s="100">
        <v>11</v>
      </c>
      <c r="BG80" s="100">
        <v>8857.1999999999989</v>
      </c>
      <c r="BH80" s="100">
        <v>10</v>
      </c>
      <c r="BI80" s="100">
        <v>8051.9999999999991</v>
      </c>
      <c r="BJ80" s="100">
        <v>9</v>
      </c>
      <c r="BK80" s="100">
        <v>7246.7999999999993</v>
      </c>
      <c r="BL80" s="100">
        <v>9</v>
      </c>
      <c r="BM80" s="100">
        <v>7246.7999999999993</v>
      </c>
      <c r="BN80" s="100">
        <v>10</v>
      </c>
      <c r="BO80" s="100">
        <v>8051.9999999999991</v>
      </c>
      <c r="BP80" s="100">
        <v>7</v>
      </c>
      <c r="BQ80" s="100">
        <v>5636.4</v>
      </c>
      <c r="BR80" s="100">
        <v>7</v>
      </c>
      <c r="BS80" s="100">
        <v>5636.4</v>
      </c>
      <c r="BT80" s="100">
        <v>9</v>
      </c>
      <c r="BU80" s="100">
        <v>7246.7999999999993</v>
      </c>
      <c r="BV80" s="100">
        <v>10</v>
      </c>
      <c r="BW80" s="100">
        <v>8051.9999999999991</v>
      </c>
      <c r="BX80" s="100">
        <v>6</v>
      </c>
      <c r="BY80" s="100">
        <v>4831.2</v>
      </c>
      <c r="BZ80" s="100">
        <v>6</v>
      </c>
      <c r="CA80" s="100">
        <v>4831.2</v>
      </c>
      <c r="CB80" s="100">
        <v>9</v>
      </c>
      <c r="CC80" s="100">
        <v>7246.7999999999993</v>
      </c>
      <c r="CD80" s="100">
        <v>8</v>
      </c>
      <c r="CE80" s="100">
        <v>6441.5999999999995</v>
      </c>
      <c r="CF80" s="100">
        <v>8</v>
      </c>
      <c r="CG80" s="100">
        <v>6441.5999999999995</v>
      </c>
      <c r="CH80" s="100">
        <v>9</v>
      </c>
      <c r="CI80" s="100">
        <v>7246.7999999999993</v>
      </c>
      <c r="CJ80" s="100">
        <v>6</v>
      </c>
      <c r="CK80" s="100">
        <v>4831.2</v>
      </c>
      <c r="CL80" s="100">
        <v>8</v>
      </c>
      <c r="CM80" s="100">
        <v>6441.5999999999995</v>
      </c>
      <c r="CN80" s="100">
        <v>9</v>
      </c>
      <c r="CO80" s="100">
        <v>7246.7999999999993</v>
      </c>
      <c r="CP80" s="100">
        <v>11</v>
      </c>
      <c r="CQ80" s="100">
        <v>8857.1999999999989</v>
      </c>
      <c r="CR80" s="100">
        <v>6</v>
      </c>
      <c r="CS80" s="100">
        <v>4831.2</v>
      </c>
      <c r="CT80" s="100">
        <v>8</v>
      </c>
      <c r="CU80" s="100">
        <v>6441.5999999999995</v>
      </c>
    </row>
    <row r="81" spans="2:99">
      <c r="C81" s="99" t="s">
        <v>247</v>
      </c>
      <c r="D81" s="100">
        <v>7</v>
      </c>
      <c r="E81" s="100">
        <v>5275.2</v>
      </c>
      <c r="F81" s="100">
        <v>7</v>
      </c>
      <c r="G81" s="100">
        <v>5275.2</v>
      </c>
      <c r="H81" s="100">
        <v>6</v>
      </c>
      <c r="I81" s="100">
        <v>4521.6000000000004</v>
      </c>
      <c r="J81" s="100">
        <v>8</v>
      </c>
      <c r="K81" s="100">
        <v>6028.8</v>
      </c>
      <c r="L81" s="100">
        <v>8</v>
      </c>
      <c r="M81" s="100">
        <v>6028.8</v>
      </c>
      <c r="N81" s="100">
        <v>6</v>
      </c>
      <c r="O81" s="100">
        <v>4521.6000000000004</v>
      </c>
      <c r="P81" s="100">
        <v>7</v>
      </c>
      <c r="Q81" s="100">
        <v>5275.2</v>
      </c>
      <c r="R81" s="100">
        <v>7</v>
      </c>
      <c r="S81" s="100">
        <v>5275.2</v>
      </c>
      <c r="T81" s="100">
        <v>10</v>
      </c>
      <c r="U81" s="100">
        <v>7536</v>
      </c>
      <c r="V81" s="100">
        <v>5</v>
      </c>
      <c r="W81" s="100">
        <v>3768</v>
      </c>
      <c r="X81" s="100">
        <v>6</v>
      </c>
      <c r="Y81" s="100">
        <v>4521.6000000000004</v>
      </c>
      <c r="Z81" s="100">
        <v>7</v>
      </c>
      <c r="AA81" s="100">
        <v>5275.2</v>
      </c>
      <c r="AB81" s="100">
        <v>7</v>
      </c>
      <c r="AC81" s="100">
        <v>5275.2</v>
      </c>
      <c r="AD81" s="100">
        <v>6</v>
      </c>
      <c r="AE81" s="100">
        <v>4521.6000000000004</v>
      </c>
      <c r="AF81" s="100">
        <v>6</v>
      </c>
      <c r="AG81" s="100">
        <v>4521.6000000000004</v>
      </c>
      <c r="AH81" s="100">
        <v>11</v>
      </c>
      <c r="AI81" s="100">
        <v>8289.6</v>
      </c>
      <c r="AJ81" s="100">
        <v>6</v>
      </c>
      <c r="AK81" s="100">
        <v>4521.6000000000004</v>
      </c>
      <c r="AL81" s="100">
        <v>5</v>
      </c>
      <c r="AM81" s="100">
        <v>3768</v>
      </c>
      <c r="AN81" s="100">
        <v>9</v>
      </c>
      <c r="AO81" s="100">
        <v>6782.4000000000005</v>
      </c>
      <c r="AP81" s="100">
        <v>5</v>
      </c>
      <c r="AQ81" s="100">
        <v>3768</v>
      </c>
      <c r="AR81" s="100">
        <v>5</v>
      </c>
      <c r="AS81" s="100">
        <v>3768</v>
      </c>
      <c r="AT81" s="100">
        <v>6</v>
      </c>
      <c r="AU81" s="100">
        <v>4521.6000000000004</v>
      </c>
      <c r="AV81" s="100">
        <v>7</v>
      </c>
      <c r="AW81" s="100">
        <v>5275.2</v>
      </c>
      <c r="AX81" s="100">
        <v>9</v>
      </c>
      <c r="AY81" s="100">
        <v>6782.4000000000005</v>
      </c>
      <c r="AZ81" s="100">
        <v>8</v>
      </c>
      <c r="BA81" s="100">
        <v>6028.8</v>
      </c>
      <c r="BB81" s="100">
        <v>6</v>
      </c>
      <c r="BC81" s="100">
        <v>4521.6000000000004</v>
      </c>
      <c r="BD81" s="100">
        <v>6</v>
      </c>
      <c r="BE81" s="100">
        <v>4521.6000000000004</v>
      </c>
      <c r="BF81" s="100">
        <v>9</v>
      </c>
      <c r="BG81" s="100">
        <v>6782.4000000000005</v>
      </c>
      <c r="BH81" s="100">
        <v>10</v>
      </c>
      <c r="BI81" s="100">
        <v>7536</v>
      </c>
      <c r="BJ81" s="100">
        <v>10</v>
      </c>
      <c r="BK81" s="100">
        <v>7536</v>
      </c>
      <c r="BL81" s="100">
        <v>7</v>
      </c>
      <c r="BM81" s="100">
        <v>5275.2</v>
      </c>
      <c r="BN81" s="100">
        <v>10</v>
      </c>
      <c r="BO81" s="100">
        <v>7536</v>
      </c>
      <c r="BP81" s="100">
        <v>6</v>
      </c>
      <c r="BQ81" s="100">
        <v>4521.6000000000004</v>
      </c>
      <c r="BR81" s="100">
        <v>7</v>
      </c>
      <c r="BS81" s="100">
        <v>5275.2</v>
      </c>
      <c r="BT81" s="100">
        <v>9</v>
      </c>
      <c r="BU81" s="100">
        <v>6782.4000000000005</v>
      </c>
      <c r="BV81" s="100">
        <v>10</v>
      </c>
      <c r="BW81" s="100">
        <v>7536</v>
      </c>
      <c r="BX81" s="100">
        <v>7</v>
      </c>
      <c r="BY81" s="100">
        <v>5275.2</v>
      </c>
      <c r="BZ81" s="100">
        <v>6</v>
      </c>
      <c r="CA81" s="100">
        <v>4521.6000000000004</v>
      </c>
      <c r="CB81" s="100">
        <v>7</v>
      </c>
      <c r="CC81" s="100">
        <v>5275.2</v>
      </c>
      <c r="CD81" s="100">
        <v>9</v>
      </c>
      <c r="CE81" s="100">
        <v>6782.4000000000005</v>
      </c>
      <c r="CF81" s="100">
        <v>8</v>
      </c>
      <c r="CG81" s="100">
        <v>6028.8</v>
      </c>
      <c r="CH81" s="100">
        <v>9</v>
      </c>
      <c r="CI81" s="100">
        <v>6782.4000000000005</v>
      </c>
      <c r="CJ81" s="100">
        <v>6</v>
      </c>
      <c r="CK81" s="100">
        <v>4521.6000000000004</v>
      </c>
      <c r="CL81" s="100">
        <v>8</v>
      </c>
      <c r="CM81" s="100">
        <v>6028.8</v>
      </c>
      <c r="CN81" s="100">
        <v>8</v>
      </c>
      <c r="CO81" s="100">
        <v>6028.8</v>
      </c>
      <c r="CP81" s="100">
        <v>10</v>
      </c>
      <c r="CQ81" s="100">
        <v>7536</v>
      </c>
      <c r="CR81" s="100">
        <v>6</v>
      </c>
      <c r="CS81" s="100">
        <v>4521.6000000000004</v>
      </c>
      <c r="CT81" s="100">
        <v>8</v>
      </c>
      <c r="CU81" s="100">
        <v>6028.8</v>
      </c>
    </row>
    <row r="82" spans="2:99">
      <c r="C82" s="99" t="s">
        <v>248</v>
      </c>
      <c r="D82" s="100">
        <v>7</v>
      </c>
      <c r="E82" s="100">
        <v>3561.5999999999995</v>
      </c>
      <c r="F82" s="100">
        <v>7</v>
      </c>
      <c r="G82" s="100">
        <v>3561.5999999999995</v>
      </c>
      <c r="H82" s="100">
        <v>7</v>
      </c>
      <c r="I82" s="100">
        <v>3561.5999999999995</v>
      </c>
      <c r="J82" s="100">
        <v>8</v>
      </c>
      <c r="K82" s="100">
        <v>4070.3999999999992</v>
      </c>
      <c r="L82" s="100">
        <v>8</v>
      </c>
      <c r="M82" s="100">
        <v>4070.3999999999992</v>
      </c>
      <c r="N82" s="100">
        <v>6</v>
      </c>
      <c r="O82" s="100">
        <v>3052.7999999999993</v>
      </c>
      <c r="P82" s="100">
        <v>6</v>
      </c>
      <c r="Q82" s="100">
        <v>3052.7999999999993</v>
      </c>
      <c r="R82" s="100">
        <v>7</v>
      </c>
      <c r="S82" s="100">
        <v>3561.5999999999995</v>
      </c>
      <c r="T82" s="100">
        <v>11</v>
      </c>
      <c r="U82" s="100">
        <v>5596.7999999999993</v>
      </c>
      <c r="V82" s="100">
        <v>5</v>
      </c>
      <c r="W82" s="100">
        <v>2543.9999999999995</v>
      </c>
      <c r="X82" s="100">
        <v>7</v>
      </c>
      <c r="Y82" s="100">
        <v>3561.5999999999995</v>
      </c>
      <c r="Z82" s="100">
        <v>7</v>
      </c>
      <c r="AA82" s="100">
        <v>3561.5999999999995</v>
      </c>
      <c r="AB82" s="100">
        <v>6</v>
      </c>
      <c r="AC82" s="100">
        <v>3052.7999999999993</v>
      </c>
      <c r="AD82" s="100">
        <v>6</v>
      </c>
      <c r="AE82" s="100">
        <v>3052.7999999999993</v>
      </c>
      <c r="AF82" s="100">
        <v>7</v>
      </c>
      <c r="AG82" s="100">
        <v>3561.5999999999995</v>
      </c>
      <c r="AH82" s="100">
        <v>10</v>
      </c>
      <c r="AI82" s="100">
        <v>5087.9999999999991</v>
      </c>
      <c r="AJ82" s="100">
        <v>5</v>
      </c>
      <c r="AK82" s="100">
        <v>2543.9999999999995</v>
      </c>
      <c r="AL82" s="100">
        <v>6</v>
      </c>
      <c r="AM82" s="100">
        <v>3052.7999999999993</v>
      </c>
      <c r="AN82" s="100">
        <v>9</v>
      </c>
      <c r="AO82" s="100">
        <v>4579.1999999999989</v>
      </c>
      <c r="AP82" s="100">
        <v>6</v>
      </c>
      <c r="AQ82" s="100">
        <v>3052.7999999999993</v>
      </c>
      <c r="AR82" s="100">
        <v>6</v>
      </c>
      <c r="AS82" s="100">
        <v>3052.7999999999993</v>
      </c>
      <c r="AT82" s="100">
        <v>6</v>
      </c>
      <c r="AU82" s="100">
        <v>3052.7999999999993</v>
      </c>
      <c r="AV82" s="100">
        <v>6</v>
      </c>
      <c r="AW82" s="100">
        <v>3052.7999999999993</v>
      </c>
      <c r="AX82" s="100">
        <v>8</v>
      </c>
      <c r="AY82" s="100">
        <v>4070.3999999999992</v>
      </c>
      <c r="AZ82" s="100">
        <v>9</v>
      </c>
      <c r="BA82" s="100">
        <v>4579.1999999999989</v>
      </c>
      <c r="BB82" s="100">
        <v>6</v>
      </c>
      <c r="BC82" s="100">
        <v>3052.7999999999993</v>
      </c>
      <c r="BD82" s="100">
        <v>5</v>
      </c>
      <c r="BE82" s="100">
        <v>2543.9999999999995</v>
      </c>
      <c r="BF82" s="100">
        <v>10</v>
      </c>
      <c r="BG82" s="100">
        <v>5087.9999999999991</v>
      </c>
      <c r="BH82" s="100">
        <v>9</v>
      </c>
      <c r="BI82" s="100">
        <v>4579.1999999999989</v>
      </c>
      <c r="BJ82" s="100">
        <v>10</v>
      </c>
      <c r="BK82" s="100">
        <v>5087.9999999999991</v>
      </c>
      <c r="BL82" s="100">
        <v>8</v>
      </c>
      <c r="BM82" s="100">
        <v>4070.3999999999992</v>
      </c>
      <c r="BN82" s="100">
        <v>10</v>
      </c>
      <c r="BO82" s="100">
        <v>5087.9999999999991</v>
      </c>
      <c r="BP82" s="100">
        <v>6</v>
      </c>
      <c r="BQ82" s="100">
        <v>3052.7999999999993</v>
      </c>
      <c r="BR82" s="100">
        <v>6</v>
      </c>
      <c r="BS82" s="100">
        <v>3052.7999999999993</v>
      </c>
      <c r="BT82" s="100">
        <v>10</v>
      </c>
      <c r="BU82" s="100">
        <v>5087.9999999999991</v>
      </c>
      <c r="BV82" s="100">
        <v>10</v>
      </c>
      <c r="BW82" s="100">
        <v>5087.9999999999991</v>
      </c>
      <c r="BX82" s="100">
        <v>6</v>
      </c>
      <c r="BY82" s="100">
        <v>3052.7999999999993</v>
      </c>
      <c r="BZ82" s="100">
        <v>6</v>
      </c>
      <c r="CA82" s="100">
        <v>3052.7999999999993</v>
      </c>
      <c r="CB82" s="100">
        <v>8</v>
      </c>
      <c r="CC82" s="100">
        <v>4070.3999999999992</v>
      </c>
      <c r="CD82" s="100">
        <v>8</v>
      </c>
      <c r="CE82" s="100">
        <v>4070.3999999999992</v>
      </c>
      <c r="CF82" s="100">
        <v>9</v>
      </c>
      <c r="CG82" s="100">
        <v>4579.1999999999989</v>
      </c>
      <c r="CH82" s="100">
        <v>10</v>
      </c>
      <c r="CI82" s="100">
        <v>5087.9999999999991</v>
      </c>
      <c r="CJ82" s="100">
        <v>7</v>
      </c>
      <c r="CK82" s="100">
        <v>3561.5999999999995</v>
      </c>
      <c r="CL82" s="100">
        <v>7</v>
      </c>
      <c r="CM82" s="100">
        <v>3561.5999999999995</v>
      </c>
      <c r="CN82" s="100">
        <v>8</v>
      </c>
      <c r="CO82" s="100">
        <v>4070.3999999999992</v>
      </c>
      <c r="CP82" s="100">
        <v>10</v>
      </c>
      <c r="CQ82" s="100">
        <v>5087.9999999999991</v>
      </c>
      <c r="CR82" s="100">
        <v>6</v>
      </c>
      <c r="CS82" s="100">
        <v>3052.7999999999993</v>
      </c>
      <c r="CT82" s="100">
        <v>8</v>
      </c>
      <c r="CU82" s="100">
        <v>4070.3999999999992</v>
      </c>
    </row>
    <row r="83" spans="2:99">
      <c r="C83" s="99" t="s">
        <v>249</v>
      </c>
      <c r="D83" s="100">
        <v>7</v>
      </c>
      <c r="E83" s="100">
        <v>6022.8</v>
      </c>
      <c r="F83" s="100">
        <v>8</v>
      </c>
      <c r="G83" s="100">
        <v>6883.2</v>
      </c>
      <c r="H83" s="100">
        <v>6</v>
      </c>
      <c r="I83" s="100">
        <v>5162.3999999999996</v>
      </c>
      <c r="J83" s="100">
        <v>7</v>
      </c>
      <c r="K83" s="100">
        <v>6022.8</v>
      </c>
      <c r="L83" s="100">
        <v>8</v>
      </c>
      <c r="M83" s="100">
        <v>6883.2</v>
      </c>
      <c r="N83" s="100">
        <v>6</v>
      </c>
      <c r="O83" s="100">
        <v>5162.3999999999996</v>
      </c>
      <c r="P83" s="100">
        <v>7</v>
      </c>
      <c r="Q83" s="100">
        <v>6022.8</v>
      </c>
      <c r="R83" s="100">
        <v>7</v>
      </c>
      <c r="S83" s="100">
        <v>6022.8</v>
      </c>
      <c r="T83" s="100">
        <v>9</v>
      </c>
      <c r="U83" s="100">
        <v>7743.5999999999995</v>
      </c>
      <c r="V83" s="100">
        <v>5</v>
      </c>
      <c r="W83" s="100">
        <v>4302</v>
      </c>
      <c r="X83" s="100">
        <v>6</v>
      </c>
      <c r="Y83" s="100">
        <v>5162.3999999999996</v>
      </c>
      <c r="Z83" s="100">
        <v>6</v>
      </c>
      <c r="AA83" s="100">
        <v>5162.3999999999996</v>
      </c>
      <c r="AB83" s="100">
        <v>6</v>
      </c>
      <c r="AC83" s="100">
        <v>5162.3999999999996</v>
      </c>
      <c r="AD83" s="100">
        <v>6</v>
      </c>
      <c r="AE83" s="100">
        <v>5162.3999999999996</v>
      </c>
      <c r="AF83" s="100">
        <v>6</v>
      </c>
      <c r="AG83" s="100">
        <v>5162.3999999999996</v>
      </c>
      <c r="AH83" s="100">
        <v>11</v>
      </c>
      <c r="AI83" s="100">
        <v>9464.4</v>
      </c>
      <c r="AJ83" s="100">
        <v>6</v>
      </c>
      <c r="AK83" s="100">
        <v>5162.3999999999996</v>
      </c>
      <c r="AL83" s="100">
        <v>5</v>
      </c>
      <c r="AM83" s="100">
        <v>4302</v>
      </c>
      <c r="AN83" s="100">
        <v>9</v>
      </c>
      <c r="AO83" s="100">
        <v>7743.5999999999995</v>
      </c>
      <c r="AP83" s="100">
        <v>5</v>
      </c>
      <c r="AQ83" s="100">
        <v>4302</v>
      </c>
      <c r="AR83" s="100">
        <v>6</v>
      </c>
      <c r="AS83" s="100">
        <v>5162.3999999999996</v>
      </c>
      <c r="AT83" s="100">
        <v>6</v>
      </c>
      <c r="AU83" s="100">
        <v>5162.3999999999996</v>
      </c>
      <c r="AV83" s="100">
        <v>7</v>
      </c>
      <c r="AW83" s="100">
        <v>6022.8</v>
      </c>
      <c r="AX83" s="100">
        <v>8</v>
      </c>
      <c r="AY83" s="100">
        <v>6883.2</v>
      </c>
      <c r="AZ83" s="100">
        <v>8</v>
      </c>
      <c r="BA83" s="100">
        <v>6883.2</v>
      </c>
      <c r="BB83" s="100">
        <v>6</v>
      </c>
      <c r="BC83" s="100">
        <v>5162.3999999999996</v>
      </c>
      <c r="BD83" s="100">
        <v>6</v>
      </c>
      <c r="BE83" s="100">
        <v>5162.3999999999996</v>
      </c>
      <c r="BF83" s="100">
        <v>10</v>
      </c>
      <c r="BG83" s="100">
        <v>8604</v>
      </c>
      <c r="BH83" s="100">
        <v>10</v>
      </c>
      <c r="BI83" s="100">
        <v>8604</v>
      </c>
      <c r="BJ83" s="100">
        <v>9</v>
      </c>
      <c r="BK83" s="100">
        <v>7743.5999999999995</v>
      </c>
      <c r="BL83" s="100">
        <v>7</v>
      </c>
      <c r="BM83" s="100">
        <v>6022.8</v>
      </c>
      <c r="BN83" s="100">
        <v>9</v>
      </c>
      <c r="BO83" s="100">
        <v>7743.5999999999995</v>
      </c>
      <c r="BP83" s="100">
        <v>6</v>
      </c>
      <c r="BQ83" s="100">
        <v>5162.3999999999996</v>
      </c>
      <c r="BR83" s="100">
        <v>6</v>
      </c>
      <c r="BS83" s="100">
        <v>5162.3999999999996</v>
      </c>
      <c r="BT83" s="100">
        <v>10</v>
      </c>
      <c r="BU83" s="100">
        <v>8604</v>
      </c>
      <c r="BV83" s="100">
        <v>9</v>
      </c>
      <c r="BW83" s="100">
        <v>7743.5999999999995</v>
      </c>
      <c r="BX83" s="100">
        <v>6</v>
      </c>
      <c r="BY83" s="100">
        <v>5162.3999999999996</v>
      </c>
      <c r="BZ83" s="100">
        <v>6</v>
      </c>
      <c r="CA83" s="100">
        <v>5162.3999999999996</v>
      </c>
      <c r="CB83" s="100">
        <v>7</v>
      </c>
      <c r="CC83" s="100">
        <v>6022.8</v>
      </c>
      <c r="CD83" s="100">
        <v>9</v>
      </c>
      <c r="CE83" s="100">
        <v>7743.5999999999995</v>
      </c>
      <c r="CF83" s="100">
        <v>8</v>
      </c>
      <c r="CG83" s="100">
        <v>6883.2</v>
      </c>
      <c r="CH83" s="100">
        <v>9</v>
      </c>
      <c r="CI83" s="100">
        <v>7743.5999999999995</v>
      </c>
      <c r="CJ83" s="100">
        <v>6</v>
      </c>
      <c r="CK83" s="100">
        <v>5162.3999999999996</v>
      </c>
      <c r="CL83" s="100">
        <v>7</v>
      </c>
      <c r="CM83" s="100">
        <v>6022.8</v>
      </c>
      <c r="CN83" s="100">
        <v>8</v>
      </c>
      <c r="CO83" s="100">
        <v>6883.2</v>
      </c>
      <c r="CP83" s="100">
        <v>10</v>
      </c>
      <c r="CQ83" s="100">
        <v>8604</v>
      </c>
      <c r="CR83" s="100">
        <v>6</v>
      </c>
      <c r="CS83" s="100">
        <v>5162.3999999999996</v>
      </c>
      <c r="CT83" s="100">
        <v>7</v>
      </c>
      <c r="CU83" s="100">
        <v>6022.8</v>
      </c>
    </row>
    <row r="84" spans="2:99">
      <c r="C84" s="99" t="s">
        <v>250</v>
      </c>
      <c r="D84" s="100">
        <v>7</v>
      </c>
      <c r="E84" s="100">
        <v>5468.4</v>
      </c>
      <c r="F84" s="100">
        <v>8</v>
      </c>
      <c r="G84" s="100">
        <v>6249.5999999999995</v>
      </c>
      <c r="H84" s="100">
        <v>6</v>
      </c>
      <c r="I84" s="100">
        <v>4687.2</v>
      </c>
      <c r="J84" s="100">
        <v>8</v>
      </c>
      <c r="K84" s="100">
        <v>6249.5999999999995</v>
      </c>
      <c r="L84" s="100">
        <v>8</v>
      </c>
      <c r="M84" s="100">
        <v>6249.5999999999995</v>
      </c>
      <c r="N84" s="100">
        <v>7</v>
      </c>
      <c r="O84" s="100">
        <v>5468.4</v>
      </c>
      <c r="P84" s="100">
        <v>6</v>
      </c>
      <c r="Q84" s="100">
        <v>4687.2</v>
      </c>
      <c r="R84" s="100">
        <v>7</v>
      </c>
      <c r="S84" s="100">
        <v>5468.4</v>
      </c>
      <c r="T84" s="100">
        <v>10</v>
      </c>
      <c r="U84" s="100">
        <v>7811.9999999999991</v>
      </c>
      <c r="V84" s="100">
        <v>5</v>
      </c>
      <c r="W84" s="100">
        <v>3905.9999999999995</v>
      </c>
      <c r="X84" s="100">
        <v>6</v>
      </c>
      <c r="Y84" s="100">
        <v>4687.2</v>
      </c>
      <c r="Z84" s="100">
        <v>7</v>
      </c>
      <c r="AA84" s="100">
        <v>5468.4</v>
      </c>
      <c r="AB84" s="100">
        <v>7</v>
      </c>
      <c r="AC84" s="100">
        <v>5468.4</v>
      </c>
      <c r="AD84" s="100">
        <v>6</v>
      </c>
      <c r="AE84" s="100">
        <v>4687.2</v>
      </c>
      <c r="AF84" s="100">
        <v>6</v>
      </c>
      <c r="AG84" s="100">
        <v>4687.2</v>
      </c>
      <c r="AH84" s="100">
        <v>9</v>
      </c>
      <c r="AI84" s="100">
        <v>7030.7999999999993</v>
      </c>
      <c r="AJ84" s="100">
        <v>6</v>
      </c>
      <c r="AK84" s="100">
        <v>4687.2</v>
      </c>
      <c r="AL84" s="100">
        <v>5</v>
      </c>
      <c r="AM84" s="100">
        <v>3905.9999999999995</v>
      </c>
      <c r="AN84" s="100">
        <v>9</v>
      </c>
      <c r="AO84" s="100">
        <v>7030.7999999999993</v>
      </c>
      <c r="AP84" s="100">
        <v>5</v>
      </c>
      <c r="AQ84" s="100">
        <v>3905.9999999999995</v>
      </c>
      <c r="AR84" s="100">
        <v>6</v>
      </c>
      <c r="AS84" s="100">
        <v>4687.2</v>
      </c>
      <c r="AT84" s="100">
        <v>6</v>
      </c>
      <c r="AU84" s="100">
        <v>4687.2</v>
      </c>
      <c r="AV84" s="100">
        <v>7</v>
      </c>
      <c r="AW84" s="100">
        <v>5468.4</v>
      </c>
      <c r="AX84" s="100">
        <v>9</v>
      </c>
      <c r="AY84" s="100">
        <v>7030.7999999999993</v>
      </c>
      <c r="AZ84" s="100">
        <v>8</v>
      </c>
      <c r="BA84" s="100">
        <v>6249.5999999999995</v>
      </c>
      <c r="BB84" s="100">
        <v>7</v>
      </c>
      <c r="BC84" s="100">
        <v>5468.4</v>
      </c>
      <c r="BD84" s="100">
        <v>5</v>
      </c>
      <c r="BE84" s="100">
        <v>3905.9999999999995</v>
      </c>
      <c r="BF84" s="100">
        <v>10</v>
      </c>
      <c r="BG84" s="100">
        <v>7811.9999999999991</v>
      </c>
      <c r="BH84" s="100">
        <v>10</v>
      </c>
      <c r="BI84" s="100">
        <v>7811.9999999999991</v>
      </c>
      <c r="BJ84" s="100">
        <v>10</v>
      </c>
      <c r="BK84" s="100">
        <v>7811.9999999999991</v>
      </c>
      <c r="BL84" s="100">
        <v>8</v>
      </c>
      <c r="BM84" s="100">
        <v>6249.5999999999995</v>
      </c>
      <c r="BN84" s="100">
        <v>10</v>
      </c>
      <c r="BO84" s="100">
        <v>7811.9999999999991</v>
      </c>
      <c r="BP84" s="100">
        <v>6</v>
      </c>
      <c r="BQ84" s="100">
        <v>4687.2</v>
      </c>
      <c r="BR84" s="100">
        <v>6</v>
      </c>
      <c r="BS84" s="100">
        <v>4687.2</v>
      </c>
      <c r="BT84" s="100">
        <v>9</v>
      </c>
      <c r="BU84" s="100">
        <v>7030.7999999999993</v>
      </c>
      <c r="BV84" s="100">
        <v>9</v>
      </c>
      <c r="BW84" s="100">
        <v>7030.7999999999993</v>
      </c>
      <c r="BX84" s="100">
        <v>6</v>
      </c>
      <c r="BY84" s="100">
        <v>4687.2</v>
      </c>
      <c r="BZ84" s="100">
        <v>6</v>
      </c>
      <c r="CA84" s="100">
        <v>4687.2</v>
      </c>
      <c r="CB84" s="100">
        <v>8</v>
      </c>
      <c r="CC84" s="100">
        <v>6249.5999999999995</v>
      </c>
      <c r="CD84" s="100">
        <v>8</v>
      </c>
      <c r="CE84" s="100">
        <v>6249.5999999999995</v>
      </c>
      <c r="CF84" s="100">
        <v>8</v>
      </c>
      <c r="CG84" s="100">
        <v>6249.5999999999995</v>
      </c>
      <c r="CH84" s="100">
        <v>9</v>
      </c>
      <c r="CI84" s="100">
        <v>7030.7999999999993</v>
      </c>
      <c r="CJ84" s="100">
        <v>6</v>
      </c>
      <c r="CK84" s="100">
        <v>4687.2</v>
      </c>
      <c r="CL84" s="100">
        <v>7</v>
      </c>
      <c r="CM84" s="100">
        <v>5468.4</v>
      </c>
      <c r="CN84" s="100">
        <v>8</v>
      </c>
      <c r="CO84" s="100">
        <v>6249.5999999999995</v>
      </c>
      <c r="CP84" s="100">
        <v>11</v>
      </c>
      <c r="CQ84" s="100">
        <v>8593.1999999999989</v>
      </c>
      <c r="CR84" s="100">
        <v>5</v>
      </c>
      <c r="CS84" s="100">
        <v>3905.9999999999995</v>
      </c>
      <c r="CT84" s="100">
        <v>7</v>
      </c>
      <c r="CU84" s="100">
        <v>5468.4</v>
      </c>
    </row>
    <row r="85" spans="2:99">
      <c r="C85" s="99" t="s">
        <v>251</v>
      </c>
      <c r="D85" s="100">
        <v>7</v>
      </c>
      <c r="E85" s="100">
        <v>1050</v>
      </c>
      <c r="F85" s="100">
        <v>9</v>
      </c>
      <c r="G85" s="100">
        <v>1350</v>
      </c>
      <c r="H85" s="100">
        <v>6</v>
      </c>
      <c r="I85" s="100">
        <v>900</v>
      </c>
      <c r="J85" s="100">
        <v>8</v>
      </c>
      <c r="K85" s="100">
        <v>1200</v>
      </c>
      <c r="L85" s="100">
        <v>8</v>
      </c>
      <c r="M85" s="100">
        <v>1200</v>
      </c>
      <c r="N85" s="100">
        <v>7</v>
      </c>
      <c r="O85" s="100">
        <v>1050</v>
      </c>
      <c r="P85" s="100">
        <v>7</v>
      </c>
      <c r="Q85" s="100">
        <v>1050</v>
      </c>
      <c r="R85" s="100">
        <v>8</v>
      </c>
      <c r="S85" s="100">
        <v>1200</v>
      </c>
      <c r="T85" s="100">
        <v>10</v>
      </c>
      <c r="U85" s="100">
        <v>1500</v>
      </c>
      <c r="V85" s="100">
        <v>6</v>
      </c>
      <c r="W85" s="100">
        <v>900</v>
      </c>
      <c r="X85" s="100">
        <v>7</v>
      </c>
      <c r="Y85" s="100">
        <v>1050</v>
      </c>
      <c r="Z85" s="100">
        <v>8</v>
      </c>
      <c r="AA85" s="100">
        <v>1200</v>
      </c>
      <c r="AB85" s="100">
        <v>7</v>
      </c>
      <c r="AC85" s="100">
        <v>1050</v>
      </c>
      <c r="AD85" s="100">
        <v>7</v>
      </c>
      <c r="AE85" s="100">
        <v>1050</v>
      </c>
      <c r="AF85" s="100">
        <v>7</v>
      </c>
      <c r="AG85" s="100">
        <v>1050</v>
      </c>
      <c r="AH85" s="100">
        <v>11</v>
      </c>
      <c r="AI85" s="100">
        <v>1650</v>
      </c>
      <c r="AJ85" s="100">
        <v>6</v>
      </c>
      <c r="AK85" s="100">
        <v>900</v>
      </c>
      <c r="AL85" s="100">
        <v>6</v>
      </c>
      <c r="AM85" s="100">
        <v>900</v>
      </c>
      <c r="AN85" s="100">
        <v>9</v>
      </c>
      <c r="AO85" s="100">
        <v>1350</v>
      </c>
      <c r="AP85" s="100">
        <v>5</v>
      </c>
      <c r="AQ85" s="100">
        <v>750</v>
      </c>
      <c r="AR85" s="100">
        <v>6</v>
      </c>
      <c r="AS85" s="100">
        <v>900</v>
      </c>
      <c r="AT85" s="100">
        <v>6</v>
      </c>
      <c r="AU85" s="100">
        <v>900</v>
      </c>
      <c r="AV85" s="100">
        <v>7</v>
      </c>
      <c r="AW85" s="100">
        <v>1050</v>
      </c>
      <c r="AX85" s="100">
        <v>8</v>
      </c>
      <c r="AY85" s="100">
        <v>1200</v>
      </c>
      <c r="AZ85" s="100">
        <v>10</v>
      </c>
      <c r="BA85" s="100">
        <v>1500</v>
      </c>
      <c r="BB85" s="100">
        <v>6</v>
      </c>
      <c r="BC85" s="100">
        <v>900</v>
      </c>
      <c r="BD85" s="100">
        <v>6</v>
      </c>
      <c r="BE85" s="100">
        <v>900</v>
      </c>
      <c r="BF85" s="100">
        <v>10</v>
      </c>
      <c r="BG85" s="100">
        <v>1500</v>
      </c>
      <c r="BH85" s="100">
        <v>10</v>
      </c>
      <c r="BI85" s="100">
        <v>1500</v>
      </c>
      <c r="BJ85" s="100">
        <v>11</v>
      </c>
      <c r="BK85" s="100">
        <v>1650</v>
      </c>
      <c r="BL85" s="100">
        <v>8</v>
      </c>
      <c r="BM85" s="100">
        <v>1200</v>
      </c>
      <c r="BN85" s="100">
        <v>9</v>
      </c>
      <c r="BO85" s="100">
        <v>1350</v>
      </c>
      <c r="BP85" s="100">
        <v>6</v>
      </c>
      <c r="BQ85" s="100">
        <v>900</v>
      </c>
      <c r="BR85" s="100">
        <v>7</v>
      </c>
      <c r="BS85" s="100">
        <v>1050</v>
      </c>
      <c r="BT85" s="100">
        <v>10</v>
      </c>
      <c r="BU85" s="100">
        <v>1500</v>
      </c>
      <c r="BV85" s="100">
        <v>11</v>
      </c>
      <c r="BW85" s="100">
        <v>1650</v>
      </c>
      <c r="BX85" s="100">
        <v>7</v>
      </c>
      <c r="BY85" s="100">
        <v>1050</v>
      </c>
      <c r="BZ85" s="100">
        <v>6</v>
      </c>
      <c r="CA85" s="100">
        <v>900</v>
      </c>
      <c r="CB85" s="100">
        <v>8</v>
      </c>
      <c r="CC85" s="100">
        <v>1200</v>
      </c>
      <c r="CD85" s="100">
        <v>8</v>
      </c>
      <c r="CE85" s="100">
        <v>1200</v>
      </c>
      <c r="CF85" s="100">
        <v>8</v>
      </c>
      <c r="CG85" s="100">
        <v>1200</v>
      </c>
      <c r="CH85" s="100">
        <v>10</v>
      </c>
      <c r="CI85" s="100">
        <v>1500</v>
      </c>
      <c r="CJ85" s="100">
        <v>7</v>
      </c>
      <c r="CK85" s="100">
        <v>1050</v>
      </c>
      <c r="CL85" s="100">
        <v>7</v>
      </c>
      <c r="CM85" s="100">
        <v>1050</v>
      </c>
      <c r="CN85" s="100">
        <v>9</v>
      </c>
      <c r="CO85" s="100">
        <v>1350</v>
      </c>
      <c r="CP85" s="100">
        <v>12</v>
      </c>
      <c r="CQ85" s="100">
        <v>1800</v>
      </c>
      <c r="CR85" s="100">
        <v>5</v>
      </c>
      <c r="CS85" s="100">
        <v>750</v>
      </c>
      <c r="CT85" s="100">
        <v>7</v>
      </c>
      <c r="CU85" s="100">
        <v>1050</v>
      </c>
    </row>
    <row r="86" spans="2:99">
      <c r="C86" s="99" t="s">
        <v>252</v>
      </c>
      <c r="D86" s="100">
        <v>7</v>
      </c>
      <c r="E86" s="100">
        <v>3780</v>
      </c>
      <c r="F86" s="100">
        <v>8</v>
      </c>
      <c r="G86" s="100">
        <v>4320</v>
      </c>
      <c r="H86" s="100">
        <v>6</v>
      </c>
      <c r="I86" s="100">
        <v>3240</v>
      </c>
      <c r="J86" s="100">
        <v>8</v>
      </c>
      <c r="K86" s="100">
        <v>4320</v>
      </c>
      <c r="L86" s="100">
        <v>8</v>
      </c>
      <c r="M86" s="100">
        <v>4320</v>
      </c>
      <c r="N86" s="100">
        <v>7</v>
      </c>
      <c r="O86" s="100">
        <v>3780</v>
      </c>
      <c r="P86" s="100">
        <v>6</v>
      </c>
      <c r="Q86" s="100">
        <v>3240</v>
      </c>
      <c r="R86" s="100">
        <v>7</v>
      </c>
      <c r="S86" s="100">
        <v>3780</v>
      </c>
      <c r="T86" s="100">
        <v>11</v>
      </c>
      <c r="U86" s="100">
        <v>5940</v>
      </c>
      <c r="V86" s="100">
        <v>5</v>
      </c>
      <c r="W86" s="100">
        <v>2700</v>
      </c>
      <c r="X86" s="100">
        <v>6</v>
      </c>
      <c r="Y86" s="100">
        <v>3240</v>
      </c>
      <c r="Z86" s="100">
        <v>7</v>
      </c>
      <c r="AA86" s="100">
        <v>3780</v>
      </c>
      <c r="AB86" s="100">
        <v>7</v>
      </c>
      <c r="AC86" s="100">
        <v>3780</v>
      </c>
      <c r="AD86" s="100">
        <v>6</v>
      </c>
      <c r="AE86" s="100">
        <v>3240</v>
      </c>
      <c r="AF86" s="100">
        <v>6</v>
      </c>
      <c r="AG86" s="100">
        <v>3240</v>
      </c>
      <c r="AH86" s="100">
        <v>11</v>
      </c>
      <c r="AI86" s="100">
        <v>5940</v>
      </c>
      <c r="AJ86" s="100">
        <v>6</v>
      </c>
      <c r="AK86" s="100">
        <v>3240</v>
      </c>
      <c r="AL86" s="100">
        <v>5</v>
      </c>
      <c r="AM86" s="100">
        <v>2700</v>
      </c>
      <c r="AN86" s="100">
        <v>9</v>
      </c>
      <c r="AO86" s="100">
        <v>4860</v>
      </c>
      <c r="AP86" s="100">
        <v>6</v>
      </c>
      <c r="AQ86" s="100">
        <v>3240</v>
      </c>
      <c r="AR86" s="100">
        <v>6</v>
      </c>
      <c r="AS86" s="100">
        <v>3240</v>
      </c>
      <c r="AT86" s="100">
        <v>7</v>
      </c>
      <c r="AU86" s="100">
        <v>3780</v>
      </c>
      <c r="AV86" s="100">
        <v>7</v>
      </c>
      <c r="AW86" s="100">
        <v>3780</v>
      </c>
      <c r="AX86" s="100">
        <v>8</v>
      </c>
      <c r="AY86" s="100">
        <v>4320</v>
      </c>
      <c r="AZ86" s="100">
        <v>8</v>
      </c>
      <c r="BA86" s="100">
        <v>4320</v>
      </c>
      <c r="BB86" s="100">
        <v>7</v>
      </c>
      <c r="BC86" s="100">
        <v>3780</v>
      </c>
      <c r="BD86" s="100">
        <v>6</v>
      </c>
      <c r="BE86" s="100">
        <v>3240</v>
      </c>
      <c r="BF86" s="100">
        <v>10</v>
      </c>
      <c r="BG86" s="100">
        <v>5400</v>
      </c>
      <c r="BH86" s="100">
        <v>11</v>
      </c>
      <c r="BI86" s="100">
        <v>5940</v>
      </c>
      <c r="BJ86" s="100">
        <v>10</v>
      </c>
      <c r="BK86" s="100">
        <v>5400</v>
      </c>
      <c r="BL86" s="100">
        <v>9</v>
      </c>
      <c r="BM86" s="100">
        <v>4860</v>
      </c>
      <c r="BN86" s="100">
        <v>9</v>
      </c>
      <c r="BO86" s="100">
        <v>4860</v>
      </c>
      <c r="BP86" s="100">
        <v>6</v>
      </c>
      <c r="BQ86" s="100">
        <v>3240</v>
      </c>
      <c r="BR86" s="100">
        <v>7</v>
      </c>
      <c r="BS86" s="100">
        <v>3780</v>
      </c>
      <c r="BT86" s="100">
        <v>9</v>
      </c>
      <c r="BU86" s="100">
        <v>4860</v>
      </c>
      <c r="BV86" s="100">
        <v>10</v>
      </c>
      <c r="BW86" s="100">
        <v>5400</v>
      </c>
      <c r="BX86" s="100">
        <v>6</v>
      </c>
      <c r="BY86" s="100">
        <v>3240</v>
      </c>
      <c r="BZ86" s="100">
        <v>7</v>
      </c>
      <c r="CA86" s="100">
        <v>3780</v>
      </c>
      <c r="CB86" s="100">
        <v>7</v>
      </c>
      <c r="CC86" s="100">
        <v>3780</v>
      </c>
      <c r="CD86" s="100">
        <v>8</v>
      </c>
      <c r="CE86" s="100">
        <v>4320</v>
      </c>
      <c r="CF86" s="100">
        <v>7</v>
      </c>
      <c r="CG86" s="100">
        <v>3780</v>
      </c>
      <c r="CH86" s="100">
        <v>10</v>
      </c>
      <c r="CI86" s="100">
        <v>5400</v>
      </c>
      <c r="CJ86" s="100">
        <v>7</v>
      </c>
      <c r="CK86" s="100">
        <v>3780</v>
      </c>
      <c r="CL86" s="100">
        <v>7</v>
      </c>
      <c r="CM86" s="100">
        <v>3780</v>
      </c>
      <c r="CN86" s="100">
        <v>8</v>
      </c>
      <c r="CO86" s="100">
        <v>4320</v>
      </c>
      <c r="CP86" s="100">
        <v>11</v>
      </c>
      <c r="CQ86" s="100">
        <v>5940</v>
      </c>
      <c r="CR86" s="100">
        <v>6</v>
      </c>
      <c r="CS86" s="100">
        <v>3240</v>
      </c>
      <c r="CT86" s="100">
        <v>8</v>
      </c>
      <c r="CU86" s="100">
        <v>4320</v>
      </c>
    </row>
    <row r="87" spans="2:99">
      <c r="B87" s="99" t="s">
        <v>131</v>
      </c>
      <c r="C87" s="99" t="s">
        <v>253</v>
      </c>
      <c r="D87" s="100">
        <v>11</v>
      </c>
      <c r="E87" s="100">
        <v>11814</v>
      </c>
      <c r="F87" s="100">
        <v>8</v>
      </c>
      <c r="G87" s="100">
        <v>8592</v>
      </c>
      <c r="H87" s="100">
        <v>8.1391304347826097</v>
      </c>
      <c r="I87" s="100">
        <v>8741.4260869565223</v>
      </c>
      <c r="J87" s="100">
        <v>8.92018779342723</v>
      </c>
      <c r="K87" s="100">
        <v>9580.2816901408441</v>
      </c>
      <c r="L87" s="100">
        <v>7.2727272727272725</v>
      </c>
      <c r="M87" s="100">
        <v>7810.909090909091</v>
      </c>
      <c r="N87" s="100">
        <v>8.4236453201970445</v>
      </c>
      <c r="O87" s="100">
        <v>9046.995073891625</v>
      </c>
      <c r="P87" s="100">
        <v>7</v>
      </c>
      <c r="Q87" s="100">
        <v>7518</v>
      </c>
      <c r="R87" s="100">
        <v>6</v>
      </c>
      <c r="S87" s="100">
        <v>6444</v>
      </c>
      <c r="T87" s="100">
        <v>7</v>
      </c>
      <c r="U87" s="100">
        <v>7518</v>
      </c>
      <c r="V87" s="100">
        <v>10</v>
      </c>
      <c r="W87" s="100">
        <v>10740</v>
      </c>
      <c r="X87" s="100">
        <v>7</v>
      </c>
      <c r="Y87" s="100">
        <v>7518</v>
      </c>
      <c r="Z87" s="100">
        <v>7</v>
      </c>
      <c r="AA87" s="100">
        <v>7518</v>
      </c>
      <c r="AB87" s="100">
        <v>7</v>
      </c>
      <c r="AC87" s="100">
        <v>7518</v>
      </c>
      <c r="AD87" s="100">
        <v>11</v>
      </c>
      <c r="AE87" s="100">
        <v>11814</v>
      </c>
      <c r="AF87" s="100">
        <v>9</v>
      </c>
      <c r="AG87" s="100">
        <v>9666</v>
      </c>
      <c r="AH87" s="100">
        <v>9</v>
      </c>
      <c r="AI87" s="100">
        <v>9666</v>
      </c>
      <c r="AJ87" s="100">
        <v>8</v>
      </c>
      <c r="AK87" s="100">
        <v>8592</v>
      </c>
      <c r="AL87" s="100">
        <v>8</v>
      </c>
      <c r="AM87" s="100">
        <v>8592</v>
      </c>
      <c r="AN87" s="100">
        <v>6</v>
      </c>
      <c r="AO87" s="100">
        <v>6444</v>
      </c>
      <c r="AP87" s="100">
        <v>10</v>
      </c>
      <c r="AQ87" s="100">
        <v>10740</v>
      </c>
      <c r="AR87" s="100">
        <v>13</v>
      </c>
      <c r="AS87" s="100">
        <v>13962</v>
      </c>
      <c r="AT87" s="100">
        <v>7</v>
      </c>
      <c r="AU87" s="100">
        <v>7518</v>
      </c>
      <c r="AV87" s="100">
        <v>8</v>
      </c>
      <c r="AW87" s="100">
        <v>8592</v>
      </c>
      <c r="AX87" s="100">
        <v>10</v>
      </c>
      <c r="AY87" s="100">
        <v>10740</v>
      </c>
      <c r="AZ87" s="100">
        <v>9</v>
      </c>
      <c r="BA87" s="100">
        <v>9666</v>
      </c>
      <c r="BB87" s="100">
        <v>9</v>
      </c>
      <c r="BC87" s="100">
        <v>9666</v>
      </c>
      <c r="BD87" s="100">
        <v>11</v>
      </c>
      <c r="BE87" s="100">
        <v>11814</v>
      </c>
      <c r="BF87" s="100">
        <v>12</v>
      </c>
      <c r="BG87" s="100">
        <v>12888</v>
      </c>
      <c r="BH87" s="100">
        <v>9</v>
      </c>
      <c r="BI87" s="100">
        <v>9666</v>
      </c>
      <c r="BJ87" s="100">
        <v>11</v>
      </c>
      <c r="BK87" s="100">
        <v>11814</v>
      </c>
      <c r="BL87" s="100">
        <v>6</v>
      </c>
      <c r="BM87" s="100">
        <v>6444</v>
      </c>
      <c r="BN87" s="100">
        <v>10</v>
      </c>
      <c r="BO87" s="100">
        <v>10740</v>
      </c>
      <c r="BP87" s="100">
        <v>8</v>
      </c>
      <c r="BQ87" s="100">
        <v>8592</v>
      </c>
      <c r="BR87" s="100">
        <v>10</v>
      </c>
      <c r="BS87" s="100">
        <v>10740</v>
      </c>
      <c r="BT87" s="100">
        <v>7</v>
      </c>
      <c r="BU87" s="100">
        <v>7518</v>
      </c>
      <c r="BV87" s="100">
        <v>11</v>
      </c>
      <c r="BW87" s="100">
        <v>11814</v>
      </c>
      <c r="BX87" s="100">
        <v>8</v>
      </c>
      <c r="BY87" s="100">
        <v>8592</v>
      </c>
      <c r="BZ87" s="100">
        <v>11</v>
      </c>
      <c r="CA87" s="100">
        <v>11814</v>
      </c>
      <c r="CB87" s="100">
        <v>10</v>
      </c>
      <c r="CC87" s="100">
        <v>10740</v>
      </c>
      <c r="CD87" s="100">
        <v>12</v>
      </c>
      <c r="CE87" s="100">
        <v>12888</v>
      </c>
      <c r="CF87" s="100">
        <v>7</v>
      </c>
      <c r="CG87" s="100">
        <v>7518</v>
      </c>
      <c r="CH87" s="100">
        <v>8</v>
      </c>
      <c r="CI87" s="100">
        <v>8592</v>
      </c>
      <c r="CJ87" s="100">
        <v>7</v>
      </c>
      <c r="CK87" s="100">
        <v>7518</v>
      </c>
      <c r="CL87" s="100">
        <v>10</v>
      </c>
      <c r="CM87" s="100">
        <v>10740</v>
      </c>
      <c r="CN87" s="100">
        <v>10</v>
      </c>
      <c r="CO87" s="100">
        <v>10740</v>
      </c>
      <c r="CP87" s="100">
        <v>7</v>
      </c>
      <c r="CQ87" s="100">
        <v>7518</v>
      </c>
      <c r="CR87" s="100">
        <v>8</v>
      </c>
      <c r="CS87" s="100">
        <v>8592</v>
      </c>
      <c r="CT87" s="100">
        <v>8</v>
      </c>
      <c r="CU87" s="100">
        <v>8592</v>
      </c>
    </row>
    <row r="88" spans="2:99">
      <c r="C88" s="99" t="s">
        <v>254</v>
      </c>
      <c r="D88" s="100">
        <v>11</v>
      </c>
      <c r="E88" s="100">
        <v>10916.4</v>
      </c>
      <c r="F88" s="100">
        <v>8</v>
      </c>
      <c r="G88" s="100">
        <v>7939.2</v>
      </c>
      <c r="H88" s="100">
        <v>9.0434782608695645</v>
      </c>
      <c r="I88" s="100">
        <v>8974.7478260869557</v>
      </c>
      <c r="J88" s="100">
        <v>8.0281690140845061</v>
      </c>
      <c r="K88" s="100">
        <v>7967.1549295774639</v>
      </c>
      <c r="L88" s="100">
        <v>8.1818181818181817</v>
      </c>
      <c r="M88" s="100">
        <v>8119.6363636363631</v>
      </c>
      <c r="N88" s="100">
        <v>8.4236453201970445</v>
      </c>
      <c r="O88" s="100">
        <v>8359.6256157635471</v>
      </c>
      <c r="P88" s="100">
        <v>7</v>
      </c>
      <c r="Q88" s="100">
        <v>6946.8</v>
      </c>
      <c r="R88" s="100">
        <v>7</v>
      </c>
      <c r="S88" s="100">
        <v>6946.8</v>
      </c>
      <c r="T88" s="100">
        <v>9</v>
      </c>
      <c r="U88" s="100">
        <v>8931.6</v>
      </c>
      <c r="V88" s="100">
        <v>10</v>
      </c>
      <c r="W88" s="100">
        <v>9924</v>
      </c>
      <c r="X88" s="100">
        <v>7</v>
      </c>
      <c r="Y88" s="100">
        <v>6946.8</v>
      </c>
      <c r="Z88" s="100">
        <v>6</v>
      </c>
      <c r="AA88" s="100">
        <v>5954.4</v>
      </c>
      <c r="AB88" s="100">
        <v>7</v>
      </c>
      <c r="AC88" s="100">
        <v>6946.8</v>
      </c>
      <c r="AD88" s="100">
        <v>11</v>
      </c>
      <c r="AE88" s="100">
        <v>10916.4</v>
      </c>
      <c r="AF88" s="100">
        <v>8</v>
      </c>
      <c r="AG88" s="100">
        <v>7939.2</v>
      </c>
      <c r="AH88" s="100">
        <v>8</v>
      </c>
      <c r="AI88" s="100">
        <v>7939.2</v>
      </c>
      <c r="AJ88" s="100">
        <v>7</v>
      </c>
      <c r="AK88" s="100">
        <v>6946.8</v>
      </c>
      <c r="AL88" s="100">
        <v>8</v>
      </c>
      <c r="AM88" s="100">
        <v>7939.2</v>
      </c>
      <c r="AN88" s="100">
        <v>7</v>
      </c>
      <c r="AO88" s="100">
        <v>6946.8</v>
      </c>
      <c r="AP88" s="100">
        <v>10</v>
      </c>
      <c r="AQ88" s="100">
        <v>9924</v>
      </c>
      <c r="AR88" s="100">
        <v>11</v>
      </c>
      <c r="AS88" s="100">
        <v>10916.4</v>
      </c>
      <c r="AT88" s="100">
        <v>9</v>
      </c>
      <c r="AU88" s="100">
        <v>8931.6</v>
      </c>
      <c r="AV88" s="100">
        <v>8</v>
      </c>
      <c r="AW88" s="100">
        <v>7939.2</v>
      </c>
      <c r="AX88" s="100">
        <v>10</v>
      </c>
      <c r="AY88" s="100">
        <v>9924</v>
      </c>
      <c r="AZ88" s="100">
        <v>8</v>
      </c>
      <c r="BA88" s="100">
        <v>7939.2</v>
      </c>
      <c r="BB88" s="100">
        <v>9</v>
      </c>
      <c r="BC88" s="100">
        <v>8931.6</v>
      </c>
      <c r="BD88" s="100">
        <v>10</v>
      </c>
      <c r="BE88" s="100">
        <v>9924</v>
      </c>
      <c r="BF88" s="100">
        <v>11</v>
      </c>
      <c r="BG88" s="100">
        <v>10916.4</v>
      </c>
      <c r="BH88" s="100">
        <v>11</v>
      </c>
      <c r="BI88" s="100">
        <v>10916.4</v>
      </c>
      <c r="BJ88" s="100">
        <v>11</v>
      </c>
      <c r="BK88" s="100">
        <v>10916.4</v>
      </c>
      <c r="BL88" s="100">
        <v>7</v>
      </c>
      <c r="BM88" s="100">
        <v>6946.8</v>
      </c>
      <c r="BN88" s="100">
        <v>10</v>
      </c>
      <c r="BO88" s="100">
        <v>9924</v>
      </c>
      <c r="BP88" s="100">
        <v>7</v>
      </c>
      <c r="BQ88" s="100">
        <v>6946.8</v>
      </c>
      <c r="BR88" s="100">
        <v>9</v>
      </c>
      <c r="BS88" s="100">
        <v>8931.6</v>
      </c>
      <c r="BT88" s="100">
        <v>6</v>
      </c>
      <c r="BU88" s="100">
        <v>5954.4</v>
      </c>
      <c r="BV88" s="100">
        <v>10</v>
      </c>
      <c r="BW88" s="100">
        <v>9924</v>
      </c>
      <c r="BX88" s="100">
        <v>7</v>
      </c>
      <c r="BY88" s="100">
        <v>6946.8</v>
      </c>
      <c r="BZ88" s="100">
        <v>11</v>
      </c>
      <c r="CA88" s="100">
        <v>10916.4</v>
      </c>
      <c r="CB88" s="100">
        <v>10</v>
      </c>
      <c r="CC88" s="100">
        <v>9924</v>
      </c>
      <c r="CD88" s="100">
        <v>13</v>
      </c>
      <c r="CE88" s="100">
        <v>12901.199999999999</v>
      </c>
      <c r="CF88" s="100">
        <v>8</v>
      </c>
      <c r="CG88" s="100">
        <v>7939.2</v>
      </c>
      <c r="CH88" s="100">
        <v>8</v>
      </c>
      <c r="CI88" s="100">
        <v>7939.2</v>
      </c>
      <c r="CJ88" s="100">
        <v>7</v>
      </c>
      <c r="CK88" s="100">
        <v>6946.8</v>
      </c>
      <c r="CL88" s="100">
        <v>10</v>
      </c>
      <c r="CM88" s="100">
        <v>9924</v>
      </c>
      <c r="CN88" s="100">
        <v>11</v>
      </c>
      <c r="CO88" s="100">
        <v>10916.4</v>
      </c>
      <c r="CP88" s="100">
        <v>7</v>
      </c>
      <c r="CQ88" s="100">
        <v>6946.8</v>
      </c>
      <c r="CR88" s="100">
        <v>7</v>
      </c>
      <c r="CS88" s="100">
        <v>6946.8</v>
      </c>
      <c r="CT88" s="100">
        <v>7</v>
      </c>
      <c r="CU88" s="100">
        <v>6946.8</v>
      </c>
    </row>
    <row r="89" spans="2:99">
      <c r="C89" s="99" t="s">
        <v>255</v>
      </c>
      <c r="D89" s="100">
        <v>11</v>
      </c>
      <c r="E89" s="100">
        <v>11682</v>
      </c>
      <c r="F89" s="100">
        <v>8</v>
      </c>
      <c r="G89" s="100">
        <v>8496</v>
      </c>
      <c r="H89" s="100">
        <v>9.9478260869565212</v>
      </c>
      <c r="I89" s="100">
        <v>10564.591304347825</v>
      </c>
      <c r="J89" s="100">
        <v>9.8122065727699539</v>
      </c>
      <c r="K89" s="100">
        <v>10420.563380281692</v>
      </c>
      <c r="L89" s="100">
        <v>8.1818181818181817</v>
      </c>
      <c r="M89" s="100">
        <v>8689.0909090909081</v>
      </c>
      <c r="N89" s="100">
        <v>7.4876847290640391</v>
      </c>
      <c r="O89" s="100">
        <v>7951.92118226601</v>
      </c>
      <c r="P89" s="100">
        <v>7</v>
      </c>
      <c r="Q89" s="100">
        <v>7434</v>
      </c>
      <c r="R89" s="100">
        <v>7</v>
      </c>
      <c r="S89" s="100">
        <v>7434</v>
      </c>
      <c r="T89" s="100">
        <v>8</v>
      </c>
      <c r="U89" s="100">
        <v>8496</v>
      </c>
      <c r="V89" s="100">
        <v>10</v>
      </c>
      <c r="W89" s="100">
        <v>10620</v>
      </c>
      <c r="X89" s="100">
        <v>8</v>
      </c>
      <c r="Y89" s="100">
        <v>8496</v>
      </c>
      <c r="Z89" s="100">
        <v>6</v>
      </c>
      <c r="AA89" s="100">
        <v>6372</v>
      </c>
      <c r="AB89" s="100">
        <v>7</v>
      </c>
      <c r="AC89" s="100">
        <v>7434</v>
      </c>
      <c r="AD89" s="100">
        <v>11</v>
      </c>
      <c r="AE89" s="100">
        <v>11682</v>
      </c>
      <c r="AF89" s="100">
        <v>8</v>
      </c>
      <c r="AG89" s="100">
        <v>8496</v>
      </c>
      <c r="AH89" s="100">
        <v>9</v>
      </c>
      <c r="AI89" s="100">
        <v>9558</v>
      </c>
      <c r="AJ89" s="100">
        <v>7</v>
      </c>
      <c r="AK89" s="100">
        <v>7434</v>
      </c>
      <c r="AL89" s="100">
        <v>8</v>
      </c>
      <c r="AM89" s="100">
        <v>8496</v>
      </c>
      <c r="AN89" s="100">
        <v>6</v>
      </c>
      <c r="AO89" s="100">
        <v>6372</v>
      </c>
      <c r="AP89" s="100">
        <v>11</v>
      </c>
      <c r="AQ89" s="100">
        <v>11682</v>
      </c>
      <c r="AR89" s="100">
        <v>12</v>
      </c>
      <c r="AS89" s="100">
        <v>12744</v>
      </c>
      <c r="AT89" s="100">
        <v>9</v>
      </c>
      <c r="AU89" s="100">
        <v>9558</v>
      </c>
      <c r="AV89" s="100">
        <v>8</v>
      </c>
      <c r="AW89" s="100">
        <v>8496</v>
      </c>
      <c r="AX89" s="100">
        <v>10</v>
      </c>
      <c r="AY89" s="100">
        <v>10620</v>
      </c>
      <c r="AZ89" s="100">
        <v>8</v>
      </c>
      <c r="BA89" s="100">
        <v>8496</v>
      </c>
      <c r="BB89" s="100">
        <v>9</v>
      </c>
      <c r="BC89" s="100">
        <v>9558</v>
      </c>
      <c r="BD89" s="100">
        <v>12</v>
      </c>
      <c r="BE89" s="100">
        <v>12744</v>
      </c>
      <c r="BF89" s="100">
        <v>11</v>
      </c>
      <c r="BG89" s="100">
        <v>11682</v>
      </c>
      <c r="BH89" s="100">
        <v>10</v>
      </c>
      <c r="BI89" s="100">
        <v>10620</v>
      </c>
      <c r="BJ89" s="100">
        <v>9</v>
      </c>
      <c r="BK89" s="100">
        <v>9558</v>
      </c>
      <c r="BL89" s="100">
        <v>6</v>
      </c>
      <c r="BM89" s="100">
        <v>6372</v>
      </c>
      <c r="BN89" s="100">
        <v>11</v>
      </c>
      <c r="BO89" s="100">
        <v>11682</v>
      </c>
      <c r="BP89" s="100">
        <v>8</v>
      </c>
      <c r="BQ89" s="100">
        <v>8496</v>
      </c>
      <c r="BR89" s="100">
        <v>9</v>
      </c>
      <c r="BS89" s="100">
        <v>9558</v>
      </c>
      <c r="BT89" s="100">
        <v>7</v>
      </c>
      <c r="BU89" s="100">
        <v>7434</v>
      </c>
      <c r="BV89" s="100">
        <v>10</v>
      </c>
      <c r="BW89" s="100">
        <v>10620</v>
      </c>
      <c r="BX89" s="100">
        <v>8</v>
      </c>
      <c r="BY89" s="100">
        <v>8496</v>
      </c>
      <c r="BZ89" s="100">
        <v>10</v>
      </c>
      <c r="CA89" s="100">
        <v>10620</v>
      </c>
      <c r="CB89" s="100">
        <v>12</v>
      </c>
      <c r="CC89" s="100">
        <v>12744</v>
      </c>
      <c r="CD89" s="100">
        <v>12</v>
      </c>
      <c r="CE89" s="100">
        <v>12744</v>
      </c>
      <c r="CF89" s="100">
        <v>8</v>
      </c>
      <c r="CG89" s="100">
        <v>8496</v>
      </c>
      <c r="CH89" s="100">
        <v>8</v>
      </c>
      <c r="CI89" s="100">
        <v>8496</v>
      </c>
      <c r="CJ89" s="100">
        <v>7</v>
      </c>
      <c r="CK89" s="100">
        <v>7434</v>
      </c>
      <c r="CL89" s="100">
        <v>10</v>
      </c>
      <c r="CM89" s="100">
        <v>10620</v>
      </c>
      <c r="CN89" s="100">
        <v>11</v>
      </c>
      <c r="CO89" s="100">
        <v>11682</v>
      </c>
      <c r="CP89" s="100">
        <v>7</v>
      </c>
      <c r="CQ89" s="100">
        <v>7434</v>
      </c>
      <c r="CR89" s="100">
        <v>8</v>
      </c>
      <c r="CS89" s="100">
        <v>8496</v>
      </c>
      <c r="CT89" s="100">
        <v>8</v>
      </c>
      <c r="CU89" s="100">
        <v>8496</v>
      </c>
    </row>
    <row r="90" spans="2:99">
      <c r="C90" s="99" t="s">
        <v>256</v>
      </c>
      <c r="D90" s="100">
        <v>11</v>
      </c>
      <c r="E90" s="100">
        <v>12196.8</v>
      </c>
      <c r="F90" s="100">
        <v>8</v>
      </c>
      <c r="G90" s="100">
        <v>8870.4</v>
      </c>
      <c r="H90" s="100">
        <v>9.9478260869565212</v>
      </c>
      <c r="I90" s="100">
        <v>11030.149565217391</v>
      </c>
      <c r="J90" s="100">
        <v>8.92018779342723</v>
      </c>
      <c r="K90" s="100">
        <v>9890.7042253521122</v>
      </c>
      <c r="L90" s="100">
        <v>7.2727272727272725</v>
      </c>
      <c r="M90" s="100">
        <v>8063.9999999999991</v>
      </c>
      <c r="N90" s="100">
        <v>8.4236453201970445</v>
      </c>
      <c r="O90" s="100">
        <v>9340.1379310344819</v>
      </c>
      <c r="P90" s="100">
        <v>7</v>
      </c>
      <c r="Q90" s="100">
        <v>7761.5999999999995</v>
      </c>
      <c r="R90" s="100">
        <v>6</v>
      </c>
      <c r="S90" s="100">
        <v>6652.7999999999993</v>
      </c>
      <c r="T90" s="100">
        <v>8</v>
      </c>
      <c r="U90" s="100">
        <v>8870.4</v>
      </c>
      <c r="V90" s="100">
        <v>11</v>
      </c>
      <c r="W90" s="100">
        <v>12196.8</v>
      </c>
      <c r="X90" s="100">
        <v>8</v>
      </c>
      <c r="Y90" s="100">
        <v>8870.4</v>
      </c>
      <c r="Z90" s="100">
        <v>7</v>
      </c>
      <c r="AA90" s="100">
        <v>7761.5999999999995</v>
      </c>
      <c r="AB90" s="100">
        <v>6</v>
      </c>
      <c r="AC90" s="100">
        <v>6652.7999999999993</v>
      </c>
      <c r="AD90" s="100">
        <v>11</v>
      </c>
      <c r="AE90" s="100">
        <v>12196.8</v>
      </c>
      <c r="AF90" s="100">
        <v>8</v>
      </c>
      <c r="AG90" s="100">
        <v>8870.4</v>
      </c>
      <c r="AH90" s="100">
        <v>8</v>
      </c>
      <c r="AI90" s="100">
        <v>8870.4</v>
      </c>
      <c r="AJ90" s="100">
        <v>8</v>
      </c>
      <c r="AK90" s="100">
        <v>8870.4</v>
      </c>
      <c r="AL90" s="100">
        <v>9</v>
      </c>
      <c r="AM90" s="100">
        <v>9979.1999999999989</v>
      </c>
      <c r="AN90" s="100">
        <v>6</v>
      </c>
      <c r="AO90" s="100">
        <v>6652.7999999999993</v>
      </c>
      <c r="AP90" s="100">
        <v>12</v>
      </c>
      <c r="AQ90" s="100">
        <v>13305.599999999999</v>
      </c>
      <c r="AR90" s="100">
        <v>10</v>
      </c>
      <c r="AS90" s="100">
        <v>11088</v>
      </c>
      <c r="AT90" s="100">
        <v>8</v>
      </c>
      <c r="AU90" s="100">
        <v>8870.4</v>
      </c>
      <c r="AV90" s="100">
        <v>8</v>
      </c>
      <c r="AW90" s="100">
        <v>8870.4</v>
      </c>
      <c r="AX90" s="100">
        <v>11</v>
      </c>
      <c r="AY90" s="100">
        <v>12196.8</v>
      </c>
      <c r="AZ90" s="100">
        <v>7</v>
      </c>
      <c r="BA90" s="100">
        <v>7761.5999999999995</v>
      </c>
      <c r="BB90" s="100">
        <v>9</v>
      </c>
      <c r="BC90" s="100">
        <v>9979.1999999999989</v>
      </c>
      <c r="BD90" s="100">
        <v>11</v>
      </c>
      <c r="BE90" s="100">
        <v>12196.8</v>
      </c>
      <c r="BF90" s="100">
        <v>12</v>
      </c>
      <c r="BG90" s="100">
        <v>13305.599999999999</v>
      </c>
      <c r="BH90" s="100">
        <v>11</v>
      </c>
      <c r="BI90" s="100">
        <v>12196.8</v>
      </c>
      <c r="BJ90" s="100">
        <v>9</v>
      </c>
      <c r="BK90" s="100">
        <v>9979.1999999999989</v>
      </c>
      <c r="BL90" s="100">
        <v>6</v>
      </c>
      <c r="BM90" s="100">
        <v>6652.7999999999993</v>
      </c>
      <c r="BN90" s="100">
        <v>10</v>
      </c>
      <c r="BO90" s="100">
        <v>11088</v>
      </c>
      <c r="BP90" s="100">
        <v>8</v>
      </c>
      <c r="BQ90" s="100">
        <v>8870.4</v>
      </c>
      <c r="BR90" s="100">
        <v>9</v>
      </c>
      <c r="BS90" s="100">
        <v>9979.1999999999989</v>
      </c>
      <c r="BT90" s="100">
        <v>7</v>
      </c>
      <c r="BU90" s="100">
        <v>7761.5999999999995</v>
      </c>
      <c r="BV90" s="100">
        <v>11</v>
      </c>
      <c r="BW90" s="100">
        <v>12196.8</v>
      </c>
      <c r="BX90" s="100">
        <v>8</v>
      </c>
      <c r="BY90" s="100">
        <v>8870.4</v>
      </c>
      <c r="BZ90" s="100">
        <v>10</v>
      </c>
      <c r="CA90" s="100">
        <v>11088</v>
      </c>
      <c r="CB90" s="100">
        <v>10</v>
      </c>
      <c r="CC90" s="100">
        <v>11088</v>
      </c>
      <c r="CD90" s="100">
        <v>12</v>
      </c>
      <c r="CE90" s="100">
        <v>13305.599999999999</v>
      </c>
      <c r="CF90" s="100">
        <v>7</v>
      </c>
      <c r="CG90" s="100">
        <v>7761.5999999999995</v>
      </c>
      <c r="CH90" s="100">
        <v>8</v>
      </c>
      <c r="CI90" s="100">
        <v>8870.4</v>
      </c>
      <c r="CJ90" s="100">
        <v>6</v>
      </c>
      <c r="CK90" s="100">
        <v>6652.7999999999993</v>
      </c>
      <c r="CL90" s="100">
        <v>9</v>
      </c>
      <c r="CM90" s="100">
        <v>9979.1999999999989</v>
      </c>
      <c r="CN90" s="100">
        <v>11</v>
      </c>
      <c r="CO90" s="100">
        <v>12196.8</v>
      </c>
      <c r="CP90" s="100">
        <v>7</v>
      </c>
      <c r="CQ90" s="100">
        <v>7761.5999999999995</v>
      </c>
      <c r="CR90" s="100">
        <v>8</v>
      </c>
      <c r="CS90" s="100">
        <v>8870.4</v>
      </c>
      <c r="CT90" s="100">
        <v>8</v>
      </c>
      <c r="CU90" s="100">
        <v>8870.4</v>
      </c>
    </row>
    <row r="91" spans="2:99">
      <c r="C91" s="99" t="s">
        <v>257</v>
      </c>
      <c r="D91" s="100">
        <v>11</v>
      </c>
      <c r="E91" s="100">
        <v>12500.399999999998</v>
      </c>
      <c r="F91" s="100">
        <v>9</v>
      </c>
      <c r="G91" s="100">
        <v>10227.599999999999</v>
      </c>
      <c r="H91" s="100">
        <v>9.0434782608695645</v>
      </c>
      <c r="I91" s="100">
        <v>10277.008695652172</v>
      </c>
      <c r="J91" s="100">
        <v>8.0281690140845061</v>
      </c>
      <c r="K91" s="100">
        <v>9123.2112676056313</v>
      </c>
      <c r="L91" s="100">
        <v>8.1818181818181817</v>
      </c>
      <c r="M91" s="100">
        <v>9297.8181818181802</v>
      </c>
      <c r="N91" s="100">
        <v>8.4236453201970445</v>
      </c>
      <c r="O91" s="100">
        <v>9572.6305418719203</v>
      </c>
      <c r="P91" s="100">
        <v>7</v>
      </c>
      <c r="Q91" s="100">
        <v>7954.7999999999993</v>
      </c>
      <c r="R91" s="100">
        <v>6</v>
      </c>
      <c r="S91" s="100">
        <v>6818.4</v>
      </c>
      <c r="T91" s="100">
        <v>8</v>
      </c>
      <c r="U91" s="100">
        <v>9091.1999999999989</v>
      </c>
      <c r="V91" s="100">
        <v>10</v>
      </c>
      <c r="W91" s="100">
        <v>11363.999999999998</v>
      </c>
      <c r="X91" s="100">
        <v>8</v>
      </c>
      <c r="Y91" s="100">
        <v>9091.1999999999989</v>
      </c>
      <c r="Z91" s="100">
        <v>7</v>
      </c>
      <c r="AA91" s="100">
        <v>7954.7999999999993</v>
      </c>
      <c r="AB91" s="100">
        <v>7</v>
      </c>
      <c r="AC91" s="100">
        <v>7954.7999999999993</v>
      </c>
      <c r="AD91" s="100">
        <v>12</v>
      </c>
      <c r="AE91" s="100">
        <v>13636.8</v>
      </c>
      <c r="AF91" s="100">
        <v>8</v>
      </c>
      <c r="AG91" s="100">
        <v>9091.1999999999989</v>
      </c>
      <c r="AH91" s="100">
        <v>8</v>
      </c>
      <c r="AI91" s="100">
        <v>9091.1999999999989</v>
      </c>
      <c r="AJ91" s="100">
        <v>7</v>
      </c>
      <c r="AK91" s="100">
        <v>7954.7999999999993</v>
      </c>
      <c r="AL91" s="100">
        <v>8</v>
      </c>
      <c r="AM91" s="100">
        <v>9091.1999999999989</v>
      </c>
      <c r="AN91" s="100">
        <v>7</v>
      </c>
      <c r="AO91" s="100">
        <v>7954.7999999999993</v>
      </c>
      <c r="AP91" s="100">
        <v>12</v>
      </c>
      <c r="AQ91" s="100">
        <v>13636.8</v>
      </c>
      <c r="AR91" s="100">
        <v>12</v>
      </c>
      <c r="AS91" s="100">
        <v>13636.8</v>
      </c>
      <c r="AT91" s="100">
        <v>8</v>
      </c>
      <c r="AU91" s="100">
        <v>9091.1999999999989</v>
      </c>
      <c r="AV91" s="100">
        <v>7</v>
      </c>
      <c r="AW91" s="100">
        <v>7954.7999999999993</v>
      </c>
      <c r="AX91" s="100">
        <v>10</v>
      </c>
      <c r="AY91" s="100">
        <v>11363.999999999998</v>
      </c>
      <c r="AZ91" s="100">
        <v>9</v>
      </c>
      <c r="BA91" s="100">
        <v>10227.599999999999</v>
      </c>
      <c r="BB91" s="100">
        <v>10</v>
      </c>
      <c r="BC91" s="100">
        <v>11363.999999999998</v>
      </c>
      <c r="BD91" s="100">
        <v>11</v>
      </c>
      <c r="BE91" s="100">
        <v>12500.399999999998</v>
      </c>
      <c r="BF91" s="100">
        <v>12</v>
      </c>
      <c r="BG91" s="100">
        <v>13636.8</v>
      </c>
      <c r="BH91" s="100">
        <v>10</v>
      </c>
      <c r="BI91" s="100">
        <v>11363.999999999998</v>
      </c>
      <c r="BJ91" s="100">
        <v>10</v>
      </c>
      <c r="BK91" s="100">
        <v>11363.999999999998</v>
      </c>
      <c r="BL91" s="100">
        <v>7</v>
      </c>
      <c r="BM91" s="100">
        <v>7954.7999999999993</v>
      </c>
      <c r="BN91" s="100">
        <v>11</v>
      </c>
      <c r="BO91" s="100">
        <v>12500.399999999998</v>
      </c>
      <c r="BP91" s="100">
        <v>7</v>
      </c>
      <c r="BQ91" s="100">
        <v>7954.7999999999993</v>
      </c>
      <c r="BR91" s="100">
        <v>9</v>
      </c>
      <c r="BS91" s="100">
        <v>10227.599999999999</v>
      </c>
      <c r="BT91" s="100">
        <v>7</v>
      </c>
      <c r="BU91" s="100">
        <v>7954.7999999999993</v>
      </c>
      <c r="BV91" s="100">
        <v>11</v>
      </c>
      <c r="BW91" s="100">
        <v>12500.399999999998</v>
      </c>
      <c r="BX91" s="100">
        <v>8</v>
      </c>
      <c r="BY91" s="100">
        <v>9091.1999999999989</v>
      </c>
      <c r="BZ91" s="100">
        <v>11</v>
      </c>
      <c r="CA91" s="100">
        <v>12500.399999999998</v>
      </c>
      <c r="CB91" s="100">
        <v>11</v>
      </c>
      <c r="CC91" s="100">
        <v>12500.399999999998</v>
      </c>
      <c r="CD91" s="100">
        <v>12</v>
      </c>
      <c r="CE91" s="100">
        <v>13636.8</v>
      </c>
      <c r="CF91" s="100">
        <v>7</v>
      </c>
      <c r="CG91" s="100">
        <v>7954.7999999999993</v>
      </c>
      <c r="CH91" s="100">
        <v>8</v>
      </c>
      <c r="CI91" s="100">
        <v>9091.1999999999989</v>
      </c>
      <c r="CJ91" s="100">
        <v>7</v>
      </c>
      <c r="CK91" s="100">
        <v>7954.7999999999993</v>
      </c>
      <c r="CL91" s="100">
        <v>10</v>
      </c>
      <c r="CM91" s="100">
        <v>11363.999999999998</v>
      </c>
      <c r="CN91" s="100">
        <v>12</v>
      </c>
      <c r="CO91" s="100">
        <v>13636.8</v>
      </c>
      <c r="CP91" s="100">
        <v>7</v>
      </c>
      <c r="CQ91" s="100">
        <v>7954.7999999999993</v>
      </c>
      <c r="CR91" s="100">
        <v>8</v>
      </c>
      <c r="CS91" s="100">
        <v>9091.1999999999989</v>
      </c>
      <c r="CT91" s="100">
        <v>7</v>
      </c>
      <c r="CU91" s="100">
        <v>7954.7999999999993</v>
      </c>
    </row>
    <row r="92" spans="2:99">
      <c r="C92" s="99" t="s">
        <v>258</v>
      </c>
      <c r="D92" s="100">
        <v>11</v>
      </c>
      <c r="E92" s="100">
        <v>8632.7999999999993</v>
      </c>
      <c r="F92" s="100">
        <v>8</v>
      </c>
      <c r="G92" s="100">
        <v>6278.4</v>
      </c>
      <c r="H92" s="100">
        <v>9.9478260869565212</v>
      </c>
      <c r="I92" s="100">
        <v>7807.0539130434772</v>
      </c>
      <c r="J92" s="100">
        <v>8.92018779342723</v>
      </c>
      <c r="K92" s="100">
        <v>7000.5633802816901</v>
      </c>
      <c r="L92" s="100">
        <v>8.1818181818181817</v>
      </c>
      <c r="M92" s="100">
        <v>6421.090909090909</v>
      </c>
      <c r="N92" s="100">
        <v>7.4876847290640391</v>
      </c>
      <c r="O92" s="100">
        <v>5876.3349753694574</v>
      </c>
      <c r="P92" s="100">
        <v>7</v>
      </c>
      <c r="Q92" s="100">
        <v>5493.5999999999995</v>
      </c>
      <c r="R92" s="100">
        <v>7</v>
      </c>
      <c r="S92" s="100">
        <v>5493.5999999999995</v>
      </c>
      <c r="T92" s="100">
        <v>8</v>
      </c>
      <c r="U92" s="100">
        <v>6278.4</v>
      </c>
      <c r="V92" s="100">
        <v>12</v>
      </c>
      <c r="W92" s="100">
        <v>9417.5999999999985</v>
      </c>
      <c r="X92" s="100">
        <v>8</v>
      </c>
      <c r="Y92" s="100">
        <v>6278.4</v>
      </c>
      <c r="Z92" s="100">
        <v>7</v>
      </c>
      <c r="AA92" s="100">
        <v>5493.5999999999995</v>
      </c>
      <c r="AB92" s="100">
        <v>6</v>
      </c>
      <c r="AC92" s="100">
        <v>4708.7999999999993</v>
      </c>
      <c r="AD92" s="100">
        <v>10</v>
      </c>
      <c r="AE92" s="100">
        <v>7848</v>
      </c>
      <c r="AF92" s="100">
        <v>9</v>
      </c>
      <c r="AG92" s="100">
        <v>7063.2</v>
      </c>
      <c r="AH92" s="100">
        <v>8</v>
      </c>
      <c r="AI92" s="100">
        <v>6278.4</v>
      </c>
      <c r="AJ92" s="100">
        <v>8</v>
      </c>
      <c r="AK92" s="100">
        <v>6278.4</v>
      </c>
      <c r="AL92" s="100">
        <v>8</v>
      </c>
      <c r="AM92" s="100">
        <v>6278.4</v>
      </c>
      <c r="AN92" s="100">
        <v>7</v>
      </c>
      <c r="AO92" s="100">
        <v>5493.5999999999995</v>
      </c>
      <c r="AP92" s="100">
        <v>12</v>
      </c>
      <c r="AQ92" s="100">
        <v>9417.5999999999985</v>
      </c>
      <c r="AR92" s="100">
        <v>12</v>
      </c>
      <c r="AS92" s="100">
        <v>9417.5999999999985</v>
      </c>
      <c r="AT92" s="100">
        <v>9</v>
      </c>
      <c r="AU92" s="100">
        <v>7063.2</v>
      </c>
      <c r="AV92" s="100">
        <v>8</v>
      </c>
      <c r="AW92" s="100">
        <v>6278.4</v>
      </c>
      <c r="AX92" s="100">
        <v>11</v>
      </c>
      <c r="AY92" s="100">
        <v>8632.7999999999993</v>
      </c>
      <c r="AZ92" s="100">
        <v>8</v>
      </c>
      <c r="BA92" s="100">
        <v>6278.4</v>
      </c>
      <c r="BB92" s="100">
        <v>9</v>
      </c>
      <c r="BC92" s="100">
        <v>7063.2</v>
      </c>
      <c r="BD92" s="100">
        <v>10</v>
      </c>
      <c r="BE92" s="100">
        <v>7848</v>
      </c>
      <c r="BF92" s="100">
        <v>11</v>
      </c>
      <c r="BG92" s="100">
        <v>8632.7999999999993</v>
      </c>
      <c r="BH92" s="100">
        <v>9</v>
      </c>
      <c r="BI92" s="100">
        <v>7063.2</v>
      </c>
      <c r="BJ92" s="100">
        <v>10</v>
      </c>
      <c r="BK92" s="100">
        <v>7848</v>
      </c>
      <c r="BL92" s="100">
        <v>6</v>
      </c>
      <c r="BM92" s="100">
        <v>4708.7999999999993</v>
      </c>
      <c r="BN92" s="100">
        <v>10</v>
      </c>
      <c r="BO92" s="100">
        <v>7848</v>
      </c>
      <c r="BP92" s="100">
        <v>8</v>
      </c>
      <c r="BQ92" s="100">
        <v>6278.4</v>
      </c>
      <c r="BR92" s="100">
        <v>10</v>
      </c>
      <c r="BS92" s="100">
        <v>7848</v>
      </c>
      <c r="BT92" s="100">
        <v>7</v>
      </c>
      <c r="BU92" s="100">
        <v>5493.5999999999995</v>
      </c>
      <c r="BV92" s="100">
        <v>10</v>
      </c>
      <c r="BW92" s="100">
        <v>7848</v>
      </c>
      <c r="BX92" s="100">
        <v>9</v>
      </c>
      <c r="BY92" s="100">
        <v>7063.2</v>
      </c>
      <c r="BZ92" s="100">
        <v>11</v>
      </c>
      <c r="CA92" s="100">
        <v>8632.7999999999993</v>
      </c>
      <c r="CB92" s="100">
        <v>12</v>
      </c>
      <c r="CC92" s="100">
        <v>9417.5999999999985</v>
      </c>
      <c r="CD92" s="100">
        <v>12</v>
      </c>
      <c r="CE92" s="100">
        <v>9417.5999999999985</v>
      </c>
      <c r="CF92" s="100">
        <v>7</v>
      </c>
      <c r="CG92" s="100">
        <v>5493.5999999999995</v>
      </c>
      <c r="CH92" s="100">
        <v>9</v>
      </c>
      <c r="CI92" s="100">
        <v>7063.2</v>
      </c>
      <c r="CJ92" s="100">
        <v>7</v>
      </c>
      <c r="CK92" s="100">
        <v>5493.5999999999995</v>
      </c>
      <c r="CL92" s="100">
        <v>12</v>
      </c>
      <c r="CM92" s="100">
        <v>9417.5999999999985</v>
      </c>
      <c r="CN92" s="100">
        <v>11</v>
      </c>
      <c r="CO92" s="100">
        <v>8632.7999999999993</v>
      </c>
      <c r="CP92" s="100">
        <v>7</v>
      </c>
      <c r="CQ92" s="100">
        <v>5493.5999999999995</v>
      </c>
      <c r="CR92" s="100">
        <v>8</v>
      </c>
      <c r="CS92" s="100">
        <v>6278.4</v>
      </c>
      <c r="CT92" s="100">
        <v>7</v>
      </c>
      <c r="CU92" s="100">
        <v>5493.5999999999995</v>
      </c>
    </row>
    <row r="93" spans="2:99">
      <c r="C93" s="99" t="s">
        <v>259</v>
      </c>
      <c r="D93" s="100">
        <v>11</v>
      </c>
      <c r="E93" s="100">
        <v>7629.6</v>
      </c>
      <c r="F93" s="100">
        <v>8</v>
      </c>
      <c r="G93" s="100">
        <v>5548.8</v>
      </c>
      <c r="H93" s="100">
        <v>9.9478260869565212</v>
      </c>
      <c r="I93" s="100">
        <v>6899.8121739130429</v>
      </c>
      <c r="J93" s="100">
        <v>8.92018779342723</v>
      </c>
      <c r="K93" s="100">
        <v>6187.0422535211273</v>
      </c>
      <c r="L93" s="100">
        <v>9.0909090909090917</v>
      </c>
      <c r="M93" s="100">
        <v>6305.454545454546</v>
      </c>
      <c r="N93" s="100">
        <v>7.4876847290640391</v>
      </c>
      <c r="O93" s="100">
        <v>5193.4581280788179</v>
      </c>
      <c r="P93" s="100">
        <v>7</v>
      </c>
      <c r="Q93" s="100">
        <v>4855.2</v>
      </c>
      <c r="R93" s="100">
        <v>6</v>
      </c>
      <c r="S93" s="100">
        <v>4161.6000000000004</v>
      </c>
      <c r="T93" s="100">
        <v>9</v>
      </c>
      <c r="U93" s="100">
        <v>6242.4000000000005</v>
      </c>
      <c r="V93" s="100">
        <v>10</v>
      </c>
      <c r="W93" s="100">
        <v>6936</v>
      </c>
      <c r="X93" s="100">
        <v>8</v>
      </c>
      <c r="Y93" s="100">
        <v>5548.8</v>
      </c>
      <c r="Z93" s="100">
        <v>7</v>
      </c>
      <c r="AA93" s="100">
        <v>4855.2</v>
      </c>
      <c r="AB93" s="100">
        <v>7</v>
      </c>
      <c r="AC93" s="100">
        <v>4855.2</v>
      </c>
      <c r="AD93" s="100">
        <v>11</v>
      </c>
      <c r="AE93" s="100">
        <v>7629.6</v>
      </c>
      <c r="AF93" s="100">
        <v>9</v>
      </c>
      <c r="AG93" s="100">
        <v>6242.4000000000005</v>
      </c>
      <c r="AH93" s="100">
        <v>9</v>
      </c>
      <c r="AI93" s="100">
        <v>6242.4000000000005</v>
      </c>
      <c r="AJ93" s="100">
        <v>7</v>
      </c>
      <c r="AK93" s="100">
        <v>4855.2</v>
      </c>
      <c r="AL93" s="100">
        <v>9</v>
      </c>
      <c r="AM93" s="100">
        <v>6242.4000000000005</v>
      </c>
      <c r="AN93" s="100">
        <v>7</v>
      </c>
      <c r="AO93" s="100">
        <v>4855.2</v>
      </c>
      <c r="AP93" s="100">
        <v>12</v>
      </c>
      <c r="AQ93" s="100">
        <v>8323.2000000000007</v>
      </c>
      <c r="AR93" s="100">
        <v>11</v>
      </c>
      <c r="AS93" s="100">
        <v>7629.6</v>
      </c>
      <c r="AT93" s="100">
        <v>8</v>
      </c>
      <c r="AU93" s="100">
        <v>5548.8</v>
      </c>
      <c r="AV93" s="100">
        <v>8</v>
      </c>
      <c r="AW93" s="100">
        <v>5548.8</v>
      </c>
      <c r="AX93" s="100">
        <v>11</v>
      </c>
      <c r="AY93" s="100">
        <v>7629.6</v>
      </c>
      <c r="AZ93" s="100">
        <v>8</v>
      </c>
      <c r="BA93" s="100">
        <v>5548.8</v>
      </c>
      <c r="BB93" s="100">
        <v>9</v>
      </c>
      <c r="BC93" s="100">
        <v>6242.4000000000005</v>
      </c>
      <c r="BD93" s="100">
        <v>11</v>
      </c>
      <c r="BE93" s="100">
        <v>7629.6</v>
      </c>
      <c r="BF93" s="100">
        <v>13</v>
      </c>
      <c r="BG93" s="100">
        <v>9016.8000000000011</v>
      </c>
      <c r="BH93" s="100">
        <v>9</v>
      </c>
      <c r="BI93" s="100">
        <v>6242.4000000000005</v>
      </c>
      <c r="BJ93" s="100">
        <v>11</v>
      </c>
      <c r="BK93" s="100">
        <v>7629.6</v>
      </c>
      <c r="BL93" s="100">
        <v>7</v>
      </c>
      <c r="BM93" s="100">
        <v>4855.2</v>
      </c>
      <c r="BN93" s="100">
        <v>10</v>
      </c>
      <c r="BO93" s="100">
        <v>6936</v>
      </c>
      <c r="BP93" s="100">
        <v>8</v>
      </c>
      <c r="BQ93" s="100">
        <v>5548.8</v>
      </c>
      <c r="BR93" s="100">
        <v>9</v>
      </c>
      <c r="BS93" s="100">
        <v>6242.4000000000005</v>
      </c>
      <c r="BT93" s="100">
        <v>7</v>
      </c>
      <c r="BU93" s="100">
        <v>4855.2</v>
      </c>
      <c r="BV93" s="100">
        <v>11</v>
      </c>
      <c r="BW93" s="100">
        <v>7629.6</v>
      </c>
      <c r="BX93" s="100">
        <v>9</v>
      </c>
      <c r="BY93" s="100">
        <v>6242.4000000000005</v>
      </c>
      <c r="BZ93" s="100">
        <v>11</v>
      </c>
      <c r="CA93" s="100">
        <v>7629.6</v>
      </c>
      <c r="CB93" s="100">
        <v>10</v>
      </c>
      <c r="CC93" s="100">
        <v>6936</v>
      </c>
      <c r="CD93" s="100">
        <v>12</v>
      </c>
      <c r="CE93" s="100">
        <v>8323.2000000000007</v>
      </c>
      <c r="CF93" s="100">
        <v>8</v>
      </c>
      <c r="CG93" s="100">
        <v>5548.8</v>
      </c>
      <c r="CH93" s="100">
        <v>8</v>
      </c>
      <c r="CI93" s="100">
        <v>5548.8</v>
      </c>
      <c r="CJ93" s="100">
        <v>8</v>
      </c>
      <c r="CK93" s="100">
        <v>5548.8</v>
      </c>
      <c r="CL93" s="100">
        <v>11</v>
      </c>
      <c r="CM93" s="100">
        <v>7629.6</v>
      </c>
      <c r="CN93" s="100">
        <v>12</v>
      </c>
      <c r="CO93" s="100">
        <v>8323.2000000000007</v>
      </c>
      <c r="CP93" s="100">
        <v>7</v>
      </c>
      <c r="CQ93" s="100">
        <v>4855.2</v>
      </c>
      <c r="CR93" s="100">
        <v>8</v>
      </c>
      <c r="CS93" s="100">
        <v>5548.8</v>
      </c>
      <c r="CT93" s="100">
        <v>7</v>
      </c>
      <c r="CU93" s="100">
        <v>4855.2</v>
      </c>
    </row>
    <row r="94" spans="2:99">
      <c r="C94" s="99" t="s">
        <v>260</v>
      </c>
      <c r="D94" s="100">
        <v>10</v>
      </c>
      <c r="E94" s="100">
        <v>11928</v>
      </c>
      <c r="F94" s="100">
        <v>8</v>
      </c>
      <c r="G94" s="100">
        <v>9542.4</v>
      </c>
      <c r="H94" s="100">
        <v>9.0434782608695645</v>
      </c>
      <c r="I94" s="100">
        <v>10787.060869565215</v>
      </c>
      <c r="J94" s="100">
        <v>8.92018779342723</v>
      </c>
      <c r="K94" s="100">
        <v>10640</v>
      </c>
      <c r="L94" s="100">
        <v>8.1818181818181817</v>
      </c>
      <c r="M94" s="100">
        <v>9759.2727272727261</v>
      </c>
      <c r="N94" s="100">
        <v>7.4876847290640391</v>
      </c>
      <c r="O94" s="100">
        <v>8931.3103448275851</v>
      </c>
      <c r="P94" s="100">
        <v>6</v>
      </c>
      <c r="Q94" s="100">
        <v>7156.7999999999993</v>
      </c>
      <c r="R94" s="100">
        <v>6</v>
      </c>
      <c r="S94" s="100">
        <v>7156.7999999999993</v>
      </c>
      <c r="T94" s="100">
        <v>9</v>
      </c>
      <c r="U94" s="100">
        <v>10735.199999999999</v>
      </c>
      <c r="V94" s="100">
        <v>11</v>
      </c>
      <c r="W94" s="100">
        <v>13120.8</v>
      </c>
      <c r="X94" s="100">
        <v>8</v>
      </c>
      <c r="Y94" s="100">
        <v>9542.4</v>
      </c>
      <c r="Z94" s="100">
        <v>6</v>
      </c>
      <c r="AA94" s="100">
        <v>7156.7999999999993</v>
      </c>
      <c r="AB94" s="100">
        <v>7</v>
      </c>
      <c r="AC94" s="100">
        <v>8349.6</v>
      </c>
      <c r="AD94" s="100">
        <v>10</v>
      </c>
      <c r="AE94" s="100">
        <v>11928</v>
      </c>
      <c r="AF94" s="100">
        <v>9</v>
      </c>
      <c r="AG94" s="100">
        <v>10735.199999999999</v>
      </c>
      <c r="AH94" s="100">
        <v>8</v>
      </c>
      <c r="AI94" s="100">
        <v>9542.4</v>
      </c>
      <c r="AJ94" s="100">
        <v>7</v>
      </c>
      <c r="AK94" s="100">
        <v>8349.6</v>
      </c>
      <c r="AL94" s="100">
        <v>8</v>
      </c>
      <c r="AM94" s="100">
        <v>9542.4</v>
      </c>
      <c r="AN94" s="100">
        <v>6</v>
      </c>
      <c r="AO94" s="100">
        <v>7156.7999999999993</v>
      </c>
      <c r="AP94" s="100">
        <v>11</v>
      </c>
      <c r="AQ94" s="100">
        <v>13120.8</v>
      </c>
      <c r="AR94" s="100">
        <v>11</v>
      </c>
      <c r="AS94" s="100">
        <v>13120.8</v>
      </c>
      <c r="AT94" s="100">
        <v>7</v>
      </c>
      <c r="AU94" s="100">
        <v>8349.6</v>
      </c>
      <c r="AV94" s="100">
        <v>8</v>
      </c>
      <c r="AW94" s="100">
        <v>9542.4</v>
      </c>
      <c r="AX94" s="100">
        <v>11</v>
      </c>
      <c r="AY94" s="100">
        <v>13120.8</v>
      </c>
      <c r="AZ94" s="100">
        <v>8</v>
      </c>
      <c r="BA94" s="100">
        <v>9542.4</v>
      </c>
      <c r="BB94" s="100">
        <v>9</v>
      </c>
      <c r="BC94" s="100">
        <v>10735.199999999999</v>
      </c>
      <c r="BD94" s="100">
        <v>10</v>
      </c>
      <c r="BE94" s="100">
        <v>11928</v>
      </c>
      <c r="BF94" s="100">
        <v>12</v>
      </c>
      <c r="BG94" s="100">
        <v>14313.599999999999</v>
      </c>
      <c r="BH94" s="100">
        <v>9</v>
      </c>
      <c r="BI94" s="100">
        <v>10735.199999999999</v>
      </c>
      <c r="BJ94" s="100">
        <v>10</v>
      </c>
      <c r="BK94" s="100">
        <v>11928</v>
      </c>
      <c r="BL94" s="100">
        <v>6</v>
      </c>
      <c r="BM94" s="100">
        <v>7156.7999999999993</v>
      </c>
      <c r="BN94" s="100">
        <v>10</v>
      </c>
      <c r="BO94" s="100">
        <v>11928</v>
      </c>
      <c r="BP94" s="100">
        <v>8</v>
      </c>
      <c r="BQ94" s="100">
        <v>9542.4</v>
      </c>
      <c r="BR94" s="100">
        <v>8</v>
      </c>
      <c r="BS94" s="100">
        <v>9542.4</v>
      </c>
      <c r="BT94" s="100">
        <v>7</v>
      </c>
      <c r="BU94" s="100">
        <v>8349.6</v>
      </c>
      <c r="BV94" s="100">
        <v>9</v>
      </c>
      <c r="BW94" s="100">
        <v>10735.199999999999</v>
      </c>
      <c r="BX94" s="100">
        <v>8</v>
      </c>
      <c r="BY94" s="100">
        <v>9542.4</v>
      </c>
      <c r="BZ94" s="100">
        <v>10</v>
      </c>
      <c r="CA94" s="100">
        <v>11928</v>
      </c>
      <c r="CB94" s="100">
        <v>11</v>
      </c>
      <c r="CC94" s="100">
        <v>13120.8</v>
      </c>
      <c r="CD94" s="100">
        <v>13</v>
      </c>
      <c r="CE94" s="100">
        <v>15506.4</v>
      </c>
      <c r="CF94" s="100">
        <v>8</v>
      </c>
      <c r="CG94" s="100">
        <v>9542.4</v>
      </c>
      <c r="CH94" s="100">
        <v>7</v>
      </c>
      <c r="CI94" s="100">
        <v>8349.6</v>
      </c>
      <c r="CJ94" s="100">
        <v>7</v>
      </c>
      <c r="CK94" s="100">
        <v>8349.6</v>
      </c>
      <c r="CL94" s="100">
        <v>11</v>
      </c>
      <c r="CM94" s="100">
        <v>13120.8</v>
      </c>
      <c r="CN94" s="100">
        <v>12</v>
      </c>
      <c r="CO94" s="100">
        <v>14313.599999999999</v>
      </c>
      <c r="CP94" s="100">
        <v>7</v>
      </c>
      <c r="CQ94" s="100">
        <v>8349.6</v>
      </c>
      <c r="CR94" s="100">
        <v>8</v>
      </c>
      <c r="CS94" s="100">
        <v>9542.4</v>
      </c>
      <c r="CT94" s="100">
        <v>7</v>
      </c>
      <c r="CU94" s="100">
        <v>8349.6</v>
      </c>
    </row>
    <row r="95" spans="2:99">
      <c r="B95" s="99" t="s">
        <v>132</v>
      </c>
      <c r="C95" s="99" t="s">
        <v>261</v>
      </c>
      <c r="D95" s="100">
        <v>6</v>
      </c>
      <c r="E95" s="100">
        <v>1972.8000000000002</v>
      </c>
      <c r="F95" s="100">
        <v>9</v>
      </c>
      <c r="G95" s="100">
        <v>2959.2000000000003</v>
      </c>
      <c r="H95" s="100">
        <v>10.852173913043478</v>
      </c>
      <c r="I95" s="100">
        <v>3568.1947826086957</v>
      </c>
      <c r="J95" s="100">
        <v>10.704225352112676</v>
      </c>
      <c r="K95" s="100">
        <v>3519.5492957746478</v>
      </c>
      <c r="L95" s="100">
        <v>8.1818181818181817</v>
      </c>
      <c r="M95" s="100">
        <v>2690.181818181818</v>
      </c>
      <c r="N95" s="100">
        <v>9.3596059113300498</v>
      </c>
      <c r="O95" s="100">
        <v>3077.4384236453207</v>
      </c>
      <c r="P95" s="100">
        <v>6</v>
      </c>
      <c r="Q95" s="100">
        <v>1972.8000000000002</v>
      </c>
      <c r="R95" s="100">
        <v>9</v>
      </c>
      <c r="S95" s="100">
        <v>2959.2000000000003</v>
      </c>
      <c r="T95" s="100">
        <v>10</v>
      </c>
      <c r="U95" s="100">
        <v>3288</v>
      </c>
      <c r="V95" s="100">
        <v>7</v>
      </c>
      <c r="W95" s="100">
        <v>2301.6</v>
      </c>
      <c r="X95" s="100">
        <v>9</v>
      </c>
      <c r="Y95" s="100">
        <v>2959.2000000000003</v>
      </c>
      <c r="Z95" s="100">
        <v>6</v>
      </c>
      <c r="AA95" s="100">
        <v>1972.8000000000002</v>
      </c>
      <c r="AB95" s="100">
        <v>10</v>
      </c>
      <c r="AC95" s="100">
        <v>3288</v>
      </c>
      <c r="AD95" s="100">
        <v>9</v>
      </c>
      <c r="AE95" s="100">
        <v>2959.2000000000003</v>
      </c>
      <c r="AF95" s="100">
        <v>8</v>
      </c>
      <c r="AG95" s="100">
        <v>2630.4</v>
      </c>
      <c r="AH95" s="100">
        <v>8</v>
      </c>
      <c r="AI95" s="100">
        <v>2630.4</v>
      </c>
      <c r="AJ95" s="100">
        <v>10</v>
      </c>
      <c r="AK95" s="100">
        <v>3288</v>
      </c>
      <c r="AL95" s="100">
        <v>10</v>
      </c>
      <c r="AM95" s="100">
        <v>3288</v>
      </c>
      <c r="AN95" s="100">
        <v>6</v>
      </c>
      <c r="AO95" s="100">
        <v>1972.8000000000002</v>
      </c>
      <c r="AP95" s="100">
        <v>9</v>
      </c>
      <c r="AQ95" s="100">
        <v>2959.2000000000003</v>
      </c>
      <c r="AR95" s="100">
        <v>6</v>
      </c>
      <c r="AS95" s="100">
        <v>1972.8000000000002</v>
      </c>
      <c r="AT95" s="100">
        <v>12</v>
      </c>
      <c r="AU95" s="100">
        <v>3945.6000000000004</v>
      </c>
      <c r="AV95" s="100">
        <v>8</v>
      </c>
      <c r="AW95" s="100">
        <v>2630.4</v>
      </c>
      <c r="AX95" s="100">
        <v>6</v>
      </c>
      <c r="AY95" s="100">
        <v>1972.8000000000002</v>
      </c>
      <c r="AZ95" s="100">
        <v>8</v>
      </c>
      <c r="BA95" s="100">
        <v>2630.4</v>
      </c>
      <c r="BB95" s="100">
        <v>9</v>
      </c>
      <c r="BC95" s="100">
        <v>2959.2000000000003</v>
      </c>
      <c r="BD95" s="100">
        <v>9</v>
      </c>
      <c r="BE95" s="100">
        <v>2959.2000000000003</v>
      </c>
      <c r="BF95" s="100">
        <v>11</v>
      </c>
      <c r="BG95" s="100">
        <v>3616.8</v>
      </c>
      <c r="BH95" s="100">
        <v>12</v>
      </c>
      <c r="BI95" s="100">
        <v>3945.6000000000004</v>
      </c>
      <c r="BJ95" s="100">
        <v>11</v>
      </c>
      <c r="BK95" s="100">
        <v>3616.8</v>
      </c>
      <c r="BL95" s="100">
        <v>9</v>
      </c>
      <c r="BM95" s="100">
        <v>2959.2000000000003</v>
      </c>
      <c r="BN95" s="100">
        <v>10</v>
      </c>
      <c r="BO95" s="100">
        <v>3288</v>
      </c>
      <c r="BP95" s="100">
        <v>10</v>
      </c>
      <c r="BQ95" s="100">
        <v>3288</v>
      </c>
      <c r="BR95" s="100">
        <v>8</v>
      </c>
      <c r="BS95" s="100">
        <v>2630.4</v>
      </c>
      <c r="BT95" s="100">
        <v>8</v>
      </c>
      <c r="BU95" s="100">
        <v>2630.4</v>
      </c>
      <c r="BV95" s="100">
        <v>7</v>
      </c>
      <c r="BW95" s="100">
        <v>2301.6</v>
      </c>
      <c r="BX95" s="100">
        <v>8</v>
      </c>
      <c r="BY95" s="100">
        <v>2630.4</v>
      </c>
      <c r="BZ95" s="100">
        <v>12</v>
      </c>
      <c r="CA95" s="100">
        <v>3945.6000000000004</v>
      </c>
      <c r="CB95" s="100">
        <v>11</v>
      </c>
      <c r="CC95" s="100">
        <v>3616.8</v>
      </c>
      <c r="CD95" s="100">
        <v>8</v>
      </c>
      <c r="CE95" s="100">
        <v>2630.4</v>
      </c>
      <c r="CF95" s="100">
        <v>10</v>
      </c>
      <c r="CG95" s="100">
        <v>3288</v>
      </c>
      <c r="CH95" s="100">
        <v>9</v>
      </c>
      <c r="CI95" s="100">
        <v>2959.2000000000003</v>
      </c>
      <c r="CJ95" s="100">
        <v>9</v>
      </c>
      <c r="CK95" s="100">
        <v>2959.2000000000003</v>
      </c>
      <c r="CL95" s="100">
        <v>8</v>
      </c>
      <c r="CM95" s="100">
        <v>2630.4</v>
      </c>
      <c r="CN95" s="100">
        <v>9</v>
      </c>
      <c r="CO95" s="100">
        <v>2959.2000000000003</v>
      </c>
      <c r="CP95" s="100">
        <v>7</v>
      </c>
      <c r="CQ95" s="100">
        <v>2301.6</v>
      </c>
      <c r="CR95" s="100">
        <v>7</v>
      </c>
      <c r="CS95" s="100">
        <v>2301.6</v>
      </c>
      <c r="CT95" s="100">
        <v>12</v>
      </c>
      <c r="CU95" s="100">
        <v>3945.6000000000004</v>
      </c>
    </row>
    <row r="96" spans="2:99">
      <c r="C96" s="99" t="s">
        <v>262</v>
      </c>
      <c r="D96" s="100">
        <v>6</v>
      </c>
      <c r="E96" s="100">
        <v>4168.7999999999993</v>
      </c>
      <c r="F96" s="100">
        <v>9</v>
      </c>
      <c r="G96" s="100">
        <v>6253.2</v>
      </c>
      <c r="H96" s="100">
        <v>9.0434782608695645</v>
      </c>
      <c r="I96" s="100">
        <v>6283.4086956521733</v>
      </c>
      <c r="J96" s="100">
        <v>8.92018779342723</v>
      </c>
      <c r="K96" s="100">
        <v>6197.7464788732386</v>
      </c>
      <c r="L96" s="100">
        <v>9.0909090909090917</v>
      </c>
      <c r="M96" s="100">
        <v>6316.3636363636369</v>
      </c>
      <c r="N96" s="100">
        <v>9.3596059113300498</v>
      </c>
      <c r="O96" s="100">
        <v>6503.0541871921178</v>
      </c>
      <c r="P96" s="100">
        <v>6</v>
      </c>
      <c r="Q96" s="100">
        <v>4168.7999999999993</v>
      </c>
      <c r="R96" s="100">
        <v>8</v>
      </c>
      <c r="S96" s="100">
        <v>5558.4</v>
      </c>
      <c r="T96" s="100">
        <v>9</v>
      </c>
      <c r="U96" s="100">
        <v>6253.2</v>
      </c>
      <c r="V96" s="100">
        <v>7</v>
      </c>
      <c r="W96" s="100">
        <v>4863.5999999999995</v>
      </c>
      <c r="X96" s="100">
        <v>8</v>
      </c>
      <c r="Y96" s="100">
        <v>5558.4</v>
      </c>
      <c r="Z96" s="100">
        <v>6</v>
      </c>
      <c r="AA96" s="100">
        <v>4168.7999999999993</v>
      </c>
      <c r="AB96" s="100">
        <v>11</v>
      </c>
      <c r="AC96" s="100">
        <v>7642.7999999999993</v>
      </c>
      <c r="AD96" s="100">
        <v>9</v>
      </c>
      <c r="AE96" s="100">
        <v>6253.2</v>
      </c>
      <c r="AF96" s="100">
        <v>9</v>
      </c>
      <c r="AG96" s="100">
        <v>6253.2</v>
      </c>
      <c r="AH96" s="100">
        <v>9</v>
      </c>
      <c r="AI96" s="100">
        <v>6253.2</v>
      </c>
      <c r="AJ96" s="100">
        <v>10</v>
      </c>
      <c r="AK96" s="100">
        <v>6948</v>
      </c>
      <c r="AL96" s="100">
        <v>9</v>
      </c>
      <c r="AM96" s="100">
        <v>6253.2</v>
      </c>
      <c r="AN96" s="100">
        <v>6</v>
      </c>
      <c r="AO96" s="100">
        <v>4168.7999999999993</v>
      </c>
      <c r="AP96" s="100">
        <v>8</v>
      </c>
      <c r="AQ96" s="100">
        <v>5558.4</v>
      </c>
      <c r="AR96" s="100">
        <v>6</v>
      </c>
      <c r="AS96" s="100">
        <v>4168.7999999999993</v>
      </c>
      <c r="AT96" s="100">
        <v>10</v>
      </c>
      <c r="AU96" s="100">
        <v>6948</v>
      </c>
      <c r="AV96" s="100">
        <v>9</v>
      </c>
      <c r="AW96" s="100">
        <v>6253.2</v>
      </c>
      <c r="AX96" s="100">
        <v>6</v>
      </c>
      <c r="AY96" s="100">
        <v>4168.7999999999993</v>
      </c>
      <c r="AZ96" s="100">
        <v>7</v>
      </c>
      <c r="BA96" s="100">
        <v>4863.5999999999995</v>
      </c>
      <c r="BB96" s="100">
        <v>9</v>
      </c>
      <c r="BC96" s="100">
        <v>6253.2</v>
      </c>
      <c r="BD96" s="100">
        <v>8</v>
      </c>
      <c r="BE96" s="100">
        <v>5558.4</v>
      </c>
      <c r="BF96" s="100">
        <v>10</v>
      </c>
      <c r="BG96" s="100">
        <v>6948</v>
      </c>
      <c r="BH96" s="100">
        <v>12</v>
      </c>
      <c r="BI96" s="100">
        <v>8337.5999999999985</v>
      </c>
      <c r="BJ96" s="100">
        <v>11</v>
      </c>
      <c r="BK96" s="100">
        <v>7642.7999999999993</v>
      </c>
      <c r="BL96" s="100">
        <v>9</v>
      </c>
      <c r="BM96" s="100">
        <v>6253.2</v>
      </c>
      <c r="BN96" s="100">
        <v>9</v>
      </c>
      <c r="BO96" s="100">
        <v>6253.2</v>
      </c>
      <c r="BP96" s="100">
        <v>10</v>
      </c>
      <c r="BQ96" s="100">
        <v>6948</v>
      </c>
      <c r="BR96" s="100">
        <v>9</v>
      </c>
      <c r="BS96" s="100">
        <v>6253.2</v>
      </c>
      <c r="BT96" s="100">
        <v>7</v>
      </c>
      <c r="BU96" s="100">
        <v>4863.5999999999995</v>
      </c>
      <c r="BV96" s="100">
        <v>8</v>
      </c>
      <c r="BW96" s="100">
        <v>5558.4</v>
      </c>
      <c r="BX96" s="100">
        <v>8</v>
      </c>
      <c r="BY96" s="100">
        <v>5558.4</v>
      </c>
      <c r="BZ96" s="100">
        <v>12</v>
      </c>
      <c r="CA96" s="100">
        <v>8337.5999999999985</v>
      </c>
      <c r="CB96" s="100">
        <v>9</v>
      </c>
      <c r="CC96" s="100">
        <v>6253.2</v>
      </c>
      <c r="CD96" s="100">
        <v>7</v>
      </c>
      <c r="CE96" s="100">
        <v>4863.5999999999995</v>
      </c>
      <c r="CF96" s="100">
        <v>9</v>
      </c>
      <c r="CG96" s="100">
        <v>6253.2</v>
      </c>
      <c r="CH96" s="100">
        <v>9</v>
      </c>
      <c r="CI96" s="100">
        <v>6253.2</v>
      </c>
      <c r="CJ96" s="100">
        <v>9</v>
      </c>
      <c r="CK96" s="100">
        <v>6253.2</v>
      </c>
      <c r="CL96" s="100">
        <v>7</v>
      </c>
      <c r="CM96" s="100">
        <v>4863.5999999999995</v>
      </c>
      <c r="CN96" s="100">
        <v>8</v>
      </c>
      <c r="CO96" s="100">
        <v>5558.4</v>
      </c>
      <c r="CP96" s="100">
        <v>6</v>
      </c>
      <c r="CQ96" s="100">
        <v>4168.7999999999993</v>
      </c>
      <c r="CR96" s="100">
        <v>8</v>
      </c>
      <c r="CS96" s="100">
        <v>5558.4</v>
      </c>
      <c r="CT96" s="100">
        <v>11</v>
      </c>
      <c r="CU96" s="100">
        <v>7642.7999999999993</v>
      </c>
    </row>
    <row r="97" spans="2:99">
      <c r="C97" s="99" t="s">
        <v>263</v>
      </c>
      <c r="D97" s="100">
        <v>5</v>
      </c>
      <c r="E97" s="100">
        <v>1962</v>
      </c>
      <c r="F97" s="100">
        <v>10</v>
      </c>
      <c r="G97" s="100">
        <v>3924</v>
      </c>
      <c r="H97" s="100">
        <v>9.0434782608695645</v>
      </c>
      <c r="I97" s="100">
        <v>3548.6608695652171</v>
      </c>
      <c r="J97" s="100">
        <v>8.92018779342723</v>
      </c>
      <c r="K97" s="100">
        <v>3500.2816901408451</v>
      </c>
      <c r="L97" s="100">
        <v>8.1818181818181817</v>
      </c>
      <c r="M97" s="100">
        <v>3210.5454545454545</v>
      </c>
      <c r="N97" s="100">
        <v>10.295566502463055</v>
      </c>
      <c r="O97" s="100">
        <v>4039.9802955665027</v>
      </c>
      <c r="P97" s="100">
        <v>6</v>
      </c>
      <c r="Q97" s="100">
        <v>2354.3999999999996</v>
      </c>
      <c r="R97" s="100">
        <v>8</v>
      </c>
      <c r="S97" s="100">
        <v>3139.2</v>
      </c>
      <c r="T97" s="100">
        <v>9</v>
      </c>
      <c r="U97" s="100">
        <v>3531.6</v>
      </c>
      <c r="V97" s="100">
        <v>6</v>
      </c>
      <c r="W97" s="100">
        <v>2354.3999999999996</v>
      </c>
      <c r="X97" s="100">
        <v>8</v>
      </c>
      <c r="Y97" s="100">
        <v>3139.2</v>
      </c>
      <c r="Z97" s="100">
        <v>5</v>
      </c>
      <c r="AA97" s="100">
        <v>1962</v>
      </c>
      <c r="AB97" s="100">
        <v>10</v>
      </c>
      <c r="AC97" s="100">
        <v>3924</v>
      </c>
      <c r="AD97" s="100">
        <v>9</v>
      </c>
      <c r="AE97" s="100">
        <v>3531.6</v>
      </c>
      <c r="AF97" s="100">
        <v>9</v>
      </c>
      <c r="AG97" s="100">
        <v>3531.6</v>
      </c>
      <c r="AH97" s="100">
        <v>10</v>
      </c>
      <c r="AI97" s="100">
        <v>3924</v>
      </c>
      <c r="AJ97" s="100">
        <v>10</v>
      </c>
      <c r="AK97" s="100">
        <v>3924</v>
      </c>
      <c r="AL97" s="100">
        <v>10</v>
      </c>
      <c r="AM97" s="100">
        <v>3924</v>
      </c>
      <c r="AN97" s="100">
        <v>6</v>
      </c>
      <c r="AO97" s="100">
        <v>2354.3999999999996</v>
      </c>
      <c r="AP97" s="100">
        <v>8</v>
      </c>
      <c r="AQ97" s="100">
        <v>3139.2</v>
      </c>
      <c r="AR97" s="100">
        <v>6</v>
      </c>
      <c r="AS97" s="100">
        <v>2354.3999999999996</v>
      </c>
      <c r="AT97" s="100">
        <v>12</v>
      </c>
      <c r="AU97" s="100">
        <v>4708.7999999999993</v>
      </c>
      <c r="AV97" s="100">
        <v>9</v>
      </c>
      <c r="AW97" s="100">
        <v>3531.6</v>
      </c>
      <c r="AX97" s="100">
        <v>7</v>
      </c>
      <c r="AY97" s="100">
        <v>2746.7999999999997</v>
      </c>
      <c r="AZ97" s="100">
        <v>8</v>
      </c>
      <c r="BA97" s="100">
        <v>3139.2</v>
      </c>
      <c r="BB97" s="100">
        <v>8</v>
      </c>
      <c r="BC97" s="100">
        <v>3139.2</v>
      </c>
      <c r="BD97" s="100">
        <v>9</v>
      </c>
      <c r="BE97" s="100">
        <v>3531.6</v>
      </c>
      <c r="BF97" s="100">
        <v>11</v>
      </c>
      <c r="BG97" s="100">
        <v>4316.3999999999996</v>
      </c>
      <c r="BH97" s="100">
        <v>11</v>
      </c>
      <c r="BI97" s="100">
        <v>4316.3999999999996</v>
      </c>
      <c r="BJ97" s="100">
        <v>11</v>
      </c>
      <c r="BK97" s="100">
        <v>4316.3999999999996</v>
      </c>
      <c r="BL97" s="100">
        <v>9</v>
      </c>
      <c r="BM97" s="100">
        <v>3531.6</v>
      </c>
      <c r="BN97" s="100">
        <v>9</v>
      </c>
      <c r="BO97" s="100">
        <v>3531.6</v>
      </c>
      <c r="BP97" s="100">
        <v>11</v>
      </c>
      <c r="BQ97" s="100">
        <v>4316.3999999999996</v>
      </c>
      <c r="BR97" s="100">
        <v>8</v>
      </c>
      <c r="BS97" s="100">
        <v>3139.2</v>
      </c>
      <c r="BT97" s="100">
        <v>8</v>
      </c>
      <c r="BU97" s="100">
        <v>3139.2</v>
      </c>
      <c r="BV97" s="100">
        <v>7</v>
      </c>
      <c r="BW97" s="100">
        <v>2746.7999999999997</v>
      </c>
      <c r="BX97" s="100">
        <v>7</v>
      </c>
      <c r="BY97" s="100">
        <v>2746.7999999999997</v>
      </c>
      <c r="BZ97" s="100">
        <v>12</v>
      </c>
      <c r="CA97" s="100">
        <v>4708.7999999999993</v>
      </c>
      <c r="CB97" s="100">
        <v>11</v>
      </c>
      <c r="CC97" s="100">
        <v>4316.3999999999996</v>
      </c>
      <c r="CD97" s="100">
        <v>8</v>
      </c>
      <c r="CE97" s="100">
        <v>3139.2</v>
      </c>
      <c r="CF97" s="100">
        <v>11</v>
      </c>
      <c r="CG97" s="100">
        <v>4316.3999999999996</v>
      </c>
      <c r="CH97" s="100">
        <v>10</v>
      </c>
      <c r="CI97" s="100">
        <v>3924</v>
      </c>
      <c r="CJ97" s="100">
        <v>9</v>
      </c>
      <c r="CK97" s="100">
        <v>3531.6</v>
      </c>
      <c r="CL97" s="100">
        <v>8</v>
      </c>
      <c r="CM97" s="100">
        <v>3139.2</v>
      </c>
      <c r="CN97" s="100">
        <v>9</v>
      </c>
      <c r="CO97" s="100">
        <v>3531.6</v>
      </c>
      <c r="CP97" s="100">
        <v>6</v>
      </c>
      <c r="CQ97" s="100">
        <v>2354.3999999999996</v>
      </c>
      <c r="CR97" s="100">
        <v>7</v>
      </c>
      <c r="CS97" s="100">
        <v>2746.7999999999997</v>
      </c>
      <c r="CT97" s="100">
        <v>12</v>
      </c>
      <c r="CU97" s="100">
        <v>4708.7999999999993</v>
      </c>
    </row>
    <row r="98" spans="2:99">
      <c r="C98" s="99" t="s">
        <v>264</v>
      </c>
      <c r="D98" s="100">
        <v>6</v>
      </c>
      <c r="E98" s="100">
        <v>3153.6000000000004</v>
      </c>
      <c r="F98" s="100">
        <v>10</v>
      </c>
      <c r="G98" s="100">
        <v>5256</v>
      </c>
      <c r="H98" s="100">
        <v>10.852173913043478</v>
      </c>
      <c r="I98" s="100">
        <v>5703.9026086956519</v>
      </c>
      <c r="J98" s="100">
        <v>8.92018779342723</v>
      </c>
      <c r="K98" s="100">
        <v>4688.4507042253526</v>
      </c>
      <c r="L98" s="100">
        <v>9.0909090909090917</v>
      </c>
      <c r="M98" s="100">
        <v>4778.1818181818189</v>
      </c>
      <c r="N98" s="100">
        <v>9.3596059113300498</v>
      </c>
      <c r="O98" s="100">
        <v>4919.4088669950743</v>
      </c>
      <c r="P98" s="100">
        <v>6</v>
      </c>
      <c r="Q98" s="100">
        <v>3153.6000000000004</v>
      </c>
      <c r="R98" s="100">
        <v>8</v>
      </c>
      <c r="S98" s="100">
        <v>4204.8</v>
      </c>
      <c r="T98" s="100">
        <v>9</v>
      </c>
      <c r="U98" s="100">
        <v>4730.4000000000005</v>
      </c>
      <c r="V98" s="100">
        <v>7</v>
      </c>
      <c r="W98" s="100">
        <v>3679.2000000000003</v>
      </c>
      <c r="X98" s="100">
        <v>8</v>
      </c>
      <c r="Y98" s="100">
        <v>4204.8</v>
      </c>
      <c r="Z98" s="100">
        <v>6</v>
      </c>
      <c r="AA98" s="100">
        <v>3153.6000000000004</v>
      </c>
      <c r="AB98" s="100">
        <v>11</v>
      </c>
      <c r="AC98" s="100">
        <v>5781.6</v>
      </c>
      <c r="AD98" s="100">
        <v>10</v>
      </c>
      <c r="AE98" s="100">
        <v>5256</v>
      </c>
      <c r="AF98" s="100">
        <v>8</v>
      </c>
      <c r="AG98" s="100">
        <v>4204.8</v>
      </c>
      <c r="AH98" s="100">
        <v>8</v>
      </c>
      <c r="AI98" s="100">
        <v>4204.8</v>
      </c>
      <c r="AJ98" s="100">
        <v>10</v>
      </c>
      <c r="AK98" s="100">
        <v>5256</v>
      </c>
      <c r="AL98" s="100">
        <v>11</v>
      </c>
      <c r="AM98" s="100">
        <v>5781.6</v>
      </c>
      <c r="AN98" s="100">
        <v>6</v>
      </c>
      <c r="AO98" s="100">
        <v>3153.6000000000004</v>
      </c>
      <c r="AP98" s="100">
        <v>9</v>
      </c>
      <c r="AQ98" s="100">
        <v>4730.4000000000005</v>
      </c>
      <c r="AR98" s="100">
        <v>6</v>
      </c>
      <c r="AS98" s="100">
        <v>3153.6000000000004</v>
      </c>
      <c r="AT98" s="100">
        <v>11</v>
      </c>
      <c r="AU98" s="100">
        <v>5781.6</v>
      </c>
      <c r="AV98" s="100">
        <v>8</v>
      </c>
      <c r="AW98" s="100">
        <v>4204.8</v>
      </c>
      <c r="AX98" s="100">
        <v>7</v>
      </c>
      <c r="AY98" s="100">
        <v>3679.2000000000003</v>
      </c>
      <c r="AZ98" s="100">
        <v>8</v>
      </c>
      <c r="BA98" s="100">
        <v>4204.8</v>
      </c>
      <c r="BB98" s="100">
        <v>10</v>
      </c>
      <c r="BC98" s="100">
        <v>5256</v>
      </c>
      <c r="BD98" s="100">
        <v>9</v>
      </c>
      <c r="BE98" s="100">
        <v>4730.4000000000005</v>
      </c>
      <c r="BF98" s="100">
        <v>10</v>
      </c>
      <c r="BG98" s="100">
        <v>5256</v>
      </c>
      <c r="BH98" s="100">
        <v>10</v>
      </c>
      <c r="BI98" s="100">
        <v>5256</v>
      </c>
      <c r="BJ98" s="100">
        <v>10</v>
      </c>
      <c r="BK98" s="100">
        <v>5256</v>
      </c>
      <c r="BL98" s="100">
        <v>9</v>
      </c>
      <c r="BM98" s="100">
        <v>4730.4000000000005</v>
      </c>
      <c r="BN98" s="100">
        <v>10</v>
      </c>
      <c r="BO98" s="100">
        <v>5256</v>
      </c>
      <c r="BP98" s="100">
        <v>10</v>
      </c>
      <c r="BQ98" s="100">
        <v>5256</v>
      </c>
      <c r="BR98" s="100">
        <v>9</v>
      </c>
      <c r="BS98" s="100">
        <v>4730.4000000000005</v>
      </c>
      <c r="BT98" s="100">
        <v>8</v>
      </c>
      <c r="BU98" s="100">
        <v>4204.8</v>
      </c>
      <c r="BV98" s="100">
        <v>8</v>
      </c>
      <c r="BW98" s="100">
        <v>4204.8</v>
      </c>
      <c r="BX98" s="100">
        <v>8</v>
      </c>
      <c r="BY98" s="100">
        <v>4204.8</v>
      </c>
      <c r="BZ98" s="100">
        <v>11</v>
      </c>
      <c r="CA98" s="100">
        <v>5781.6</v>
      </c>
      <c r="CB98" s="100">
        <v>10</v>
      </c>
      <c r="CC98" s="100">
        <v>5256</v>
      </c>
      <c r="CD98" s="100">
        <v>8</v>
      </c>
      <c r="CE98" s="100">
        <v>4204.8</v>
      </c>
      <c r="CF98" s="100">
        <v>9</v>
      </c>
      <c r="CG98" s="100">
        <v>4730.4000000000005</v>
      </c>
      <c r="CH98" s="100">
        <v>10</v>
      </c>
      <c r="CI98" s="100">
        <v>5256</v>
      </c>
      <c r="CJ98" s="100">
        <v>9</v>
      </c>
      <c r="CK98" s="100">
        <v>4730.4000000000005</v>
      </c>
      <c r="CL98" s="100">
        <v>8</v>
      </c>
      <c r="CM98" s="100">
        <v>4204.8</v>
      </c>
      <c r="CN98" s="100">
        <v>9</v>
      </c>
      <c r="CO98" s="100">
        <v>4730.4000000000005</v>
      </c>
      <c r="CP98" s="100">
        <v>7</v>
      </c>
      <c r="CQ98" s="100">
        <v>3679.2000000000003</v>
      </c>
      <c r="CR98" s="100">
        <v>7</v>
      </c>
      <c r="CS98" s="100">
        <v>3679.2000000000003</v>
      </c>
      <c r="CT98" s="100">
        <v>12</v>
      </c>
      <c r="CU98" s="100">
        <v>6307.2000000000007</v>
      </c>
    </row>
    <row r="99" spans="2:99">
      <c r="C99" s="99" t="s">
        <v>265</v>
      </c>
      <c r="D99" s="100">
        <v>4</v>
      </c>
      <c r="E99" s="100">
        <v>16833.599999999999</v>
      </c>
      <c r="F99" s="100">
        <v>7</v>
      </c>
      <c r="G99" s="100">
        <v>29458.799999999996</v>
      </c>
      <c r="H99" s="100">
        <v>8.1391304347826097</v>
      </c>
      <c r="I99" s="100">
        <v>34252.71652173913</v>
      </c>
      <c r="J99" s="100">
        <v>6.2441314553990619</v>
      </c>
      <c r="K99" s="100">
        <v>26277.802816901411</v>
      </c>
      <c r="L99" s="100">
        <v>7.2727272727272725</v>
      </c>
      <c r="M99" s="100">
        <v>30606.545454545452</v>
      </c>
      <c r="N99" s="100">
        <v>7.4876847290640391</v>
      </c>
      <c r="O99" s="100">
        <v>31511.172413793098</v>
      </c>
      <c r="P99" s="100">
        <v>4</v>
      </c>
      <c r="Q99" s="100">
        <v>16833.599999999999</v>
      </c>
      <c r="R99" s="100">
        <v>6</v>
      </c>
      <c r="S99" s="100">
        <v>25250.399999999998</v>
      </c>
      <c r="T99" s="100">
        <v>7</v>
      </c>
      <c r="U99" s="100">
        <v>29458.799999999996</v>
      </c>
      <c r="V99" s="100">
        <v>5</v>
      </c>
      <c r="W99" s="100">
        <v>21042</v>
      </c>
      <c r="X99" s="100">
        <v>6</v>
      </c>
      <c r="Y99" s="100">
        <v>25250.399999999998</v>
      </c>
      <c r="Z99" s="100">
        <v>4</v>
      </c>
      <c r="AA99" s="100">
        <v>16833.599999999999</v>
      </c>
      <c r="AB99" s="100">
        <v>7</v>
      </c>
      <c r="AC99" s="100">
        <v>29458.799999999996</v>
      </c>
      <c r="AD99" s="100">
        <v>7</v>
      </c>
      <c r="AE99" s="100">
        <v>29458.799999999996</v>
      </c>
      <c r="AF99" s="100">
        <v>6</v>
      </c>
      <c r="AG99" s="100">
        <v>25250.399999999998</v>
      </c>
      <c r="AH99" s="100">
        <v>7</v>
      </c>
      <c r="AI99" s="100">
        <v>29458.799999999996</v>
      </c>
      <c r="AJ99" s="100">
        <v>8</v>
      </c>
      <c r="AK99" s="100">
        <v>33667.199999999997</v>
      </c>
      <c r="AL99" s="100">
        <v>8</v>
      </c>
      <c r="AM99" s="100">
        <v>33667.199999999997</v>
      </c>
      <c r="AN99" s="100">
        <v>4</v>
      </c>
      <c r="AO99" s="100">
        <v>16833.599999999999</v>
      </c>
      <c r="AP99" s="100">
        <v>6</v>
      </c>
      <c r="AQ99" s="100">
        <v>25250.399999999998</v>
      </c>
      <c r="AR99" s="100">
        <v>4</v>
      </c>
      <c r="AS99" s="100">
        <v>16833.599999999999</v>
      </c>
      <c r="AT99" s="100">
        <v>9</v>
      </c>
      <c r="AU99" s="100">
        <v>37875.599999999999</v>
      </c>
      <c r="AV99" s="100">
        <v>6</v>
      </c>
      <c r="AW99" s="100">
        <v>25250.399999999998</v>
      </c>
      <c r="AX99" s="100">
        <v>5</v>
      </c>
      <c r="AY99" s="100">
        <v>21042</v>
      </c>
      <c r="AZ99" s="100">
        <v>6</v>
      </c>
      <c r="BA99" s="100">
        <v>25250.399999999998</v>
      </c>
      <c r="BB99" s="100">
        <v>6</v>
      </c>
      <c r="BC99" s="100">
        <v>25250.399999999998</v>
      </c>
      <c r="BD99" s="100">
        <v>7</v>
      </c>
      <c r="BE99" s="100">
        <v>29458.799999999996</v>
      </c>
      <c r="BF99" s="100">
        <v>9</v>
      </c>
      <c r="BG99" s="100">
        <v>37875.599999999999</v>
      </c>
      <c r="BH99" s="100">
        <v>9</v>
      </c>
      <c r="BI99" s="100">
        <v>37875.599999999999</v>
      </c>
      <c r="BJ99" s="100">
        <v>7</v>
      </c>
      <c r="BK99" s="100">
        <v>29458.799999999996</v>
      </c>
      <c r="BL99" s="100">
        <v>8</v>
      </c>
      <c r="BM99" s="100">
        <v>33667.199999999997</v>
      </c>
      <c r="BN99" s="100">
        <v>6</v>
      </c>
      <c r="BO99" s="100">
        <v>25250.399999999998</v>
      </c>
      <c r="BP99" s="100">
        <v>7</v>
      </c>
      <c r="BQ99" s="100">
        <v>29458.799999999996</v>
      </c>
      <c r="BR99" s="100">
        <v>7</v>
      </c>
      <c r="BS99" s="100">
        <v>29458.799999999996</v>
      </c>
      <c r="BT99" s="100">
        <v>6</v>
      </c>
      <c r="BU99" s="100">
        <v>25250.399999999998</v>
      </c>
      <c r="BV99" s="100">
        <v>6</v>
      </c>
      <c r="BW99" s="100">
        <v>25250.399999999998</v>
      </c>
      <c r="BX99" s="100">
        <v>6</v>
      </c>
      <c r="BY99" s="100">
        <v>25250.399999999998</v>
      </c>
      <c r="BZ99" s="100">
        <v>8</v>
      </c>
      <c r="CA99" s="100">
        <v>33667.199999999997</v>
      </c>
      <c r="CB99" s="100">
        <v>7</v>
      </c>
      <c r="CC99" s="100">
        <v>29458.799999999996</v>
      </c>
      <c r="CD99" s="100">
        <v>6</v>
      </c>
      <c r="CE99" s="100">
        <v>25250.399999999998</v>
      </c>
      <c r="CF99" s="100">
        <v>7</v>
      </c>
      <c r="CG99" s="100">
        <v>29458.799999999996</v>
      </c>
      <c r="CH99" s="100">
        <v>7</v>
      </c>
      <c r="CI99" s="100">
        <v>29458.799999999996</v>
      </c>
      <c r="CJ99" s="100">
        <v>8</v>
      </c>
      <c r="CK99" s="100">
        <v>33667.199999999997</v>
      </c>
      <c r="CL99" s="100">
        <v>6</v>
      </c>
      <c r="CM99" s="100">
        <v>25250.399999999998</v>
      </c>
      <c r="CN99" s="100">
        <v>7</v>
      </c>
      <c r="CO99" s="100">
        <v>29458.799999999996</v>
      </c>
      <c r="CP99" s="100">
        <v>4</v>
      </c>
      <c r="CQ99" s="100">
        <v>16833.599999999999</v>
      </c>
      <c r="CR99" s="100">
        <v>6</v>
      </c>
      <c r="CS99" s="100">
        <v>25250.399999999998</v>
      </c>
      <c r="CT99" s="100">
        <v>9</v>
      </c>
      <c r="CU99" s="100">
        <v>37875.599999999999</v>
      </c>
    </row>
    <row r="100" spans="2:99">
      <c r="C100" s="99" t="s">
        <v>266</v>
      </c>
      <c r="D100" s="100">
        <v>6</v>
      </c>
      <c r="E100" s="100">
        <v>1944</v>
      </c>
      <c r="F100" s="100">
        <v>10</v>
      </c>
      <c r="G100" s="100">
        <v>3240</v>
      </c>
      <c r="H100" s="100">
        <v>9.9478260869565212</v>
      </c>
      <c r="I100" s="100">
        <v>3223.0956521739126</v>
      </c>
      <c r="J100" s="100">
        <v>9.8122065727699539</v>
      </c>
      <c r="K100" s="100">
        <v>3179.1549295774653</v>
      </c>
      <c r="L100" s="100">
        <v>9.0909090909090917</v>
      </c>
      <c r="M100" s="100">
        <v>2945.4545454545455</v>
      </c>
      <c r="N100" s="100">
        <v>9.3596059113300498</v>
      </c>
      <c r="O100" s="100">
        <v>3032.5123152709361</v>
      </c>
      <c r="P100" s="100">
        <v>6</v>
      </c>
      <c r="Q100" s="100">
        <v>1944</v>
      </c>
      <c r="R100" s="100">
        <v>8</v>
      </c>
      <c r="S100" s="100">
        <v>2592</v>
      </c>
      <c r="T100" s="100">
        <v>9</v>
      </c>
      <c r="U100" s="100">
        <v>2916</v>
      </c>
      <c r="V100" s="100">
        <v>7</v>
      </c>
      <c r="W100" s="100">
        <v>2268</v>
      </c>
      <c r="X100" s="100">
        <v>7</v>
      </c>
      <c r="Y100" s="100">
        <v>2268</v>
      </c>
      <c r="Z100" s="100">
        <v>6</v>
      </c>
      <c r="AA100" s="100">
        <v>1944</v>
      </c>
      <c r="AB100" s="100">
        <v>9</v>
      </c>
      <c r="AC100" s="100">
        <v>2916</v>
      </c>
      <c r="AD100" s="100">
        <v>10</v>
      </c>
      <c r="AE100" s="100">
        <v>3240</v>
      </c>
      <c r="AF100" s="100">
        <v>8</v>
      </c>
      <c r="AG100" s="100">
        <v>2592</v>
      </c>
      <c r="AH100" s="100">
        <v>10</v>
      </c>
      <c r="AI100" s="100">
        <v>3240</v>
      </c>
      <c r="AJ100" s="100">
        <v>11</v>
      </c>
      <c r="AK100" s="100">
        <v>3564</v>
      </c>
      <c r="AL100" s="100">
        <v>10</v>
      </c>
      <c r="AM100" s="100">
        <v>3240</v>
      </c>
      <c r="AN100" s="100">
        <v>5</v>
      </c>
      <c r="AO100" s="100">
        <v>1620</v>
      </c>
      <c r="AP100" s="100">
        <v>8</v>
      </c>
      <c r="AQ100" s="100">
        <v>2592</v>
      </c>
      <c r="AR100" s="100">
        <v>6</v>
      </c>
      <c r="AS100" s="100">
        <v>1944</v>
      </c>
      <c r="AT100" s="100">
        <v>10</v>
      </c>
      <c r="AU100" s="100">
        <v>3240</v>
      </c>
      <c r="AV100" s="100">
        <v>9</v>
      </c>
      <c r="AW100" s="100">
        <v>2916</v>
      </c>
      <c r="AX100" s="100">
        <v>6</v>
      </c>
      <c r="AY100" s="100">
        <v>1944</v>
      </c>
      <c r="AZ100" s="100">
        <v>9</v>
      </c>
      <c r="BA100" s="100">
        <v>2916</v>
      </c>
      <c r="BB100" s="100">
        <v>9</v>
      </c>
      <c r="BC100" s="100">
        <v>2916</v>
      </c>
      <c r="BD100" s="100">
        <v>9</v>
      </c>
      <c r="BE100" s="100">
        <v>2916</v>
      </c>
      <c r="BF100" s="100">
        <v>11</v>
      </c>
      <c r="BG100" s="100">
        <v>3564</v>
      </c>
      <c r="BH100" s="100">
        <v>11</v>
      </c>
      <c r="BI100" s="100">
        <v>3564</v>
      </c>
      <c r="BJ100" s="100">
        <v>11</v>
      </c>
      <c r="BK100" s="100">
        <v>3564</v>
      </c>
      <c r="BL100" s="100">
        <v>10</v>
      </c>
      <c r="BM100" s="100">
        <v>3240</v>
      </c>
      <c r="BN100" s="100">
        <v>10</v>
      </c>
      <c r="BO100" s="100">
        <v>3240</v>
      </c>
      <c r="BP100" s="100">
        <v>10</v>
      </c>
      <c r="BQ100" s="100">
        <v>3240</v>
      </c>
      <c r="BR100" s="100">
        <v>9</v>
      </c>
      <c r="BS100" s="100">
        <v>2916</v>
      </c>
      <c r="BT100" s="100">
        <v>8</v>
      </c>
      <c r="BU100" s="100">
        <v>2592</v>
      </c>
      <c r="BV100" s="100">
        <v>8</v>
      </c>
      <c r="BW100" s="100">
        <v>2592</v>
      </c>
      <c r="BX100" s="100">
        <v>7</v>
      </c>
      <c r="BY100" s="100">
        <v>2268</v>
      </c>
      <c r="BZ100" s="100">
        <v>12</v>
      </c>
      <c r="CA100" s="100">
        <v>3888</v>
      </c>
      <c r="CB100" s="100">
        <v>11</v>
      </c>
      <c r="CC100" s="100">
        <v>3564</v>
      </c>
      <c r="CD100" s="100">
        <v>8</v>
      </c>
      <c r="CE100" s="100">
        <v>2592</v>
      </c>
      <c r="CF100" s="100">
        <v>10</v>
      </c>
      <c r="CG100" s="100">
        <v>3240</v>
      </c>
      <c r="CH100" s="100">
        <v>9</v>
      </c>
      <c r="CI100" s="100">
        <v>2916</v>
      </c>
      <c r="CJ100" s="100">
        <v>10</v>
      </c>
      <c r="CK100" s="100">
        <v>3240</v>
      </c>
      <c r="CL100" s="100">
        <v>7</v>
      </c>
      <c r="CM100" s="100">
        <v>2268</v>
      </c>
      <c r="CN100" s="100">
        <v>8</v>
      </c>
      <c r="CO100" s="100">
        <v>2592</v>
      </c>
      <c r="CP100" s="100">
        <v>6</v>
      </c>
      <c r="CQ100" s="100">
        <v>1944</v>
      </c>
      <c r="CR100" s="100">
        <v>7</v>
      </c>
      <c r="CS100" s="100">
        <v>2268</v>
      </c>
      <c r="CT100" s="100">
        <v>12</v>
      </c>
      <c r="CU100" s="100">
        <v>3888</v>
      </c>
    </row>
    <row r="101" spans="2:99">
      <c r="C101" s="99" t="s">
        <v>267</v>
      </c>
      <c r="D101" s="100">
        <v>5</v>
      </c>
      <c r="E101" s="100">
        <v>3618</v>
      </c>
      <c r="F101" s="100">
        <v>9</v>
      </c>
      <c r="G101" s="100">
        <v>6512.4000000000005</v>
      </c>
      <c r="H101" s="100">
        <v>9.0434782608695645</v>
      </c>
      <c r="I101" s="100">
        <v>6543.8608695652174</v>
      </c>
      <c r="J101" s="100">
        <v>8.92018779342723</v>
      </c>
      <c r="K101" s="100">
        <v>6454.6478873239439</v>
      </c>
      <c r="L101" s="100">
        <v>9.0909090909090917</v>
      </c>
      <c r="M101" s="100">
        <v>6578.1818181818189</v>
      </c>
      <c r="N101" s="100">
        <v>8.4236453201970445</v>
      </c>
      <c r="O101" s="100">
        <v>6095.3497536945815</v>
      </c>
      <c r="P101" s="100">
        <v>6</v>
      </c>
      <c r="Q101" s="100">
        <v>4341.6000000000004</v>
      </c>
      <c r="R101" s="100">
        <v>8</v>
      </c>
      <c r="S101" s="100">
        <v>5788.8</v>
      </c>
      <c r="T101" s="100">
        <v>8</v>
      </c>
      <c r="U101" s="100">
        <v>5788.8</v>
      </c>
      <c r="V101" s="100">
        <v>7</v>
      </c>
      <c r="W101" s="100">
        <v>5065.2</v>
      </c>
      <c r="X101" s="100">
        <v>8</v>
      </c>
      <c r="Y101" s="100">
        <v>5788.8</v>
      </c>
      <c r="Z101" s="100">
        <v>5</v>
      </c>
      <c r="AA101" s="100">
        <v>3618</v>
      </c>
      <c r="AB101" s="100">
        <v>10</v>
      </c>
      <c r="AC101" s="100">
        <v>7236</v>
      </c>
      <c r="AD101" s="100">
        <v>9</v>
      </c>
      <c r="AE101" s="100">
        <v>6512.4000000000005</v>
      </c>
      <c r="AF101" s="100">
        <v>9</v>
      </c>
      <c r="AG101" s="100">
        <v>6512.4000000000005</v>
      </c>
      <c r="AH101" s="100">
        <v>9</v>
      </c>
      <c r="AI101" s="100">
        <v>6512.4000000000005</v>
      </c>
      <c r="AJ101" s="100">
        <v>10</v>
      </c>
      <c r="AK101" s="100">
        <v>7236</v>
      </c>
      <c r="AL101" s="100">
        <v>11</v>
      </c>
      <c r="AM101" s="100">
        <v>7959.6</v>
      </c>
      <c r="AN101" s="100">
        <v>6</v>
      </c>
      <c r="AO101" s="100">
        <v>4341.6000000000004</v>
      </c>
      <c r="AP101" s="100">
        <v>8</v>
      </c>
      <c r="AQ101" s="100">
        <v>5788.8</v>
      </c>
      <c r="AR101" s="100">
        <v>6</v>
      </c>
      <c r="AS101" s="100">
        <v>4341.6000000000004</v>
      </c>
      <c r="AT101" s="100">
        <v>12</v>
      </c>
      <c r="AU101" s="100">
        <v>8683.2000000000007</v>
      </c>
      <c r="AV101" s="100">
        <v>8</v>
      </c>
      <c r="AW101" s="100">
        <v>5788.8</v>
      </c>
      <c r="AX101" s="100">
        <v>6</v>
      </c>
      <c r="AY101" s="100">
        <v>4341.6000000000004</v>
      </c>
      <c r="AZ101" s="100">
        <v>7</v>
      </c>
      <c r="BA101" s="100">
        <v>5065.2</v>
      </c>
      <c r="BB101" s="100">
        <v>8</v>
      </c>
      <c r="BC101" s="100">
        <v>5788.8</v>
      </c>
      <c r="BD101" s="100">
        <v>9</v>
      </c>
      <c r="BE101" s="100">
        <v>6512.4000000000005</v>
      </c>
      <c r="BF101" s="100">
        <v>10</v>
      </c>
      <c r="BG101" s="100">
        <v>7236</v>
      </c>
      <c r="BH101" s="100">
        <v>11</v>
      </c>
      <c r="BI101" s="100">
        <v>7959.6</v>
      </c>
      <c r="BJ101" s="100">
        <v>10</v>
      </c>
      <c r="BK101" s="100">
        <v>7236</v>
      </c>
      <c r="BL101" s="100">
        <v>9</v>
      </c>
      <c r="BM101" s="100">
        <v>6512.4000000000005</v>
      </c>
      <c r="BN101" s="100">
        <v>9</v>
      </c>
      <c r="BO101" s="100">
        <v>6512.4000000000005</v>
      </c>
      <c r="BP101" s="100">
        <v>9</v>
      </c>
      <c r="BQ101" s="100">
        <v>6512.4000000000005</v>
      </c>
      <c r="BR101" s="100">
        <v>8</v>
      </c>
      <c r="BS101" s="100">
        <v>5788.8</v>
      </c>
      <c r="BT101" s="100">
        <v>7</v>
      </c>
      <c r="BU101" s="100">
        <v>5065.2</v>
      </c>
      <c r="BV101" s="100">
        <v>8</v>
      </c>
      <c r="BW101" s="100">
        <v>5788.8</v>
      </c>
      <c r="BX101" s="100">
        <v>7</v>
      </c>
      <c r="BY101" s="100">
        <v>5065.2</v>
      </c>
      <c r="BZ101" s="100">
        <v>12</v>
      </c>
      <c r="CA101" s="100">
        <v>8683.2000000000007</v>
      </c>
      <c r="CB101" s="100">
        <v>10</v>
      </c>
      <c r="CC101" s="100">
        <v>7236</v>
      </c>
      <c r="CD101" s="100">
        <v>8</v>
      </c>
      <c r="CE101" s="100">
        <v>5788.8</v>
      </c>
      <c r="CF101" s="100">
        <v>10</v>
      </c>
      <c r="CG101" s="100">
        <v>7236</v>
      </c>
      <c r="CH101" s="100">
        <v>9</v>
      </c>
      <c r="CI101" s="100">
        <v>6512.4000000000005</v>
      </c>
      <c r="CJ101" s="100">
        <v>8</v>
      </c>
      <c r="CK101" s="100">
        <v>5788.8</v>
      </c>
      <c r="CL101" s="100">
        <v>8</v>
      </c>
      <c r="CM101" s="100">
        <v>5788.8</v>
      </c>
      <c r="CN101" s="100">
        <v>9</v>
      </c>
      <c r="CO101" s="100">
        <v>6512.4000000000005</v>
      </c>
      <c r="CP101" s="100">
        <v>6</v>
      </c>
      <c r="CQ101" s="100">
        <v>4341.6000000000004</v>
      </c>
      <c r="CR101" s="100">
        <v>7</v>
      </c>
      <c r="CS101" s="100">
        <v>5065.2</v>
      </c>
      <c r="CT101" s="100">
        <v>11</v>
      </c>
      <c r="CU101" s="100">
        <v>7959.6</v>
      </c>
    </row>
    <row r="102" spans="2:99">
      <c r="C102" s="99" t="s">
        <v>268</v>
      </c>
      <c r="D102" s="100">
        <v>6</v>
      </c>
      <c r="E102" s="100">
        <v>3189.6000000000004</v>
      </c>
      <c r="F102" s="100">
        <v>9</v>
      </c>
      <c r="G102" s="100">
        <v>4784.4000000000005</v>
      </c>
      <c r="H102" s="100">
        <v>9.0434782608695645</v>
      </c>
      <c r="I102" s="100">
        <v>4807.5130434782604</v>
      </c>
      <c r="J102" s="100">
        <v>10.704225352112676</v>
      </c>
      <c r="K102" s="100">
        <v>5690.3661971830988</v>
      </c>
      <c r="L102" s="100">
        <v>9.0909090909090917</v>
      </c>
      <c r="M102" s="100">
        <v>4832.727272727273</v>
      </c>
      <c r="N102" s="100">
        <v>9.3596059113300498</v>
      </c>
      <c r="O102" s="100">
        <v>4975.5665024630543</v>
      </c>
      <c r="P102" s="100">
        <v>6</v>
      </c>
      <c r="Q102" s="100">
        <v>3189.6000000000004</v>
      </c>
      <c r="R102" s="100">
        <v>8</v>
      </c>
      <c r="S102" s="100">
        <v>4252.8</v>
      </c>
      <c r="T102" s="100">
        <v>8</v>
      </c>
      <c r="U102" s="100">
        <v>4252.8</v>
      </c>
      <c r="V102" s="100">
        <v>7</v>
      </c>
      <c r="W102" s="100">
        <v>3721.2000000000003</v>
      </c>
      <c r="X102" s="100">
        <v>9</v>
      </c>
      <c r="Y102" s="100">
        <v>4784.4000000000005</v>
      </c>
      <c r="Z102" s="100">
        <v>6</v>
      </c>
      <c r="AA102" s="100">
        <v>3189.6000000000004</v>
      </c>
      <c r="AB102" s="100">
        <v>10</v>
      </c>
      <c r="AC102" s="100">
        <v>5316</v>
      </c>
      <c r="AD102" s="100">
        <v>10</v>
      </c>
      <c r="AE102" s="100">
        <v>5316</v>
      </c>
      <c r="AF102" s="100">
        <v>8</v>
      </c>
      <c r="AG102" s="100">
        <v>4252.8</v>
      </c>
      <c r="AH102" s="100">
        <v>9</v>
      </c>
      <c r="AI102" s="100">
        <v>4784.4000000000005</v>
      </c>
      <c r="AJ102" s="100">
        <v>11</v>
      </c>
      <c r="AK102" s="100">
        <v>5847.6</v>
      </c>
      <c r="AL102" s="100">
        <v>10</v>
      </c>
      <c r="AM102" s="100">
        <v>5316</v>
      </c>
      <c r="AN102" s="100">
        <v>6</v>
      </c>
      <c r="AO102" s="100">
        <v>3189.6000000000004</v>
      </c>
      <c r="AP102" s="100">
        <v>8</v>
      </c>
      <c r="AQ102" s="100">
        <v>4252.8</v>
      </c>
      <c r="AR102" s="100">
        <v>6</v>
      </c>
      <c r="AS102" s="100">
        <v>3189.6000000000004</v>
      </c>
      <c r="AT102" s="100">
        <v>12</v>
      </c>
      <c r="AU102" s="100">
        <v>6379.2000000000007</v>
      </c>
      <c r="AV102" s="100">
        <v>9</v>
      </c>
      <c r="AW102" s="100">
        <v>4784.4000000000005</v>
      </c>
      <c r="AX102" s="100">
        <v>6</v>
      </c>
      <c r="AY102" s="100">
        <v>3189.6000000000004</v>
      </c>
      <c r="AZ102" s="100">
        <v>9</v>
      </c>
      <c r="BA102" s="100">
        <v>4784.4000000000005</v>
      </c>
      <c r="BB102" s="100">
        <v>8</v>
      </c>
      <c r="BC102" s="100">
        <v>4252.8</v>
      </c>
      <c r="BD102" s="100">
        <v>9</v>
      </c>
      <c r="BE102" s="100">
        <v>4784.4000000000005</v>
      </c>
      <c r="BF102" s="100">
        <v>11</v>
      </c>
      <c r="BG102" s="100">
        <v>5847.6</v>
      </c>
      <c r="BH102" s="100">
        <v>12</v>
      </c>
      <c r="BI102" s="100">
        <v>6379.2000000000007</v>
      </c>
      <c r="BJ102" s="100">
        <v>11</v>
      </c>
      <c r="BK102" s="100">
        <v>5847.6</v>
      </c>
      <c r="BL102" s="100">
        <v>10</v>
      </c>
      <c r="BM102" s="100">
        <v>5316</v>
      </c>
      <c r="BN102" s="100">
        <v>9</v>
      </c>
      <c r="BO102" s="100">
        <v>4784.4000000000005</v>
      </c>
      <c r="BP102" s="100">
        <v>10</v>
      </c>
      <c r="BQ102" s="100">
        <v>5316</v>
      </c>
      <c r="BR102" s="100">
        <v>8</v>
      </c>
      <c r="BS102" s="100">
        <v>4252.8</v>
      </c>
      <c r="BT102" s="100">
        <v>8</v>
      </c>
      <c r="BU102" s="100">
        <v>4252.8</v>
      </c>
      <c r="BV102" s="100">
        <v>7</v>
      </c>
      <c r="BW102" s="100">
        <v>3721.2000000000003</v>
      </c>
      <c r="BX102" s="100">
        <v>8</v>
      </c>
      <c r="BY102" s="100">
        <v>4252.8</v>
      </c>
      <c r="BZ102" s="100">
        <v>12</v>
      </c>
      <c r="CA102" s="100">
        <v>6379.2000000000007</v>
      </c>
      <c r="CB102" s="100">
        <v>11</v>
      </c>
      <c r="CC102" s="100">
        <v>5847.6</v>
      </c>
      <c r="CD102" s="100">
        <v>8</v>
      </c>
      <c r="CE102" s="100">
        <v>4252.8</v>
      </c>
      <c r="CF102" s="100">
        <v>11</v>
      </c>
      <c r="CG102" s="100">
        <v>5847.6</v>
      </c>
      <c r="CH102" s="100">
        <v>9</v>
      </c>
      <c r="CI102" s="100">
        <v>4784.4000000000005</v>
      </c>
      <c r="CJ102" s="100">
        <v>9</v>
      </c>
      <c r="CK102" s="100">
        <v>4784.4000000000005</v>
      </c>
      <c r="CL102" s="100">
        <v>7</v>
      </c>
      <c r="CM102" s="100">
        <v>3721.2000000000003</v>
      </c>
      <c r="CN102" s="100">
        <v>9</v>
      </c>
      <c r="CO102" s="100">
        <v>4784.4000000000005</v>
      </c>
      <c r="CP102" s="100">
        <v>6</v>
      </c>
      <c r="CQ102" s="100">
        <v>3189.6000000000004</v>
      </c>
      <c r="CR102" s="100">
        <v>6</v>
      </c>
      <c r="CS102" s="100">
        <v>3189.6000000000004</v>
      </c>
      <c r="CT102" s="100">
        <v>12</v>
      </c>
      <c r="CU102" s="100">
        <v>6379.2000000000007</v>
      </c>
    </row>
    <row r="103" spans="2:99">
      <c r="C103" s="99" t="s">
        <v>269</v>
      </c>
      <c r="D103" s="100">
        <v>6</v>
      </c>
      <c r="E103" s="100">
        <v>3535.2</v>
      </c>
      <c r="F103" s="100">
        <v>10</v>
      </c>
      <c r="G103" s="100">
        <v>5891.9999999999991</v>
      </c>
      <c r="H103" s="100">
        <v>9.0434782608695645</v>
      </c>
      <c r="I103" s="100">
        <v>5328.4173913043469</v>
      </c>
      <c r="J103" s="100">
        <v>9.8122065727699539</v>
      </c>
      <c r="K103" s="100">
        <v>5781.3521126760561</v>
      </c>
      <c r="L103" s="100">
        <v>10</v>
      </c>
      <c r="M103" s="100">
        <v>5891.9999999999991</v>
      </c>
      <c r="N103" s="100">
        <v>8.4236453201970445</v>
      </c>
      <c r="O103" s="100">
        <v>4963.2118226600978</v>
      </c>
      <c r="P103" s="100">
        <v>6</v>
      </c>
      <c r="Q103" s="100">
        <v>3535.2</v>
      </c>
      <c r="R103" s="100">
        <v>7</v>
      </c>
      <c r="S103" s="100">
        <v>4124.3999999999996</v>
      </c>
      <c r="T103" s="100">
        <v>9</v>
      </c>
      <c r="U103" s="100">
        <v>5302.7999999999993</v>
      </c>
      <c r="V103" s="100">
        <v>7</v>
      </c>
      <c r="W103" s="100">
        <v>4124.3999999999996</v>
      </c>
      <c r="X103" s="100">
        <v>8</v>
      </c>
      <c r="Y103" s="100">
        <v>4713.5999999999995</v>
      </c>
      <c r="Z103" s="100">
        <v>5</v>
      </c>
      <c r="AA103" s="100">
        <v>2945.9999999999995</v>
      </c>
      <c r="AB103" s="100">
        <v>9</v>
      </c>
      <c r="AC103" s="100">
        <v>5302.7999999999993</v>
      </c>
      <c r="AD103" s="100">
        <v>10</v>
      </c>
      <c r="AE103" s="100">
        <v>5891.9999999999991</v>
      </c>
      <c r="AF103" s="100">
        <v>9</v>
      </c>
      <c r="AG103" s="100">
        <v>5302.7999999999993</v>
      </c>
      <c r="AH103" s="100">
        <v>8</v>
      </c>
      <c r="AI103" s="100">
        <v>4713.5999999999995</v>
      </c>
      <c r="AJ103" s="100">
        <v>11</v>
      </c>
      <c r="AK103" s="100">
        <v>6481.1999999999989</v>
      </c>
      <c r="AL103" s="100">
        <v>11</v>
      </c>
      <c r="AM103" s="100">
        <v>6481.1999999999989</v>
      </c>
      <c r="AN103" s="100">
        <v>5</v>
      </c>
      <c r="AO103" s="100">
        <v>2945.9999999999995</v>
      </c>
      <c r="AP103" s="100">
        <v>8</v>
      </c>
      <c r="AQ103" s="100">
        <v>4713.5999999999995</v>
      </c>
      <c r="AR103" s="100">
        <v>6</v>
      </c>
      <c r="AS103" s="100">
        <v>3535.2</v>
      </c>
      <c r="AT103" s="100">
        <v>10</v>
      </c>
      <c r="AU103" s="100">
        <v>5891.9999999999991</v>
      </c>
      <c r="AV103" s="100">
        <v>9</v>
      </c>
      <c r="AW103" s="100">
        <v>5302.7999999999993</v>
      </c>
      <c r="AX103" s="100">
        <v>6</v>
      </c>
      <c r="AY103" s="100">
        <v>3535.2</v>
      </c>
      <c r="AZ103" s="100">
        <v>8</v>
      </c>
      <c r="BA103" s="100">
        <v>4713.5999999999995</v>
      </c>
      <c r="BB103" s="100">
        <v>8</v>
      </c>
      <c r="BC103" s="100">
        <v>4713.5999999999995</v>
      </c>
      <c r="BD103" s="100">
        <v>9</v>
      </c>
      <c r="BE103" s="100">
        <v>5302.7999999999993</v>
      </c>
      <c r="BF103" s="100">
        <v>11</v>
      </c>
      <c r="BG103" s="100">
        <v>6481.1999999999989</v>
      </c>
      <c r="BH103" s="100">
        <v>10</v>
      </c>
      <c r="BI103" s="100">
        <v>5891.9999999999991</v>
      </c>
      <c r="BJ103" s="100">
        <v>10</v>
      </c>
      <c r="BK103" s="100">
        <v>5891.9999999999991</v>
      </c>
      <c r="BL103" s="100">
        <v>9</v>
      </c>
      <c r="BM103" s="100">
        <v>5302.7999999999993</v>
      </c>
      <c r="BN103" s="100">
        <v>9</v>
      </c>
      <c r="BO103" s="100">
        <v>5302.7999999999993</v>
      </c>
      <c r="BP103" s="100">
        <v>10</v>
      </c>
      <c r="BQ103" s="100">
        <v>5891.9999999999991</v>
      </c>
      <c r="BR103" s="100">
        <v>8</v>
      </c>
      <c r="BS103" s="100">
        <v>4713.5999999999995</v>
      </c>
      <c r="BT103" s="100">
        <v>8</v>
      </c>
      <c r="BU103" s="100">
        <v>4713.5999999999995</v>
      </c>
      <c r="BV103" s="100">
        <v>7</v>
      </c>
      <c r="BW103" s="100">
        <v>4124.3999999999996</v>
      </c>
      <c r="BX103" s="100">
        <v>8</v>
      </c>
      <c r="BY103" s="100">
        <v>4713.5999999999995</v>
      </c>
      <c r="BZ103" s="100">
        <v>12</v>
      </c>
      <c r="CA103" s="100">
        <v>7070.4</v>
      </c>
      <c r="CB103" s="100">
        <v>11</v>
      </c>
      <c r="CC103" s="100">
        <v>6481.1999999999989</v>
      </c>
      <c r="CD103" s="100">
        <v>8</v>
      </c>
      <c r="CE103" s="100">
        <v>4713.5999999999995</v>
      </c>
      <c r="CF103" s="100">
        <v>9</v>
      </c>
      <c r="CG103" s="100">
        <v>5302.7999999999993</v>
      </c>
      <c r="CH103" s="100">
        <v>9</v>
      </c>
      <c r="CI103" s="100">
        <v>5302.7999999999993</v>
      </c>
      <c r="CJ103" s="100">
        <v>9</v>
      </c>
      <c r="CK103" s="100">
        <v>5302.7999999999993</v>
      </c>
      <c r="CL103" s="100">
        <v>7</v>
      </c>
      <c r="CM103" s="100">
        <v>4124.3999999999996</v>
      </c>
      <c r="CN103" s="100">
        <v>9</v>
      </c>
      <c r="CO103" s="100">
        <v>5302.7999999999993</v>
      </c>
      <c r="CP103" s="100">
        <v>6</v>
      </c>
      <c r="CQ103" s="100">
        <v>3535.2</v>
      </c>
      <c r="CR103" s="100">
        <v>8</v>
      </c>
      <c r="CS103" s="100">
        <v>4713.5999999999995</v>
      </c>
      <c r="CT103" s="100">
        <v>12</v>
      </c>
      <c r="CU103" s="100">
        <v>7070.4</v>
      </c>
    </row>
    <row r="104" spans="2:99">
      <c r="C104" s="99" t="s">
        <v>270</v>
      </c>
      <c r="D104" s="100">
        <v>6</v>
      </c>
      <c r="E104" s="100">
        <v>3794.3999999999996</v>
      </c>
      <c r="F104" s="100">
        <v>9</v>
      </c>
      <c r="G104" s="100">
        <v>5691.5999999999995</v>
      </c>
      <c r="H104" s="100">
        <v>9.0434782608695645</v>
      </c>
      <c r="I104" s="100">
        <v>5719.0956521739126</v>
      </c>
      <c r="J104" s="100">
        <v>9.8122065727699539</v>
      </c>
      <c r="K104" s="100">
        <v>6205.2394366197186</v>
      </c>
      <c r="L104" s="100">
        <v>10</v>
      </c>
      <c r="M104" s="100">
        <v>6324</v>
      </c>
      <c r="N104" s="100">
        <v>10.295566502463055</v>
      </c>
      <c r="O104" s="100">
        <v>6510.9162561576359</v>
      </c>
      <c r="P104" s="100">
        <v>5</v>
      </c>
      <c r="Q104" s="100">
        <v>3162</v>
      </c>
      <c r="R104" s="100">
        <v>8</v>
      </c>
      <c r="S104" s="100">
        <v>5059.2</v>
      </c>
      <c r="T104" s="100">
        <v>9</v>
      </c>
      <c r="U104" s="100">
        <v>5691.5999999999995</v>
      </c>
      <c r="V104" s="100">
        <v>7</v>
      </c>
      <c r="W104" s="100">
        <v>4426.8</v>
      </c>
      <c r="X104" s="100">
        <v>8</v>
      </c>
      <c r="Y104" s="100">
        <v>5059.2</v>
      </c>
      <c r="Z104" s="100">
        <v>6</v>
      </c>
      <c r="AA104" s="100">
        <v>3794.3999999999996</v>
      </c>
      <c r="AB104" s="100">
        <v>11</v>
      </c>
      <c r="AC104" s="100">
        <v>6956.4</v>
      </c>
      <c r="AD104" s="100">
        <v>9</v>
      </c>
      <c r="AE104" s="100">
        <v>5691.5999999999995</v>
      </c>
      <c r="AF104" s="100">
        <v>8</v>
      </c>
      <c r="AG104" s="100">
        <v>5059.2</v>
      </c>
      <c r="AH104" s="100">
        <v>9</v>
      </c>
      <c r="AI104" s="100">
        <v>5691.5999999999995</v>
      </c>
      <c r="AJ104" s="100">
        <v>11</v>
      </c>
      <c r="AK104" s="100">
        <v>6956.4</v>
      </c>
      <c r="AL104" s="100">
        <v>10</v>
      </c>
      <c r="AM104" s="100">
        <v>6324</v>
      </c>
      <c r="AN104" s="100">
        <v>6</v>
      </c>
      <c r="AO104" s="100">
        <v>3794.3999999999996</v>
      </c>
      <c r="AP104" s="100">
        <v>8</v>
      </c>
      <c r="AQ104" s="100">
        <v>5059.2</v>
      </c>
      <c r="AR104" s="100">
        <v>6</v>
      </c>
      <c r="AS104" s="100">
        <v>3794.3999999999996</v>
      </c>
      <c r="AT104" s="100">
        <v>11</v>
      </c>
      <c r="AU104" s="100">
        <v>6956.4</v>
      </c>
      <c r="AV104" s="100">
        <v>9</v>
      </c>
      <c r="AW104" s="100">
        <v>5691.5999999999995</v>
      </c>
      <c r="AX104" s="100">
        <v>6</v>
      </c>
      <c r="AY104" s="100">
        <v>3794.3999999999996</v>
      </c>
      <c r="AZ104" s="100">
        <v>7</v>
      </c>
      <c r="BA104" s="100">
        <v>4426.8</v>
      </c>
      <c r="BB104" s="100">
        <v>10</v>
      </c>
      <c r="BC104" s="100">
        <v>6324</v>
      </c>
      <c r="BD104" s="100">
        <v>9</v>
      </c>
      <c r="BE104" s="100">
        <v>5691.5999999999995</v>
      </c>
      <c r="BF104" s="100">
        <v>11</v>
      </c>
      <c r="BG104" s="100">
        <v>6956.4</v>
      </c>
      <c r="BH104" s="100">
        <v>11</v>
      </c>
      <c r="BI104" s="100">
        <v>6956.4</v>
      </c>
      <c r="BJ104" s="100">
        <v>10</v>
      </c>
      <c r="BK104" s="100">
        <v>6324</v>
      </c>
      <c r="BL104" s="100">
        <v>10</v>
      </c>
      <c r="BM104" s="100">
        <v>6324</v>
      </c>
      <c r="BN104" s="100">
        <v>9</v>
      </c>
      <c r="BO104" s="100">
        <v>5691.5999999999995</v>
      </c>
      <c r="BP104" s="100">
        <v>9</v>
      </c>
      <c r="BQ104" s="100">
        <v>5691.5999999999995</v>
      </c>
      <c r="BR104" s="100">
        <v>8</v>
      </c>
      <c r="BS104" s="100">
        <v>5059.2</v>
      </c>
      <c r="BT104" s="100">
        <v>9</v>
      </c>
      <c r="BU104" s="100">
        <v>5691.5999999999995</v>
      </c>
      <c r="BV104" s="100">
        <v>7</v>
      </c>
      <c r="BW104" s="100">
        <v>4426.8</v>
      </c>
      <c r="BX104" s="100">
        <v>7</v>
      </c>
      <c r="BY104" s="100">
        <v>4426.8</v>
      </c>
      <c r="BZ104" s="100">
        <v>12</v>
      </c>
      <c r="CA104" s="100">
        <v>7588.7999999999993</v>
      </c>
      <c r="CB104" s="100">
        <v>11</v>
      </c>
      <c r="CC104" s="100">
        <v>6956.4</v>
      </c>
      <c r="CD104" s="100">
        <v>8</v>
      </c>
      <c r="CE104" s="100">
        <v>5059.2</v>
      </c>
      <c r="CF104" s="100">
        <v>10</v>
      </c>
      <c r="CG104" s="100">
        <v>6324</v>
      </c>
      <c r="CH104" s="100">
        <v>9</v>
      </c>
      <c r="CI104" s="100">
        <v>5691.5999999999995</v>
      </c>
      <c r="CJ104" s="100">
        <v>9</v>
      </c>
      <c r="CK104" s="100">
        <v>5691.5999999999995</v>
      </c>
      <c r="CL104" s="100">
        <v>7</v>
      </c>
      <c r="CM104" s="100">
        <v>4426.8</v>
      </c>
      <c r="CN104" s="100">
        <v>9</v>
      </c>
      <c r="CO104" s="100">
        <v>5691.5999999999995</v>
      </c>
      <c r="CP104" s="100">
        <v>6</v>
      </c>
      <c r="CQ104" s="100">
        <v>3794.3999999999996</v>
      </c>
      <c r="CR104" s="100">
        <v>6</v>
      </c>
      <c r="CS104" s="100">
        <v>3794.3999999999996</v>
      </c>
      <c r="CT104" s="100">
        <v>12</v>
      </c>
      <c r="CU104" s="100">
        <v>7588.7999999999993</v>
      </c>
    </row>
    <row r="105" spans="2:99">
      <c r="C105" s="99" t="s">
        <v>271</v>
      </c>
      <c r="D105" s="100">
        <v>6</v>
      </c>
      <c r="E105" s="100">
        <v>3340.7999999999997</v>
      </c>
      <c r="F105" s="100">
        <v>10</v>
      </c>
      <c r="G105" s="100">
        <v>5568</v>
      </c>
      <c r="H105" s="100">
        <v>9.9478260869565212</v>
      </c>
      <c r="I105" s="100">
        <v>5538.949565217391</v>
      </c>
      <c r="J105" s="100">
        <v>9.8122065727699539</v>
      </c>
      <c r="K105" s="100">
        <v>5463.4366197183099</v>
      </c>
      <c r="L105" s="100">
        <v>9.0909090909090917</v>
      </c>
      <c r="M105" s="100">
        <v>5061.818181818182</v>
      </c>
      <c r="N105" s="100">
        <v>9.3596059113300498</v>
      </c>
      <c r="O105" s="100">
        <v>5211.4285714285716</v>
      </c>
      <c r="P105" s="100">
        <v>6</v>
      </c>
      <c r="Q105" s="100">
        <v>3340.7999999999997</v>
      </c>
      <c r="R105" s="100">
        <v>8</v>
      </c>
      <c r="S105" s="100">
        <v>4454.3999999999996</v>
      </c>
      <c r="T105" s="100">
        <v>9</v>
      </c>
      <c r="U105" s="100">
        <v>5011.2</v>
      </c>
      <c r="V105" s="100">
        <v>7</v>
      </c>
      <c r="W105" s="100">
        <v>3897.5999999999995</v>
      </c>
      <c r="X105" s="100">
        <v>9</v>
      </c>
      <c r="Y105" s="100">
        <v>5011.2</v>
      </c>
      <c r="Z105" s="100">
        <v>6</v>
      </c>
      <c r="AA105" s="100">
        <v>3340.7999999999997</v>
      </c>
      <c r="AB105" s="100">
        <v>9</v>
      </c>
      <c r="AC105" s="100">
        <v>5011.2</v>
      </c>
      <c r="AD105" s="100">
        <v>10</v>
      </c>
      <c r="AE105" s="100">
        <v>5568</v>
      </c>
      <c r="AF105" s="100">
        <v>8</v>
      </c>
      <c r="AG105" s="100">
        <v>4454.3999999999996</v>
      </c>
      <c r="AH105" s="100">
        <v>8</v>
      </c>
      <c r="AI105" s="100">
        <v>4454.3999999999996</v>
      </c>
      <c r="AJ105" s="100">
        <v>11</v>
      </c>
      <c r="AK105" s="100">
        <v>6124.7999999999993</v>
      </c>
      <c r="AL105" s="100">
        <v>10</v>
      </c>
      <c r="AM105" s="100">
        <v>5568</v>
      </c>
      <c r="AN105" s="100">
        <v>6</v>
      </c>
      <c r="AO105" s="100">
        <v>3340.7999999999997</v>
      </c>
      <c r="AP105" s="100">
        <v>8</v>
      </c>
      <c r="AQ105" s="100">
        <v>4454.3999999999996</v>
      </c>
      <c r="AR105" s="100">
        <v>6</v>
      </c>
      <c r="AS105" s="100">
        <v>3340.7999999999997</v>
      </c>
      <c r="AT105" s="100">
        <v>12</v>
      </c>
      <c r="AU105" s="100">
        <v>6681.5999999999995</v>
      </c>
      <c r="AV105" s="100">
        <v>9</v>
      </c>
      <c r="AW105" s="100">
        <v>5011.2</v>
      </c>
      <c r="AX105" s="100">
        <v>7</v>
      </c>
      <c r="AY105" s="100">
        <v>3897.5999999999995</v>
      </c>
      <c r="AZ105" s="100">
        <v>8</v>
      </c>
      <c r="BA105" s="100">
        <v>4454.3999999999996</v>
      </c>
      <c r="BB105" s="100">
        <v>8</v>
      </c>
      <c r="BC105" s="100">
        <v>4454.3999999999996</v>
      </c>
      <c r="BD105" s="100">
        <v>8</v>
      </c>
      <c r="BE105" s="100">
        <v>4454.3999999999996</v>
      </c>
      <c r="BF105" s="100">
        <v>10</v>
      </c>
      <c r="BG105" s="100">
        <v>5568</v>
      </c>
      <c r="BH105" s="100">
        <v>10</v>
      </c>
      <c r="BI105" s="100">
        <v>5568</v>
      </c>
      <c r="BJ105" s="100">
        <v>12</v>
      </c>
      <c r="BK105" s="100">
        <v>6681.5999999999995</v>
      </c>
      <c r="BL105" s="100">
        <v>9</v>
      </c>
      <c r="BM105" s="100">
        <v>5011.2</v>
      </c>
      <c r="BN105" s="100">
        <v>9</v>
      </c>
      <c r="BO105" s="100">
        <v>5011.2</v>
      </c>
      <c r="BP105" s="100">
        <v>10</v>
      </c>
      <c r="BQ105" s="100">
        <v>5568</v>
      </c>
      <c r="BR105" s="100">
        <v>8</v>
      </c>
      <c r="BS105" s="100">
        <v>4454.3999999999996</v>
      </c>
      <c r="BT105" s="100">
        <v>8</v>
      </c>
      <c r="BU105" s="100">
        <v>4454.3999999999996</v>
      </c>
      <c r="BV105" s="100">
        <v>7</v>
      </c>
      <c r="BW105" s="100">
        <v>3897.5999999999995</v>
      </c>
      <c r="BX105" s="100">
        <v>8</v>
      </c>
      <c r="BY105" s="100">
        <v>4454.3999999999996</v>
      </c>
      <c r="BZ105" s="100">
        <v>11</v>
      </c>
      <c r="CA105" s="100">
        <v>6124.7999999999993</v>
      </c>
      <c r="CB105" s="100">
        <v>11</v>
      </c>
      <c r="CC105" s="100">
        <v>6124.7999999999993</v>
      </c>
      <c r="CD105" s="100">
        <v>7</v>
      </c>
      <c r="CE105" s="100">
        <v>3897.5999999999995</v>
      </c>
      <c r="CF105" s="100">
        <v>10</v>
      </c>
      <c r="CG105" s="100">
        <v>5568</v>
      </c>
      <c r="CH105" s="100">
        <v>9</v>
      </c>
      <c r="CI105" s="100">
        <v>5011.2</v>
      </c>
      <c r="CJ105" s="100">
        <v>9</v>
      </c>
      <c r="CK105" s="100">
        <v>5011.2</v>
      </c>
      <c r="CL105" s="100">
        <v>8</v>
      </c>
      <c r="CM105" s="100">
        <v>4454.3999999999996</v>
      </c>
      <c r="CN105" s="100">
        <v>8</v>
      </c>
      <c r="CO105" s="100">
        <v>4454.3999999999996</v>
      </c>
      <c r="CP105" s="100">
        <v>6</v>
      </c>
      <c r="CQ105" s="100">
        <v>3340.7999999999997</v>
      </c>
      <c r="CR105" s="100">
        <v>8</v>
      </c>
      <c r="CS105" s="100">
        <v>4454.3999999999996</v>
      </c>
      <c r="CT105" s="100">
        <v>12</v>
      </c>
      <c r="CU105" s="100">
        <v>6681.5999999999995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1106.4050386533459</v>
      </c>
      <c r="E109" s="100">
        <f>SUM(L$6:L$19)+SUM(N$6:N$19)+SUM(P$6:P$19)+SUM(R$6:R$19)</f>
        <v>985.404954901971</v>
      </c>
      <c r="F109" s="100">
        <f>SUM(T$6:T$19)+SUM(V$6:V$19)+SUM(X$6:X$19)+SUM(Z$6:Z$19)</f>
        <v>1180.9357446020558</v>
      </c>
      <c r="G109" s="100">
        <f>SUM(AB$6:AB$19)+SUM(AD$6:AD$19)+SUM(AF$6:AF$19)+SUM(AH$6:AH$19)</f>
        <v>962.02047167253181</v>
      </c>
      <c r="H109" s="100">
        <f>SUM(AJ$6:AJ$19)+SUM(AL$6:AL$19)+SUM(AN$6:AN$19)+SUM(AP$6:AP$19)</f>
        <v>1211</v>
      </c>
      <c r="I109" s="100">
        <f>SUM(AR$6:AR$19)+SUM(AT$6:AT$19)+SUM(AV$6:AV$19)+SUM(AX$6:AX$19)</f>
        <v>1208.7458225385508</v>
      </c>
      <c r="J109" s="100">
        <f>SUM(AZ$6:AZ$19)+SUM(BB$6:BB$19)+SUM(BD$6:BD$19)+SUM(BF$6:BF$19)</f>
        <v>1134.3589413985542</v>
      </c>
      <c r="K109" s="100">
        <f>SUM(BH$6:BH$19)+SUM(BJ$6:BJ$19)+SUM(BL$6:BL$19)+SUM(BN$6:BN$19)</f>
        <v>1190.4975630976292</v>
      </c>
      <c r="L109" s="100">
        <f>SUM(BP$6:BP$19)+SUM(BR$6:BR$19)+SUM(BT$6:BT$19)+SUM(BV$6:BV$19)</f>
        <v>1159.0629588050865</v>
      </c>
      <c r="M109" s="100">
        <f>SUM(BX$6:BX$19)+SUM(BZ$6:BZ$19)+SUM(CB$6:CB$19)+SUM(CD$6:CD$19)</f>
        <v>1240.7089366685041</v>
      </c>
      <c r="N109" s="100">
        <f>SUM(CF$6:CF$19)+SUM(CH$6:CH$19)+SUM(CJ$6:CJ$19)+SUM(CL$6:CL$19)</f>
        <v>1317.3477400340221</v>
      </c>
      <c r="O109" s="100">
        <f>SUM(CN$6:CN$19)+SUM(CP$6:CP$19)+SUM(CR$6:CR$19)+SUM(CT$6:CT$19)</f>
        <v>1145.2213341882157</v>
      </c>
    </row>
    <row r="110" spans="2:99">
      <c r="C110" s="99" t="s">
        <v>127</v>
      </c>
      <c r="D110" s="100">
        <f>SUM(D$20:D$36)+SUM(F$20:F$36)+SUM(H$20:H$36)+SUM(J$20:J$36)</f>
        <v>1582.1711696669151</v>
      </c>
      <c r="E110" s="100">
        <f>SUM(L$20:L$36)+SUM(N$20:N$36)+SUM(P$20:P$36)+SUM(R$20:R$36)</f>
        <v>1537.4538434642086</v>
      </c>
      <c r="F110" s="100">
        <f>SUM(T$20:T$36)+SUM(V$20:V$36)+SUM(X$20:X$36)+SUM(Z$20:Z$36)</f>
        <v>1642.2978409844106</v>
      </c>
      <c r="G110" s="100">
        <f>SUM(AB$20:AB$36)+SUM(AD$20:AD$36)+SUM(AF$20:AF$36)+SUM(AH$20:AH$36)</f>
        <v>1215.3298362417524</v>
      </c>
      <c r="H110" s="100">
        <f>SUM(AJ$20:AJ$36)+SUM(AL$20:AL$36)+SUM(AN$20:AN$36)+SUM(AP$20:AP$36)</f>
        <v>1464</v>
      </c>
      <c r="I110" s="100">
        <f>SUM(AR$20:AR$36)+SUM(AT$20:AT$36)+SUM(AV$20:AV$36)+SUM(AX$20:AX$36)</f>
        <v>1397.6902400805975</v>
      </c>
      <c r="J110" s="100">
        <f>SUM(AZ$20:AZ$36)+SUM(BB$20:BB$36)+SUM(BD$20:BD$36)+SUM(BF$20:BF$36)</f>
        <v>1619.0687642560906</v>
      </c>
      <c r="K110" s="100">
        <f>SUM(BH$20:BH$36)+SUM(BJ$20:BJ$36)+SUM(BL$20:BL$36)+SUM(BN$20:BN$36)</f>
        <v>1462.5863007656076</v>
      </c>
      <c r="L110" s="100">
        <f>SUM(BP$20:BP$36)+SUM(BR$20:BR$36)+SUM(BT$20:BT$36)+SUM(BV$20:BV$36)</f>
        <v>1557.4663694762357</v>
      </c>
      <c r="M110" s="100">
        <f>SUM(BX$20:BX$36)+SUM(BZ$20:BZ$36)+SUM(CB$20:CB$36)+SUM(CD$20:CD$36)</f>
        <v>1555.508242816318</v>
      </c>
      <c r="N110" s="100">
        <f>SUM(CF$20:CF$36)+SUM(CH$20:CH$36)+SUM(CJ$20:CJ$36)+SUM(CL$20:CL$36)</f>
        <v>1408.9496355493054</v>
      </c>
      <c r="O110" s="100">
        <f>SUM(CN$20:CN$36)+SUM(CP$20:CP$36)+SUM(CR$20:CR$36)+SUM(CT$20:CT$36)</f>
        <v>1503.5280539020594</v>
      </c>
    </row>
    <row r="111" spans="2:99">
      <c r="C111" s="99" t="s">
        <v>128</v>
      </c>
      <c r="D111" s="100">
        <f>SUM(D$37:D$48)+SUM(F$37:F$48)+SUM(H$37:H$48)+SUM(J$37:J$48)</f>
        <v>684.0642020422606</v>
      </c>
      <c r="E111" s="100">
        <f>SUM(L$37:L$48)+SUM(N$37:N$48)+SUM(P$37:P$48)+SUM(R$37:R$48)</f>
        <v>679.17881491613161</v>
      </c>
      <c r="F111" s="100">
        <f>SUM(T$37:T$48)+SUM(V$37:V$48)+SUM(X$37:X$48)+SUM(Z$37:Z$48)</f>
        <v>647.35830853573702</v>
      </c>
      <c r="G111" s="100">
        <f>SUM(AB$37:AB$48)+SUM(AD$37:AD$48)+SUM(AF$37:AF$48)+SUM(AH$37:AH$48)</f>
        <v>478.74251082241381</v>
      </c>
      <c r="H111" s="100">
        <f>SUM(AJ$37:AJ$48)+SUM(AL$37:AL$48)+SUM(AN$37:AN$48)+SUM(AP$37:AP$48)</f>
        <v>677</v>
      </c>
      <c r="I111" s="100">
        <f>SUM(AR$37:AR$48)+SUM(AT$37:AT$48)+SUM(AV$37:AV$48)+SUM(AX$37:AX$48)</f>
        <v>795.64749352313049</v>
      </c>
      <c r="J111" s="100">
        <f>SUM(AZ$37:AZ$48)+SUM(BB$37:BB$48)+SUM(BD$37:BD$48)+SUM(BF$37:BF$48)</f>
        <v>568.31806209876174</v>
      </c>
      <c r="K111" s="100">
        <f>SUM(BH$37:BH$48)+SUM(BJ$37:BJ$48)+SUM(BL$37:BL$48)+SUM(BN$37:BN$48)</f>
        <v>673.40101519073119</v>
      </c>
      <c r="L111" s="100">
        <f>SUM(BP$37:BP$48)+SUM(BR$37:BR$48)+SUM(BT$37:BT$48)+SUM(BV$37:BV$48)</f>
        <v>574.9348532093411</v>
      </c>
      <c r="M111" s="100">
        <f>SUM(BX$37:BX$48)+SUM(BZ$37:BZ$48)+SUM(CB$37:CB$48)+SUM(CD$37:CD$48)</f>
        <v>628.53308865488441</v>
      </c>
      <c r="N111" s="100">
        <f>SUM(CF$37:CF$48)+SUM(CH$37:CH$48)+SUM(CJ$37:CJ$48)+SUM(CL$37:CL$48)</f>
        <v>638.59961578854279</v>
      </c>
      <c r="O111" s="100">
        <f>SUM(CN$37:CN$48)+SUM(CP$37:CP$48)+SUM(CR$37:CR$48)+SUM(CT$37:CT$48)</f>
        <v>571.57440638006221</v>
      </c>
    </row>
    <row r="112" spans="2:99">
      <c r="C112" s="99" t="s">
        <v>129</v>
      </c>
      <c r="D112" s="100">
        <f>SUM(D$49:D$70)+SUM(F$49:F$70)+SUM(H$49:H$70)+SUM(J$49:J$70)</f>
        <v>1104.9520112965718</v>
      </c>
      <c r="E112" s="100">
        <f>SUM(L$49:L$70)+SUM(N$49:N$70)+SUM(P$49:P$70)+SUM(R$49:R$70)</f>
        <v>1165.9379228297948</v>
      </c>
      <c r="F112" s="100">
        <f>SUM(T$49:T$70)+SUM(V$49:V$70)+SUM(X$49:X$70)+SUM(Z$49:Z$70)</f>
        <v>1025.4479469762809</v>
      </c>
      <c r="G112" s="100">
        <f>SUM(AB$49:AB$70)+SUM(AD$49:AD$70)+SUM(AF$49:AF$70)+SUM(AH$49:AH$70)</f>
        <v>914.07623202978152</v>
      </c>
      <c r="H112" s="100">
        <f>SUM(AJ$49:AJ$70)+SUM(AL$49:AL$70)+SUM(AN$49:AN$70)+SUM(AP$49:AP$70)</f>
        <v>957</v>
      </c>
      <c r="I112" s="100">
        <f>SUM(AR$49:AR$70)+SUM(AT$49:AT$70)+SUM(AV$49:AV$70)+SUM(AX$49:AX$70)</f>
        <v>1007.9562849562058</v>
      </c>
      <c r="J112" s="100">
        <f>SUM(AZ$49:AZ$70)+SUM(BB$49:BB$70)+SUM(BD$49:BD$70)+SUM(BF$49:BF$70)</f>
        <v>1153.5100097844715</v>
      </c>
      <c r="K112" s="100">
        <f>SUM(BH$49:BH$70)+SUM(BJ$49:BJ$70)+SUM(BL$49:BL$70)+SUM(BN$49:BN$70)</f>
        <v>1058.3390256051225</v>
      </c>
      <c r="L112" s="100">
        <f>SUM(BP$49:BP$70)+SUM(BR$49:BR$70)+SUM(BT$49:BT$70)+SUM(BV$49:BV$70)</f>
        <v>1121.9676913881242</v>
      </c>
      <c r="M112" s="100">
        <f>SUM(BX$49:BX$70)+SUM(BZ$49:BZ$70)+SUM(CB$49:CB$70)+SUM(CD$49:CD$70)</f>
        <v>903.68160473908142</v>
      </c>
      <c r="N112" s="100">
        <f>SUM(CF$49:CF$70)+SUM(CH$49:CH$70)+SUM(CJ$49:CJ$70)+SUM(CL$49:CL$70)</f>
        <v>1134.1428497266145</v>
      </c>
      <c r="O112" s="100">
        <f>SUM(CN$49:CN$70)+SUM(CP$49:CP$70)+SUM(CR$49:CR$70)+SUM(CT$49:CT$70)</f>
        <v>1035.5001101887535</v>
      </c>
    </row>
    <row r="113" spans="2:15">
      <c r="C113" s="99" t="s">
        <v>130</v>
      </c>
      <c r="D113" s="100">
        <f>SUM(D$71:D$86)+SUM(F$71:F$86)+SUM(H$71:H$86)+SUM(J$71:J$86)</f>
        <v>473</v>
      </c>
      <c r="E113" s="100">
        <f>SUM(L$71:L$86)+SUM(N$71:N$86)+SUM(P$71:P$86)+SUM(R$71:R$86)</f>
        <v>456</v>
      </c>
      <c r="F113" s="100">
        <f>SUM(T$71:T$86)+SUM(V$71:V$86)+SUM(X$71:X$86)+SUM(Z$71:Z$86)</f>
        <v>455</v>
      </c>
      <c r="G113" s="100">
        <f>SUM(AB$71:AB$86)+SUM(AD$71:AD$86)+SUM(AF$71:AF$86)+SUM(AH$71:AH$86)</f>
        <v>478</v>
      </c>
      <c r="H113" s="100">
        <f>SUM(AJ$71:AJ$86)+SUM(AL$71:AL$86)+SUM(AN$71:AN$86)+SUM(AP$71:AP$86)</f>
        <v>402</v>
      </c>
      <c r="I113" s="100">
        <f>SUM(AR$71:AR$86)+SUM(AT$71:AT$86)+SUM(AV$71:AV$86)+SUM(AX$71:AX$86)</f>
        <v>434</v>
      </c>
      <c r="J113" s="100">
        <f>SUM(AZ$71:AZ$86)+SUM(BB$71:BB$86)+SUM(BD$71:BD$86)+SUM(BF$71:BF$86)</f>
        <v>494</v>
      </c>
      <c r="K113" s="100">
        <f>SUM(BH$71:BH$86)+SUM(BJ$71:BJ$86)+SUM(BL$71:BL$86)+SUM(BN$71:BN$86)</f>
        <v>605</v>
      </c>
      <c r="L113" s="100">
        <f>SUM(BP$71:BP$86)+SUM(BR$71:BR$86)+SUM(BT$71:BT$86)+SUM(BV$71:BV$86)</f>
        <v>521</v>
      </c>
      <c r="M113" s="100">
        <f>SUM(BX$71:BX$86)+SUM(BZ$71:BZ$86)+SUM(CB$71:CB$86)+SUM(CD$71:CD$86)</f>
        <v>465</v>
      </c>
      <c r="N113" s="100">
        <f>SUM(CF$71:CF$86)+SUM(CH$71:CH$86)+SUM(CJ$71:CJ$86)+SUM(CL$71:CL$86)</f>
        <v>507</v>
      </c>
      <c r="O113" s="100">
        <f>SUM(CN$71:CN$86)+SUM(CP$71:CP$86)+SUM(CR$71:CR$86)+SUM(CT$71:CT$86)</f>
        <v>518</v>
      </c>
    </row>
    <row r="114" spans="2:15">
      <c r="C114" s="99" t="s">
        <v>131</v>
      </c>
      <c r="D114" s="100">
        <f>SUM(D$87:D$94)+SUM(F$87:F$94)+SUM(H$87:H$94)+SUM(J$87:J$94)</f>
        <v>297.53035313329252</v>
      </c>
      <c r="E114" s="100">
        <f>SUM(L$87:L$94)+SUM(N$87:N$94)+SUM(P$87:P$94)+SUM(R$87:R$94)</f>
        <v>234.19077474249889</v>
      </c>
      <c r="F114" s="100">
        <f>SUM(T$87:T$94)+SUM(V$87:V$94)+SUM(X$87:X$94)+SUM(Z$87:Z$94)</f>
        <v>265</v>
      </c>
      <c r="G114" s="100">
        <f>SUM(AB$87:AB$94)+SUM(AD$87:AD$94)+SUM(AF$87:AF$94)+SUM(AH$87:AH$94)</f>
        <v>276</v>
      </c>
      <c r="H114" s="100">
        <f>SUM(AJ$87:AJ$94)+SUM(AL$87:AL$94)+SUM(AN$87:AN$94)+SUM(AP$87:AP$94)</f>
        <v>267</v>
      </c>
      <c r="I114" s="100">
        <f>SUM(AR$87:AR$94)+SUM(AT$87:AT$94)+SUM(AV$87:AV$94)+SUM(AX$87:AX$94)</f>
        <v>304</v>
      </c>
      <c r="J114" s="100">
        <f>SUM(AZ$87:AZ$94)+SUM(BB$87:BB$94)+SUM(BD$87:BD$94)+SUM(BF$87:BF$94)</f>
        <v>318</v>
      </c>
      <c r="K114" s="100">
        <f>SUM(BH$87:BH$94)+SUM(BJ$87:BJ$94)+SUM(BL$87:BL$94)+SUM(BN$87:BN$94)</f>
        <v>292</v>
      </c>
      <c r="L114" s="100">
        <f>SUM(BP$87:BP$94)+SUM(BR$87:BR$94)+SUM(BT$87:BT$94)+SUM(BV$87:BV$94)</f>
        <v>273</v>
      </c>
      <c r="M114" s="100">
        <f>SUM(BX$87:BX$94)+SUM(BZ$87:BZ$94)+SUM(CB$87:CB$94)+SUM(CD$87:CD$94)</f>
        <v>334</v>
      </c>
      <c r="N114" s="100">
        <f>SUM(CF$87:CF$94)+SUM(CH$87:CH$94)+SUM(CJ$87:CJ$94)+SUM(CL$87:CL$94)</f>
        <v>263</v>
      </c>
      <c r="O114" s="100">
        <f>SUM(CN$87:CN$94)+SUM(CP$87:CP$94)+SUM(CR$87:CR$94)+SUM(CT$87:CT$94)</f>
        <v>268</v>
      </c>
    </row>
    <row r="115" spans="2:15">
      <c r="C115" s="99" t="s">
        <v>132</v>
      </c>
      <c r="D115" s="100">
        <f>SUM(D$95:D$105)+SUM(F$95:F$105)+SUM(H$95:H$105)+SUM(J$95:J$105)</f>
        <v>370.58215962441318</v>
      </c>
      <c r="E115" s="100">
        <f>SUM(L$95:L$105)+SUM(N$95:N$105)+SUM(P$95:P$105)+SUM(R$95:R$105)</f>
        <v>348.26556202418271</v>
      </c>
      <c r="F115" s="100">
        <f>SUM(T$95:T$105)+SUM(V$95:V$105)+SUM(X$95:X$105)+SUM(Z$95:Z$105)</f>
        <v>319</v>
      </c>
      <c r="G115" s="100">
        <f>SUM(AB$95:AB$105)+SUM(AD$95:AD$105)+SUM(AF$95:AF$105)+SUM(AH$95:AH$105)</f>
        <v>394</v>
      </c>
      <c r="H115" s="100">
        <f>SUM(AJ$95:AJ$105)+SUM(AL$95:AL$105)+SUM(AN$95:AN$105)+SUM(AP$95:AP$105)</f>
        <v>373</v>
      </c>
      <c r="I115" s="100">
        <f>SUM(AR$95:AR$105)+SUM(AT$95:AT$105)+SUM(AV$95:AV$105)+SUM(AX$95:AX$105)</f>
        <v>346</v>
      </c>
      <c r="J115" s="100">
        <f>SUM(AZ$95:AZ$105)+SUM(BB$95:BB$105)+SUM(BD$95:BD$105)+SUM(BF$95:BF$105)</f>
        <v>388</v>
      </c>
      <c r="K115" s="100">
        <f>SUM(BH$95:BH$105)+SUM(BJ$95:BJ$105)+SUM(BL$95:BL$105)+SUM(BN$95:BN$105)</f>
        <v>433</v>
      </c>
      <c r="L115" s="100">
        <f>SUM(BP$95:BP$105)+SUM(BR$95:BR$105)+SUM(BT$95:BT$105)+SUM(BV$95:BV$105)</f>
        <v>361</v>
      </c>
      <c r="M115" s="100">
        <f>SUM(BX$95:BX$105)+SUM(BZ$95:BZ$105)+SUM(CB$95:CB$105)+SUM(CD$95:CD$105)</f>
        <v>405</v>
      </c>
      <c r="N115" s="100">
        <f>SUM(CF$95:CF$105)+SUM(CH$95:CH$105)+SUM(CJ$95:CJ$105)+SUM(CL$95:CL$105)</f>
        <v>384</v>
      </c>
      <c r="O115" s="100">
        <f>SUM(CN$95:CN$105)+SUM(CP$95:CP$105)+SUM(CR$95:CR$105)+SUM(CT$95:CT$105)</f>
        <v>364</v>
      </c>
    </row>
    <row r="116" spans="2:15">
      <c r="C116" s="99" t="s">
        <v>278</v>
      </c>
      <c r="D116" s="100">
        <f t="shared" ref="D116:O116" si="0">SUM(D$109:D$115)</f>
        <v>5618.704934416799</v>
      </c>
      <c r="E116" s="100">
        <f t="shared" si="0"/>
        <v>5406.4318728787885</v>
      </c>
      <c r="F116" s="100">
        <f t="shared" si="0"/>
        <v>5535.0398410984844</v>
      </c>
      <c r="G116" s="100">
        <f t="shared" si="0"/>
        <v>4718.1690507664798</v>
      </c>
      <c r="H116" s="100">
        <f t="shared" si="0"/>
        <v>5351</v>
      </c>
      <c r="I116" s="100">
        <f t="shared" si="0"/>
        <v>5494.0398410984844</v>
      </c>
      <c r="J116" s="100">
        <f t="shared" si="0"/>
        <v>5675.2557775378782</v>
      </c>
      <c r="K116" s="100">
        <f t="shared" si="0"/>
        <v>5714.8239046590907</v>
      </c>
      <c r="L116" s="100">
        <f t="shared" si="0"/>
        <v>5568.4318728787875</v>
      </c>
      <c r="M116" s="100">
        <f t="shared" si="0"/>
        <v>5532.4318728787875</v>
      </c>
      <c r="N116" s="100">
        <f t="shared" si="0"/>
        <v>5653.0398410984844</v>
      </c>
      <c r="O116" s="100">
        <f t="shared" si="0"/>
        <v>5405.8239046590907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D109*pricing!D6*2000</f>
        <v>3761777.131421376</v>
      </c>
      <c r="E120" s="100">
        <f>E109*pricing!E6*2000</f>
        <v>3350376.8466667011</v>
      </c>
      <c r="F120" s="100">
        <f>F109*pricing!F6*2000</f>
        <v>4015181.5316469898</v>
      </c>
      <c r="G120" s="100">
        <f>G109*pricing!G6*2000</f>
        <v>3270869.6036866079</v>
      </c>
      <c r="H120" s="100">
        <f>H109*pricing!H6*2000</f>
        <v>4117399.9999999995</v>
      </c>
      <c r="I120" s="100">
        <f>I109*pricing!I6*2000</f>
        <v>4109735.7966310726</v>
      </c>
      <c r="J120" s="100">
        <f>J109*pricing!J6*2000</f>
        <v>3856820.4007550841</v>
      </c>
      <c r="K120" s="100">
        <f>K109*pricing!K6*2000</f>
        <v>4047691.714531939</v>
      </c>
      <c r="L120" s="100">
        <f>L109*pricing!L6*2000</f>
        <v>3940814.0599372941</v>
      </c>
      <c r="M120" s="100">
        <f>M109*pricing!M6*2000</f>
        <v>4218410.3846729137</v>
      </c>
      <c r="N120" s="100">
        <f>N109*pricing!N6*2000</f>
        <v>4478982.3161156746</v>
      </c>
      <c r="O120" s="100">
        <f>O109*pricing!O6*2000</f>
        <v>3893752.5362399332</v>
      </c>
    </row>
    <row r="121" spans="2:15">
      <c r="C121" s="99" t="s">
        <v>127</v>
      </c>
      <c r="D121" s="100">
        <f>D110*pricing!D7*2000</f>
        <v>6328684.6786676608</v>
      </c>
      <c r="E121" s="100">
        <f>E110*pricing!E7*2000</f>
        <v>6149815.3738568341</v>
      </c>
      <c r="F121" s="100">
        <f>F110*pricing!F7*2000</f>
        <v>6569191.3639376424</v>
      </c>
      <c r="G121" s="100">
        <f>G110*pricing!G7*2000</f>
        <v>4861319.3449670095</v>
      </c>
      <c r="H121" s="100">
        <f>H110*pricing!H7*2000</f>
        <v>5856000</v>
      </c>
      <c r="I121" s="100">
        <f>I110*pricing!I7*2000</f>
        <v>5590760.9603223903</v>
      </c>
      <c r="J121" s="100">
        <f>J110*pricing!J7*2000</f>
        <v>6476275.0570243625</v>
      </c>
      <c r="K121" s="100">
        <f>K110*pricing!K7*2000</f>
        <v>5850345.20306243</v>
      </c>
      <c r="L121" s="100">
        <f>L110*pricing!L7*2000</f>
        <v>6229865.4779049428</v>
      </c>
      <c r="M121" s="100">
        <f>M110*pricing!M7*2000</f>
        <v>6222032.9712652722</v>
      </c>
      <c r="N121" s="100">
        <f>N110*pricing!N7*2000</f>
        <v>5635798.5421972219</v>
      </c>
      <c r="O121" s="100">
        <f>O110*pricing!O7*2000</f>
        <v>6014112.2156082373</v>
      </c>
    </row>
    <row r="122" spans="2:15">
      <c r="C122" s="99" t="s">
        <v>128</v>
      </c>
      <c r="D122" s="100">
        <f>D111*pricing!D8*2000</f>
        <v>3078288.9091901723</v>
      </c>
      <c r="E122" s="100">
        <f>E111*pricing!E8*2000</f>
        <v>3056304.6671225922</v>
      </c>
      <c r="F122" s="100">
        <f>F111*pricing!F8*2000</f>
        <v>2913112.3884108164</v>
      </c>
      <c r="G122" s="100">
        <f>G111*pricing!G8*2000</f>
        <v>2154341.2987008626</v>
      </c>
      <c r="H122" s="100">
        <f>H111*pricing!H8*2000</f>
        <v>3046500</v>
      </c>
      <c r="I122" s="100">
        <f>I111*pricing!I8*2000</f>
        <v>3580413.7208540873</v>
      </c>
      <c r="J122" s="100">
        <f>J111*pricing!J8*2000</f>
        <v>2557431.2794444277</v>
      </c>
      <c r="K122" s="100">
        <f>K111*pricing!K8*2000</f>
        <v>3030304.5683582905</v>
      </c>
      <c r="L122" s="100">
        <f>L111*pricing!L8*2000</f>
        <v>2587206.8394420347</v>
      </c>
      <c r="M122" s="100">
        <f>M111*pricing!M8*2000</f>
        <v>2828398.89894698</v>
      </c>
      <c r="N122" s="100">
        <f>N111*pricing!N8*2000</f>
        <v>2873698.2710484425</v>
      </c>
      <c r="O122" s="100">
        <f>O111*pricing!O8*2000</f>
        <v>2572084.8287102799</v>
      </c>
    </row>
    <row r="123" spans="2:15">
      <c r="C123" s="99" t="s">
        <v>129</v>
      </c>
      <c r="D123" s="100">
        <f>D112*pricing!D9*2000</f>
        <v>4972284.0508345729</v>
      </c>
      <c r="E123" s="100">
        <f>E112*pricing!E9*2000</f>
        <v>5246720.6527340766</v>
      </c>
      <c r="F123" s="100">
        <f>F112*pricing!F9*2000</f>
        <v>4614515.7613932639</v>
      </c>
      <c r="G123" s="100">
        <f>G112*pricing!G9*2000</f>
        <v>4113343.0441340171</v>
      </c>
      <c r="H123" s="100">
        <f>H112*pricing!H9*2000</f>
        <v>4306500</v>
      </c>
      <c r="I123" s="100">
        <f>I112*pricing!I9*2000</f>
        <v>4535803.2823029263</v>
      </c>
      <c r="J123" s="100">
        <f>J112*pricing!J9*2000</f>
        <v>5190795.0440301215</v>
      </c>
      <c r="K123" s="100">
        <f>K112*pricing!K9*2000</f>
        <v>4762525.615223051</v>
      </c>
      <c r="L123" s="100">
        <f>L112*pricing!L9*2000</f>
        <v>5048854.6112465588</v>
      </c>
      <c r="M123" s="100">
        <f>M112*pricing!M9*2000</f>
        <v>4066567.2213258664</v>
      </c>
      <c r="N123" s="100">
        <f>N112*pricing!N9*2000</f>
        <v>5103642.8237697659</v>
      </c>
      <c r="O123" s="100">
        <f>O112*pricing!O9*2000</f>
        <v>4659750.4958493905</v>
      </c>
    </row>
    <row r="124" spans="2:15">
      <c r="C124" s="99" t="s">
        <v>130</v>
      </c>
      <c r="D124" s="100">
        <f>D113*pricing!D10*2000</f>
        <v>2365000</v>
      </c>
      <c r="E124" s="100">
        <f>E113*pricing!E10*2000</f>
        <v>2280000</v>
      </c>
      <c r="F124" s="100">
        <f>F113*pricing!F10*2000</f>
        <v>2275000</v>
      </c>
      <c r="G124" s="100">
        <f>G113*pricing!G10*2000</f>
        <v>2390000</v>
      </c>
      <c r="H124" s="100">
        <f>H113*pricing!H10*2000</f>
        <v>2010000</v>
      </c>
      <c r="I124" s="100">
        <f>I113*pricing!I10*2000</f>
        <v>2170000</v>
      </c>
      <c r="J124" s="100">
        <f>J113*pricing!J10*2000</f>
        <v>2470000</v>
      </c>
      <c r="K124" s="100">
        <f>K113*pricing!K10*2000</f>
        <v>3025000</v>
      </c>
      <c r="L124" s="100">
        <f>L113*pricing!L10*2000</f>
        <v>2605000</v>
      </c>
      <c r="M124" s="100">
        <f>M113*pricing!M10*2000</f>
        <v>2325000</v>
      </c>
      <c r="N124" s="100">
        <f>N113*pricing!N10*2000</f>
        <v>2535000</v>
      </c>
      <c r="O124" s="100">
        <f>O113*pricing!O10*2000</f>
        <v>2590000</v>
      </c>
    </row>
    <row r="125" spans="2:15">
      <c r="C125" s="99" t="s">
        <v>131</v>
      </c>
      <c r="D125" s="100">
        <f>D114*pricing!D11*2000</f>
        <v>1547157.8362931211</v>
      </c>
      <c r="E125" s="100">
        <f>E114*pricing!E11*2000</f>
        <v>1217792.0286609943</v>
      </c>
      <c r="F125" s="100">
        <f>F114*pricing!F11*2000</f>
        <v>1378000</v>
      </c>
      <c r="G125" s="100">
        <f>G114*pricing!G11*2000</f>
        <v>1435200</v>
      </c>
      <c r="H125" s="100">
        <f>H114*pricing!H11*2000</f>
        <v>1388400</v>
      </c>
      <c r="I125" s="100">
        <f>I114*pricing!I11*2000</f>
        <v>1580800</v>
      </c>
      <c r="J125" s="100">
        <f>J114*pricing!J11*2000</f>
        <v>1653600.0000000002</v>
      </c>
      <c r="K125" s="100">
        <f>K114*pricing!K11*2000</f>
        <v>1518400</v>
      </c>
      <c r="L125" s="100">
        <f>L114*pricing!L11*2000</f>
        <v>1419600.0000000002</v>
      </c>
      <c r="M125" s="100">
        <f>M114*pricing!M11*2000</f>
        <v>1736800</v>
      </c>
      <c r="N125" s="100">
        <f>N114*pricing!N11*2000</f>
        <v>1367600.0000000002</v>
      </c>
      <c r="O125" s="100">
        <f>O114*pricing!O11*2000</f>
        <v>1393600.0000000002</v>
      </c>
    </row>
    <row r="126" spans="2:15">
      <c r="C126" s="99" t="s">
        <v>132</v>
      </c>
      <c r="D126" s="100">
        <f>D115*pricing!D12*2000</f>
        <v>2001143.6619718312</v>
      </c>
      <c r="E126" s="100">
        <f>E115*pricing!E12*2000</f>
        <v>1880634.0349305868</v>
      </c>
      <c r="F126" s="100">
        <f>F115*pricing!F12*2000</f>
        <v>1722600.0000000002</v>
      </c>
      <c r="G126" s="100">
        <f>G115*pricing!G12*2000</f>
        <v>2127600.0000000005</v>
      </c>
      <c r="H126" s="100">
        <f>H115*pricing!H12*2000</f>
        <v>2014200</v>
      </c>
      <c r="I126" s="100">
        <f>I115*pricing!I12*2000</f>
        <v>1868400</v>
      </c>
      <c r="J126" s="100">
        <f>J115*pricing!J12*2000</f>
        <v>2095200.0000000002</v>
      </c>
      <c r="K126" s="100">
        <f>K115*pricing!K12*2000</f>
        <v>2338200.0000000005</v>
      </c>
      <c r="L126" s="100">
        <f>L115*pricing!L12*2000</f>
        <v>1949400</v>
      </c>
      <c r="M126" s="100">
        <f>M115*pricing!M12*2000</f>
        <v>2187000</v>
      </c>
      <c r="N126" s="100">
        <f>N115*pricing!N12*2000</f>
        <v>2073600.0000000005</v>
      </c>
      <c r="O126" s="100">
        <f>O115*pricing!O12*2000</f>
        <v>1965600.0000000002</v>
      </c>
    </row>
    <row r="127" spans="2:15">
      <c r="C127" s="99" t="s">
        <v>278</v>
      </c>
      <c r="D127" s="100">
        <f t="shared" ref="D127:O127" si="1">SUM(D$120:D$126)</f>
        <v>24054336.268378731</v>
      </c>
      <c r="E127" s="100">
        <f t="shared" si="1"/>
        <v>23181643.603971783</v>
      </c>
      <c r="F127" s="100">
        <f t="shared" si="1"/>
        <v>23487601.045388713</v>
      </c>
      <c r="G127" s="100">
        <f t="shared" si="1"/>
        <v>20352673.291488498</v>
      </c>
      <c r="H127" s="100">
        <f t="shared" si="1"/>
        <v>22739000</v>
      </c>
      <c r="I127" s="100">
        <f t="shared" si="1"/>
        <v>23435913.760110475</v>
      </c>
      <c r="J127" s="100">
        <f t="shared" si="1"/>
        <v>24300121.781253997</v>
      </c>
      <c r="K127" s="100">
        <f t="shared" si="1"/>
        <v>24572467.101175711</v>
      </c>
      <c r="L127" s="100">
        <f t="shared" si="1"/>
        <v>23780740.98853083</v>
      </c>
      <c r="M127" s="100">
        <f t="shared" si="1"/>
        <v>23584209.47621103</v>
      </c>
      <c r="N127" s="100">
        <f t="shared" si="1"/>
        <v>24068321.953131106</v>
      </c>
      <c r="O127" s="100">
        <f t="shared" si="1"/>
        <v>23088900.076407842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555944.74295281444</v>
      </c>
      <c r="E131" s="106">
        <f>SUM(M$6:M$19)+SUM(O$6:O$19)+SUM(Q$6:Q$19)+SUM(S$6:S$19)</f>
        <v>494708.06524990441</v>
      </c>
      <c r="F131" s="106">
        <f>SUM(U$6:U$19)+SUM(W$6:W$19)+SUM(Y$6:Y$19)+SUM(AA$6:AA$19)</f>
        <v>594840.05171371251</v>
      </c>
      <c r="G131" s="106">
        <f>SUM(AC$6:AC$19)+SUM(AE$6:AE$19)+SUM(AG$6:AG$19)+SUM(AI$6:AI$19)</f>
        <v>484806.79825157719</v>
      </c>
      <c r="H131" s="106">
        <f>SUM(AK$6:AK$19)+SUM(AM$6:AM$19)+SUM(AO$6:AO$19)+SUM(AQ$6:AQ$19)</f>
        <v>608454</v>
      </c>
      <c r="I131" s="106">
        <f>SUM(AS$6:AS$19)+SUM(AU$6:AU$19)+SUM(AW$6:AW$19)+SUM(AY$6:AY$19)</f>
        <v>608654.75835292018</v>
      </c>
      <c r="J131" s="106">
        <f>SUM(BA$6:BA$19)+SUM(BC$6:BC$19)+SUM(BE$6:BE$19)+SUM(BG$6:BG$19)</f>
        <v>572594.49796801514</v>
      </c>
      <c r="K131" s="106">
        <f>SUM(BI$6:BI$19)+SUM(BK$6:BK$19)+SUM(BM$6:BM$19)+SUM(BO$6:BO$19)</f>
        <v>598622.6192829567</v>
      </c>
      <c r="L131" s="106">
        <f>SUM(BQ$6:BQ$19)+SUM(BS$6:BS$19)+SUM(BU$6:BU$19)+SUM(BW$6:BW$19)</f>
        <v>579599.06471905101</v>
      </c>
      <c r="M131" s="106">
        <f>SUM(BY$6:BY$19)+SUM(CA$6:CA$19)+SUM(CC$6:CC$19)+SUM(CE$6:CE$19)</f>
        <v>624191.37749751541</v>
      </c>
      <c r="N131" s="106">
        <f>SUM(CG$6:CG$19)+SUM(CI$6:CI$19)+SUM(CK$6:CK$19)+SUM(CM$6:CM$19)</f>
        <v>660484.47417405457</v>
      </c>
      <c r="O131" s="106">
        <f>SUM(CO$6:CO$19)+SUM(CQ$6:CQ$19)+SUM(CS$6:CS$19)+SUM(CU$6:CU$19)</f>
        <v>576248.12488617538</v>
      </c>
    </row>
    <row r="132" spans="2:15">
      <c r="C132" s="105" t="s">
        <v>127</v>
      </c>
      <c r="D132" s="106">
        <f>SUM(E$20:E$36)+SUM(G$20:G$36)+SUM(I$20:I$36)+SUM(K$20:K$36)</f>
        <v>674709.08676433936</v>
      </c>
      <c r="E132" s="106">
        <f>SUM(M$20:M$36)+SUM(O$20:O$36)+SUM(Q$20:Q$36)+SUM(S$20:S$36)</f>
        <v>650025.84723569965</v>
      </c>
      <c r="F132" s="106">
        <f>SUM(U$20:U$36)+SUM(W$20:W$36)+SUM(Y$20:Y$36)+SUM(AA$20:AA$36)</f>
        <v>695038.32465114666</v>
      </c>
      <c r="G132" s="106">
        <f>SUM(AC$20:AC$36)+SUM(AE$20:AE$36)+SUM(AG$20:AG$36)+SUM(AI$20:AI$36)</f>
        <v>517764.34549889521</v>
      </c>
      <c r="H132" s="106">
        <f>SUM(AK$20:AK$36)+SUM(AM$20:AM$36)+SUM(AO$20:AO$36)+SUM(AQ$20:AQ$36)</f>
        <v>625224</v>
      </c>
      <c r="I132" s="106">
        <f>SUM(AS$20:AS$36)+SUM(AU$20:AU$36)+SUM(AW$20:AW$36)+SUM(AY$20:AY$36)</f>
        <v>595611.82754919434</v>
      </c>
      <c r="J132" s="106">
        <f>SUM(BA$20:BA$36)+SUM(BC$20:BC$36)+SUM(BE$20:BE$36)+SUM(BG$20:BG$36)</f>
        <v>687479.14403356006</v>
      </c>
      <c r="K132" s="106">
        <f>SUM(BI$20:BI$36)+SUM(BK$20:BK$36)+SUM(BM$20:BM$36)+SUM(BO$20:BO$36)</f>
        <v>623786.95927703811</v>
      </c>
      <c r="L132" s="106">
        <f>SUM(BQ$20:BQ$36)+SUM(BS$20:BS$36)+SUM(BU$20:BU$36)+SUM(BW$20:BW$36)</f>
        <v>654254.01832411042</v>
      </c>
      <c r="M132" s="106">
        <f>SUM(BY$20:BY$36)+SUM(CA$20:CA$36)+SUM(CC$20:CC$36)+SUM(CE$20:CE$36)</f>
        <v>658301.1331170724</v>
      </c>
      <c r="N132" s="106">
        <f>SUM(CG$20:CG$36)+SUM(CI$20:CI$36)+SUM(CK$20:CK$36)+SUM(CM$20:CM$36)</f>
        <v>598805.84940749826</v>
      </c>
      <c r="O132" s="106">
        <f>SUM(CO$20:CO$36)+SUM(CQ$20:CQ$36)+SUM(CS$20:CS$36)+SUM(CU$20:CU$36)</f>
        <v>645786.99353780539</v>
      </c>
    </row>
    <row r="133" spans="2:15">
      <c r="C133" s="105" t="s">
        <v>128</v>
      </c>
      <c r="D133" s="106">
        <f>SUM(E$37:E$48)+SUM(G$37:G$48)+SUM(I$37:I$48)+SUM(K$37:K$48)</f>
        <v>716762.73767181742</v>
      </c>
      <c r="E133" s="106">
        <f>SUM(M$37:M$48)+SUM(O$37:O$48)+SUM(Q$37:Q$48)+SUM(S$37:S$48)</f>
        <v>711354.61169157666</v>
      </c>
      <c r="F133" s="106">
        <f>SUM(U$37:U$48)+SUM(W$37:W$48)+SUM(Y$37:Y$48)+SUM(AA$37:AA$48)</f>
        <v>677961.56679437018</v>
      </c>
      <c r="G133" s="106">
        <f>SUM(AC$37:AC$48)+SUM(AE$37:AE$48)+SUM(AG$37:AG$48)+SUM(AI$37:AI$48)</f>
        <v>501405.3252132273</v>
      </c>
      <c r="H133" s="106">
        <f>SUM(AK$37:AK$48)+SUM(AM$37:AM$48)+SUM(AO$37:AO$48)+SUM(AQ$37:AQ$48)</f>
        <v>709345.20000000007</v>
      </c>
      <c r="I133" s="106">
        <f>SUM(AS$37:AS$48)+SUM(AU$37:AU$48)+SUM(AW$37:AW$48)+SUM(AY$37:AY$48)</f>
        <v>833798.32477548055</v>
      </c>
      <c r="J133" s="106">
        <f>SUM(BA$37:BA$48)+SUM(BC$37:BC$48)+SUM(BE$37:BE$48)+SUM(BG$37:BG$48)</f>
        <v>595687.41467096889</v>
      </c>
      <c r="K133" s="106">
        <f>SUM(BI$37:BI$48)+SUM(BK$37:BK$48)+SUM(BM$37:BM$48)+SUM(BO$37:BO$48)</f>
        <v>706825.31957224128</v>
      </c>
      <c r="L133" s="106">
        <f>SUM(BQ$37:BQ$48)+SUM(BS$37:BS$48)+SUM(BU$37:BU$48)+SUM(BW$37:BW$48)</f>
        <v>601793.59499076405</v>
      </c>
      <c r="M133" s="106">
        <f>SUM(BY$37:BY$48)+SUM(CA$37:CA$48)+SUM(CC$37:CC$48)+SUM(CE$37:CE$48)</f>
        <v>660670.91967411118</v>
      </c>
      <c r="N133" s="106">
        <f>SUM(CG$37:CG$48)+SUM(CI$37:CI$48)+SUM(CK$37:CK$48)+SUM(CM$37:CM$48)</f>
        <v>669081.80991777545</v>
      </c>
      <c r="O133" s="106">
        <f>SUM(CO$37:CO$48)+SUM(CQ$37:CQ$48)+SUM(CS$37:CS$48)+SUM(CU$37:CU$48)</f>
        <v>599496.83794501261</v>
      </c>
    </row>
    <row r="134" spans="2:15">
      <c r="C134" s="105" t="s">
        <v>129</v>
      </c>
      <c r="D134" s="106">
        <f>SUM(E$49:E$70)+SUM(G$49:G$70)+SUM(I$49:I$70)+SUM(K$49:K$70)</f>
        <v>926490.50027524761</v>
      </c>
      <c r="E134" s="106">
        <f>SUM(M$49:M$70)+SUM(O$49:O$70)+SUM(Q$49:Q$70)+SUM(S$49:S$70)</f>
        <v>974610.75957267871</v>
      </c>
      <c r="F134" s="106">
        <f>SUM(U$49:U$70)+SUM(W$49:W$70)+SUM(Y$49:Y$70)+SUM(AA$49:AA$70)</f>
        <v>863947.31530617352</v>
      </c>
      <c r="G134" s="106">
        <f>SUM(AC$49:AC$70)+SUM(AE$49:AE$70)+SUM(AG$49:AG$70)+SUM(AI$49:AI$70)</f>
        <v>786249.2726719057</v>
      </c>
      <c r="H134" s="106">
        <f>SUM(AK$49:AK$70)+SUM(AM$49:AM$70)+SUM(AO$49:AO$70)+SUM(AQ$49:AQ$70)</f>
        <v>805827.6</v>
      </c>
      <c r="I134" s="106">
        <f>SUM(AS$49:AS$70)+SUM(AU$49:AU$70)+SUM(AW$49:AW$70)+SUM(AY$49:AY$70)</f>
        <v>844868.12139551947</v>
      </c>
      <c r="J134" s="106">
        <f>SUM(BA$49:BA$70)+SUM(BC$49:BC$70)+SUM(BE$49:BE$70)+SUM(BG$49:BG$70)</f>
        <v>978170.72442160826</v>
      </c>
      <c r="K134" s="106">
        <f>SUM(BI$49:BI$70)+SUM(BK$49:BK$70)+SUM(BM$49:BM$70)+SUM(BO$49:BO$70)</f>
        <v>886519.42076836177</v>
      </c>
      <c r="L134" s="106">
        <f>SUM(BQ$49:BQ$70)+SUM(BS$49:BS$70)+SUM(BU$49:BU$70)+SUM(BW$49:BW$70)</f>
        <v>943840.17540691071</v>
      </c>
      <c r="M134" s="106">
        <f>SUM(BY$49:BY$70)+SUM(CA$49:CA$70)+SUM(CC$49:CC$70)+SUM(CE$49:CE$70)</f>
        <v>766425.38079038786</v>
      </c>
      <c r="N134" s="106">
        <f>SUM(CG$49:CG$70)+SUM(CI$49:CI$70)+SUM(CK$49:CK$70)+SUM(CM$49:CM$70)</f>
        <v>960401.02758344344</v>
      </c>
      <c r="O134" s="106">
        <f>SUM(CO$49:CO$70)+SUM(CQ$49:CQ$70)+SUM(CS$49:CS$70)+SUM(CU$49:CU$70)</f>
        <v>870811.25588084443</v>
      </c>
    </row>
    <row r="135" spans="2:15">
      <c r="C135" s="105" t="s">
        <v>130</v>
      </c>
      <c r="D135" s="106">
        <f>SUM(E$71:E$86)+SUM(G$71:G$86)+SUM(I$71:I$86)+SUM(K$71:K$86)</f>
        <v>263889.59999999998</v>
      </c>
      <c r="E135" s="106">
        <f>SUM(M$71:M$86)+SUM(O$71:O$86)+SUM(Q$71:Q$86)+SUM(S$71:S$86)</f>
        <v>254318.4</v>
      </c>
      <c r="F135" s="106">
        <f>SUM(U$71:U$86)+SUM(W$71:W$86)+SUM(Y$71:Y$86)+SUM(AA$71:AA$86)</f>
        <v>252644.40000000002</v>
      </c>
      <c r="G135" s="106">
        <f>SUM(AC$71:AC$86)+SUM(AE$71:AE$86)+SUM(AG$71:AG$86)+SUM(AI$71:AI$86)</f>
        <v>266532</v>
      </c>
      <c r="H135" s="106">
        <f>SUM(AK$71:AK$86)+SUM(AM$71:AM$86)+SUM(AO$71:AO$86)+SUM(AQ$71:AQ$86)</f>
        <v>224741.99999999997</v>
      </c>
      <c r="I135" s="106">
        <f>SUM(AS$71:AS$86)+SUM(AU$71:AU$86)+SUM(AW$71:AW$86)+SUM(AY$71:AY$86)</f>
        <v>242581.2</v>
      </c>
      <c r="J135" s="106">
        <f>SUM(BA$71:BA$86)+SUM(BC$71:BC$86)+SUM(BE$71:BE$86)+SUM(BG$71:BG$86)</f>
        <v>274988.40000000002</v>
      </c>
      <c r="K135" s="106">
        <f>SUM(BI$71:BI$86)+SUM(BK$71:BK$86)+SUM(BM$71:BM$86)+SUM(BO$71:BO$86)</f>
        <v>338367.60000000003</v>
      </c>
      <c r="L135" s="106">
        <f>SUM(BQ$71:BQ$86)+SUM(BS$71:BS$86)+SUM(BU$71:BU$86)+SUM(BW$71:BW$86)</f>
        <v>290508</v>
      </c>
      <c r="M135" s="106">
        <f>SUM(BY$71:BY$86)+SUM(CA$71:CA$86)+SUM(CC$71:CC$86)+SUM(CE$71:CE$86)</f>
        <v>259282.8</v>
      </c>
      <c r="N135" s="106">
        <f>SUM(CG$71:CG$86)+SUM(CI$71:CI$86)+SUM(CK$71:CK$86)+SUM(CM$71:CM$86)</f>
        <v>283424.40000000002</v>
      </c>
      <c r="O135" s="106">
        <f>SUM(CO$71:CO$86)+SUM(CQ$71:CQ$86)+SUM(CS$71:CS$86)+SUM(CU$71:CU$86)</f>
        <v>288591.59999999998</v>
      </c>
    </row>
    <row r="136" spans="2:15">
      <c r="C136" s="105" t="s">
        <v>131</v>
      </c>
      <c r="D136" s="106">
        <f>SUM(E$87:E$94)+SUM(G$87:G$94)+SUM(I$87:I$94)+SUM(K$87:K$94)</f>
        <v>298686.17156154319</v>
      </c>
      <c r="E136" s="106">
        <f>SUM(M$87:M$94)+SUM(O$87:O$94)+SUM(Q$87:Q$94)+SUM(S$87:S$94)</f>
        <v>234968.48652037617</v>
      </c>
      <c r="F136" s="106">
        <f>SUM(U$87:U$94)+SUM(W$87:W$94)+SUM(Y$87:Y$94)+SUM(AA$87:AA$94)</f>
        <v>265840.8</v>
      </c>
      <c r="G136" s="106">
        <f>SUM(AC$87:AC$94)+SUM(AE$87:AE$94)+SUM(AG$87:AG$94)+SUM(AI$87:AI$94)</f>
        <v>277363.20000000001</v>
      </c>
      <c r="H136" s="106">
        <f>SUM(AK$87:AK$94)+SUM(AM$87:AM$94)+SUM(AO$87:AO$94)+SUM(AQ$87:AQ$94)</f>
        <v>267468</v>
      </c>
      <c r="I136" s="106">
        <f>SUM(AS$87:AS$94)+SUM(AU$87:AU$94)+SUM(AW$87:AW$94)+SUM(AY$87:AY$94)</f>
        <v>304896</v>
      </c>
      <c r="J136" s="106">
        <f>SUM(BA$87:BA$94)+SUM(BC$87:BC$94)+SUM(BE$87:BE$94)+SUM(BG$87:BG$94)</f>
        <v>319976.40000000002</v>
      </c>
      <c r="K136" s="106">
        <f>SUM(BI$87:BI$94)+SUM(BK$87:BK$94)+SUM(BM$87:BM$94)+SUM(BO$87:BO$94)</f>
        <v>293578.79999999993</v>
      </c>
      <c r="L136" s="106">
        <f>SUM(BQ$87:BQ$94)+SUM(BS$87:BS$94)+SUM(BU$87:BU$94)+SUM(BW$87:BW$94)</f>
        <v>273888</v>
      </c>
      <c r="M136" s="106">
        <f>SUM(BY$87:BY$94)+SUM(CA$87:CA$94)+SUM(CC$87:CC$94)+SUM(CE$87:CE$94)</f>
        <v>335167.2</v>
      </c>
      <c r="N136" s="106">
        <f>SUM(CG$87:CG$94)+SUM(CI$87:CI$94)+SUM(CK$87:CK$94)+SUM(CM$87:CM$94)</f>
        <v>262898.39999999997</v>
      </c>
      <c r="O136" s="106">
        <f>SUM(CO$87:CO$94)+SUM(CQ$87:CQ$94)+SUM(CS$87:CS$94)+SUM(CU$87:CU$94)</f>
        <v>269679.59999999998</v>
      </c>
    </row>
    <row r="137" spans="2:15">
      <c r="C137" s="105" t="s">
        <v>132</v>
      </c>
      <c r="D137" s="106">
        <f>SUM(E$95:E$105)+SUM(G$95:G$105)+SUM(I$95:I$105)+SUM(K$95:K$105)</f>
        <v>288528.24382118799</v>
      </c>
      <c r="E137" s="106">
        <f>SUM(M$95:M$105)+SUM(O$95:O$105)+SUM(Q$95:Q$105)+SUM(S$95:S$105)</f>
        <v>275456.03940886696</v>
      </c>
      <c r="F137" s="106">
        <f>SUM(U$95:U$105)+SUM(W$95:W$105)+SUM(Y$95:Y$105)+SUM(AA$95:AA$105)</f>
        <v>249630.00000000003</v>
      </c>
      <c r="G137" s="106">
        <f>SUM(AC$95:AC$105)+SUM(AE$95:AE$105)+SUM(AG$95:AG$105)+SUM(AI$95:AI$105)</f>
        <v>308424</v>
      </c>
      <c r="H137" s="106">
        <f>SUM(AK$95:AK$105)+SUM(AM$95:AM$105)+SUM(AO$95:AO$105)+SUM(AQ$95:AQ$105)</f>
        <v>293310</v>
      </c>
      <c r="I137" s="106">
        <f>SUM(AS$95:AS$105)+SUM(AU$95:AU$105)+SUM(AW$95:AW$105)+SUM(AY$95:AY$105)</f>
        <v>271398</v>
      </c>
      <c r="J137" s="106">
        <f>SUM(BA$95:BA$105)+SUM(BC$95:BC$105)+SUM(BE$95:BE$105)+SUM(BG$95:BG$105)</f>
        <v>307322.39999999997</v>
      </c>
      <c r="K137" s="106">
        <f>SUM(BI$95:BI$105)+SUM(BK$95:BK$105)+SUM(BM$95:BM$105)+SUM(BO$95:BO$105)</f>
        <v>338856</v>
      </c>
      <c r="L137" s="106">
        <f>SUM(BQ$95:BQ$105)+SUM(BS$95:BS$105)+SUM(BU$95:BU$105)+SUM(BW$95:BW$105)</f>
        <v>286354.8</v>
      </c>
      <c r="M137" s="106">
        <f>SUM(BY$95:BY$105)+SUM(CA$95:CA$105)+SUM(CC$95:CC$105)+SUM(CE$95:CE$105)</f>
        <v>313250.40000000002</v>
      </c>
      <c r="N137" s="106">
        <f>SUM(CG$95:CG$105)+SUM(CI$95:CI$105)+SUM(CK$95:CK$105)+SUM(CM$95:CM$105)</f>
        <v>305467.2</v>
      </c>
      <c r="O137" s="106">
        <f>SUM(CO$95:CO$105)+SUM(CQ$95:CQ$105)+SUM(CS$95:CS$105)+SUM(CU$95:CU$105)</f>
        <v>288128.40000000002</v>
      </c>
    </row>
    <row r="138" spans="2:15">
      <c r="C138" s="105" t="s">
        <v>278</v>
      </c>
      <c r="D138" s="100">
        <f t="shared" ref="D138:O138" si="2">SUM(D$131:D$137)</f>
        <v>3725011.0830469499</v>
      </c>
      <c r="E138" s="100">
        <f t="shared" si="2"/>
        <v>3595442.2096791025</v>
      </c>
      <c r="F138" s="100">
        <f t="shared" si="2"/>
        <v>3599902.4584654029</v>
      </c>
      <c r="G138" s="100">
        <f t="shared" si="2"/>
        <v>3142544.9416356059</v>
      </c>
      <c r="H138" s="100">
        <f t="shared" si="2"/>
        <v>3534370.8000000003</v>
      </c>
      <c r="I138" s="100">
        <f t="shared" si="2"/>
        <v>3701808.2320731147</v>
      </c>
      <c r="J138" s="100">
        <f t="shared" si="2"/>
        <v>3736218.9810941522</v>
      </c>
      <c r="K138" s="100">
        <f t="shared" si="2"/>
        <v>3786556.7189005977</v>
      </c>
      <c r="L138" s="100">
        <f t="shared" si="2"/>
        <v>3630237.6534408359</v>
      </c>
      <c r="M138" s="100">
        <f t="shared" si="2"/>
        <v>3617289.2110790866</v>
      </c>
      <c r="N138" s="100">
        <f t="shared" si="2"/>
        <v>3740563.1610827716</v>
      </c>
      <c r="O138" s="100">
        <f t="shared" si="2"/>
        <v>3538742.8122498379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282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9.1456084237894455</v>
      </c>
      <c r="E6" s="100">
        <v>5289.8199123198146</v>
      </c>
      <c r="F6" s="100">
        <v>6</v>
      </c>
      <c r="G6" s="100">
        <v>3470.3999999999996</v>
      </c>
      <c r="H6" s="100">
        <v>9</v>
      </c>
      <c r="I6" s="100">
        <v>5205.5999999999995</v>
      </c>
      <c r="J6" s="100">
        <v>10</v>
      </c>
      <c r="K6" s="100">
        <v>5784</v>
      </c>
      <c r="L6" s="100">
        <v>9</v>
      </c>
      <c r="M6" s="100">
        <v>5205.5999999999995</v>
      </c>
      <c r="N6" s="100">
        <v>3.544179858519358</v>
      </c>
      <c r="O6" s="100">
        <v>2049.9536301675967</v>
      </c>
      <c r="P6" s="100">
        <v>10</v>
      </c>
      <c r="Q6" s="100">
        <v>5784</v>
      </c>
      <c r="R6" s="100">
        <v>6.2441059581384533</v>
      </c>
      <c r="S6" s="100">
        <v>3611.5908861872813</v>
      </c>
      <c r="T6" s="100">
        <v>10</v>
      </c>
      <c r="U6" s="100">
        <v>5784</v>
      </c>
      <c r="V6" s="100">
        <v>10</v>
      </c>
      <c r="W6" s="100">
        <v>5784</v>
      </c>
      <c r="X6" s="100">
        <v>2.3484314067085186</v>
      </c>
      <c r="Y6" s="100">
        <v>1358.3327256402072</v>
      </c>
      <c r="Z6" s="100">
        <v>6</v>
      </c>
      <c r="AA6" s="100">
        <v>3470.3999999999996</v>
      </c>
      <c r="AB6" s="100">
        <v>6</v>
      </c>
      <c r="AC6" s="100">
        <v>3470.3999999999996</v>
      </c>
      <c r="AD6" s="100">
        <v>9</v>
      </c>
      <c r="AE6" s="100">
        <v>5205.5999999999995</v>
      </c>
      <c r="AF6" s="100">
        <v>8.6404400130665202</v>
      </c>
      <c r="AG6" s="100">
        <v>4997.6305035576752</v>
      </c>
      <c r="AH6" s="100">
        <v>11</v>
      </c>
      <c r="AI6" s="100">
        <v>6362.4</v>
      </c>
      <c r="AJ6" s="100">
        <v>6</v>
      </c>
      <c r="AK6" s="100">
        <v>3470.3999999999996</v>
      </c>
      <c r="AL6" s="100">
        <v>0.90933746622243361</v>
      </c>
      <c r="AM6" s="100">
        <v>525.96079046305556</v>
      </c>
      <c r="AN6" s="100">
        <v>10</v>
      </c>
      <c r="AO6" s="100">
        <v>5784</v>
      </c>
      <c r="AP6" s="100">
        <v>8</v>
      </c>
      <c r="AQ6" s="100">
        <v>4627.2</v>
      </c>
      <c r="AR6" s="100">
        <v>10</v>
      </c>
      <c r="AS6" s="100">
        <v>5784</v>
      </c>
      <c r="AT6" s="100">
        <v>7</v>
      </c>
      <c r="AU6" s="100">
        <v>4048.7999999999997</v>
      </c>
      <c r="AV6" s="100">
        <v>9</v>
      </c>
      <c r="AW6" s="100">
        <v>5205.5999999999995</v>
      </c>
      <c r="AX6" s="100">
        <v>6.9000761531535169</v>
      </c>
      <c r="AY6" s="100">
        <v>3991.0040469839942</v>
      </c>
      <c r="AZ6" s="100">
        <v>3.0313369098493501</v>
      </c>
      <c r="BA6" s="100">
        <v>1753.325268656864</v>
      </c>
      <c r="BB6" s="100">
        <v>13</v>
      </c>
      <c r="BC6" s="100">
        <v>7519.2</v>
      </c>
      <c r="BD6" s="100">
        <v>8</v>
      </c>
      <c r="BE6" s="100">
        <v>4627.2</v>
      </c>
      <c r="BF6" s="100">
        <v>12</v>
      </c>
      <c r="BG6" s="100">
        <v>6940.7999999999993</v>
      </c>
      <c r="BH6" s="100">
        <v>3.4064940217499449</v>
      </c>
      <c r="BI6" s="100">
        <v>1970.3161421801681</v>
      </c>
      <c r="BJ6" s="100">
        <v>8</v>
      </c>
      <c r="BK6" s="100">
        <v>4627.2</v>
      </c>
      <c r="BL6" s="100">
        <v>7</v>
      </c>
      <c r="BM6" s="100">
        <v>4048.7999999999997</v>
      </c>
      <c r="BN6" s="100">
        <v>13</v>
      </c>
      <c r="BO6" s="100">
        <v>7519.2</v>
      </c>
      <c r="BP6" s="100">
        <v>12</v>
      </c>
      <c r="BQ6" s="100">
        <v>6940.7999999999993</v>
      </c>
      <c r="BR6" s="100">
        <v>1.356718066354903</v>
      </c>
      <c r="BS6" s="100">
        <v>784.72572957967589</v>
      </c>
      <c r="BT6" s="100">
        <v>6.6987062040468617</v>
      </c>
      <c r="BU6" s="100">
        <v>3874.5316684207046</v>
      </c>
      <c r="BV6" s="100">
        <v>9</v>
      </c>
      <c r="BW6" s="100">
        <v>5205.5999999999995</v>
      </c>
      <c r="BX6" s="100">
        <v>12</v>
      </c>
      <c r="BY6" s="100">
        <v>6940.7999999999993</v>
      </c>
      <c r="BZ6" s="100">
        <v>6</v>
      </c>
      <c r="CA6" s="100">
        <v>3470.3999999999996</v>
      </c>
      <c r="CB6" s="100">
        <v>4.4710516569431018</v>
      </c>
      <c r="CC6" s="100">
        <v>2586.0562783758901</v>
      </c>
      <c r="CD6" s="100">
        <v>0</v>
      </c>
      <c r="CE6" s="100">
        <v>0</v>
      </c>
      <c r="CF6" s="100">
        <v>11</v>
      </c>
      <c r="CG6" s="100">
        <v>6362.4</v>
      </c>
      <c r="CH6" s="100">
        <v>10</v>
      </c>
      <c r="CI6" s="100">
        <v>5784</v>
      </c>
      <c r="CJ6" s="100">
        <v>8</v>
      </c>
      <c r="CK6" s="100">
        <v>4627.2</v>
      </c>
      <c r="CL6" s="100">
        <v>11</v>
      </c>
      <c r="CM6" s="100">
        <v>6362.4</v>
      </c>
      <c r="CN6" s="100">
        <v>7</v>
      </c>
      <c r="CO6" s="100">
        <v>4048.7999999999997</v>
      </c>
      <c r="CP6" s="100">
        <v>8</v>
      </c>
      <c r="CQ6" s="100">
        <v>4627.2</v>
      </c>
      <c r="CR6" s="100">
        <v>10</v>
      </c>
      <c r="CS6" s="100">
        <v>5784</v>
      </c>
      <c r="CT6" s="100">
        <v>8.2151879971196085</v>
      </c>
      <c r="CU6" s="100">
        <v>4751.6647375339817</v>
      </c>
    </row>
    <row r="7" spans="1:99">
      <c r="C7" s="99" t="s">
        <v>173</v>
      </c>
      <c r="D7" s="100">
        <v>10.060169266168391</v>
      </c>
      <c r="E7" s="100">
        <v>7931.4374494471585</v>
      </c>
      <c r="F7" s="100">
        <v>6</v>
      </c>
      <c r="G7" s="100">
        <v>4730.3999999999996</v>
      </c>
      <c r="H7" s="100">
        <v>10</v>
      </c>
      <c r="I7" s="100">
        <v>7884</v>
      </c>
      <c r="J7" s="100">
        <v>8</v>
      </c>
      <c r="K7" s="100">
        <v>6307.2</v>
      </c>
      <c r="L7" s="100">
        <v>10</v>
      </c>
      <c r="M7" s="100">
        <v>7884</v>
      </c>
      <c r="N7" s="100">
        <v>3.544179858519358</v>
      </c>
      <c r="O7" s="100">
        <v>2794.231400456662</v>
      </c>
      <c r="P7" s="100">
        <v>10</v>
      </c>
      <c r="Q7" s="100">
        <v>7884</v>
      </c>
      <c r="R7" s="100">
        <v>4.6830794686038404</v>
      </c>
      <c r="S7" s="100">
        <v>3692.1398530472675</v>
      </c>
      <c r="T7" s="100">
        <v>10</v>
      </c>
      <c r="U7" s="100">
        <v>7884</v>
      </c>
      <c r="V7" s="100">
        <v>10</v>
      </c>
      <c r="W7" s="100">
        <v>7884</v>
      </c>
      <c r="X7" s="100">
        <v>3.0194118086252377</v>
      </c>
      <c r="Y7" s="100">
        <v>2380.5042699201372</v>
      </c>
      <c r="Z7" s="100">
        <v>6</v>
      </c>
      <c r="AA7" s="100">
        <v>4730.3999999999996</v>
      </c>
      <c r="AB7" s="100">
        <v>6</v>
      </c>
      <c r="AC7" s="100">
        <v>4730.3999999999996</v>
      </c>
      <c r="AD7" s="100">
        <v>9</v>
      </c>
      <c r="AE7" s="100">
        <v>7095.5999999999995</v>
      </c>
      <c r="AF7" s="100">
        <v>7.6803911227257959</v>
      </c>
      <c r="AG7" s="100">
        <v>6055.2203611570176</v>
      </c>
      <c r="AH7" s="100">
        <v>10</v>
      </c>
      <c r="AI7" s="100">
        <v>7884</v>
      </c>
      <c r="AJ7" s="100">
        <v>7</v>
      </c>
      <c r="AK7" s="100">
        <v>5518.8</v>
      </c>
      <c r="AL7" s="100">
        <v>0.90933746622243361</v>
      </c>
      <c r="AM7" s="100">
        <v>716.92165836976665</v>
      </c>
      <c r="AN7" s="100">
        <v>11</v>
      </c>
      <c r="AO7" s="100">
        <v>8672.4</v>
      </c>
      <c r="AP7" s="100">
        <v>9</v>
      </c>
      <c r="AQ7" s="100">
        <v>7095.5999999999995</v>
      </c>
      <c r="AR7" s="100">
        <v>10</v>
      </c>
      <c r="AS7" s="100">
        <v>7884</v>
      </c>
      <c r="AT7" s="100">
        <v>6</v>
      </c>
      <c r="AU7" s="100">
        <v>4730.3999999999996</v>
      </c>
      <c r="AV7" s="100">
        <v>9</v>
      </c>
      <c r="AW7" s="100">
        <v>7095.5999999999995</v>
      </c>
      <c r="AX7" s="100">
        <v>6.9000761531535169</v>
      </c>
      <c r="AY7" s="100">
        <v>5440.0200391462322</v>
      </c>
      <c r="AZ7" s="100">
        <v>2.7787255006952378</v>
      </c>
      <c r="BA7" s="100">
        <v>2190.7471847481256</v>
      </c>
      <c r="BB7" s="100">
        <v>10</v>
      </c>
      <c r="BC7" s="100">
        <v>7884</v>
      </c>
      <c r="BD7" s="100">
        <v>8</v>
      </c>
      <c r="BE7" s="100">
        <v>6307.2</v>
      </c>
      <c r="BF7" s="100">
        <v>11</v>
      </c>
      <c r="BG7" s="100">
        <v>8672.4</v>
      </c>
      <c r="BH7" s="100">
        <v>3.8323057744686881</v>
      </c>
      <c r="BI7" s="100">
        <v>3021.3898725911135</v>
      </c>
      <c r="BJ7" s="100">
        <v>8</v>
      </c>
      <c r="BK7" s="100">
        <v>6307.2</v>
      </c>
      <c r="BL7" s="100">
        <v>7</v>
      </c>
      <c r="BM7" s="100">
        <v>5518.8</v>
      </c>
      <c r="BN7" s="100">
        <v>12</v>
      </c>
      <c r="BO7" s="100">
        <v>9460.7999999999993</v>
      </c>
      <c r="BP7" s="100">
        <v>10</v>
      </c>
      <c r="BQ7" s="100">
        <v>7884</v>
      </c>
      <c r="BR7" s="100">
        <v>1.4923898729903933</v>
      </c>
      <c r="BS7" s="100">
        <v>1176.6001758656259</v>
      </c>
      <c r="BT7" s="100">
        <v>5.9544055147083208</v>
      </c>
      <c r="BU7" s="100">
        <v>4694.4533077960396</v>
      </c>
      <c r="BV7" s="100">
        <v>8</v>
      </c>
      <c r="BW7" s="100">
        <v>6307.2</v>
      </c>
      <c r="BX7" s="100">
        <v>12</v>
      </c>
      <c r="BY7" s="100">
        <v>9460.7999999999993</v>
      </c>
      <c r="BZ7" s="100">
        <v>7</v>
      </c>
      <c r="CA7" s="100">
        <v>5518.8</v>
      </c>
      <c r="CB7" s="100">
        <v>4.4710516569431018</v>
      </c>
      <c r="CC7" s="100">
        <v>3524.9771263339412</v>
      </c>
      <c r="CD7" s="100">
        <v>0</v>
      </c>
      <c r="CE7" s="100">
        <v>0</v>
      </c>
      <c r="CF7" s="100">
        <v>9</v>
      </c>
      <c r="CG7" s="100">
        <v>7095.5999999999995</v>
      </c>
      <c r="CH7" s="100">
        <v>9</v>
      </c>
      <c r="CI7" s="100">
        <v>7095.5999999999995</v>
      </c>
      <c r="CJ7" s="100">
        <v>8</v>
      </c>
      <c r="CK7" s="100">
        <v>6307.2</v>
      </c>
      <c r="CL7" s="100">
        <v>11</v>
      </c>
      <c r="CM7" s="100">
        <v>8672.4</v>
      </c>
      <c r="CN7" s="100">
        <v>8</v>
      </c>
      <c r="CO7" s="100">
        <v>6307.2</v>
      </c>
      <c r="CP7" s="100">
        <v>7</v>
      </c>
      <c r="CQ7" s="100">
        <v>5518.8</v>
      </c>
      <c r="CR7" s="100">
        <v>9</v>
      </c>
      <c r="CS7" s="100">
        <v>7095.5999999999995</v>
      </c>
      <c r="CT7" s="100">
        <v>7.3936691974076476</v>
      </c>
      <c r="CU7" s="100">
        <v>5829.168795236189</v>
      </c>
    </row>
    <row r="8" spans="1:99">
      <c r="C8" s="99" t="s">
        <v>174</v>
      </c>
      <c r="D8" s="100">
        <v>9.1456084237894455</v>
      </c>
      <c r="E8" s="100">
        <v>2831.4803680052119</v>
      </c>
      <c r="F8" s="100">
        <v>6</v>
      </c>
      <c r="G8" s="100">
        <v>1857.6</v>
      </c>
      <c r="H8" s="100">
        <v>9</v>
      </c>
      <c r="I8" s="100">
        <v>2786.3999999999996</v>
      </c>
      <c r="J8" s="100">
        <v>8</v>
      </c>
      <c r="K8" s="100">
        <v>2476.7999999999997</v>
      </c>
      <c r="L8" s="100">
        <v>11</v>
      </c>
      <c r="M8" s="100">
        <v>3405.5999999999995</v>
      </c>
      <c r="N8" s="100">
        <v>3.544179858519358</v>
      </c>
      <c r="O8" s="100">
        <v>1097.2780841975932</v>
      </c>
      <c r="P8" s="100">
        <v>11</v>
      </c>
      <c r="Q8" s="100">
        <v>3405.5999999999995</v>
      </c>
      <c r="R8" s="100">
        <v>4.6830794686038404</v>
      </c>
      <c r="S8" s="100">
        <v>1449.8814034797488</v>
      </c>
      <c r="T8" s="100">
        <v>11</v>
      </c>
      <c r="U8" s="100">
        <v>3405.5999999999995</v>
      </c>
      <c r="V8" s="100">
        <v>9</v>
      </c>
      <c r="W8" s="100">
        <v>2786.3999999999996</v>
      </c>
      <c r="X8" s="100">
        <v>2.3484314067085186</v>
      </c>
      <c r="Y8" s="100">
        <v>727.07436351695731</v>
      </c>
      <c r="Z8" s="100">
        <v>6</v>
      </c>
      <c r="AA8" s="100">
        <v>1857.6</v>
      </c>
      <c r="AB8" s="100">
        <v>6</v>
      </c>
      <c r="AC8" s="100">
        <v>1857.6</v>
      </c>
      <c r="AD8" s="100">
        <v>9</v>
      </c>
      <c r="AE8" s="100">
        <v>2786.3999999999996</v>
      </c>
      <c r="AF8" s="100">
        <v>8.6404400130665202</v>
      </c>
      <c r="AG8" s="100">
        <v>2675.0802280453945</v>
      </c>
      <c r="AH8" s="100">
        <v>11</v>
      </c>
      <c r="AI8" s="100">
        <v>3405.5999999999995</v>
      </c>
      <c r="AJ8" s="100">
        <v>7</v>
      </c>
      <c r="AK8" s="100">
        <v>2167.1999999999998</v>
      </c>
      <c r="AL8" s="100">
        <v>1.0103749624693708</v>
      </c>
      <c r="AM8" s="100">
        <v>312.81208838051714</v>
      </c>
      <c r="AN8" s="100">
        <v>10</v>
      </c>
      <c r="AO8" s="100">
        <v>3095.9999999999995</v>
      </c>
      <c r="AP8" s="100">
        <v>8</v>
      </c>
      <c r="AQ8" s="100">
        <v>2476.7999999999997</v>
      </c>
      <c r="AR8" s="100">
        <v>11</v>
      </c>
      <c r="AS8" s="100">
        <v>3405.5999999999995</v>
      </c>
      <c r="AT8" s="100">
        <v>7</v>
      </c>
      <c r="AU8" s="100">
        <v>2167.1999999999998</v>
      </c>
      <c r="AV8" s="100">
        <v>9</v>
      </c>
      <c r="AW8" s="100">
        <v>2786.3999999999996</v>
      </c>
      <c r="AX8" s="100">
        <v>7.8858013178897339</v>
      </c>
      <c r="AY8" s="100">
        <v>2441.4440880186612</v>
      </c>
      <c r="AZ8" s="100">
        <v>3.0313369098493501</v>
      </c>
      <c r="BA8" s="100">
        <v>938.50190728935866</v>
      </c>
      <c r="BB8" s="100">
        <v>13</v>
      </c>
      <c r="BC8" s="100">
        <v>4024.7999999999997</v>
      </c>
      <c r="BD8" s="100">
        <v>8</v>
      </c>
      <c r="BE8" s="100">
        <v>2476.7999999999997</v>
      </c>
      <c r="BF8" s="100">
        <v>12</v>
      </c>
      <c r="BG8" s="100">
        <v>3715.2</v>
      </c>
      <c r="BH8" s="100">
        <v>3.4064940217499449</v>
      </c>
      <c r="BI8" s="100">
        <v>1054.6505491337828</v>
      </c>
      <c r="BJ8" s="100">
        <v>8</v>
      </c>
      <c r="BK8" s="100">
        <v>2476.7999999999997</v>
      </c>
      <c r="BL8" s="100">
        <v>6</v>
      </c>
      <c r="BM8" s="100">
        <v>1857.6</v>
      </c>
      <c r="BN8" s="100">
        <v>12</v>
      </c>
      <c r="BO8" s="100">
        <v>3715.2</v>
      </c>
      <c r="BP8" s="100">
        <v>10</v>
      </c>
      <c r="BQ8" s="100">
        <v>3095.9999999999995</v>
      </c>
      <c r="BR8" s="100">
        <v>1.356718066354903</v>
      </c>
      <c r="BS8" s="100">
        <v>420.03991334347791</v>
      </c>
      <c r="BT8" s="100">
        <v>6.6987062040468617</v>
      </c>
      <c r="BU8" s="100">
        <v>2073.9194407729083</v>
      </c>
      <c r="BV8" s="100">
        <v>9</v>
      </c>
      <c r="BW8" s="100">
        <v>2786.3999999999996</v>
      </c>
      <c r="BX8" s="100">
        <v>13</v>
      </c>
      <c r="BY8" s="100">
        <v>4024.7999999999997</v>
      </c>
      <c r="BZ8" s="100">
        <v>7</v>
      </c>
      <c r="CA8" s="100">
        <v>2167.1999999999998</v>
      </c>
      <c r="CB8" s="100">
        <v>5.1097733222206889</v>
      </c>
      <c r="CC8" s="100">
        <v>1581.9858205595251</v>
      </c>
      <c r="CD8" s="100">
        <v>0</v>
      </c>
      <c r="CE8" s="100">
        <v>0</v>
      </c>
      <c r="CF8" s="100">
        <v>11</v>
      </c>
      <c r="CG8" s="100">
        <v>3405.5999999999995</v>
      </c>
      <c r="CH8" s="100">
        <v>11</v>
      </c>
      <c r="CI8" s="100">
        <v>3405.5999999999995</v>
      </c>
      <c r="CJ8" s="100">
        <v>9</v>
      </c>
      <c r="CK8" s="100">
        <v>2786.3999999999996</v>
      </c>
      <c r="CL8" s="100">
        <v>12</v>
      </c>
      <c r="CM8" s="100">
        <v>3715.2</v>
      </c>
      <c r="CN8" s="100">
        <v>8</v>
      </c>
      <c r="CO8" s="100">
        <v>2476.7999999999997</v>
      </c>
      <c r="CP8" s="100">
        <v>8</v>
      </c>
      <c r="CQ8" s="100">
        <v>2476.7999999999997</v>
      </c>
      <c r="CR8" s="100">
        <v>11</v>
      </c>
      <c r="CS8" s="100">
        <v>3405.5999999999995</v>
      </c>
      <c r="CT8" s="100">
        <v>8.2151879971196085</v>
      </c>
      <c r="CU8" s="100">
        <v>2543.4222039082306</v>
      </c>
    </row>
    <row r="9" spans="1:99">
      <c r="C9" s="99" t="s">
        <v>175</v>
      </c>
      <c r="D9" s="100">
        <v>9.1456084237894455</v>
      </c>
      <c r="E9" s="100">
        <v>6420.2171135001909</v>
      </c>
      <c r="F9" s="100">
        <v>5</v>
      </c>
      <c r="G9" s="100">
        <v>3510</v>
      </c>
      <c r="H9" s="100">
        <v>9</v>
      </c>
      <c r="I9" s="100">
        <v>6318</v>
      </c>
      <c r="J9" s="100">
        <v>9</v>
      </c>
      <c r="K9" s="100">
        <v>6318</v>
      </c>
      <c r="L9" s="100">
        <v>10</v>
      </c>
      <c r="M9" s="100">
        <v>7020</v>
      </c>
      <c r="N9" s="100">
        <v>3.544179858519358</v>
      </c>
      <c r="O9" s="100">
        <v>2488.0142606805894</v>
      </c>
      <c r="P9" s="100">
        <v>10</v>
      </c>
      <c r="Q9" s="100">
        <v>7020</v>
      </c>
      <c r="R9" s="100">
        <v>5.4635927133711464</v>
      </c>
      <c r="S9" s="100">
        <v>3835.4420847865449</v>
      </c>
      <c r="T9" s="100">
        <v>11</v>
      </c>
      <c r="U9" s="100">
        <v>7722</v>
      </c>
      <c r="V9" s="100">
        <v>10</v>
      </c>
      <c r="W9" s="100">
        <v>7020</v>
      </c>
      <c r="X9" s="100">
        <v>2.3484314067085186</v>
      </c>
      <c r="Y9" s="100">
        <v>1648.59884750938</v>
      </c>
      <c r="Z9" s="100">
        <v>6</v>
      </c>
      <c r="AA9" s="100">
        <v>4212</v>
      </c>
      <c r="AB9" s="100">
        <v>6</v>
      </c>
      <c r="AC9" s="100">
        <v>4212</v>
      </c>
      <c r="AD9" s="100">
        <v>8</v>
      </c>
      <c r="AE9" s="100">
        <v>5616</v>
      </c>
      <c r="AF9" s="100">
        <v>9.6004889034072445</v>
      </c>
      <c r="AG9" s="100">
        <v>6739.5432101918859</v>
      </c>
      <c r="AH9" s="100">
        <v>11</v>
      </c>
      <c r="AI9" s="100">
        <v>7722</v>
      </c>
      <c r="AJ9" s="100">
        <v>6</v>
      </c>
      <c r="AK9" s="100">
        <v>4212</v>
      </c>
      <c r="AL9" s="100">
        <v>0.90933746622243361</v>
      </c>
      <c r="AM9" s="100">
        <v>638.35490128814843</v>
      </c>
      <c r="AN9" s="100">
        <v>10</v>
      </c>
      <c r="AO9" s="100">
        <v>7020</v>
      </c>
      <c r="AP9" s="100">
        <v>9</v>
      </c>
      <c r="AQ9" s="100">
        <v>6318</v>
      </c>
      <c r="AR9" s="100">
        <v>11</v>
      </c>
      <c r="AS9" s="100">
        <v>7722</v>
      </c>
      <c r="AT9" s="100">
        <v>7</v>
      </c>
      <c r="AU9" s="100">
        <v>4914</v>
      </c>
      <c r="AV9" s="100">
        <v>8</v>
      </c>
      <c r="AW9" s="100">
        <v>5616</v>
      </c>
      <c r="AX9" s="100">
        <v>7.8858013178897339</v>
      </c>
      <c r="AY9" s="100">
        <v>5535.8325251585929</v>
      </c>
      <c r="AZ9" s="100">
        <v>2.7787255006952378</v>
      </c>
      <c r="BA9" s="100">
        <v>1950.6653014880569</v>
      </c>
      <c r="BB9" s="100">
        <v>12</v>
      </c>
      <c r="BC9" s="100">
        <v>8424</v>
      </c>
      <c r="BD9" s="100">
        <v>8</v>
      </c>
      <c r="BE9" s="100">
        <v>5616</v>
      </c>
      <c r="BF9" s="100">
        <v>11</v>
      </c>
      <c r="BG9" s="100">
        <v>7722</v>
      </c>
      <c r="BH9" s="100">
        <v>3.8323057744686881</v>
      </c>
      <c r="BI9" s="100">
        <v>2690.2786536770191</v>
      </c>
      <c r="BJ9" s="100">
        <v>8</v>
      </c>
      <c r="BK9" s="100">
        <v>5616</v>
      </c>
      <c r="BL9" s="100">
        <v>6</v>
      </c>
      <c r="BM9" s="100">
        <v>4212</v>
      </c>
      <c r="BN9" s="100">
        <v>12</v>
      </c>
      <c r="BO9" s="100">
        <v>8424</v>
      </c>
      <c r="BP9" s="100">
        <v>12</v>
      </c>
      <c r="BQ9" s="100">
        <v>8424</v>
      </c>
      <c r="BR9" s="100">
        <v>1.4923898729903933</v>
      </c>
      <c r="BS9" s="100">
        <v>1047.657690839256</v>
      </c>
      <c r="BT9" s="100">
        <v>5.9544055147083208</v>
      </c>
      <c r="BU9" s="100">
        <v>4179.9926713252416</v>
      </c>
      <c r="BV9" s="100">
        <v>8</v>
      </c>
      <c r="BW9" s="100">
        <v>5616</v>
      </c>
      <c r="BX9" s="100">
        <v>12</v>
      </c>
      <c r="BY9" s="100">
        <v>8424</v>
      </c>
      <c r="BZ9" s="100">
        <v>7</v>
      </c>
      <c r="CA9" s="100">
        <v>4914</v>
      </c>
      <c r="CB9" s="100">
        <v>4.4710516569431018</v>
      </c>
      <c r="CC9" s="100">
        <v>3138.6782631740575</v>
      </c>
      <c r="CD9" s="100">
        <v>0</v>
      </c>
      <c r="CE9" s="100">
        <v>0</v>
      </c>
      <c r="CF9" s="100">
        <v>11</v>
      </c>
      <c r="CG9" s="100">
        <v>7722</v>
      </c>
      <c r="CH9" s="100">
        <v>11</v>
      </c>
      <c r="CI9" s="100">
        <v>7722</v>
      </c>
      <c r="CJ9" s="100">
        <v>7</v>
      </c>
      <c r="CK9" s="100">
        <v>4914</v>
      </c>
      <c r="CL9" s="100">
        <v>10</v>
      </c>
      <c r="CM9" s="100">
        <v>7020</v>
      </c>
      <c r="CN9" s="100">
        <v>7</v>
      </c>
      <c r="CO9" s="100">
        <v>4914</v>
      </c>
      <c r="CP9" s="100">
        <v>8</v>
      </c>
      <c r="CQ9" s="100">
        <v>5616</v>
      </c>
      <c r="CR9" s="100">
        <v>10</v>
      </c>
      <c r="CS9" s="100">
        <v>7020</v>
      </c>
      <c r="CT9" s="100">
        <v>9.0367067968315702</v>
      </c>
      <c r="CU9" s="100">
        <v>6343.768171375762</v>
      </c>
    </row>
    <row r="10" spans="1:99">
      <c r="C10" s="99" t="s">
        <v>176</v>
      </c>
      <c r="D10" s="100">
        <v>9.1456084237894455</v>
      </c>
      <c r="E10" s="100">
        <v>4982.5274692804896</v>
      </c>
      <c r="F10" s="100">
        <v>5</v>
      </c>
      <c r="G10" s="100">
        <v>2724</v>
      </c>
      <c r="H10" s="100">
        <v>9</v>
      </c>
      <c r="I10" s="100">
        <v>4903.2</v>
      </c>
      <c r="J10" s="100">
        <v>8</v>
      </c>
      <c r="K10" s="100">
        <v>4358.3999999999996</v>
      </c>
      <c r="L10" s="100">
        <v>10</v>
      </c>
      <c r="M10" s="100">
        <v>5448</v>
      </c>
      <c r="N10" s="100">
        <v>3.544179858519358</v>
      </c>
      <c r="O10" s="100">
        <v>1930.869186921346</v>
      </c>
      <c r="P10" s="100">
        <v>11</v>
      </c>
      <c r="Q10" s="100">
        <v>5992.7999999999993</v>
      </c>
      <c r="R10" s="100">
        <v>5.4635927133711464</v>
      </c>
      <c r="S10" s="100">
        <v>2976.5653102446004</v>
      </c>
      <c r="T10" s="100">
        <v>10</v>
      </c>
      <c r="U10" s="100">
        <v>5448</v>
      </c>
      <c r="V10" s="100">
        <v>10</v>
      </c>
      <c r="W10" s="100">
        <v>5448</v>
      </c>
      <c r="X10" s="100">
        <v>3.0194118086252377</v>
      </c>
      <c r="Y10" s="100">
        <v>1644.9755533390294</v>
      </c>
      <c r="Z10" s="100">
        <v>6</v>
      </c>
      <c r="AA10" s="100">
        <v>3268.7999999999997</v>
      </c>
      <c r="AB10" s="100">
        <v>6</v>
      </c>
      <c r="AC10" s="100">
        <v>3268.7999999999997</v>
      </c>
      <c r="AD10" s="100">
        <v>8</v>
      </c>
      <c r="AE10" s="100">
        <v>4358.3999999999996</v>
      </c>
      <c r="AF10" s="100">
        <v>9.6004889034072445</v>
      </c>
      <c r="AG10" s="100">
        <v>5230.3463545762661</v>
      </c>
      <c r="AH10" s="100">
        <v>11</v>
      </c>
      <c r="AI10" s="100">
        <v>5992.7999999999993</v>
      </c>
      <c r="AJ10" s="100">
        <v>6</v>
      </c>
      <c r="AK10" s="100">
        <v>3268.7999999999997</v>
      </c>
      <c r="AL10" s="100">
        <v>0.90933746622243361</v>
      </c>
      <c r="AM10" s="100">
        <v>495.40705159798176</v>
      </c>
      <c r="AN10" s="100">
        <v>11</v>
      </c>
      <c r="AO10" s="100">
        <v>5992.7999999999993</v>
      </c>
      <c r="AP10" s="100">
        <v>8</v>
      </c>
      <c r="AQ10" s="100">
        <v>4358.3999999999996</v>
      </c>
      <c r="AR10" s="100">
        <v>11</v>
      </c>
      <c r="AS10" s="100">
        <v>5992.7999999999993</v>
      </c>
      <c r="AT10" s="100">
        <v>7</v>
      </c>
      <c r="AU10" s="100">
        <v>3813.5999999999995</v>
      </c>
      <c r="AV10" s="100">
        <v>9</v>
      </c>
      <c r="AW10" s="100">
        <v>4903.2</v>
      </c>
      <c r="AX10" s="100">
        <v>6.9000761531535169</v>
      </c>
      <c r="AY10" s="100">
        <v>3759.1614882380359</v>
      </c>
      <c r="AZ10" s="100">
        <v>3.0313369098493501</v>
      </c>
      <c r="BA10" s="100">
        <v>1651.4723484859257</v>
      </c>
      <c r="BB10" s="100">
        <v>10</v>
      </c>
      <c r="BC10" s="100">
        <v>5448</v>
      </c>
      <c r="BD10" s="100">
        <v>8</v>
      </c>
      <c r="BE10" s="100">
        <v>4358.3999999999996</v>
      </c>
      <c r="BF10" s="100">
        <v>11</v>
      </c>
      <c r="BG10" s="100">
        <v>5992.7999999999993</v>
      </c>
      <c r="BH10" s="100">
        <v>3.4064940217499449</v>
      </c>
      <c r="BI10" s="100">
        <v>1855.8579430493699</v>
      </c>
      <c r="BJ10" s="100">
        <v>7</v>
      </c>
      <c r="BK10" s="100">
        <v>3813.5999999999995</v>
      </c>
      <c r="BL10" s="100">
        <v>7</v>
      </c>
      <c r="BM10" s="100">
        <v>3813.5999999999995</v>
      </c>
      <c r="BN10" s="100">
        <v>12</v>
      </c>
      <c r="BO10" s="100">
        <v>6537.5999999999995</v>
      </c>
      <c r="BP10" s="100">
        <v>11</v>
      </c>
      <c r="BQ10" s="100">
        <v>5992.7999999999993</v>
      </c>
      <c r="BR10" s="100">
        <v>1.4923898729903933</v>
      </c>
      <c r="BS10" s="100">
        <v>813.05400280516619</v>
      </c>
      <c r="BT10" s="100">
        <v>7.4430068933854008</v>
      </c>
      <c r="BU10" s="100">
        <v>4054.9501555163661</v>
      </c>
      <c r="BV10" s="100">
        <v>8</v>
      </c>
      <c r="BW10" s="100">
        <v>4358.3999999999996</v>
      </c>
      <c r="BX10" s="100">
        <v>12</v>
      </c>
      <c r="BY10" s="100">
        <v>6537.5999999999995</v>
      </c>
      <c r="BZ10" s="100">
        <v>7</v>
      </c>
      <c r="CA10" s="100">
        <v>3813.5999999999995</v>
      </c>
      <c r="CB10" s="100">
        <v>5.1097733222206889</v>
      </c>
      <c r="CC10" s="100">
        <v>2783.8045059458309</v>
      </c>
      <c r="CD10" s="100">
        <v>0</v>
      </c>
      <c r="CE10" s="100">
        <v>0</v>
      </c>
      <c r="CF10" s="100">
        <v>11</v>
      </c>
      <c r="CG10" s="100">
        <v>5992.7999999999993</v>
      </c>
      <c r="CH10" s="100">
        <v>10</v>
      </c>
      <c r="CI10" s="100">
        <v>5448</v>
      </c>
      <c r="CJ10" s="100">
        <v>8</v>
      </c>
      <c r="CK10" s="100">
        <v>4358.3999999999996</v>
      </c>
      <c r="CL10" s="100">
        <v>11</v>
      </c>
      <c r="CM10" s="100">
        <v>5992.7999999999993</v>
      </c>
      <c r="CN10" s="100">
        <v>7</v>
      </c>
      <c r="CO10" s="100">
        <v>3813.5999999999995</v>
      </c>
      <c r="CP10" s="100">
        <v>7</v>
      </c>
      <c r="CQ10" s="100">
        <v>3813.5999999999995</v>
      </c>
      <c r="CR10" s="100">
        <v>11</v>
      </c>
      <c r="CS10" s="100">
        <v>5992.7999999999993</v>
      </c>
      <c r="CT10" s="100">
        <v>8.2151879971196085</v>
      </c>
      <c r="CU10" s="100">
        <v>4475.6344208307619</v>
      </c>
    </row>
    <row r="11" spans="1:99">
      <c r="C11" s="99" t="s">
        <v>177</v>
      </c>
      <c r="D11" s="100">
        <v>10.060169266168391</v>
      </c>
      <c r="E11" s="100">
        <v>5360.0581850145181</v>
      </c>
      <c r="F11" s="100">
        <v>6</v>
      </c>
      <c r="G11" s="100">
        <v>3196.7999999999997</v>
      </c>
      <c r="H11" s="100">
        <v>9</v>
      </c>
      <c r="I11" s="100">
        <v>4795.2</v>
      </c>
      <c r="J11" s="100">
        <v>9</v>
      </c>
      <c r="K11" s="100">
        <v>4795.2</v>
      </c>
      <c r="L11" s="100">
        <v>9</v>
      </c>
      <c r="M11" s="100">
        <v>4795.2</v>
      </c>
      <c r="N11" s="100">
        <v>3.0378684501594497</v>
      </c>
      <c r="O11" s="100">
        <v>1618.5763102449546</v>
      </c>
      <c r="P11" s="100">
        <v>11</v>
      </c>
      <c r="Q11" s="100">
        <v>5860.7999999999993</v>
      </c>
      <c r="R11" s="100">
        <v>5.4635927133711464</v>
      </c>
      <c r="S11" s="100">
        <v>2911.0021976841467</v>
      </c>
      <c r="T11" s="100">
        <v>10</v>
      </c>
      <c r="U11" s="100">
        <v>5328</v>
      </c>
      <c r="V11" s="100">
        <v>10</v>
      </c>
      <c r="W11" s="100">
        <v>5328</v>
      </c>
      <c r="X11" s="100">
        <v>3.0194118086252377</v>
      </c>
      <c r="Y11" s="100">
        <v>1608.7426116355266</v>
      </c>
      <c r="Z11" s="100">
        <v>6</v>
      </c>
      <c r="AA11" s="100">
        <v>3196.7999999999997</v>
      </c>
      <c r="AB11" s="100">
        <v>6</v>
      </c>
      <c r="AC11" s="100">
        <v>3196.7999999999997</v>
      </c>
      <c r="AD11" s="100">
        <v>8</v>
      </c>
      <c r="AE11" s="100">
        <v>4262.3999999999996</v>
      </c>
      <c r="AF11" s="100">
        <v>8.6404400130665202</v>
      </c>
      <c r="AG11" s="100">
        <v>4603.6264389618418</v>
      </c>
      <c r="AH11" s="100">
        <v>11</v>
      </c>
      <c r="AI11" s="100">
        <v>5860.7999999999993</v>
      </c>
      <c r="AJ11" s="100">
        <v>7</v>
      </c>
      <c r="AK11" s="100">
        <v>3729.5999999999995</v>
      </c>
      <c r="AL11" s="100">
        <v>1.0103749624693708</v>
      </c>
      <c r="AM11" s="100">
        <v>538.32778000368069</v>
      </c>
      <c r="AN11" s="100">
        <v>12</v>
      </c>
      <c r="AO11" s="100">
        <v>6393.5999999999995</v>
      </c>
      <c r="AP11" s="100">
        <v>9</v>
      </c>
      <c r="AQ11" s="100">
        <v>4795.2</v>
      </c>
      <c r="AR11" s="100">
        <v>11</v>
      </c>
      <c r="AS11" s="100">
        <v>5860.7999999999993</v>
      </c>
      <c r="AT11" s="100">
        <v>8</v>
      </c>
      <c r="AU11" s="100">
        <v>4262.3999999999996</v>
      </c>
      <c r="AV11" s="100">
        <v>9</v>
      </c>
      <c r="AW11" s="100">
        <v>4795.2</v>
      </c>
      <c r="AX11" s="100">
        <v>5.9143509884173007</v>
      </c>
      <c r="AY11" s="100">
        <v>3151.1662066287377</v>
      </c>
      <c r="AZ11" s="100">
        <v>3.0313369098493501</v>
      </c>
      <c r="BA11" s="100">
        <v>1615.0963055677337</v>
      </c>
      <c r="BB11" s="100">
        <v>13</v>
      </c>
      <c r="BC11" s="100">
        <v>6926.4</v>
      </c>
      <c r="BD11" s="100">
        <v>8</v>
      </c>
      <c r="BE11" s="100">
        <v>4262.3999999999996</v>
      </c>
      <c r="BF11" s="100">
        <v>11</v>
      </c>
      <c r="BG11" s="100">
        <v>5860.7999999999993</v>
      </c>
      <c r="BH11" s="100">
        <v>3.8323057744686881</v>
      </c>
      <c r="BI11" s="100">
        <v>2041.8525166369168</v>
      </c>
      <c r="BJ11" s="100">
        <v>7</v>
      </c>
      <c r="BK11" s="100">
        <v>3729.5999999999995</v>
      </c>
      <c r="BL11" s="100">
        <v>7</v>
      </c>
      <c r="BM11" s="100">
        <v>3729.5999999999995</v>
      </c>
      <c r="BN11" s="100">
        <v>12</v>
      </c>
      <c r="BO11" s="100">
        <v>6393.5999999999995</v>
      </c>
      <c r="BP11" s="100">
        <v>12</v>
      </c>
      <c r="BQ11" s="100">
        <v>6393.5999999999995</v>
      </c>
      <c r="BR11" s="100">
        <v>1.4923898729903933</v>
      </c>
      <c r="BS11" s="100">
        <v>795.14532432928149</v>
      </c>
      <c r="BT11" s="100">
        <v>6.6987062040468617</v>
      </c>
      <c r="BU11" s="100">
        <v>3569.0706655161675</v>
      </c>
      <c r="BV11" s="100">
        <v>9</v>
      </c>
      <c r="BW11" s="100">
        <v>4795.2</v>
      </c>
      <c r="BX11" s="100">
        <v>12</v>
      </c>
      <c r="BY11" s="100">
        <v>6393.5999999999995</v>
      </c>
      <c r="BZ11" s="100">
        <v>6</v>
      </c>
      <c r="CA11" s="100">
        <v>3196.7999999999997</v>
      </c>
      <c r="CB11" s="100">
        <v>5.1097733222206889</v>
      </c>
      <c r="CC11" s="100">
        <v>2722.4872260791826</v>
      </c>
      <c r="CD11" s="100">
        <v>0</v>
      </c>
      <c r="CE11" s="100">
        <v>0</v>
      </c>
      <c r="CF11" s="100">
        <v>10</v>
      </c>
      <c r="CG11" s="100">
        <v>5328</v>
      </c>
      <c r="CH11" s="100">
        <v>11</v>
      </c>
      <c r="CI11" s="100">
        <v>5860.7999999999993</v>
      </c>
      <c r="CJ11" s="100">
        <v>8</v>
      </c>
      <c r="CK11" s="100">
        <v>4262.3999999999996</v>
      </c>
      <c r="CL11" s="100">
        <v>10</v>
      </c>
      <c r="CM11" s="100">
        <v>5328</v>
      </c>
      <c r="CN11" s="100">
        <v>8</v>
      </c>
      <c r="CO11" s="100">
        <v>4262.3999999999996</v>
      </c>
      <c r="CP11" s="100">
        <v>8</v>
      </c>
      <c r="CQ11" s="100">
        <v>4262.3999999999996</v>
      </c>
      <c r="CR11" s="100">
        <v>10</v>
      </c>
      <c r="CS11" s="100">
        <v>5328</v>
      </c>
      <c r="CT11" s="100">
        <v>8.2151879971196085</v>
      </c>
      <c r="CU11" s="100">
        <v>4377.0521648653266</v>
      </c>
    </row>
    <row r="12" spans="1:99">
      <c r="C12" s="99" t="s">
        <v>178</v>
      </c>
      <c r="D12" s="100">
        <v>9.1456084237894455</v>
      </c>
      <c r="E12" s="100">
        <v>5147.1484209086993</v>
      </c>
      <c r="F12" s="100">
        <v>6</v>
      </c>
      <c r="G12" s="100">
        <v>3376.7999999999997</v>
      </c>
      <c r="H12" s="100">
        <v>10</v>
      </c>
      <c r="I12" s="100">
        <v>5628</v>
      </c>
      <c r="J12" s="100">
        <v>9</v>
      </c>
      <c r="K12" s="100">
        <v>5065.2</v>
      </c>
      <c r="L12" s="100">
        <v>11</v>
      </c>
      <c r="M12" s="100">
        <v>6190.7999999999993</v>
      </c>
      <c r="N12" s="100">
        <v>3.544179858519358</v>
      </c>
      <c r="O12" s="100">
        <v>1994.6644243746946</v>
      </c>
      <c r="P12" s="100">
        <v>11</v>
      </c>
      <c r="Q12" s="100">
        <v>6190.7999999999993</v>
      </c>
      <c r="R12" s="100">
        <v>5.4635927133711464</v>
      </c>
      <c r="S12" s="100">
        <v>3074.9099790852811</v>
      </c>
      <c r="T12" s="100">
        <v>10</v>
      </c>
      <c r="U12" s="100">
        <v>5628</v>
      </c>
      <c r="V12" s="100">
        <v>9</v>
      </c>
      <c r="W12" s="100">
        <v>5065.2</v>
      </c>
      <c r="X12" s="100">
        <v>3.0194118086252377</v>
      </c>
      <c r="Y12" s="100">
        <v>1699.3249658942837</v>
      </c>
      <c r="Z12" s="100">
        <v>6</v>
      </c>
      <c r="AA12" s="100">
        <v>3376.7999999999997</v>
      </c>
      <c r="AB12" s="100">
        <v>7</v>
      </c>
      <c r="AC12" s="100">
        <v>3939.5999999999995</v>
      </c>
      <c r="AD12" s="100">
        <v>9</v>
      </c>
      <c r="AE12" s="100">
        <v>5065.2</v>
      </c>
      <c r="AF12" s="100">
        <v>9.6004889034072445</v>
      </c>
      <c r="AG12" s="100">
        <v>5403.1551548375965</v>
      </c>
      <c r="AH12" s="100">
        <v>10</v>
      </c>
      <c r="AI12" s="100">
        <v>5628</v>
      </c>
      <c r="AJ12" s="100">
        <v>7</v>
      </c>
      <c r="AK12" s="100">
        <v>3939.5999999999995</v>
      </c>
      <c r="AL12" s="100">
        <v>0.90933746622243361</v>
      </c>
      <c r="AM12" s="100">
        <v>511.77512598998561</v>
      </c>
      <c r="AN12" s="100">
        <v>11</v>
      </c>
      <c r="AO12" s="100">
        <v>6190.7999999999993</v>
      </c>
      <c r="AP12" s="100">
        <v>9</v>
      </c>
      <c r="AQ12" s="100">
        <v>5065.2</v>
      </c>
      <c r="AR12" s="100">
        <v>10</v>
      </c>
      <c r="AS12" s="100">
        <v>5628</v>
      </c>
      <c r="AT12" s="100">
        <v>7</v>
      </c>
      <c r="AU12" s="100">
        <v>3939.5999999999995</v>
      </c>
      <c r="AV12" s="100">
        <v>9</v>
      </c>
      <c r="AW12" s="100">
        <v>5065.2</v>
      </c>
      <c r="AX12" s="100">
        <v>6.9000761531535169</v>
      </c>
      <c r="AY12" s="100">
        <v>3883.3628589947989</v>
      </c>
      <c r="AZ12" s="100">
        <v>3.0313369098493501</v>
      </c>
      <c r="BA12" s="100">
        <v>1706.0364128632141</v>
      </c>
      <c r="BB12" s="100">
        <v>11</v>
      </c>
      <c r="BC12" s="100">
        <v>6190.7999999999993</v>
      </c>
      <c r="BD12" s="100">
        <v>8</v>
      </c>
      <c r="BE12" s="100">
        <v>4502.3999999999996</v>
      </c>
      <c r="BF12" s="100">
        <v>12</v>
      </c>
      <c r="BG12" s="100">
        <v>6753.5999999999995</v>
      </c>
      <c r="BH12" s="100">
        <v>3.8323057744686881</v>
      </c>
      <c r="BI12" s="100">
        <v>2156.8216898709775</v>
      </c>
      <c r="BJ12" s="100">
        <v>7</v>
      </c>
      <c r="BK12" s="100">
        <v>3939.5999999999995</v>
      </c>
      <c r="BL12" s="100">
        <v>7</v>
      </c>
      <c r="BM12" s="100">
        <v>3939.5999999999995</v>
      </c>
      <c r="BN12" s="100">
        <v>13</v>
      </c>
      <c r="BO12" s="100">
        <v>7316.4</v>
      </c>
      <c r="BP12" s="100">
        <v>12</v>
      </c>
      <c r="BQ12" s="100">
        <v>6753.5999999999995</v>
      </c>
      <c r="BR12" s="100">
        <v>1.6280616796258833</v>
      </c>
      <c r="BS12" s="100">
        <v>916.27311329344707</v>
      </c>
      <c r="BT12" s="100">
        <v>5.9544055147083208</v>
      </c>
      <c r="BU12" s="100">
        <v>3351.1394236778428</v>
      </c>
      <c r="BV12" s="100">
        <v>9</v>
      </c>
      <c r="BW12" s="100">
        <v>5065.2</v>
      </c>
      <c r="BX12" s="100">
        <v>12</v>
      </c>
      <c r="BY12" s="100">
        <v>6753.5999999999995</v>
      </c>
      <c r="BZ12" s="100">
        <v>6</v>
      </c>
      <c r="CA12" s="100">
        <v>3376.7999999999997</v>
      </c>
      <c r="CB12" s="100">
        <v>4.4710516569431018</v>
      </c>
      <c r="CC12" s="100">
        <v>2516.3078725275773</v>
      </c>
      <c r="CD12" s="100">
        <v>0</v>
      </c>
      <c r="CE12" s="100">
        <v>0</v>
      </c>
      <c r="CF12" s="100">
        <v>10</v>
      </c>
      <c r="CG12" s="100">
        <v>5628</v>
      </c>
      <c r="CH12" s="100">
        <v>11</v>
      </c>
      <c r="CI12" s="100">
        <v>6190.7999999999993</v>
      </c>
      <c r="CJ12" s="100">
        <v>7</v>
      </c>
      <c r="CK12" s="100">
        <v>3939.5999999999995</v>
      </c>
      <c r="CL12" s="100">
        <v>10</v>
      </c>
      <c r="CM12" s="100">
        <v>5628</v>
      </c>
      <c r="CN12" s="100">
        <v>8</v>
      </c>
      <c r="CO12" s="100">
        <v>4502.3999999999996</v>
      </c>
      <c r="CP12" s="100">
        <v>8</v>
      </c>
      <c r="CQ12" s="100">
        <v>4502.3999999999996</v>
      </c>
      <c r="CR12" s="100">
        <v>11</v>
      </c>
      <c r="CS12" s="100">
        <v>6190.7999999999993</v>
      </c>
      <c r="CT12" s="100">
        <v>7.3936691974076476</v>
      </c>
      <c r="CU12" s="100">
        <v>4161.1570243010237</v>
      </c>
    </row>
    <row r="13" spans="1:99">
      <c r="C13" s="99" t="s">
        <v>179</v>
      </c>
      <c r="D13" s="100">
        <v>10.974730108547336</v>
      </c>
      <c r="E13" s="100">
        <v>935.04700524823306</v>
      </c>
      <c r="F13" s="100">
        <v>5</v>
      </c>
      <c r="G13" s="100">
        <v>426</v>
      </c>
      <c r="H13" s="100">
        <v>10</v>
      </c>
      <c r="I13" s="100">
        <v>852</v>
      </c>
      <c r="J13" s="100">
        <v>8</v>
      </c>
      <c r="K13" s="100">
        <v>681.6</v>
      </c>
      <c r="L13" s="100">
        <v>10</v>
      </c>
      <c r="M13" s="100">
        <v>852</v>
      </c>
      <c r="N13" s="100">
        <v>3.544179858519358</v>
      </c>
      <c r="O13" s="100">
        <v>301.96412394584934</v>
      </c>
      <c r="P13" s="100">
        <v>12</v>
      </c>
      <c r="Q13" s="100">
        <v>1022.4000000000001</v>
      </c>
      <c r="R13" s="100">
        <v>5.4635927133711464</v>
      </c>
      <c r="S13" s="100">
        <v>465.4980991792217</v>
      </c>
      <c r="T13" s="100">
        <v>10</v>
      </c>
      <c r="U13" s="100">
        <v>852</v>
      </c>
      <c r="V13" s="100">
        <v>11</v>
      </c>
      <c r="W13" s="100">
        <v>937.2</v>
      </c>
      <c r="X13" s="100">
        <v>3.0194118086252377</v>
      </c>
      <c r="Y13" s="100">
        <v>257.25388609487027</v>
      </c>
      <c r="Z13" s="100">
        <v>7</v>
      </c>
      <c r="AA13" s="100">
        <v>596.4</v>
      </c>
      <c r="AB13" s="100">
        <v>7</v>
      </c>
      <c r="AC13" s="100">
        <v>596.4</v>
      </c>
      <c r="AD13" s="100">
        <v>8</v>
      </c>
      <c r="AE13" s="100">
        <v>681.6</v>
      </c>
      <c r="AF13" s="100">
        <v>9.6004889034072445</v>
      </c>
      <c r="AG13" s="100">
        <v>817.96165457029724</v>
      </c>
      <c r="AH13" s="100">
        <v>12</v>
      </c>
      <c r="AI13" s="100">
        <v>1022.4000000000001</v>
      </c>
      <c r="AJ13" s="100">
        <v>6</v>
      </c>
      <c r="AK13" s="100">
        <v>511.20000000000005</v>
      </c>
      <c r="AL13" s="100">
        <v>0.90933746622243361</v>
      </c>
      <c r="AM13" s="100">
        <v>77.475552122151342</v>
      </c>
      <c r="AN13" s="100">
        <v>11</v>
      </c>
      <c r="AO13" s="100">
        <v>937.2</v>
      </c>
      <c r="AP13" s="100">
        <v>9</v>
      </c>
      <c r="AQ13" s="100">
        <v>766.80000000000007</v>
      </c>
      <c r="AR13" s="100">
        <v>11</v>
      </c>
      <c r="AS13" s="100">
        <v>937.2</v>
      </c>
      <c r="AT13" s="100">
        <v>7</v>
      </c>
      <c r="AU13" s="100">
        <v>596.4</v>
      </c>
      <c r="AV13" s="100">
        <v>10</v>
      </c>
      <c r="AW13" s="100">
        <v>852</v>
      </c>
      <c r="AX13" s="100">
        <v>7.8858013178897339</v>
      </c>
      <c r="AY13" s="100">
        <v>671.87027228420538</v>
      </c>
      <c r="AZ13" s="100">
        <v>2.7787255006952378</v>
      </c>
      <c r="BA13" s="100">
        <v>236.74741265923427</v>
      </c>
      <c r="BB13" s="100">
        <v>13</v>
      </c>
      <c r="BC13" s="100">
        <v>1107.6000000000001</v>
      </c>
      <c r="BD13" s="100">
        <v>7</v>
      </c>
      <c r="BE13" s="100">
        <v>596.4</v>
      </c>
      <c r="BF13" s="100">
        <v>13</v>
      </c>
      <c r="BG13" s="100">
        <v>1107.6000000000001</v>
      </c>
      <c r="BH13" s="100">
        <v>3.4064940217499449</v>
      </c>
      <c r="BI13" s="100">
        <v>290.23329065309531</v>
      </c>
      <c r="BJ13" s="100">
        <v>8</v>
      </c>
      <c r="BK13" s="100">
        <v>681.6</v>
      </c>
      <c r="BL13" s="100">
        <v>6</v>
      </c>
      <c r="BM13" s="100">
        <v>511.20000000000005</v>
      </c>
      <c r="BN13" s="100">
        <v>14</v>
      </c>
      <c r="BO13" s="100">
        <v>1192.8</v>
      </c>
      <c r="BP13" s="100">
        <v>11</v>
      </c>
      <c r="BQ13" s="100">
        <v>937.2</v>
      </c>
      <c r="BR13" s="100">
        <v>1.6280616796258833</v>
      </c>
      <c r="BS13" s="100">
        <v>138.71085510412527</v>
      </c>
      <c r="BT13" s="100">
        <v>7.4430068933854008</v>
      </c>
      <c r="BU13" s="100">
        <v>634.14418731643616</v>
      </c>
      <c r="BV13" s="100">
        <v>9</v>
      </c>
      <c r="BW13" s="100">
        <v>766.80000000000007</v>
      </c>
      <c r="BX13" s="100">
        <v>12</v>
      </c>
      <c r="BY13" s="100">
        <v>1022.4000000000001</v>
      </c>
      <c r="BZ13" s="100">
        <v>7</v>
      </c>
      <c r="CA13" s="100">
        <v>596.4</v>
      </c>
      <c r="CB13" s="100">
        <v>4.4710516569431018</v>
      </c>
      <c r="CC13" s="100">
        <v>380.93360117155231</v>
      </c>
      <c r="CD13" s="100">
        <v>0</v>
      </c>
      <c r="CE13" s="100">
        <v>0</v>
      </c>
      <c r="CF13" s="100">
        <v>10</v>
      </c>
      <c r="CG13" s="100">
        <v>852</v>
      </c>
      <c r="CH13" s="100">
        <v>9</v>
      </c>
      <c r="CI13" s="100">
        <v>766.80000000000007</v>
      </c>
      <c r="CJ13" s="100">
        <v>7</v>
      </c>
      <c r="CK13" s="100">
        <v>596.4</v>
      </c>
      <c r="CL13" s="100">
        <v>11</v>
      </c>
      <c r="CM13" s="100">
        <v>937.2</v>
      </c>
      <c r="CN13" s="100">
        <v>8</v>
      </c>
      <c r="CO13" s="100">
        <v>681.6</v>
      </c>
      <c r="CP13" s="100">
        <v>8</v>
      </c>
      <c r="CQ13" s="100">
        <v>681.6</v>
      </c>
      <c r="CR13" s="100">
        <v>12</v>
      </c>
      <c r="CS13" s="100">
        <v>1022.4000000000001</v>
      </c>
      <c r="CT13" s="100">
        <v>9.0367067968315702</v>
      </c>
      <c r="CU13" s="100">
        <v>769.92741909004985</v>
      </c>
    </row>
    <row r="14" spans="1:99">
      <c r="C14" s="99" t="s">
        <v>180</v>
      </c>
      <c r="D14" s="100">
        <v>10.060169266168391</v>
      </c>
      <c r="E14" s="100">
        <v>4913.3866695966417</v>
      </c>
      <c r="F14" s="100">
        <v>6</v>
      </c>
      <c r="G14" s="100">
        <v>2930.3999999999996</v>
      </c>
      <c r="H14" s="100">
        <v>10</v>
      </c>
      <c r="I14" s="100">
        <v>4884</v>
      </c>
      <c r="J14" s="100">
        <v>8</v>
      </c>
      <c r="K14" s="100">
        <v>3907.2</v>
      </c>
      <c r="L14" s="100">
        <v>9</v>
      </c>
      <c r="M14" s="100">
        <v>4395.5999999999995</v>
      </c>
      <c r="N14" s="100">
        <v>3.0378684501594497</v>
      </c>
      <c r="O14" s="100">
        <v>1483.6949510578752</v>
      </c>
      <c r="P14" s="100">
        <v>10</v>
      </c>
      <c r="Q14" s="100">
        <v>4884</v>
      </c>
      <c r="R14" s="100">
        <v>5.4635927133711464</v>
      </c>
      <c r="S14" s="100">
        <v>2668.4186812104676</v>
      </c>
      <c r="T14" s="100">
        <v>11</v>
      </c>
      <c r="U14" s="100">
        <v>5372.4</v>
      </c>
      <c r="V14" s="100">
        <v>10</v>
      </c>
      <c r="W14" s="100">
        <v>4884</v>
      </c>
      <c r="X14" s="100">
        <v>2.3484314067085186</v>
      </c>
      <c r="Y14" s="100">
        <v>1146.9738990364403</v>
      </c>
      <c r="Z14" s="100">
        <v>7</v>
      </c>
      <c r="AA14" s="100">
        <v>3418.7999999999997</v>
      </c>
      <c r="AB14" s="100">
        <v>6</v>
      </c>
      <c r="AC14" s="100">
        <v>2930.3999999999996</v>
      </c>
      <c r="AD14" s="100">
        <v>8</v>
      </c>
      <c r="AE14" s="100">
        <v>3907.2</v>
      </c>
      <c r="AF14" s="100">
        <v>9.6004889034072445</v>
      </c>
      <c r="AG14" s="100">
        <v>4688.8787804240983</v>
      </c>
      <c r="AH14" s="100">
        <v>10</v>
      </c>
      <c r="AI14" s="100">
        <v>4884</v>
      </c>
      <c r="AJ14" s="100">
        <v>7</v>
      </c>
      <c r="AK14" s="100">
        <v>3418.7999999999997</v>
      </c>
      <c r="AL14" s="100">
        <v>0.90933746622243361</v>
      </c>
      <c r="AM14" s="100">
        <v>444.12041850303655</v>
      </c>
      <c r="AN14" s="100">
        <v>12</v>
      </c>
      <c r="AO14" s="100">
        <v>5860.7999999999993</v>
      </c>
      <c r="AP14" s="100">
        <v>8</v>
      </c>
      <c r="AQ14" s="100">
        <v>3907.2</v>
      </c>
      <c r="AR14" s="100">
        <v>10</v>
      </c>
      <c r="AS14" s="100">
        <v>4884</v>
      </c>
      <c r="AT14" s="100">
        <v>7</v>
      </c>
      <c r="AU14" s="100">
        <v>3418.7999999999997</v>
      </c>
      <c r="AV14" s="100">
        <v>9</v>
      </c>
      <c r="AW14" s="100">
        <v>4395.5999999999995</v>
      </c>
      <c r="AX14" s="100">
        <v>6.9000761531535169</v>
      </c>
      <c r="AY14" s="100">
        <v>3369.9971932001777</v>
      </c>
      <c r="AZ14" s="100">
        <v>2.7787255006952378</v>
      </c>
      <c r="BA14" s="100">
        <v>1357.129534539554</v>
      </c>
      <c r="BB14" s="100">
        <v>12</v>
      </c>
      <c r="BC14" s="100">
        <v>5860.7999999999993</v>
      </c>
      <c r="BD14" s="100">
        <v>8</v>
      </c>
      <c r="BE14" s="100">
        <v>3907.2</v>
      </c>
      <c r="BF14" s="100">
        <v>11</v>
      </c>
      <c r="BG14" s="100">
        <v>5372.4</v>
      </c>
      <c r="BH14" s="100">
        <v>3.4064940217499449</v>
      </c>
      <c r="BI14" s="100">
        <v>1663.731680222673</v>
      </c>
      <c r="BJ14" s="100">
        <v>7</v>
      </c>
      <c r="BK14" s="100">
        <v>3418.7999999999997</v>
      </c>
      <c r="BL14" s="100">
        <v>6</v>
      </c>
      <c r="BM14" s="100">
        <v>2930.3999999999996</v>
      </c>
      <c r="BN14" s="100">
        <v>12</v>
      </c>
      <c r="BO14" s="100">
        <v>5860.7999999999993</v>
      </c>
      <c r="BP14" s="100">
        <v>11</v>
      </c>
      <c r="BQ14" s="100">
        <v>5372.4</v>
      </c>
      <c r="BR14" s="100">
        <v>1.4923898729903933</v>
      </c>
      <c r="BS14" s="100">
        <v>728.88321396850802</v>
      </c>
      <c r="BT14" s="100">
        <v>7.4430068933854008</v>
      </c>
      <c r="BU14" s="100">
        <v>3635.1645667294297</v>
      </c>
      <c r="BV14" s="100">
        <v>8</v>
      </c>
      <c r="BW14" s="100">
        <v>3907.2</v>
      </c>
      <c r="BX14" s="100">
        <v>13</v>
      </c>
      <c r="BY14" s="100">
        <v>6349.2</v>
      </c>
      <c r="BZ14" s="100">
        <v>7</v>
      </c>
      <c r="CA14" s="100">
        <v>3418.7999999999997</v>
      </c>
      <c r="CB14" s="100">
        <v>5.1097733222206889</v>
      </c>
      <c r="CC14" s="100">
        <v>2495.6132905725844</v>
      </c>
      <c r="CD14" s="100">
        <v>0</v>
      </c>
      <c r="CE14" s="100">
        <v>0</v>
      </c>
      <c r="CF14" s="100">
        <v>11</v>
      </c>
      <c r="CG14" s="100">
        <v>5372.4</v>
      </c>
      <c r="CH14" s="100">
        <v>10</v>
      </c>
      <c r="CI14" s="100">
        <v>4884</v>
      </c>
      <c r="CJ14" s="100">
        <v>8</v>
      </c>
      <c r="CK14" s="100">
        <v>3907.2</v>
      </c>
      <c r="CL14" s="100">
        <v>10</v>
      </c>
      <c r="CM14" s="100">
        <v>4884</v>
      </c>
      <c r="CN14" s="100">
        <v>8</v>
      </c>
      <c r="CO14" s="100">
        <v>3907.2</v>
      </c>
      <c r="CP14" s="100">
        <v>7</v>
      </c>
      <c r="CQ14" s="100">
        <v>3418.7999999999997</v>
      </c>
      <c r="CR14" s="100">
        <v>10</v>
      </c>
      <c r="CS14" s="100">
        <v>4884</v>
      </c>
      <c r="CT14" s="100">
        <v>9.0367067968315702</v>
      </c>
      <c r="CU14" s="100">
        <v>4413.5275995725387</v>
      </c>
    </row>
    <row r="15" spans="1:99">
      <c r="C15" s="99" t="s">
        <v>181</v>
      </c>
      <c r="D15" s="100">
        <v>9.1456084237894455</v>
      </c>
      <c r="E15" s="100">
        <v>6979.928349036104</v>
      </c>
      <c r="F15" s="100">
        <v>6</v>
      </c>
      <c r="G15" s="100">
        <v>4579.2</v>
      </c>
      <c r="H15" s="100">
        <v>10</v>
      </c>
      <c r="I15" s="100">
        <v>7631.9999999999991</v>
      </c>
      <c r="J15" s="100">
        <v>8</v>
      </c>
      <c r="K15" s="100">
        <v>6105.5999999999995</v>
      </c>
      <c r="L15" s="100">
        <v>9</v>
      </c>
      <c r="M15" s="100">
        <v>6868.7999999999993</v>
      </c>
      <c r="N15" s="100">
        <v>3.0378684501594497</v>
      </c>
      <c r="O15" s="100">
        <v>2318.5012011616918</v>
      </c>
      <c r="P15" s="100">
        <v>10</v>
      </c>
      <c r="Q15" s="100">
        <v>7631.9999999999991</v>
      </c>
      <c r="R15" s="100">
        <v>5.4635927133711464</v>
      </c>
      <c r="S15" s="100">
        <v>4169.8139588448585</v>
      </c>
      <c r="T15" s="100">
        <v>10</v>
      </c>
      <c r="U15" s="100">
        <v>7631.9999999999991</v>
      </c>
      <c r="V15" s="100">
        <v>9</v>
      </c>
      <c r="W15" s="100">
        <v>6868.7999999999993</v>
      </c>
      <c r="X15" s="100">
        <v>2.6839216076668779</v>
      </c>
      <c r="Y15" s="100">
        <v>2048.3689709713613</v>
      </c>
      <c r="Z15" s="100">
        <v>6</v>
      </c>
      <c r="AA15" s="100">
        <v>4579.2</v>
      </c>
      <c r="AB15" s="100">
        <v>6</v>
      </c>
      <c r="AC15" s="100">
        <v>4579.2</v>
      </c>
      <c r="AD15" s="100">
        <v>9</v>
      </c>
      <c r="AE15" s="100">
        <v>6868.7999999999993</v>
      </c>
      <c r="AF15" s="100">
        <v>9.6004889034072445</v>
      </c>
      <c r="AG15" s="100">
        <v>7327.0931310804081</v>
      </c>
      <c r="AH15" s="100">
        <v>10</v>
      </c>
      <c r="AI15" s="100">
        <v>7631.9999999999991</v>
      </c>
      <c r="AJ15" s="100">
        <v>6</v>
      </c>
      <c r="AK15" s="100">
        <v>4579.2</v>
      </c>
      <c r="AL15" s="100">
        <v>1.0103749624693708</v>
      </c>
      <c r="AM15" s="100">
        <v>771.11817135662363</v>
      </c>
      <c r="AN15" s="100">
        <v>11</v>
      </c>
      <c r="AO15" s="100">
        <v>8395.1999999999989</v>
      </c>
      <c r="AP15" s="100">
        <v>9</v>
      </c>
      <c r="AQ15" s="100">
        <v>6868.7999999999993</v>
      </c>
      <c r="AR15" s="100">
        <v>11</v>
      </c>
      <c r="AS15" s="100">
        <v>8395.1999999999989</v>
      </c>
      <c r="AT15" s="100">
        <v>6</v>
      </c>
      <c r="AU15" s="100">
        <v>4579.2</v>
      </c>
      <c r="AV15" s="100">
        <v>9</v>
      </c>
      <c r="AW15" s="100">
        <v>6868.7999999999993</v>
      </c>
      <c r="AX15" s="100">
        <v>6.9000761531535169</v>
      </c>
      <c r="AY15" s="100">
        <v>5266.1381200867636</v>
      </c>
      <c r="AZ15" s="100">
        <v>2.7787255006952378</v>
      </c>
      <c r="BA15" s="100">
        <v>2120.7233021306051</v>
      </c>
      <c r="BB15" s="100">
        <v>11</v>
      </c>
      <c r="BC15" s="100">
        <v>8395.1999999999989</v>
      </c>
      <c r="BD15" s="100">
        <v>8</v>
      </c>
      <c r="BE15" s="100">
        <v>6105.5999999999995</v>
      </c>
      <c r="BF15" s="100">
        <v>12</v>
      </c>
      <c r="BG15" s="100">
        <v>9158.4</v>
      </c>
      <c r="BH15" s="100">
        <v>3.4064940217499449</v>
      </c>
      <c r="BI15" s="100">
        <v>2599.8362373995578</v>
      </c>
      <c r="BJ15" s="100">
        <v>7</v>
      </c>
      <c r="BK15" s="100">
        <v>5342.4</v>
      </c>
      <c r="BL15" s="100">
        <v>6</v>
      </c>
      <c r="BM15" s="100">
        <v>4579.2</v>
      </c>
      <c r="BN15" s="100">
        <v>13</v>
      </c>
      <c r="BO15" s="100">
        <v>9921.5999999999985</v>
      </c>
      <c r="BP15" s="100">
        <v>10</v>
      </c>
      <c r="BQ15" s="100">
        <v>7631.9999999999991</v>
      </c>
      <c r="BR15" s="100">
        <v>1.4923898729903933</v>
      </c>
      <c r="BS15" s="100">
        <v>1138.991951066268</v>
      </c>
      <c r="BT15" s="100">
        <v>5.9544055147083208</v>
      </c>
      <c r="BU15" s="100">
        <v>4544.4022888253903</v>
      </c>
      <c r="BV15" s="100">
        <v>8</v>
      </c>
      <c r="BW15" s="100">
        <v>6105.5999999999995</v>
      </c>
      <c r="BX15" s="100">
        <v>12</v>
      </c>
      <c r="BY15" s="100">
        <v>9158.4</v>
      </c>
      <c r="BZ15" s="100">
        <v>6</v>
      </c>
      <c r="CA15" s="100">
        <v>4579.2</v>
      </c>
      <c r="CB15" s="100">
        <v>4.4710516569431018</v>
      </c>
      <c r="CC15" s="100">
        <v>3412.3066245789751</v>
      </c>
      <c r="CD15" s="100">
        <v>0</v>
      </c>
      <c r="CE15" s="100">
        <v>0</v>
      </c>
      <c r="CF15" s="100">
        <v>10</v>
      </c>
      <c r="CG15" s="100">
        <v>7631.9999999999991</v>
      </c>
      <c r="CH15" s="100">
        <v>10</v>
      </c>
      <c r="CI15" s="100">
        <v>7631.9999999999991</v>
      </c>
      <c r="CJ15" s="100">
        <v>8</v>
      </c>
      <c r="CK15" s="100">
        <v>6105.5999999999995</v>
      </c>
      <c r="CL15" s="100">
        <v>10</v>
      </c>
      <c r="CM15" s="100">
        <v>7631.9999999999991</v>
      </c>
      <c r="CN15" s="100">
        <v>8</v>
      </c>
      <c r="CO15" s="100">
        <v>6105.5999999999995</v>
      </c>
      <c r="CP15" s="100">
        <v>8</v>
      </c>
      <c r="CQ15" s="100">
        <v>6105.5999999999995</v>
      </c>
      <c r="CR15" s="100">
        <v>9</v>
      </c>
      <c r="CS15" s="100">
        <v>6868.7999999999993</v>
      </c>
      <c r="CT15" s="100">
        <v>8.2151879971196085</v>
      </c>
      <c r="CU15" s="100">
        <v>6269.8314794016842</v>
      </c>
    </row>
    <row r="16" spans="1:99">
      <c r="C16" s="99" t="s">
        <v>182</v>
      </c>
      <c r="D16" s="100">
        <v>10.060169266168391</v>
      </c>
      <c r="E16" s="100">
        <v>3428.5056859101878</v>
      </c>
      <c r="F16" s="100">
        <v>6</v>
      </c>
      <c r="G16" s="100">
        <v>2044.8000000000002</v>
      </c>
      <c r="H16" s="100">
        <v>9</v>
      </c>
      <c r="I16" s="100">
        <v>3067.2000000000003</v>
      </c>
      <c r="J16" s="100">
        <v>9</v>
      </c>
      <c r="K16" s="100">
        <v>3067.2000000000003</v>
      </c>
      <c r="L16" s="100">
        <v>10</v>
      </c>
      <c r="M16" s="100">
        <v>3408</v>
      </c>
      <c r="N16" s="100">
        <v>3.544179858519358</v>
      </c>
      <c r="O16" s="100">
        <v>1207.8564957833973</v>
      </c>
      <c r="P16" s="100">
        <v>11</v>
      </c>
      <c r="Q16" s="100">
        <v>3748.8</v>
      </c>
      <c r="R16" s="100">
        <v>5.4635927133711464</v>
      </c>
      <c r="S16" s="100">
        <v>1861.9923967168868</v>
      </c>
      <c r="T16" s="100">
        <v>10</v>
      </c>
      <c r="U16" s="100">
        <v>3408</v>
      </c>
      <c r="V16" s="100">
        <v>11</v>
      </c>
      <c r="W16" s="100">
        <v>3748.8</v>
      </c>
      <c r="X16" s="100">
        <v>2.6839216076668779</v>
      </c>
      <c r="Y16" s="100">
        <v>914.68048389287208</v>
      </c>
      <c r="Z16" s="100">
        <v>6</v>
      </c>
      <c r="AA16" s="100">
        <v>2044.8000000000002</v>
      </c>
      <c r="AB16" s="100">
        <v>6</v>
      </c>
      <c r="AC16" s="100">
        <v>2044.8000000000002</v>
      </c>
      <c r="AD16" s="100">
        <v>8</v>
      </c>
      <c r="AE16" s="100">
        <v>2726.4</v>
      </c>
      <c r="AF16" s="100">
        <v>9.6004889034072445</v>
      </c>
      <c r="AG16" s="100">
        <v>3271.846618281189</v>
      </c>
      <c r="AH16" s="100">
        <v>11</v>
      </c>
      <c r="AI16" s="100">
        <v>3748.8</v>
      </c>
      <c r="AJ16" s="100">
        <v>6</v>
      </c>
      <c r="AK16" s="100">
        <v>2044.8000000000002</v>
      </c>
      <c r="AL16" s="100">
        <v>0.80829996997549658</v>
      </c>
      <c r="AM16" s="100">
        <v>275.46862976764925</v>
      </c>
      <c r="AN16" s="100">
        <v>12</v>
      </c>
      <c r="AO16" s="100">
        <v>4089.6000000000004</v>
      </c>
      <c r="AP16" s="100">
        <v>8</v>
      </c>
      <c r="AQ16" s="100">
        <v>2726.4</v>
      </c>
      <c r="AR16" s="100">
        <v>11</v>
      </c>
      <c r="AS16" s="100">
        <v>3748.8</v>
      </c>
      <c r="AT16" s="100">
        <v>7</v>
      </c>
      <c r="AU16" s="100">
        <v>2385.6</v>
      </c>
      <c r="AV16" s="100">
        <v>9</v>
      </c>
      <c r="AW16" s="100">
        <v>3067.2000000000003</v>
      </c>
      <c r="AX16" s="100">
        <v>6.9000761531535169</v>
      </c>
      <c r="AY16" s="100">
        <v>2351.5459529947188</v>
      </c>
      <c r="AZ16" s="100">
        <v>3.2839483190034624</v>
      </c>
      <c r="BA16" s="100">
        <v>1119.1695871163799</v>
      </c>
      <c r="BB16" s="100">
        <v>13</v>
      </c>
      <c r="BC16" s="100">
        <v>4430.4000000000005</v>
      </c>
      <c r="BD16" s="100">
        <v>7</v>
      </c>
      <c r="BE16" s="100">
        <v>2385.6</v>
      </c>
      <c r="BF16" s="100">
        <v>13</v>
      </c>
      <c r="BG16" s="100">
        <v>4430.4000000000005</v>
      </c>
      <c r="BH16" s="100">
        <v>3.4064940217499449</v>
      </c>
      <c r="BI16" s="100">
        <v>1160.9331626123812</v>
      </c>
      <c r="BJ16" s="100">
        <v>7</v>
      </c>
      <c r="BK16" s="100">
        <v>2385.6</v>
      </c>
      <c r="BL16" s="100">
        <v>6</v>
      </c>
      <c r="BM16" s="100">
        <v>2044.8000000000002</v>
      </c>
      <c r="BN16" s="100">
        <v>13</v>
      </c>
      <c r="BO16" s="100">
        <v>4430.4000000000005</v>
      </c>
      <c r="BP16" s="100">
        <v>11</v>
      </c>
      <c r="BQ16" s="100">
        <v>3748.8</v>
      </c>
      <c r="BR16" s="100">
        <v>1.6280616796258833</v>
      </c>
      <c r="BS16" s="100">
        <v>554.84342041650109</v>
      </c>
      <c r="BT16" s="100">
        <v>7.4430068933854008</v>
      </c>
      <c r="BU16" s="100">
        <v>2536.5767492657446</v>
      </c>
      <c r="BV16" s="100">
        <v>9</v>
      </c>
      <c r="BW16" s="100">
        <v>3067.2000000000003</v>
      </c>
      <c r="BX16" s="100">
        <v>13</v>
      </c>
      <c r="BY16" s="100">
        <v>4430.4000000000005</v>
      </c>
      <c r="BZ16" s="100">
        <v>7</v>
      </c>
      <c r="CA16" s="100">
        <v>2385.6</v>
      </c>
      <c r="CB16" s="100">
        <v>4.4710516569431018</v>
      </c>
      <c r="CC16" s="100">
        <v>1523.7344046862092</v>
      </c>
      <c r="CD16" s="100">
        <v>0</v>
      </c>
      <c r="CE16" s="100">
        <v>0</v>
      </c>
      <c r="CF16" s="100">
        <v>10</v>
      </c>
      <c r="CG16" s="100">
        <v>3408</v>
      </c>
      <c r="CH16" s="100">
        <v>10</v>
      </c>
      <c r="CI16" s="100">
        <v>3408</v>
      </c>
      <c r="CJ16" s="100">
        <v>8</v>
      </c>
      <c r="CK16" s="100">
        <v>2726.4</v>
      </c>
      <c r="CL16" s="100">
        <v>11</v>
      </c>
      <c r="CM16" s="100">
        <v>3748.8</v>
      </c>
      <c r="CN16" s="100">
        <v>8</v>
      </c>
      <c r="CO16" s="100">
        <v>2726.4</v>
      </c>
      <c r="CP16" s="100">
        <v>7</v>
      </c>
      <c r="CQ16" s="100">
        <v>2385.6</v>
      </c>
      <c r="CR16" s="100">
        <v>10</v>
      </c>
      <c r="CS16" s="100">
        <v>3408</v>
      </c>
      <c r="CT16" s="100">
        <v>9.0367067968315702</v>
      </c>
      <c r="CU16" s="100">
        <v>3079.7096763601994</v>
      </c>
    </row>
    <row r="17" spans="2:99">
      <c r="C17" s="99" t="s">
        <v>183</v>
      </c>
      <c r="D17" s="100">
        <v>9.1456084237894455</v>
      </c>
      <c r="E17" s="100">
        <v>3863.1049982086615</v>
      </c>
      <c r="F17" s="100">
        <v>6</v>
      </c>
      <c r="G17" s="100">
        <v>2534.3999999999996</v>
      </c>
      <c r="H17" s="100">
        <v>10</v>
      </c>
      <c r="I17" s="100">
        <v>4224</v>
      </c>
      <c r="J17" s="100">
        <v>8</v>
      </c>
      <c r="K17" s="100">
        <v>3379.2</v>
      </c>
      <c r="L17" s="100">
        <v>10</v>
      </c>
      <c r="M17" s="100">
        <v>4224</v>
      </c>
      <c r="N17" s="100">
        <v>3.544179858519358</v>
      </c>
      <c r="O17" s="100">
        <v>1497.0615722385767</v>
      </c>
      <c r="P17" s="100">
        <v>10</v>
      </c>
      <c r="Q17" s="100">
        <v>4224</v>
      </c>
      <c r="R17" s="100">
        <v>5.4635927133711464</v>
      </c>
      <c r="S17" s="100">
        <v>2307.8215621279719</v>
      </c>
      <c r="T17" s="100">
        <v>9</v>
      </c>
      <c r="U17" s="100">
        <v>3801.6</v>
      </c>
      <c r="V17" s="100">
        <v>10</v>
      </c>
      <c r="W17" s="100">
        <v>4224</v>
      </c>
      <c r="X17" s="100">
        <v>3.0194118086252377</v>
      </c>
      <c r="Y17" s="100">
        <v>1275.3995479633004</v>
      </c>
      <c r="Z17" s="100">
        <v>6</v>
      </c>
      <c r="AA17" s="100">
        <v>2534.3999999999996</v>
      </c>
      <c r="AB17" s="100">
        <v>6</v>
      </c>
      <c r="AC17" s="100">
        <v>2534.3999999999996</v>
      </c>
      <c r="AD17" s="100">
        <v>8</v>
      </c>
      <c r="AE17" s="100">
        <v>3379.2</v>
      </c>
      <c r="AF17" s="100">
        <v>8.6404400130665202</v>
      </c>
      <c r="AG17" s="100">
        <v>3649.7218615192978</v>
      </c>
      <c r="AH17" s="100">
        <v>12</v>
      </c>
      <c r="AI17" s="100">
        <v>5068.7999999999993</v>
      </c>
      <c r="AJ17" s="100">
        <v>7</v>
      </c>
      <c r="AK17" s="100">
        <v>2956.7999999999997</v>
      </c>
      <c r="AL17" s="100">
        <v>0.90933746622243361</v>
      </c>
      <c r="AM17" s="100">
        <v>384.10414573235596</v>
      </c>
      <c r="AN17" s="100">
        <v>11</v>
      </c>
      <c r="AO17" s="100">
        <v>4646.3999999999996</v>
      </c>
      <c r="AP17" s="100">
        <v>8</v>
      </c>
      <c r="AQ17" s="100">
        <v>3379.2</v>
      </c>
      <c r="AR17" s="100">
        <v>11</v>
      </c>
      <c r="AS17" s="100">
        <v>4646.3999999999996</v>
      </c>
      <c r="AT17" s="100">
        <v>7</v>
      </c>
      <c r="AU17" s="100">
        <v>2956.7999999999997</v>
      </c>
      <c r="AV17" s="100">
        <v>10</v>
      </c>
      <c r="AW17" s="100">
        <v>4224</v>
      </c>
      <c r="AX17" s="100">
        <v>7.8858013178897339</v>
      </c>
      <c r="AY17" s="100">
        <v>3330.9624766766233</v>
      </c>
      <c r="AZ17" s="100">
        <v>3.2839483190034624</v>
      </c>
      <c r="BA17" s="100">
        <v>1387.1397699470624</v>
      </c>
      <c r="BB17" s="100">
        <v>13</v>
      </c>
      <c r="BC17" s="100">
        <v>5491.2</v>
      </c>
      <c r="BD17" s="100">
        <v>7</v>
      </c>
      <c r="BE17" s="100">
        <v>2956.7999999999997</v>
      </c>
      <c r="BF17" s="100">
        <v>12</v>
      </c>
      <c r="BG17" s="100">
        <v>5068.7999999999993</v>
      </c>
      <c r="BH17" s="100">
        <v>3.4064940217499449</v>
      </c>
      <c r="BI17" s="100">
        <v>1438.9030747871766</v>
      </c>
      <c r="BJ17" s="100">
        <v>8</v>
      </c>
      <c r="BK17" s="100">
        <v>3379.2</v>
      </c>
      <c r="BL17" s="100">
        <v>6</v>
      </c>
      <c r="BM17" s="100">
        <v>2534.3999999999996</v>
      </c>
      <c r="BN17" s="100">
        <v>12</v>
      </c>
      <c r="BO17" s="100">
        <v>5068.7999999999993</v>
      </c>
      <c r="BP17" s="100">
        <v>11</v>
      </c>
      <c r="BQ17" s="100">
        <v>4646.3999999999996</v>
      </c>
      <c r="BR17" s="100">
        <v>1.6280616796258833</v>
      </c>
      <c r="BS17" s="100">
        <v>687.69325347397307</v>
      </c>
      <c r="BT17" s="100">
        <v>6.6987062040468617</v>
      </c>
      <c r="BU17" s="100">
        <v>2829.5335005893944</v>
      </c>
      <c r="BV17" s="100">
        <v>9</v>
      </c>
      <c r="BW17" s="100">
        <v>3801.6</v>
      </c>
      <c r="BX17" s="100">
        <v>12</v>
      </c>
      <c r="BY17" s="100">
        <v>5068.7999999999993</v>
      </c>
      <c r="BZ17" s="100">
        <v>6</v>
      </c>
      <c r="CA17" s="100">
        <v>2534.3999999999996</v>
      </c>
      <c r="CB17" s="100">
        <v>4.4710516569431018</v>
      </c>
      <c r="CC17" s="100">
        <v>1888.572219892766</v>
      </c>
      <c r="CD17" s="100">
        <v>0</v>
      </c>
      <c r="CE17" s="100">
        <v>0</v>
      </c>
      <c r="CF17" s="100">
        <v>11</v>
      </c>
      <c r="CG17" s="100">
        <v>4646.3999999999996</v>
      </c>
      <c r="CH17" s="100">
        <v>10</v>
      </c>
      <c r="CI17" s="100">
        <v>4224</v>
      </c>
      <c r="CJ17" s="100">
        <v>8</v>
      </c>
      <c r="CK17" s="100">
        <v>3379.2</v>
      </c>
      <c r="CL17" s="100">
        <v>11</v>
      </c>
      <c r="CM17" s="100">
        <v>4646.3999999999996</v>
      </c>
      <c r="CN17" s="100">
        <v>8</v>
      </c>
      <c r="CO17" s="100">
        <v>3379.2</v>
      </c>
      <c r="CP17" s="100">
        <v>7</v>
      </c>
      <c r="CQ17" s="100">
        <v>2956.7999999999997</v>
      </c>
      <c r="CR17" s="100">
        <v>10</v>
      </c>
      <c r="CS17" s="100">
        <v>4224</v>
      </c>
      <c r="CT17" s="100">
        <v>7.3936691974076476</v>
      </c>
      <c r="CU17" s="100">
        <v>3123.0858689849902</v>
      </c>
    </row>
    <row r="18" spans="2:99">
      <c r="C18" s="99" t="s">
        <v>184</v>
      </c>
      <c r="D18" s="100">
        <v>10.060169266168391</v>
      </c>
      <c r="E18" s="100">
        <v>6567.2784969547247</v>
      </c>
      <c r="F18" s="100">
        <v>6</v>
      </c>
      <c r="G18" s="100">
        <v>3916.7999999999997</v>
      </c>
      <c r="H18" s="100">
        <v>10</v>
      </c>
      <c r="I18" s="100">
        <v>6528</v>
      </c>
      <c r="J18" s="100">
        <v>9</v>
      </c>
      <c r="K18" s="100">
        <v>5875.2</v>
      </c>
      <c r="L18" s="100">
        <v>10</v>
      </c>
      <c r="M18" s="100">
        <v>6528</v>
      </c>
      <c r="N18" s="100">
        <v>3.544179858519358</v>
      </c>
      <c r="O18" s="100">
        <v>2313.6406116414369</v>
      </c>
      <c r="P18" s="100">
        <v>10</v>
      </c>
      <c r="Q18" s="100">
        <v>6528</v>
      </c>
      <c r="R18" s="100">
        <v>5.4635927133711464</v>
      </c>
      <c r="S18" s="100">
        <v>3566.6333232886841</v>
      </c>
      <c r="T18" s="100">
        <v>9</v>
      </c>
      <c r="U18" s="100">
        <v>5875.2</v>
      </c>
      <c r="V18" s="100">
        <v>10</v>
      </c>
      <c r="W18" s="100">
        <v>6528</v>
      </c>
      <c r="X18" s="100">
        <v>3.0194118086252377</v>
      </c>
      <c r="Y18" s="100">
        <v>1971.072028670555</v>
      </c>
      <c r="Z18" s="100">
        <v>6</v>
      </c>
      <c r="AA18" s="100">
        <v>3916.7999999999997</v>
      </c>
      <c r="AB18" s="100">
        <v>5</v>
      </c>
      <c r="AC18" s="100">
        <v>3264</v>
      </c>
      <c r="AD18" s="100">
        <v>8</v>
      </c>
      <c r="AE18" s="100">
        <v>5222.3999999999996</v>
      </c>
      <c r="AF18" s="100">
        <v>9.6004889034072445</v>
      </c>
      <c r="AG18" s="100">
        <v>6267.1991561442492</v>
      </c>
      <c r="AH18" s="100">
        <v>12</v>
      </c>
      <c r="AI18" s="100">
        <v>7833.5999999999995</v>
      </c>
      <c r="AJ18" s="100">
        <v>6</v>
      </c>
      <c r="AK18" s="100">
        <v>3916.7999999999997</v>
      </c>
      <c r="AL18" s="100">
        <v>1.0103749624693708</v>
      </c>
      <c r="AM18" s="100">
        <v>659.57277550000515</v>
      </c>
      <c r="AN18" s="100">
        <v>10</v>
      </c>
      <c r="AO18" s="100">
        <v>6528</v>
      </c>
      <c r="AP18" s="100">
        <v>8</v>
      </c>
      <c r="AQ18" s="100">
        <v>5222.3999999999996</v>
      </c>
      <c r="AR18" s="100">
        <v>10</v>
      </c>
      <c r="AS18" s="100">
        <v>6528</v>
      </c>
      <c r="AT18" s="100">
        <v>7</v>
      </c>
      <c r="AU18" s="100">
        <v>4569.5999999999995</v>
      </c>
      <c r="AV18" s="100">
        <v>9</v>
      </c>
      <c r="AW18" s="100">
        <v>5875.2</v>
      </c>
      <c r="AX18" s="100">
        <v>6.9000761531535169</v>
      </c>
      <c r="AY18" s="100">
        <v>4504.3697127786154</v>
      </c>
      <c r="AZ18" s="100">
        <v>3.0313369098493501</v>
      </c>
      <c r="BA18" s="100">
        <v>1978.8567347496555</v>
      </c>
      <c r="BB18" s="100">
        <v>12</v>
      </c>
      <c r="BC18" s="100">
        <v>7833.5999999999995</v>
      </c>
      <c r="BD18" s="100">
        <v>8</v>
      </c>
      <c r="BE18" s="100">
        <v>5222.3999999999996</v>
      </c>
      <c r="BF18" s="100">
        <v>12</v>
      </c>
      <c r="BG18" s="100">
        <v>7833.5999999999995</v>
      </c>
      <c r="BH18" s="100">
        <v>3.4064940217499449</v>
      </c>
      <c r="BI18" s="100">
        <v>2223.7592973983637</v>
      </c>
      <c r="BJ18" s="100">
        <v>8</v>
      </c>
      <c r="BK18" s="100">
        <v>5222.3999999999996</v>
      </c>
      <c r="BL18" s="100">
        <v>7</v>
      </c>
      <c r="BM18" s="100">
        <v>4569.5999999999995</v>
      </c>
      <c r="BN18" s="100">
        <v>12</v>
      </c>
      <c r="BO18" s="100">
        <v>7833.5999999999995</v>
      </c>
      <c r="BP18" s="100">
        <v>12</v>
      </c>
      <c r="BQ18" s="100">
        <v>7833.5999999999995</v>
      </c>
      <c r="BR18" s="100">
        <v>1.6280616796258833</v>
      </c>
      <c r="BS18" s="100">
        <v>1062.7986644597765</v>
      </c>
      <c r="BT18" s="100">
        <v>6.6987062040468617</v>
      </c>
      <c r="BU18" s="100">
        <v>4372.9154100017913</v>
      </c>
      <c r="BV18" s="100">
        <v>8</v>
      </c>
      <c r="BW18" s="100">
        <v>5222.3999999999996</v>
      </c>
      <c r="BX18" s="100">
        <v>13</v>
      </c>
      <c r="BY18" s="100">
        <v>8486.4</v>
      </c>
      <c r="BZ18" s="100">
        <v>7</v>
      </c>
      <c r="CA18" s="100">
        <v>4569.5999999999995</v>
      </c>
      <c r="CB18" s="100">
        <v>4.4710516569431018</v>
      </c>
      <c r="CC18" s="100">
        <v>2918.7025216524567</v>
      </c>
      <c r="CD18" s="100">
        <v>0</v>
      </c>
      <c r="CE18" s="100">
        <v>0</v>
      </c>
      <c r="CF18" s="100">
        <v>10</v>
      </c>
      <c r="CG18" s="100">
        <v>6528</v>
      </c>
      <c r="CH18" s="100">
        <v>11</v>
      </c>
      <c r="CI18" s="100">
        <v>7180.7999999999993</v>
      </c>
      <c r="CJ18" s="100">
        <v>8</v>
      </c>
      <c r="CK18" s="100">
        <v>5222.3999999999996</v>
      </c>
      <c r="CL18" s="100">
        <v>10</v>
      </c>
      <c r="CM18" s="100">
        <v>6528</v>
      </c>
      <c r="CN18" s="100">
        <v>8</v>
      </c>
      <c r="CO18" s="100">
        <v>5222.3999999999996</v>
      </c>
      <c r="CP18" s="100">
        <v>7</v>
      </c>
      <c r="CQ18" s="100">
        <v>4569.5999999999995</v>
      </c>
      <c r="CR18" s="100">
        <v>10</v>
      </c>
      <c r="CS18" s="100">
        <v>6528</v>
      </c>
      <c r="CT18" s="100">
        <v>9.0367067968315702</v>
      </c>
      <c r="CU18" s="100">
        <v>5899.1621969716489</v>
      </c>
    </row>
    <row r="19" spans="2:99">
      <c r="C19" s="99" t="s">
        <v>185</v>
      </c>
      <c r="D19" s="100">
        <v>9.1456084237894455</v>
      </c>
      <c r="E19" s="100">
        <v>3018.0507798505168</v>
      </c>
      <c r="F19" s="100">
        <v>6</v>
      </c>
      <c r="G19" s="100">
        <v>1980</v>
      </c>
      <c r="H19" s="100">
        <v>10</v>
      </c>
      <c r="I19" s="100">
        <v>3300</v>
      </c>
      <c r="J19" s="100">
        <v>10</v>
      </c>
      <c r="K19" s="100">
        <v>3300</v>
      </c>
      <c r="L19" s="100">
        <v>10</v>
      </c>
      <c r="M19" s="100">
        <v>3300</v>
      </c>
      <c r="N19" s="100">
        <v>3.544179858519358</v>
      </c>
      <c r="O19" s="100">
        <v>1169.5793533113881</v>
      </c>
      <c r="P19" s="100">
        <v>10</v>
      </c>
      <c r="Q19" s="100">
        <v>3300</v>
      </c>
      <c r="R19" s="100">
        <v>6.2441059581384533</v>
      </c>
      <c r="S19" s="100">
        <v>2060.5549661856894</v>
      </c>
      <c r="T19" s="100">
        <v>11</v>
      </c>
      <c r="U19" s="100">
        <v>3630</v>
      </c>
      <c r="V19" s="100">
        <v>9</v>
      </c>
      <c r="W19" s="100">
        <v>2970</v>
      </c>
      <c r="X19" s="100">
        <v>2.3484314067085186</v>
      </c>
      <c r="Y19" s="100">
        <v>774.98236421381114</v>
      </c>
      <c r="Z19" s="100">
        <v>6</v>
      </c>
      <c r="AA19" s="100">
        <v>1980</v>
      </c>
      <c r="AB19" s="100">
        <v>6</v>
      </c>
      <c r="AC19" s="100">
        <v>1980</v>
      </c>
      <c r="AD19" s="100">
        <v>8</v>
      </c>
      <c r="AE19" s="100">
        <v>2640</v>
      </c>
      <c r="AF19" s="100">
        <v>8.6404400130665202</v>
      </c>
      <c r="AG19" s="100">
        <v>2851.3452043119519</v>
      </c>
      <c r="AH19" s="100">
        <v>11</v>
      </c>
      <c r="AI19" s="100">
        <v>3630</v>
      </c>
      <c r="AJ19" s="100">
        <v>6</v>
      </c>
      <c r="AK19" s="100">
        <v>1980</v>
      </c>
      <c r="AL19" s="100">
        <v>0.90933746622243361</v>
      </c>
      <c r="AM19" s="100">
        <v>300.0813638534031</v>
      </c>
      <c r="AN19" s="100">
        <v>11</v>
      </c>
      <c r="AO19" s="100">
        <v>3630</v>
      </c>
      <c r="AP19" s="100">
        <v>8</v>
      </c>
      <c r="AQ19" s="100">
        <v>2640</v>
      </c>
      <c r="AR19" s="100">
        <v>12</v>
      </c>
      <c r="AS19" s="100">
        <v>3960</v>
      </c>
      <c r="AT19" s="100">
        <v>8</v>
      </c>
      <c r="AU19" s="100">
        <v>2640</v>
      </c>
      <c r="AV19" s="100">
        <v>9</v>
      </c>
      <c r="AW19" s="100">
        <v>2970</v>
      </c>
      <c r="AX19" s="100">
        <v>6.9000761531535169</v>
      </c>
      <c r="AY19" s="100">
        <v>2277.0251305406605</v>
      </c>
      <c r="AZ19" s="100">
        <v>3.0313369098493501</v>
      </c>
      <c r="BA19" s="100">
        <v>1000.3411802502856</v>
      </c>
      <c r="BB19" s="100">
        <v>11</v>
      </c>
      <c r="BC19" s="100">
        <v>3630</v>
      </c>
      <c r="BD19" s="100">
        <v>7</v>
      </c>
      <c r="BE19" s="100">
        <v>2310</v>
      </c>
      <c r="BF19" s="100">
        <v>13</v>
      </c>
      <c r="BG19" s="100">
        <v>4290</v>
      </c>
      <c r="BH19" s="100">
        <v>3.4064940217499449</v>
      </c>
      <c r="BI19" s="100">
        <v>1124.1430271774818</v>
      </c>
      <c r="BJ19" s="100">
        <v>7</v>
      </c>
      <c r="BK19" s="100">
        <v>2310</v>
      </c>
      <c r="BL19" s="100">
        <v>7</v>
      </c>
      <c r="BM19" s="100">
        <v>2310</v>
      </c>
      <c r="BN19" s="100">
        <v>13</v>
      </c>
      <c r="BO19" s="100">
        <v>4290</v>
      </c>
      <c r="BP19" s="100">
        <v>11</v>
      </c>
      <c r="BQ19" s="100">
        <v>3630</v>
      </c>
      <c r="BR19" s="100">
        <v>1.356718066354903</v>
      </c>
      <c r="BS19" s="100">
        <v>447.71696189711798</v>
      </c>
      <c r="BT19" s="100">
        <v>6.6987062040468617</v>
      </c>
      <c r="BU19" s="100">
        <v>2210.5730473354643</v>
      </c>
      <c r="BV19" s="100">
        <v>9</v>
      </c>
      <c r="BW19" s="100">
        <v>2970</v>
      </c>
      <c r="BX19" s="100">
        <v>13</v>
      </c>
      <c r="BY19" s="100">
        <v>4290</v>
      </c>
      <c r="BZ19" s="100">
        <v>7</v>
      </c>
      <c r="CA19" s="100">
        <v>2310</v>
      </c>
      <c r="CB19" s="100">
        <v>4.4710516569431018</v>
      </c>
      <c r="CC19" s="100">
        <v>1475.4470467912236</v>
      </c>
      <c r="CD19" s="100">
        <v>0</v>
      </c>
      <c r="CE19" s="100">
        <v>0</v>
      </c>
      <c r="CF19" s="100">
        <v>11</v>
      </c>
      <c r="CG19" s="100">
        <v>3630</v>
      </c>
      <c r="CH19" s="100">
        <v>11</v>
      </c>
      <c r="CI19" s="100">
        <v>3630</v>
      </c>
      <c r="CJ19" s="100">
        <v>8</v>
      </c>
      <c r="CK19" s="100">
        <v>2640</v>
      </c>
      <c r="CL19" s="100">
        <v>12</v>
      </c>
      <c r="CM19" s="100">
        <v>3960</v>
      </c>
      <c r="CN19" s="100">
        <v>8</v>
      </c>
      <c r="CO19" s="100">
        <v>2640</v>
      </c>
      <c r="CP19" s="100">
        <v>7</v>
      </c>
      <c r="CQ19" s="100">
        <v>2310</v>
      </c>
      <c r="CR19" s="100">
        <v>10</v>
      </c>
      <c r="CS19" s="100">
        <v>3300</v>
      </c>
      <c r="CT19" s="100">
        <v>9.0367067968315702</v>
      </c>
      <c r="CU19" s="100">
        <v>2982.1132429544182</v>
      </c>
    </row>
    <row r="20" spans="2:99">
      <c r="B20" s="99" t="s">
        <v>127</v>
      </c>
      <c r="C20" s="99" t="s">
        <v>186</v>
      </c>
      <c r="D20" s="100">
        <v>13.718412635684167</v>
      </c>
      <c r="E20" s="100">
        <v>3934.4407439142192</v>
      </c>
      <c r="F20" s="100">
        <v>16</v>
      </c>
      <c r="G20" s="100">
        <v>4588.8</v>
      </c>
      <c r="H20" s="100">
        <v>17</v>
      </c>
      <c r="I20" s="100">
        <v>4875.6000000000004</v>
      </c>
      <c r="J20" s="100">
        <v>20</v>
      </c>
      <c r="K20" s="100">
        <v>5736</v>
      </c>
      <c r="L20" s="100">
        <v>19</v>
      </c>
      <c r="M20" s="100">
        <v>5449.2</v>
      </c>
      <c r="N20" s="100">
        <v>9.6199167588382579</v>
      </c>
      <c r="O20" s="100">
        <v>2758.9921264348127</v>
      </c>
      <c r="P20" s="100">
        <v>18</v>
      </c>
      <c r="Q20" s="100">
        <v>5162.4000000000005</v>
      </c>
      <c r="R20" s="100">
        <v>14.04923840581152</v>
      </c>
      <c r="S20" s="100">
        <v>4029.3215747867443</v>
      </c>
      <c r="T20" s="100">
        <v>20</v>
      </c>
      <c r="U20" s="100">
        <v>5736</v>
      </c>
      <c r="V20" s="100">
        <v>21</v>
      </c>
      <c r="W20" s="100">
        <v>6022.8</v>
      </c>
      <c r="X20" s="100">
        <v>5.0323530143753965</v>
      </c>
      <c r="Y20" s="100">
        <v>1443.2788445228637</v>
      </c>
      <c r="Z20" s="100">
        <v>14</v>
      </c>
      <c r="AA20" s="100">
        <v>4015.2000000000003</v>
      </c>
      <c r="AB20" s="100">
        <v>11</v>
      </c>
      <c r="AC20" s="100">
        <v>3154.8</v>
      </c>
      <c r="AD20" s="100">
        <v>12</v>
      </c>
      <c r="AE20" s="100">
        <v>3441.6000000000004</v>
      </c>
      <c r="AF20" s="100">
        <v>19.200977806814489</v>
      </c>
      <c r="AG20" s="100">
        <v>5506.8404349943958</v>
      </c>
      <c r="AH20" s="100">
        <v>19</v>
      </c>
      <c r="AI20" s="100">
        <v>5449.2</v>
      </c>
      <c r="AJ20" s="100">
        <v>14</v>
      </c>
      <c r="AK20" s="100">
        <v>4015.2000000000003</v>
      </c>
      <c r="AL20" s="100">
        <v>2.0207499249387415</v>
      </c>
      <c r="AM20" s="100">
        <v>579.55107847243107</v>
      </c>
      <c r="AN20" s="100">
        <v>15</v>
      </c>
      <c r="AO20" s="100">
        <v>4302</v>
      </c>
      <c r="AP20" s="100">
        <v>20</v>
      </c>
      <c r="AQ20" s="100">
        <v>5736</v>
      </c>
      <c r="AR20" s="100">
        <v>22</v>
      </c>
      <c r="AS20" s="100">
        <v>6309.6</v>
      </c>
      <c r="AT20" s="100">
        <v>13</v>
      </c>
      <c r="AU20" s="100">
        <v>3728.4</v>
      </c>
      <c r="AV20" s="100">
        <v>20</v>
      </c>
      <c r="AW20" s="100">
        <v>5736</v>
      </c>
      <c r="AX20" s="100">
        <v>20.700228459460551</v>
      </c>
      <c r="AY20" s="100">
        <v>5936.8255221732861</v>
      </c>
      <c r="AZ20" s="100">
        <v>4.5470053647740256</v>
      </c>
      <c r="BA20" s="100">
        <v>1304.0811386171906</v>
      </c>
      <c r="BB20" s="100">
        <v>15</v>
      </c>
      <c r="BC20" s="100">
        <v>4302</v>
      </c>
      <c r="BD20" s="100">
        <v>13</v>
      </c>
      <c r="BE20" s="100">
        <v>3728.4</v>
      </c>
      <c r="BF20" s="100">
        <v>19</v>
      </c>
      <c r="BG20" s="100">
        <v>5449.2</v>
      </c>
      <c r="BH20" s="100">
        <v>9.3678585598123494</v>
      </c>
      <c r="BI20" s="100">
        <v>2686.7018349541818</v>
      </c>
      <c r="BJ20" s="100">
        <v>13</v>
      </c>
      <c r="BK20" s="100">
        <v>3728.4</v>
      </c>
      <c r="BL20" s="100">
        <v>20</v>
      </c>
      <c r="BM20" s="100">
        <v>5736</v>
      </c>
      <c r="BN20" s="100">
        <v>13</v>
      </c>
      <c r="BO20" s="100">
        <v>3728.4</v>
      </c>
      <c r="BP20" s="100">
        <v>15</v>
      </c>
      <c r="BQ20" s="100">
        <v>4302</v>
      </c>
      <c r="BR20" s="100">
        <v>2.1707489061678449</v>
      </c>
      <c r="BS20" s="100">
        <v>622.57078628893794</v>
      </c>
      <c r="BT20" s="100">
        <v>17.863216544124963</v>
      </c>
      <c r="BU20" s="100">
        <v>5123.1705048550393</v>
      </c>
      <c r="BV20" s="100">
        <v>22</v>
      </c>
      <c r="BW20" s="100">
        <v>6309.6</v>
      </c>
      <c r="BX20" s="100">
        <v>12</v>
      </c>
      <c r="BY20" s="100">
        <v>3441.6000000000004</v>
      </c>
      <c r="BZ20" s="100">
        <v>15</v>
      </c>
      <c r="CA20" s="100">
        <v>4302</v>
      </c>
      <c r="CB20" s="100">
        <v>13.413154970829307</v>
      </c>
      <c r="CC20" s="100">
        <v>3846.8928456338454</v>
      </c>
      <c r="CD20" s="100">
        <v>0</v>
      </c>
      <c r="CE20" s="100">
        <v>0</v>
      </c>
      <c r="CF20" s="100">
        <v>16</v>
      </c>
      <c r="CG20" s="100">
        <v>4588.8</v>
      </c>
      <c r="CH20" s="100">
        <v>17</v>
      </c>
      <c r="CI20" s="100">
        <v>4875.6000000000004</v>
      </c>
      <c r="CJ20" s="100">
        <v>16</v>
      </c>
      <c r="CK20" s="100">
        <v>4588.8</v>
      </c>
      <c r="CL20" s="100">
        <v>14</v>
      </c>
      <c r="CM20" s="100">
        <v>4015.2000000000003</v>
      </c>
      <c r="CN20" s="100">
        <v>13</v>
      </c>
      <c r="CO20" s="100">
        <v>3728.4</v>
      </c>
      <c r="CP20" s="100">
        <v>14</v>
      </c>
      <c r="CQ20" s="100">
        <v>4015.2000000000003</v>
      </c>
      <c r="CR20" s="100">
        <v>12</v>
      </c>
      <c r="CS20" s="100">
        <v>3441.6000000000004</v>
      </c>
      <c r="CT20" s="100">
        <v>11.501263195967452</v>
      </c>
      <c r="CU20" s="100">
        <v>3298.5622846034653</v>
      </c>
    </row>
    <row r="21" spans="2:99">
      <c r="C21" s="99" t="s">
        <v>187</v>
      </c>
      <c r="D21" s="100">
        <v>12.803851793305224</v>
      </c>
      <c r="E21" s="100">
        <v>798.96035190224597</v>
      </c>
      <c r="F21" s="100">
        <v>14</v>
      </c>
      <c r="G21" s="100">
        <v>873.6</v>
      </c>
      <c r="H21" s="100">
        <v>18</v>
      </c>
      <c r="I21" s="100">
        <v>1123.2</v>
      </c>
      <c r="J21" s="100">
        <v>18</v>
      </c>
      <c r="K21" s="100">
        <v>1123.2</v>
      </c>
      <c r="L21" s="100">
        <v>20</v>
      </c>
      <c r="M21" s="100">
        <v>1248</v>
      </c>
      <c r="N21" s="100">
        <v>9.6199167588382579</v>
      </c>
      <c r="O21" s="100">
        <v>600.28280575150723</v>
      </c>
      <c r="P21" s="100">
        <v>19</v>
      </c>
      <c r="Q21" s="100">
        <v>1185.5999999999999</v>
      </c>
      <c r="R21" s="100">
        <v>13.268725161044214</v>
      </c>
      <c r="S21" s="100">
        <v>827.96845004915895</v>
      </c>
      <c r="T21" s="100">
        <v>18</v>
      </c>
      <c r="U21" s="100">
        <v>1123.2</v>
      </c>
      <c r="V21" s="100">
        <v>19</v>
      </c>
      <c r="W21" s="100">
        <v>1185.5999999999999</v>
      </c>
      <c r="X21" s="100">
        <v>4.6968628134170372</v>
      </c>
      <c r="Y21" s="100">
        <v>293.0842395572231</v>
      </c>
      <c r="Z21" s="100">
        <v>14</v>
      </c>
      <c r="AA21" s="100">
        <v>873.6</v>
      </c>
      <c r="AB21" s="100">
        <v>10</v>
      </c>
      <c r="AC21" s="100">
        <v>624</v>
      </c>
      <c r="AD21" s="100">
        <v>14</v>
      </c>
      <c r="AE21" s="100">
        <v>873.6</v>
      </c>
      <c r="AF21" s="100">
        <v>17.28088002613304</v>
      </c>
      <c r="AG21" s="100">
        <v>1078.3269136307017</v>
      </c>
      <c r="AH21" s="100">
        <v>19</v>
      </c>
      <c r="AI21" s="100">
        <v>1185.5999999999999</v>
      </c>
      <c r="AJ21" s="100">
        <v>15</v>
      </c>
      <c r="AK21" s="100">
        <v>936</v>
      </c>
      <c r="AL21" s="100">
        <v>2.2228249174326153</v>
      </c>
      <c r="AM21" s="100">
        <v>138.7042748477952</v>
      </c>
      <c r="AN21" s="100">
        <v>16</v>
      </c>
      <c r="AO21" s="100">
        <v>998.4</v>
      </c>
      <c r="AP21" s="100">
        <v>19</v>
      </c>
      <c r="AQ21" s="100">
        <v>1185.5999999999999</v>
      </c>
      <c r="AR21" s="100">
        <v>20</v>
      </c>
      <c r="AS21" s="100">
        <v>1248</v>
      </c>
      <c r="AT21" s="100">
        <v>13</v>
      </c>
      <c r="AU21" s="100">
        <v>811.19999999999993</v>
      </c>
      <c r="AV21" s="100">
        <v>23</v>
      </c>
      <c r="AW21" s="100">
        <v>1435.2</v>
      </c>
      <c r="AX21" s="100">
        <v>20.700228459460551</v>
      </c>
      <c r="AY21" s="100">
        <v>1291.6942558703383</v>
      </c>
      <c r="AZ21" s="100">
        <v>4.2943939556199124</v>
      </c>
      <c r="BA21" s="100">
        <v>267.97018283068252</v>
      </c>
      <c r="BB21" s="100">
        <v>15</v>
      </c>
      <c r="BC21" s="100">
        <v>936</v>
      </c>
      <c r="BD21" s="100">
        <v>14</v>
      </c>
      <c r="BE21" s="100">
        <v>873.6</v>
      </c>
      <c r="BF21" s="100">
        <v>21</v>
      </c>
      <c r="BG21" s="100">
        <v>1310.3999999999999</v>
      </c>
      <c r="BH21" s="100">
        <v>8.9420468070936039</v>
      </c>
      <c r="BI21" s="100">
        <v>557.98372076264081</v>
      </c>
      <c r="BJ21" s="100">
        <v>12</v>
      </c>
      <c r="BK21" s="100">
        <v>748.8</v>
      </c>
      <c r="BL21" s="100">
        <v>22</v>
      </c>
      <c r="BM21" s="100">
        <v>1372.8</v>
      </c>
      <c r="BN21" s="100">
        <v>14</v>
      </c>
      <c r="BO21" s="100">
        <v>873.6</v>
      </c>
      <c r="BP21" s="100">
        <v>15</v>
      </c>
      <c r="BQ21" s="100">
        <v>936</v>
      </c>
      <c r="BR21" s="100">
        <v>2.1707489061678449</v>
      </c>
      <c r="BS21" s="100">
        <v>135.45473174487353</v>
      </c>
      <c r="BT21" s="100">
        <v>18.607517233463501</v>
      </c>
      <c r="BU21" s="100">
        <v>1161.1090753681224</v>
      </c>
      <c r="BV21" s="100">
        <v>24</v>
      </c>
      <c r="BW21" s="100">
        <v>1497.6</v>
      </c>
      <c r="BX21" s="100">
        <v>13</v>
      </c>
      <c r="BY21" s="100">
        <v>811.19999999999993</v>
      </c>
      <c r="BZ21" s="100">
        <v>15</v>
      </c>
      <c r="CA21" s="100">
        <v>936</v>
      </c>
      <c r="CB21" s="100">
        <v>14.051876636106893</v>
      </c>
      <c r="CC21" s="100">
        <v>876.83710209307014</v>
      </c>
      <c r="CD21" s="100">
        <v>0</v>
      </c>
      <c r="CE21" s="100">
        <v>0</v>
      </c>
      <c r="CF21" s="100">
        <v>16</v>
      </c>
      <c r="CG21" s="100">
        <v>998.4</v>
      </c>
      <c r="CH21" s="100">
        <v>16</v>
      </c>
      <c r="CI21" s="100">
        <v>998.4</v>
      </c>
      <c r="CJ21" s="100">
        <v>18</v>
      </c>
      <c r="CK21" s="100">
        <v>1123.2</v>
      </c>
      <c r="CL21" s="100">
        <v>13</v>
      </c>
      <c r="CM21" s="100">
        <v>811.19999999999993</v>
      </c>
      <c r="CN21" s="100">
        <v>13</v>
      </c>
      <c r="CO21" s="100">
        <v>811.19999999999993</v>
      </c>
      <c r="CP21" s="100">
        <v>13</v>
      </c>
      <c r="CQ21" s="100">
        <v>811.19999999999993</v>
      </c>
      <c r="CR21" s="100">
        <v>13</v>
      </c>
      <c r="CS21" s="100">
        <v>811.19999999999993</v>
      </c>
      <c r="CT21" s="100">
        <v>13.144300795391374</v>
      </c>
      <c r="CU21" s="100">
        <v>820.20436963242173</v>
      </c>
    </row>
    <row r="22" spans="2:99">
      <c r="C22" s="99" t="s">
        <v>188</v>
      </c>
      <c r="D22" s="100">
        <v>12.803851793305224</v>
      </c>
      <c r="E22" s="100">
        <v>2396.8810557067377</v>
      </c>
      <c r="F22" s="100">
        <v>16</v>
      </c>
      <c r="G22" s="100">
        <v>2995.2</v>
      </c>
      <c r="H22" s="100">
        <v>17</v>
      </c>
      <c r="I22" s="100">
        <v>3182.3999999999996</v>
      </c>
      <c r="J22" s="100">
        <v>17</v>
      </c>
      <c r="K22" s="100">
        <v>3182.3999999999996</v>
      </c>
      <c r="L22" s="100">
        <v>21</v>
      </c>
      <c r="M22" s="100">
        <v>3931.2</v>
      </c>
      <c r="N22" s="100">
        <v>8.1009825337585326</v>
      </c>
      <c r="O22" s="100">
        <v>1516.5039303195972</v>
      </c>
      <c r="P22" s="100">
        <v>21</v>
      </c>
      <c r="Q22" s="100">
        <v>3931.2</v>
      </c>
      <c r="R22" s="100">
        <v>13.268725161044214</v>
      </c>
      <c r="S22" s="100">
        <v>2483.9053501474768</v>
      </c>
      <c r="T22" s="100">
        <v>18</v>
      </c>
      <c r="U22" s="100">
        <v>3369.6</v>
      </c>
      <c r="V22" s="100">
        <v>23</v>
      </c>
      <c r="W22" s="100">
        <v>4305.5999999999995</v>
      </c>
      <c r="X22" s="100">
        <v>4.3613726124586769</v>
      </c>
      <c r="Y22" s="100">
        <v>816.4489530522643</v>
      </c>
      <c r="Z22" s="100">
        <v>15</v>
      </c>
      <c r="AA22" s="100">
        <v>2808</v>
      </c>
      <c r="AB22" s="100">
        <v>11</v>
      </c>
      <c r="AC22" s="100">
        <v>2059.1999999999998</v>
      </c>
      <c r="AD22" s="100">
        <v>15</v>
      </c>
      <c r="AE22" s="100">
        <v>2808</v>
      </c>
      <c r="AF22" s="100">
        <v>17.28088002613304</v>
      </c>
      <c r="AG22" s="100">
        <v>3234.9807408921051</v>
      </c>
      <c r="AH22" s="100">
        <v>18</v>
      </c>
      <c r="AI22" s="100">
        <v>3369.6</v>
      </c>
      <c r="AJ22" s="100">
        <v>14</v>
      </c>
      <c r="AK22" s="100">
        <v>2620.7999999999997</v>
      </c>
      <c r="AL22" s="100">
        <v>2.0207499249387415</v>
      </c>
      <c r="AM22" s="100">
        <v>378.28438594853236</v>
      </c>
      <c r="AN22" s="100">
        <v>15</v>
      </c>
      <c r="AO22" s="100">
        <v>2808</v>
      </c>
      <c r="AP22" s="100">
        <v>19</v>
      </c>
      <c r="AQ22" s="100">
        <v>3556.7999999999997</v>
      </c>
      <c r="AR22" s="100">
        <v>21</v>
      </c>
      <c r="AS22" s="100">
        <v>3931.2</v>
      </c>
      <c r="AT22" s="100">
        <v>13</v>
      </c>
      <c r="AU22" s="100">
        <v>2433.6</v>
      </c>
      <c r="AV22" s="100">
        <v>22</v>
      </c>
      <c r="AW22" s="100">
        <v>4118.3999999999996</v>
      </c>
      <c r="AX22" s="100">
        <v>19.714503294724334</v>
      </c>
      <c r="AY22" s="100">
        <v>3690.555016772395</v>
      </c>
      <c r="AZ22" s="100">
        <v>4.2943939556199124</v>
      </c>
      <c r="BA22" s="100">
        <v>803.91054849204761</v>
      </c>
      <c r="BB22" s="100">
        <v>13</v>
      </c>
      <c r="BC22" s="100">
        <v>2433.6</v>
      </c>
      <c r="BD22" s="100">
        <v>15</v>
      </c>
      <c r="BE22" s="100">
        <v>2808</v>
      </c>
      <c r="BF22" s="100">
        <v>21</v>
      </c>
      <c r="BG22" s="100">
        <v>3931.2</v>
      </c>
      <c r="BH22" s="100">
        <v>8.5162350543748619</v>
      </c>
      <c r="BI22" s="100">
        <v>1594.239202178974</v>
      </c>
      <c r="BJ22" s="100">
        <v>11</v>
      </c>
      <c r="BK22" s="100">
        <v>2059.1999999999998</v>
      </c>
      <c r="BL22" s="100">
        <v>22</v>
      </c>
      <c r="BM22" s="100">
        <v>4118.3999999999996</v>
      </c>
      <c r="BN22" s="100">
        <v>13</v>
      </c>
      <c r="BO22" s="100">
        <v>2433.6</v>
      </c>
      <c r="BP22" s="100">
        <v>13</v>
      </c>
      <c r="BQ22" s="100">
        <v>2433.6</v>
      </c>
      <c r="BR22" s="100">
        <v>2.4420925194388254</v>
      </c>
      <c r="BS22" s="100">
        <v>457.1597196389481</v>
      </c>
      <c r="BT22" s="100">
        <v>17.863216544124963</v>
      </c>
      <c r="BU22" s="100">
        <v>3343.9941370601928</v>
      </c>
      <c r="BV22" s="100">
        <v>20</v>
      </c>
      <c r="BW22" s="100">
        <v>3744</v>
      </c>
      <c r="BX22" s="100">
        <v>13</v>
      </c>
      <c r="BY22" s="100">
        <v>2433.6</v>
      </c>
      <c r="BZ22" s="100">
        <v>14</v>
      </c>
      <c r="CA22" s="100">
        <v>2620.7999999999997</v>
      </c>
      <c r="CB22" s="100">
        <v>14.690598301384478</v>
      </c>
      <c r="CC22" s="100">
        <v>2750.0800020191741</v>
      </c>
      <c r="CD22" s="100">
        <v>0</v>
      </c>
      <c r="CE22" s="100">
        <v>0</v>
      </c>
      <c r="CF22" s="100">
        <v>15</v>
      </c>
      <c r="CG22" s="100">
        <v>2808</v>
      </c>
      <c r="CH22" s="100">
        <v>17</v>
      </c>
      <c r="CI22" s="100">
        <v>3182.3999999999996</v>
      </c>
      <c r="CJ22" s="100">
        <v>15</v>
      </c>
      <c r="CK22" s="100">
        <v>2808</v>
      </c>
      <c r="CL22" s="100">
        <v>14</v>
      </c>
      <c r="CM22" s="100">
        <v>2620.7999999999997</v>
      </c>
      <c r="CN22" s="100">
        <v>13</v>
      </c>
      <c r="CO22" s="100">
        <v>2433.6</v>
      </c>
      <c r="CP22" s="100">
        <v>13</v>
      </c>
      <c r="CQ22" s="100">
        <v>2433.6</v>
      </c>
      <c r="CR22" s="100">
        <v>13</v>
      </c>
      <c r="CS22" s="100">
        <v>2433.6</v>
      </c>
      <c r="CT22" s="100">
        <v>12.322781995679414</v>
      </c>
      <c r="CU22" s="100">
        <v>2306.8247895911859</v>
      </c>
    </row>
    <row r="23" spans="2:99">
      <c r="C23" s="99" t="s">
        <v>189</v>
      </c>
      <c r="D23" s="100">
        <v>15.547534320442058</v>
      </c>
      <c r="E23" s="100">
        <v>4570.9750902099649</v>
      </c>
      <c r="F23" s="100">
        <v>14</v>
      </c>
      <c r="G23" s="100">
        <v>4116</v>
      </c>
      <c r="H23" s="100">
        <v>18</v>
      </c>
      <c r="I23" s="100">
        <v>5292</v>
      </c>
      <c r="J23" s="100">
        <v>19</v>
      </c>
      <c r="K23" s="100">
        <v>5586</v>
      </c>
      <c r="L23" s="100">
        <v>22</v>
      </c>
      <c r="M23" s="100">
        <v>6468</v>
      </c>
      <c r="N23" s="100">
        <v>9.6199167588382579</v>
      </c>
      <c r="O23" s="100">
        <v>2828.2555270984476</v>
      </c>
      <c r="P23" s="100">
        <v>20</v>
      </c>
      <c r="Q23" s="100">
        <v>5880</v>
      </c>
      <c r="R23" s="100">
        <v>14.04923840581152</v>
      </c>
      <c r="S23" s="100">
        <v>4130.4760913085865</v>
      </c>
      <c r="T23" s="100">
        <v>20</v>
      </c>
      <c r="U23" s="100">
        <v>5880</v>
      </c>
      <c r="V23" s="100">
        <v>20</v>
      </c>
      <c r="W23" s="100">
        <v>5880</v>
      </c>
      <c r="X23" s="100">
        <v>4.3613726124586769</v>
      </c>
      <c r="Y23" s="100">
        <v>1282.243548062851</v>
      </c>
      <c r="Z23" s="100">
        <v>13</v>
      </c>
      <c r="AA23" s="100">
        <v>3822</v>
      </c>
      <c r="AB23" s="100">
        <v>10</v>
      </c>
      <c r="AC23" s="100">
        <v>2940</v>
      </c>
      <c r="AD23" s="100">
        <v>13</v>
      </c>
      <c r="AE23" s="100">
        <v>3822</v>
      </c>
      <c r="AF23" s="100">
        <v>20.161026697155215</v>
      </c>
      <c r="AG23" s="100">
        <v>5927.3418489636333</v>
      </c>
      <c r="AH23" s="100">
        <v>18</v>
      </c>
      <c r="AI23" s="100">
        <v>5292</v>
      </c>
      <c r="AJ23" s="100">
        <v>13</v>
      </c>
      <c r="AK23" s="100">
        <v>3822</v>
      </c>
      <c r="AL23" s="100">
        <v>2.0207499249387415</v>
      </c>
      <c r="AM23" s="100">
        <v>594.10047793198999</v>
      </c>
      <c r="AN23" s="100">
        <v>15</v>
      </c>
      <c r="AO23" s="100">
        <v>4410</v>
      </c>
      <c r="AP23" s="100">
        <v>20</v>
      </c>
      <c r="AQ23" s="100">
        <v>5880</v>
      </c>
      <c r="AR23" s="100">
        <v>21</v>
      </c>
      <c r="AS23" s="100">
        <v>6174</v>
      </c>
      <c r="AT23" s="100">
        <v>13</v>
      </c>
      <c r="AU23" s="100">
        <v>3822</v>
      </c>
      <c r="AV23" s="100">
        <v>22</v>
      </c>
      <c r="AW23" s="100">
        <v>6468</v>
      </c>
      <c r="AX23" s="100">
        <v>21.68595362419677</v>
      </c>
      <c r="AY23" s="100">
        <v>6375.6703655138508</v>
      </c>
      <c r="AZ23" s="100">
        <v>4.0417825464658002</v>
      </c>
      <c r="BA23" s="100">
        <v>1188.2840686609452</v>
      </c>
      <c r="BB23" s="100">
        <v>15</v>
      </c>
      <c r="BC23" s="100">
        <v>4410</v>
      </c>
      <c r="BD23" s="100">
        <v>15</v>
      </c>
      <c r="BE23" s="100">
        <v>4410</v>
      </c>
      <c r="BF23" s="100">
        <v>22</v>
      </c>
      <c r="BG23" s="100">
        <v>6468</v>
      </c>
      <c r="BH23" s="100">
        <v>9.3678585598123494</v>
      </c>
      <c r="BI23" s="100">
        <v>2754.1504165848305</v>
      </c>
      <c r="BJ23" s="100">
        <v>11</v>
      </c>
      <c r="BK23" s="100">
        <v>3234</v>
      </c>
      <c r="BL23" s="100">
        <v>22</v>
      </c>
      <c r="BM23" s="100">
        <v>6468</v>
      </c>
      <c r="BN23" s="100">
        <v>13</v>
      </c>
      <c r="BO23" s="100">
        <v>3822</v>
      </c>
      <c r="BP23" s="100">
        <v>13</v>
      </c>
      <c r="BQ23" s="100">
        <v>3822</v>
      </c>
      <c r="BR23" s="100">
        <v>2.4420925194388254</v>
      </c>
      <c r="BS23" s="100">
        <v>717.97520071501469</v>
      </c>
      <c r="BT23" s="100">
        <v>17.118915854786422</v>
      </c>
      <c r="BU23" s="100">
        <v>5032.9612613072086</v>
      </c>
      <c r="BV23" s="100">
        <v>23</v>
      </c>
      <c r="BW23" s="100">
        <v>6762</v>
      </c>
      <c r="BX23" s="100">
        <v>13</v>
      </c>
      <c r="BY23" s="100">
        <v>3822</v>
      </c>
      <c r="BZ23" s="100">
        <v>14</v>
      </c>
      <c r="CA23" s="100">
        <v>4116</v>
      </c>
      <c r="CB23" s="100">
        <v>12.774433305551721</v>
      </c>
      <c r="CC23" s="100">
        <v>3755.6833918322059</v>
      </c>
      <c r="CD23" s="100">
        <v>0</v>
      </c>
      <c r="CE23" s="100">
        <v>0</v>
      </c>
      <c r="CF23" s="100">
        <v>18</v>
      </c>
      <c r="CG23" s="100">
        <v>5292</v>
      </c>
      <c r="CH23" s="100">
        <v>16</v>
      </c>
      <c r="CI23" s="100">
        <v>4704</v>
      </c>
      <c r="CJ23" s="100">
        <v>18</v>
      </c>
      <c r="CK23" s="100">
        <v>5292</v>
      </c>
      <c r="CL23" s="100">
        <v>14</v>
      </c>
      <c r="CM23" s="100">
        <v>4116</v>
      </c>
      <c r="CN23" s="100">
        <v>11</v>
      </c>
      <c r="CO23" s="100">
        <v>3234</v>
      </c>
      <c r="CP23" s="100">
        <v>12</v>
      </c>
      <c r="CQ23" s="100">
        <v>3528</v>
      </c>
      <c r="CR23" s="100">
        <v>14</v>
      </c>
      <c r="CS23" s="100">
        <v>4116</v>
      </c>
      <c r="CT23" s="100">
        <v>11.501263195967452</v>
      </c>
      <c r="CU23" s="100">
        <v>3381.3713796144307</v>
      </c>
    </row>
    <row r="24" spans="2:99">
      <c r="C24" s="99" t="s">
        <v>190</v>
      </c>
      <c r="D24" s="100">
        <v>14.632973478063112</v>
      </c>
      <c r="E24" s="100">
        <v>5373.2278611447746</v>
      </c>
      <c r="F24" s="100">
        <v>15</v>
      </c>
      <c r="G24" s="100">
        <v>5508</v>
      </c>
      <c r="H24" s="100">
        <v>17</v>
      </c>
      <c r="I24" s="100">
        <v>6242.4</v>
      </c>
      <c r="J24" s="100">
        <v>19</v>
      </c>
      <c r="K24" s="100">
        <v>6976.8</v>
      </c>
      <c r="L24" s="100">
        <v>20</v>
      </c>
      <c r="M24" s="100">
        <v>7344</v>
      </c>
      <c r="N24" s="100">
        <v>9.1136053504783501</v>
      </c>
      <c r="O24" s="100">
        <v>3346.5158846956501</v>
      </c>
      <c r="P24" s="100">
        <v>18</v>
      </c>
      <c r="Q24" s="100">
        <v>6609.5999999999995</v>
      </c>
      <c r="R24" s="100">
        <v>14.04923840581152</v>
      </c>
      <c r="S24" s="100">
        <v>5158.8803426139903</v>
      </c>
      <c r="T24" s="100">
        <v>19</v>
      </c>
      <c r="U24" s="100">
        <v>6976.8</v>
      </c>
      <c r="V24" s="100">
        <v>21</v>
      </c>
      <c r="W24" s="100">
        <v>7711.2</v>
      </c>
      <c r="X24" s="100">
        <v>4.6968628134170372</v>
      </c>
      <c r="Y24" s="100">
        <v>1724.6880250867359</v>
      </c>
      <c r="Z24" s="100">
        <v>13</v>
      </c>
      <c r="AA24" s="100">
        <v>4773.5999999999995</v>
      </c>
      <c r="AB24" s="100">
        <v>11</v>
      </c>
      <c r="AC24" s="100">
        <v>4039.2</v>
      </c>
      <c r="AD24" s="100">
        <v>13</v>
      </c>
      <c r="AE24" s="100">
        <v>4773.5999999999995</v>
      </c>
      <c r="AF24" s="100">
        <v>18.240928916473763</v>
      </c>
      <c r="AG24" s="100">
        <v>6698.0690981291655</v>
      </c>
      <c r="AH24" s="100">
        <v>18</v>
      </c>
      <c r="AI24" s="100">
        <v>6609.5999999999995</v>
      </c>
      <c r="AJ24" s="100">
        <v>13</v>
      </c>
      <c r="AK24" s="100">
        <v>4773.5999999999995</v>
      </c>
      <c r="AL24" s="100">
        <v>2.2228249174326153</v>
      </c>
      <c r="AM24" s="100">
        <v>816.22130968125634</v>
      </c>
      <c r="AN24" s="100">
        <v>13</v>
      </c>
      <c r="AO24" s="100">
        <v>4773.5999999999995</v>
      </c>
      <c r="AP24" s="100">
        <v>21</v>
      </c>
      <c r="AQ24" s="100">
        <v>7711.2</v>
      </c>
      <c r="AR24" s="100">
        <v>21</v>
      </c>
      <c r="AS24" s="100">
        <v>7711.2</v>
      </c>
      <c r="AT24" s="100">
        <v>13</v>
      </c>
      <c r="AU24" s="100">
        <v>4773.5999999999995</v>
      </c>
      <c r="AV24" s="100">
        <v>21</v>
      </c>
      <c r="AW24" s="100">
        <v>7711.2</v>
      </c>
      <c r="AX24" s="100">
        <v>18.728778129988118</v>
      </c>
      <c r="AY24" s="100">
        <v>6877.2073293316371</v>
      </c>
      <c r="AZ24" s="100">
        <v>4.5470053647740256</v>
      </c>
      <c r="BA24" s="100">
        <v>1669.6603699450222</v>
      </c>
      <c r="BB24" s="100">
        <v>15</v>
      </c>
      <c r="BC24" s="100">
        <v>5508</v>
      </c>
      <c r="BD24" s="100">
        <v>15</v>
      </c>
      <c r="BE24" s="100">
        <v>5508</v>
      </c>
      <c r="BF24" s="100">
        <v>22</v>
      </c>
      <c r="BG24" s="100">
        <v>8078.4</v>
      </c>
      <c r="BH24" s="100">
        <v>8.9420468070936039</v>
      </c>
      <c r="BI24" s="100">
        <v>3283.5195875647714</v>
      </c>
      <c r="BJ24" s="100">
        <v>12</v>
      </c>
      <c r="BK24" s="100">
        <v>4406.3999999999996</v>
      </c>
      <c r="BL24" s="100">
        <v>23</v>
      </c>
      <c r="BM24" s="100">
        <v>8445.6</v>
      </c>
      <c r="BN24" s="100">
        <v>12</v>
      </c>
      <c r="BO24" s="100">
        <v>4406.3999999999996</v>
      </c>
      <c r="BP24" s="100">
        <v>13</v>
      </c>
      <c r="BQ24" s="100">
        <v>4773.5999999999995</v>
      </c>
      <c r="BR24" s="100">
        <v>2.3064207128033352</v>
      </c>
      <c r="BS24" s="100">
        <v>846.91768574138462</v>
      </c>
      <c r="BT24" s="100">
        <v>17.118915854786422</v>
      </c>
      <c r="BU24" s="100">
        <v>6286.0659018775741</v>
      </c>
      <c r="BV24" s="100">
        <v>24</v>
      </c>
      <c r="BW24" s="100">
        <v>8812.7999999999993</v>
      </c>
      <c r="BX24" s="100">
        <v>13</v>
      </c>
      <c r="BY24" s="100">
        <v>4773.5999999999995</v>
      </c>
      <c r="BZ24" s="100">
        <v>16</v>
      </c>
      <c r="CA24" s="100">
        <v>5875.2</v>
      </c>
      <c r="CB24" s="100">
        <v>12.774433305551721</v>
      </c>
      <c r="CC24" s="100">
        <v>4690.7719097985919</v>
      </c>
      <c r="CD24" s="100">
        <v>0</v>
      </c>
      <c r="CE24" s="100">
        <v>0</v>
      </c>
      <c r="CF24" s="100">
        <v>15</v>
      </c>
      <c r="CG24" s="100">
        <v>5508</v>
      </c>
      <c r="CH24" s="100">
        <v>17</v>
      </c>
      <c r="CI24" s="100">
        <v>6242.4</v>
      </c>
      <c r="CJ24" s="100">
        <v>18</v>
      </c>
      <c r="CK24" s="100">
        <v>6609.5999999999995</v>
      </c>
      <c r="CL24" s="100">
        <v>15</v>
      </c>
      <c r="CM24" s="100">
        <v>5508</v>
      </c>
      <c r="CN24" s="100">
        <v>13</v>
      </c>
      <c r="CO24" s="100">
        <v>4773.5999999999995</v>
      </c>
      <c r="CP24" s="100">
        <v>12</v>
      </c>
      <c r="CQ24" s="100">
        <v>4406.3999999999996</v>
      </c>
      <c r="CR24" s="100">
        <v>13</v>
      </c>
      <c r="CS24" s="100">
        <v>4773.5999999999995</v>
      </c>
      <c r="CT24" s="100">
        <v>12.322781995679414</v>
      </c>
      <c r="CU24" s="100">
        <v>4524.9255488134804</v>
      </c>
    </row>
    <row r="25" spans="2:99">
      <c r="C25" s="99" t="s">
        <v>191</v>
      </c>
      <c r="D25" s="100">
        <v>14.632973478063112</v>
      </c>
      <c r="E25" s="100">
        <v>7761.3291327646748</v>
      </c>
      <c r="F25" s="100">
        <v>14</v>
      </c>
      <c r="G25" s="100">
        <v>7425.5999999999995</v>
      </c>
      <c r="H25" s="100">
        <v>15</v>
      </c>
      <c r="I25" s="100">
        <v>7956</v>
      </c>
      <c r="J25" s="100">
        <v>17</v>
      </c>
      <c r="K25" s="100">
        <v>9016.7999999999993</v>
      </c>
      <c r="L25" s="100">
        <v>20</v>
      </c>
      <c r="M25" s="100">
        <v>10608</v>
      </c>
      <c r="N25" s="100">
        <v>9.6199167588382579</v>
      </c>
      <c r="O25" s="100">
        <v>5102.4038488878114</v>
      </c>
      <c r="P25" s="100">
        <v>17</v>
      </c>
      <c r="Q25" s="100">
        <v>9016.7999999999993</v>
      </c>
      <c r="R25" s="100">
        <v>14.829751650578828</v>
      </c>
      <c r="S25" s="100">
        <v>7865.7002754670102</v>
      </c>
      <c r="T25" s="100">
        <v>17</v>
      </c>
      <c r="U25" s="100">
        <v>9016.7999999999993</v>
      </c>
      <c r="V25" s="100">
        <v>21</v>
      </c>
      <c r="W25" s="100">
        <v>11138.4</v>
      </c>
      <c r="X25" s="100">
        <v>4.3613726124586769</v>
      </c>
      <c r="Y25" s="100">
        <v>2313.272033648082</v>
      </c>
      <c r="Z25" s="100">
        <v>15</v>
      </c>
      <c r="AA25" s="100">
        <v>7956</v>
      </c>
      <c r="AB25" s="100">
        <v>12</v>
      </c>
      <c r="AC25" s="100">
        <v>6364.7999999999993</v>
      </c>
      <c r="AD25" s="100">
        <v>15</v>
      </c>
      <c r="AE25" s="100">
        <v>7956</v>
      </c>
      <c r="AF25" s="100">
        <v>19.200977806814489</v>
      </c>
      <c r="AG25" s="100">
        <v>10184.198628734404</v>
      </c>
      <c r="AH25" s="100">
        <v>17</v>
      </c>
      <c r="AI25" s="100">
        <v>9016.7999999999993</v>
      </c>
      <c r="AJ25" s="100">
        <v>15</v>
      </c>
      <c r="AK25" s="100">
        <v>7956</v>
      </c>
      <c r="AL25" s="100">
        <v>2.1217874211856786</v>
      </c>
      <c r="AM25" s="100">
        <v>1125.3960481968838</v>
      </c>
      <c r="AN25" s="100">
        <v>13</v>
      </c>
      <c r="AO25" s="100">
        <v>6895.2</v>
      </c>
      <c r="AP25" s="100">
        <v>20</v>
      </c>
      <c r="AQ25" s="100">
        <v>10608</v>
      </c>
      <c r="AR25" s="100">
        <v>22</v>
      </c>
      <c r="AS25" s="100">
        <v>11668.8</v>
      </c>
      <c r="AT25" s="100">
        <v>13</v>
      </c>
      <c r="AU25" s="100">
        <v>6895.2</v>
      </c>
      <c r="AV25" s="100">
        <v>20</v>
      </c>
      <c r="AW25" s="100">
        <v>10608</v>
      </c>
      <c r="AX25" s="100">
        <v>21.68595362419677</v>
      </c>
      <c r="AY25" s="100">
        <v>11502.229802273967</v>
      </c>
      <c r="AZ25" s="100">
        <v>4.0417825464658002</v>
      </c>
      <c r="BA25" s="100">
        <v>2143.7614626454601</v>
      </c>
      <c r="BB25" s="100">
        <v>15</v>
      </c>
      <c r="BC25" s="100">
        <v>7956</v>
      </c>
      <c r="BD25" s="100">
        <v>15</v>
      </c>
      <c r="BE25" s="100">
        <v>7956</v>
      </c>
      <c r="BF25" s="100">
        <v>22</v>
      </c>
      <c r="BG25" s="100">
        <v>11668.8</v>
      </c>
      <c r="BH25" s="100">
        <v>8.9420468070936039</v>
      </c>
      <c r="BI25" s="100">
        <v>4742.8616264824477</v>
      </c>
      <c r="BJ25" s="100">
        <v>12</v>
      </c>
      <c r="BK25" s="100">
        <v>6364.7999999999993</v>
      </c>
      <c r="BL25" s="100">
        <v>22</v>
      </c>
      <c r="BM25" s="100">
        <v>11668.8</v>
      </c>
      <c r="BN25" s="100">
        <v>12</v>
      </c>
      <c r="BO25" s="100">
        <v>6364.7999999999993</v>
      </c>
      <c r="BP25" s="100">
        <v>14</v>
      </c>
      <c r="BQ25" s="100">
        <v>7425.5999999999995</v>
      </c>
      <c r="BR25" s="100">
        <v>2.3064207128033352</v>
      </c>
      <c r="BS25" s="100">
        <v>1223.325546070889</v>
      </c>
      <c r="BT25" s="100">
        <v>17.863216544124963</v>
      </c>
      <c r="BU25" s="100">
        <v>9474.65005500388</v>
      </c>
      <c r="BV25" s="100">
        <v>21</v>
      </c>
      <c r="BW25" s="100">
        <v>11138.4</v>
      </c>
      <c r="BX25" s="100">
        <v>13</v>
      </c>
      <c r="BY25" s="100">
        <v>6895.2</v>
      </c>
      <c r="BZ25" s="100">
        <v>15</v>
      </c>
      <c r="CA25" s="100">
        <v>7956</v>
      </c>
      <c r="CB25" s="100">
        <v>14.051876636106893</v>
      </c>
      <c r="CC25" s="100">
        <v>7453.1153677910961</v>
      </c>
      <c r="CD25" s="100">
        <v>0</v>
      </c>
      <c r="CE25" s="100">
        <v>0</v>
      </c>
      <c r="CF25" s="100">
        <v>17</v>
      </c>
      <c r="CG25" s="100">
        <v>9016.7999999999993</v>
      </c>
      <c r="CH25" s="100">
        <v>17</v>
      </c>
      <c r="CI25" s="100">
        <v>9016.7999999999993</v>
      </c>
      <c r="CJ25" s="100">
        <v>15</v>
      </c>
      <c r="CK25" s="100">
        <v>7956</v>
      </c>
      <c r="CL25" s="100">
        <v>15</v>
      </c>
      <c r="CM25" s="100">
        <v>7956</v>
      </c>
      <c r="CN25" s="100">
        <v>13</v>
      </c>
      <c r="CO25" s="100">
        <v>6895.2</v>
      </c>
      <c r="CP25" s="100">
        <v>14</v>
      </c>
      <c r="CQ25" s="100">
        <v>7425.5999999999995</v>
      </c>
      <c r="CR25" s="100">
        <v>11</v>
      </c>
      <c r="CS25" s="100">
        <v>5834.4</v>
      </c>
      <c r="CT25" s="100">
        <v>11.501263195967452</v>
      </c>
      <c r="CU25" s="100">
        <v>6100.2699991411364</v>
      </c>
    </row>
    <row r="26" spans="2:99">
      <c r="C26" s="99" t="s">
        <v>192</v>
      </c>
      <c r="D26" s="100">
        <v>12.803851793305224</v>
      </c>
      <c r="E26" s="100">
        <v>6222.6719715463387</v>
      </c>
      <c r="F26" s="100">
        <v>14</v>
      </c>
      <c r="G26" s="100">
        <v>6804</v>
      </c>
      <c r="H26" s="100">
        <v>17</v>
      </c>
      <c r="I26" s="100">
        <v>8262</v>
      </c>
      <c r="J26" s="100">
        <v>18</v>
      </c>
      <c r="K26" s="100">
        <v>8748</v>
      </c>
      <c r="L26" s="100">
        <v>21</v>
      </c>
      <c r="M26" s="100">
        <v>10206</v>
      </c>
      <c r="N26" s="100">
        <v>9.6199167588382579</v>
      </c>
      <c r="O26" s="100">
        <v>4675.2795447953931</v>
      </c>
      <c r="P26" s="100">
        <v>17</v>
      </c>
      <c r="Q26" s="100">
        <v>8262</v>
      </c>
      <c r="R26" s="100">
        <v>14.04923840581152</v>
      </c>
      <c r="S26" s="100">
        <v>6827.9298652243988</v>
      </c>
      <c r="T26" s="100">
        <v>18</v>
      </c>
      <c r="U26" s="100">
        <v>8748</v>
      </c>
      <c r="V26" s="100">
        <v>20</v>
      </c>
      <c r="W26" s="100">
        <v>9720</v>
      </c>
      <c r="X26" s="100">
        <v>5.0323530143753965</v>
      </c>
      <c r="Y26" s="100">
        <v>2445.7235649864429</v>
      </c>
      <c r="Z26" s="100">
        <v>14</v>
      </c>
      <c r="AA26" s="100">
        <v>6804</v>
      </c>
      <c r="AB26" s="100">
        <v>11</v>
      </c>
      <c r="AC26" s="100">
        <v>5346</v>
      </c>
      <c r="AD26" s="100">
        <v>12</v>
      </c>
      <c r="AE26" s="100">
        <v>5832</v>
      </c>
      <c r="AF26" s="100">
        <v>16.320831135792314</v>
      </c>
      <c r="AG26" s="100">
        <v>7931.9239319950648</v>
      </c>
      <c r="AH26" s="100">
        <v>19</v>
      </c>
      <c r="AI26" s="100">
        <v>9234</v>
      </c>
      <c r="AJ26" s="100">
        <v>12</v>
      </c>
      <c r="AK26" s="100">
        <v>5832</v>
      </c>
      <c r="AL26" s="100">
        <v>2.2228249174326153</v>
      </c>
      <c r="AM26" s="100">
        <v>1080.2929098722511</v>
      </c>
      <c r="AN26" s="100">
        <v>13</v>
      </c>
      <c r="AO26" s="100">
        <v>6318</v>
      </c>
      <c r="AP26" s="100">
        <v>21</v>
      </c>
      <c r="AQ26" s="100">
        <v>10206</v>
      </c>
      <c r="AR26" s="100">
        <v>20</v>
      </c>
      <c r="AS26" s="100">
        <v>9720</v>
      </c>
      <c r="AT26" s="100">
        <v>12</v>
      </c>
      <c r="AU26" s="100">
        <v>5832</v>
      </c>
      <c r="AV26" s="100">
        <v>19</v>
      </c>
      <c r="AW26" s="100">
        <v>9234</v>
      </c>
      <c r="AX26" s="100">
        <v>18.728778129988118</v>
      </c>
      <c r="AY26" s="100">
        <v>9102.1861711742258</v>
      </c>
      <c r="AZ26" s="100">
        <v>4.5470053647740256</v>
      </c>
      <c r="BA26" s="100">
        <v>2209.8446072801767</v>
      </c>
      <c r="BB26" s="100">
        <v>14</v>
      </c>
      <c r="BC26" s="100">
        <v>6804</v>
      </c>
      <c r="BD26" s="100">
        <v>13</v>
      </c>
      <c r="BE26" s="100">
        <v>6318</v>
      </c>
      <c r="BF26" s="100">
        <v>21</v>
      </c>
      <c r="BG26" s="100">
        <v>10206</v>
      </c>
      <c r="BH26" s="100">
        <v>9.3678585598123494</v>
      </c>
      <c r="BI26" s="100">
        <v>4552.7792600688017</v>
      </c>
      <c r="BJ26" s="100">
        <v>12</v>
      </c>
      <c r="BK26" s="100">
        <v>5832</v>
      </c>
      <c r="BL26" s="100">
        <v>20</v>
      </c>
      <c r="BM26" s="100">
        <v>9720</v>
      </c>
      <c r="BN26" s="100">
        <v>13</v>
      </c>
      <c r="BO26" s="100">
        <v>6318</v>
      </c>
      <c r="BP26" s="100">
        <v>15</v>
      </c>
      <c r="BQ26" s="100">
        <v>7290</v>
      </c>
      <c r="BR26" s="100">
        <v>2.3064207128033352</v>
      </c>
      <c r="BS26" s="100">
        <v>1120.920466422421</v>
      </c>
      <c r="BT26" s="100">
        <v>17.863216544124963</v>
      </c>
      <c r="BU26" s="100">
        <v>8681.5232404447324</v>
      </c>
      <c r="BV26" s="100">
        <v>24</v>
      </c>
      <c r="BW26" s="100">
        <v>11664</v>
      </c>
      <c r="BX26" s="100">
        <v>13</v>
      </c>
      <c r="BY26" s="100">
        <v>6318</v>
      </c>
      <c r="BZ26" s="100">
        <v>16</v>
      </c>
      <c r="CA26" s="100">
        <v>7776</v>
      </c>
      <c r="CB26" s="100">
        <v>12.774433305551721</v>
      </c>
      <c r="CC26" s="100">
        <v>6208.3745864981365</v>
      </c>
      <c r="CD26" s="100">
        <v>0</v>
      </c>
      <c r="CE26" s="100">
        <v>0</v>
      </c>
      <c r="CF26" s="100">
        <v>16</v>
      </c>
      <c r="CG26" s="100">
        <v>7776</v>
      </c>
      <c r="CH26" s="100">
        <v>16</v>
      </c>
      <c r="CI26" s="100">
        <v>7776</v>
      </c>
      <c r="CJ26" s="100">
        <v>17</v>
      </c>
      <c r="CK26" s="100">
        <v>8262</v>
      </c>
      <c r="CL26" s="100">
        <v>14</v>
      </c>
      <c r="CM26" s="100">
        <v>6804</v>
      </c>
      <c r="CN26" s="100">
        <v>13</v>
      </c>
      <c r="CO26" s="100">
        <v>6318</v>
      </c>
      <c r="CP26" s="100">
        <v>13</v>
      </c>
      <c r="CQ26" s="100">
        <v>6318</v>
      </c>
      <c r="CR26" s="100">
        <v>12</v>
      </c>
      <c r="CS26" s="100">
        <v>5832</v>
      </c>
      <c r="CT26" s="100">
        <v>12.322781995679414</v>
      </c>
      <c r="CU26" s="100">
        <v>5988.8720499001947</v>
      </c>
    </row>
    <row r="27" spans="2:99">
      <c r="C27" s="99" t="s">
        <v>193</v>
      </c>
      <c r="D27" s="100">
        <v>14.632973478063112</v>
      </c>
      <c r="E27" s="100">
        <v>6251.2062698285617</v>
      </c>
      <c r="F27" s="100">
        <v>14</v>
      </c>
      <c r="G27" s="100">
        <v>5980.8</v>
      </c>
      <c r="H27" s="100">
        <v>17</v>
      </c>
      <c r="I27" s="100">
        <v>7262.4</v>
      </c>
      <c r="J27" s="100">
        <v>19</v>
      </c>
      <c r="K27" s="100">
        <v>8116.8</v>
      </c>
      <c r="L27" s="100">
        <v>19</v>
      </c>
      <c r="M27" s="100">
        <v>8116.8</v>
      </c>
      <c r="N27" s="100">
        <v>8.6072939421184405</v>
      </c>
      <c r="O27" s="100">
        <v>3677.0359720729975</v>
      </c>
      <c r="P27" s="100">
        <v>18</v>
      </c>
      <c r="Q27" s="100">
        <v>7689.5999999999995</v>
      </c>
      <c r="R27" s="100">
        <v>15.610264895346132</v>
      </c>
      <c r="S27" s="100">
        <v>6668.7051632918674</v>
      </c>
      <c r="T27" s="100">
        <v>19</v>
      </c>
      <c r="U27" s="100">
        <v>8116.8</v>
      </c>
      <c r="V27" s="100">
        <v>20</v>
      </c>
      <c r="W27" s="100">
        <v>8544</v>
      </c>
      <c r="X27" s="100">
        <v>5.3678432153337559</v>
      </c>
      <c r="Y27" s="100">
        <v>2293.1426215905803</v>
      </c>
      <c r="Z27" s="100">
        <v>12</v>
      </c>
      <c r="AA27" s="100">
        <v>5126.3999999999996</v>
      </c>
      <c r="AB27" s="100">
        <v>10</v>
      </c>
      <c r="AC27" s="100">
        <v>4272</v>
      </c>
      <c r="AD27" s="100">
        <v>14</v>
      </c>
      <c r="AE27" s="100">
        <v>5980.8</v>
      </c>
      <c r="AF27" s="100">
        <v>19.200977806814489</v>
      </c>
      <c r="AG27" s="100">
        <v>8202.6577190711487</v>
      </c>
      <c r="AH27" s="100">
        <v>19</v>
      </c>
      <c r="AI27" s="100">
        <v>8116.8</v>
      </c>
      <c r="AJ27" s="100">
        <v>13</v>
      </c>
      <c r="AK27" s="100">
        <v>5553.5999999999995</v>
      </c>
      <c r="AL27" s="100">
        <v>1.9197124286918041</v>
      </c>
      <c r="AM27" s="100">
        <v>820.10114953713867</v>
      </c>
      <c r="AN27" s="100">
        <v>15</v>
      </c>
      <c r="AO27" s="100">
        <v>6408</v>
      </c>
      <c r="AP27" s="100">
        <v>21</v>
      </c>
      <c r="AQ27" s="100">
        <v>8971.1999999999989</v>
      </c>
      <c r="AR27" s="100">
        <v>22</v>
      </c>
      <c r="AS27" s="100">
        <v>9398.4</v>
      </c>
      <c r="AT27" s="100">
        <v>12</v>
      </c>
      <c r="AU27" s="100">
        <v>5126.3999999999996</v>
      </c>
      <c r="AV27" s="100">
        <v>23</v>
      </c>
      <c r="AW27" s="100">
        <v>9825.6</v>
      </c>
      <c r="AX27" s="100">
        <v>19.714503294724334</v>
      </c>
      <c r="AY27" s="100">
        <v>8422.0358075062359</v>
      </c>
      <c r="AZ27" s="100">
        <v>3.7891711373116879</v>
      </c>
      <c r="BA27" s="100">
        <v>1618.733909859553</v>
      </c>
      <c r="BB27" s="100">
        <v>13</v>
      </c>
      <c r="BC27" s="100">
        <v>5553.5999999999995</v>
      </c>
      <c r="BD27" s="100">
        <v>14</v>
      </c>
      <c r="BE27" s="100">
        <v>5980.8</v>
      </c>
      <c r="BF27" s="100">
        <v>20</v>
      </c>
      <c r="BG27" s="100">
        <v>8544</v>
      </c>
      <c r="BH27" s="100">
        <v>8.5162350543748619</v>
      </c>
      <c r="BI27" s="100">
        <v>3638.1356152289409</v>
      </c>
      <c r="BJ27" s="100">
        <v>12</v>
      </c>
      <c r="BK27" s="100">
        <v>5126.3999999999996</v>
      </c>
      <c r="BL27" s="100">
        <v>21</v>
      </c>
      <c r="BM27" s="100">
        <v>8971.1999999999989</v>
      </c>
      <c r="BN27" s="100">
        <v>13</v>
      </c>
      <c r="BO27" s="100">
        <v>5553.5999999999995</v>
      </c>
      <c r="BP27" s="100">
        <v>14</v>
      </c>
      <c r="BQ27" s="100">
        <v>5980.8</v>
      </c>
      <c r="BR27" s="100">
        <v>2.3064207128033352</v>
      </c>
      <c r="BS27" s="100">
        <v>985.30292850958472</v>
      </c>
      <c r="BT27" s="100">
        <v>16.374615165447882</v>
      </c>
      <c r="BU27" s="100">
        <v>6995.2355986793345</v>
      </c>
      <c r="BV27" s="100">
        <v>23</v>
      </c>
      <c r="BW27" s="100">
        <v>9825.6</v>
      </c>
      <c r="BX27" s="100">
        <v>14</v>
      </c>
      <c r="BY27" s="100">
        <v>5980.8</v>
      </c>
      <c r="BZ27" s="100">
        <v>15</v>
      </c>
      <c r="CA27" s="100">
        <v>6408</v>
      </c>
      <c r="CB27" s="100">
        <v>12.774433305551721</v>
      </c>
      <c r="CC27" s="100">
        <v>5457.2379081316949</v>
      </c>
      <c r="CD27" s="100">
        <v>0</v>
      </c>
      <c r="CE27" s="100">
        <v>0</v>
      </c>
      <c r="CF27" s="100">
        <v>17</v>
      </c>
      <c r="CG27" s="100">
        <v>7262.4</v>
      </c>
      <c r="CH27" s="100">
        <v>17</v>
      </c>
      <c r="CI27" s="100">
        <v>7262.4</v>
      </c>
      <c r="CJ27" s="100">
        <v>16</v>
      </c>
      <c r="CK27" s="100">
        <v>6835.2</v>
      </c>
      <c r="CL27" s="100">
        <v>13</v>
      </c>
      <c r="CM27" s="100">
        <v>5553.5999999999995</v>
      </c>
      <c r="CN27" s="100">
        <v>12</v>
      </c>
      <c r="CO27" s="100">
        <v>5126.3999999999996</v>
      </c>
      <c r="CP27" s="100">
        <v>14</v>
      </c>
      <c r="CQ27" s="100">
        <v>5980.8</v>
      </c>
      <c r="CR27" s="100">
        <v>13</v>
      </c>
      <c r="CS27" s="100">
        <v>5553.5999999999995</v>
      </c>
      <c r="CT27" s="100">
        <v>11.501263195967452</v>
      </c>
      <c r="CU27" s="100">
        <v>4913.3396373172955</v>
      </c>
    </row>
    <row r="28" spans="2:99">
      <c r="C28" s="99" t="s">
        <v>194</v>
      </c>
      <c r="D28" s="100">
        <v>13.718412635684167</v>
      </c>
      <c r="E28" s="100">
        <v>10124.188525134916</v>
      </c>
      <c r="F28" s="100">
        <v>14</v>
      </c>
      <c r="G28" s="100">
        <v>10332</v>
      </c>
      <c r="H28" s="100">
        <v>16</v>
      </c>
      <c r="I28" s="100">
        <v>11808</v>
      </c>
      <c r="J28" s="100">
        <v>16</v>
      </c>
      <c r="K28" s="100">
        <v>11808</v>
      </c>
      <c r="L28" s="100">
        <v>18</v>
      </c>
      <c r="M28" s="100">
        <v>13284</v>
      </c>
      <c r="N28" s="100">
        <v>8.6072939421184405</v>
      </c>
      <c r="O28" s="100">
        <v>6352.1829292834091</v>
      </c>
      <c r="P28" s="100">
        <v>17</v>
      </c>
      <c r="Q28" s="100">
        <v>12546</v>
      </c>
      <c r="R28" s="100">
        <v>13.268725161044214</v>
      </c>
      <c r="S28" s="100">
        <v>9792.3191688506304</v>
      </c>
      <c r="T28" s="100">
        <v>18</v>
      </c>
      <c r="U28" s="100">
        <v>13284</v>
      </c>
      <c r="V28" s="100">
        <v>19</v>
      </c>
      <c r="W28" s="100">
        <v>14022</v>
      </c>
      <c r="X28" s="100">
        <v>4.3613726124586769</v>
      </c>
      <c r="Y28" s="100">
        <v>3218.6929879945037</v>
      </c>
      <c r="Z28" s="100">
        <v>14</v>
      </c>
      <c r="AA28" s="100">
        <v>10332</v>
      </c>
      <c r="AB28" s="100">
        <v>11</v>
      </c>
      <c r="AC28" s="100">
        <v>8118</v>
      </c>
      <c r="AD28" s="100">
        <v>12</v>
      </c>
      <c r="AE28" s="100">
        <v>8856</v>
      </c>
      <c r="AF28" s="100">
        <v>19.200977806814489</v>
      </c>
      <c r="AG28" s="100">
        <v>14170.321621429093</v>
      </c>
      <c r="AH28" s="100">
        <v>20</v>
      </c>
      <c r="AI28" s="100">
        <v>14760</v>
      </c>
      <c r="AJ28" s="100">
        <v>12</v>
      </c>
      <c r="AK28" s="100">
        <v>8856</v>
      </c>
      <c r="AL28" s="100">
        <v>2.2228249174326153</v>
      </c>
      <c r="AM28" s="100">
        <v>1640.44478906527</v>
      </c>
      <c r="AN28" s="100">
        <v>13</v>
      </c>
      <c r="AO28" s="100">
        <v>9594</v>
      </c>
      <c r="AP28" s="100">
        <v>19</v>
      </c>
      <c r="AQ28" s="100">
        <v>14022</v>
      </c>
      <c r="AR28" s="100">
        <v>21</v>
      </c>
      <c r="AS28" s="100">
        <v>15498</v>
      </c>
      <c r="AT28" s="100">
        <v>12</v>
      </c>
      <c r="AU28" s="100">
        <v>8856</v>
      </c>
      <c r="AV28" s="100">
        <v>22</v>
      </c>
      <c r="AW28" s="100">
        <v>16236</v>
      </c>
      <c r="AX28" s="100">
        <v>18.728778129988118</v>
      </c>
      <c r="AY28" s="100">
        <v>13821.838259931232</v>
      </c>
      <c r="AZ28" s="100">
        <v>4.0417825464658002</v>
      </c>
      <c r="BA28" s="100">
        <v>2982.8355192917606</v>
      </c>
      <c r="BB28" s="100">
        <v>13</v>
      </c>
      <c r="BC28" s="100">
        <v>9594</v>
      </c>
      <c r="BD28" s="100">
        <v>13</v>
      </c>
      <c r="BE28" s="100">
        <v>9594</v>
      </c>
      <c r="BF28" s="100">
        <v>20</v>
      </c>
      <c r="BG28" s="100">
        <v>14760</v>
      </c>
      <c r="BH28" s="100">
        <v>8.0904233016561182</v>
      </c>
      <c r="BI28" s="100">
        <v>5970.7323966222157</v>
      </c>
      <c r="BJ28" s="100">
        <v>12</v>
      </c>
      <c r="BK28" s="100">
        <v>8856</v>
      </c>
      <c r="BL28" s="100">
        <v>21</v>
      </c>
      <c r="BM28" s="100">
        <v>15498</v>
      </c>
      <c r="BN28" s="100">
        <v>13</v>
      </c>
      <c r="BO28" s="100">
        <v>9594</v>
      </c>
      <c r="BP28" s="100">
        <v>13</v>
      </c>
      <c r="BQ28" s="100">
        <v>9594</v>
      </c>
      <c r="BR28" s="100">
        <v>2.0350770995323546</v>
      </c>
      <c r="BS28" s="100">
        <v>1501.8868994548777</v>
      </c>
      <c r="BT28" s="100">
        <v>15.630314476109342</v>
      </c>
      <c r="BU28" s="100">
        <v>11535.172083368694</v>
      </c>
      <c r="BV28" s="100">
        <v>22</v>
      </c>
      <c r="BW28" s="100">
        <v>16236</v>
      </c>
      <c r="BX28" s="100">
        <v>12</v>
      </c>
      <c r="BY28" s="100">
        <v>8856</v>
      </c>
      <c r="BZ28" s="100">
        <v>14</v>
      </c>
      <c r="CA28" s="100">
        <v>10332</v>
      </c>
      <c r="CB28" s="100">
        <v>12.774433305551721</v>
      </c>
      <c r="CC28" s="100">
        <v>9427.5317794971706</v>
      </c>
      <c r="CD28" s="100">
        <v>0</v>
      </c>
      <c r="CE28" s="100">
        <v>0</v>
      </c>
      <c r="CF28" s="100">
        <v>17</v>
      </c>
      <c r="CG28" s="100">
        <v>12546</v>
      </c>
      <c r="CH28" s="100">
        <v>18</v>
      </c>
      <c r="CI28" s="100">
        <v>13284</v>
      </c>
      <c r="CJ28" s="100">
        <v>15</v>
      </c>
      <c r="CK28" s="100">
        <v>11070</v>
      </c>
      <c r="CL28" s="100">
        <v>15</v>
      </c>
      <c r="CM28" s="100">
        <v>11070</v>
      </c>
      <c r="CN28" s="100">
        <v>13</v>
      </c>
      <c r="CO28" s="100">
        <v>9594</v>
      </c>
      <c r="CP28" s="100">
        <v>12</v>
      </c>
      <c r="CQ28" s="100">
        <v>8856</v>
      </c>
      <c r="CR28" s="100">
        <v>13</v>
      </c>
      <c r="CS28" s="100">
        <v>9594</v>
      </c>
      <c r="CT28" s="100">
        <v>13.144300795391374</v>
      </c>
      <c r="CU28" s="100">
        <v>9700.4939869988339</v>
      </c>
    </row>
    <row r="29" spans="2:99">
      <c r="C29" s="99" t="s">
        <v>195</v>
      </c>
      <c r="D29" s="100">
        <v>14.632973478063112</v>
      </c>
      <c r="E29" s="100">
        <v>4951.7982249765573</v>
      </c>
      <c r="F29" s="100">
        <v>16</v>
      </c>
      <c r="G29" s="100">
        <v>5414.4</v>
      </c>
      <c r="H29" s="100">
        <v>18</v>
      </c>
      <c r="I29" s="100">
        <v>6091.2</v>
      </c>
      <c r="J29" s="100">
        <v>19</v>
      </c>
      <c r="K29" s="100">
        <v>6429.5999999999995</v>
      </c>
      <c r="L29" s="100">
        <v>21</v>
      </c>
      <c r="M29" s="100">
        <v>7106.4</v>
      </c>
      <c r="N29" s="100">
        <v>8.6072939421184405</v>
      </c>
      <c r="O29" s="100">
        <v>2912.7082700128799</v>
      </c>
      <c r="P29" s="100">
        <v>21</v>
      </c>
      <c r="Q29" s="100">
        <v>7106.4</v>
      </c>
      <c r="R29" s="100">
        <v>13.268725161044214</v>
      </c>
      <c r="S29" s="100">
        <v>4490.1365944973622</v>
      </c>
      <c r="T29" s="100">
        <v>21</v>
      </c>
      <c r="U29" s="100">
        <v>7106.4</v>
      </c>
      <c r="V29" s="100">
        <v>22</v>
      </c>
      <c r="W29" s="100">
        <v>7444.7999999999993</v>
      </c>
      <c r="X29" s="100">
        <v>5.0323530143753965</v>
      </c>
      <c r="Y29" s="100">
        <v>1702.948260064634</v>
      </c>
      <c r="Z29" s="100">
        <v>13</v>
      </c>
      <c r="AA29" s="100">
        <v>4399.2</v>
      </c>
      <c r="AB29" s="100">
        <v>12</v>
      </c>
      <c r="AC29" s="100">
        <v>4060.7999999999997</v>
      </c>
      <c r="AD29" s="100">
        <v>13</v>
      </c>
      <c r="AE29" s="100">
        <v>4399.2</v>
      </c>
      <c r="AF29" s="100">
        <v>16.320831135792314</v>
      </c>
      <c r="AG29" s="100">
        <v>5522.9692563521185</v>
      </c>
      <c r="AH29" s="100">
        <v>21</v>
      </c>
      <c r="AI29" s="100">
        <v>7106.4</v>
      </c>
      <c r="AJ29" s="100">
        <v>14</v>
      </c>
      <c r="AK29" s="100">
        <v>4737.5999999999995</v>
      </c>
      <c r="AL29" s="100">
        <v>2.0207499249387415</v>
      </c>
      <c r="AM29" s="100">
        <v>683.82177459927004</v>
      </c>
      <c r="AN29" s="100">
        <v>13</v>
      </c>
      <c r="AO29" s="100">
        <v>4399.2</v>
      </c>
      <c r="AP29" s="100">
        <v>22</v>
      </c>
      <c r="AQ29" s="100">
        <v>7444.7999999999993</v>
      </c>
      <c r="AR29" s="100">
        <v>22</v>
      </c>
      <c r="AS29" s="100">
        <v>7444.7999999999993</v>
      </c>
      <c r="AT29" s="100">
        <v>13</v>
      </c>
      <c r="AU29" s="100">
        <v>4399.2</v>
      </c>
      <c r="AV29" s="100">
        <v>21</v>
      </c>
      <c r="AW29" s="100">
        <v>7106.4</v>
      </c>
      <c r="AX29" s="100">
        <v>18.728778129988118</v>
      </c>
      <c r="AY29" s="100">
        <v>6337.8185191879784</v>
      </c>
      <c r="AZ29" s="100">
        <v>4.5470053647740256</v>
      </c>
      <c r="BA29" s="100">
        <v>1538.7066154395302</v>
      </c>
      <c r="BB29" s="100">
        <v>14</v>
      </c>
      <c r="BC29" s="100">
        <v>4737.5999999999995</v>
      </c>
      <c r="BD29" s="100">
        <v>14</v>
      </c>
      <c r="BE29" s="100">
        <v>4737.5999999999995</v>
      </c>
      <c r="BF29" s="100">
        <v>20</v>
      </c>
      <c r="BG29" s="100">
        <v>6768</v>
      </c>
      <c r="BH29" s="100">
        <v>8.0904233016561182</v>
      </c>
      <c r="BI29" s="100">
        <v>2737.7992452804301</v>
      </c>
      <c r="BJ29" s="100">
        <v>11</v>
      </c>
      <c r="BK29" s="100">
        <v>3722.3999999999996</v>
      </c>
      <c r="BL29" s="100">
        <v>22</v>
      </c>
      <c r="BM29" s="100">
        <v>7444.7999999999993</v>
      </c>
      <c r="BN29" s="100">
        <v>13</v>
      </c>
      <c r="BO29" s="100">
        <v>4399.2</v>
      </c>
      <c r="BP29" s="100">
        <v>14</v>
      </c>
      <c r="BQ29" s="100">
        <v>4737.5999999999995</v>
      </c>
      <c r="BR29" s="100">
        <v>2.1707489061678449</v>
      </c>
      <c r="BS29" s="100">
        <v>734.58142984719871</v>
      </c>
      <c r="BT29" s="100">
        <v>15.630314476109342</v>
      </c>
      <c r="BU29" s="100">
        <v>5289.2984187154016</v>
      </c>
      <c r="BV29" s="100">
        <v>22</v>
      </c>
      <c r="BW29" s="100">
        <v>7444.7999999999993</v>
      </c>
      <c r="BX29" s="100">
        <v>12</v>
      </c>
      <c r="BY29" s="100">
        <v>4060.7999999999997</v>
      </c>
      <c r="BZ29" s="100">
        <v>14</v>
      </c>
      <c r="CA29" s="100">
        <v>4737.5999999999995</v>
      </c>
      <c r="CB29" s="100">
        <v>14.690598301384478</v>
      </c>
      <c r="CC29" s="100">
        <v>4971.2984651885072</v>
      </c>
      <c r="CD29" s="100">
        <v>0</v>
      </c>
      <c r="CE29" s="100">
        <v>0</v>
      </c>
      <c r="CF29" s="100">
        <v>18</v>
      </c>
      <c r="CG29" s="100">
        <v>6091.2</v>
      </c>
      <c r="CH29" s="100">
        <v>17</v>
      </c>
      <c r="CI29" s="100">
        <v>5752.7999999999993</v>
      </c>
      <c r="CJ29" s="100">
        <v>16</v>
      </c>
      <c r="CK29" s="100">
        <v>5414.4</v>
      </c>
      <c r="CL29" s="100">
        <v>15</v>
      </c>
      <c r="CM29" s="100">
        <v>5076</v>
      </c>
      <c r="CN29" s="100">
        <v>12</v>
      </c>
      <c r="CO29" s="100">
        <v>4060.7999999999997</v>
      </c>
      <c r="CP29" s="100">
        <v>13</v>
      </c>
      <c r="CQ29" s="100">
        <v>4399.2</v>
      </c>
      <c r="CR29" s="100">
        <v>12</v>
      </c>
      <c r="CS29" s="100">
        <v>4060.7999999999997</v>
      </c>
      <c r="CT29" s="100">
        <v>11.501263195967452</v>
      </c>
      <c r="CU29" s="100">
        <v>3892.0274655153853</v>
      </c>
    </row>
    <row r="30" spans="2:99">
      <c r="C30" s="99" t="s">
        <v>196</v>
      </c>
      <c r="D30" s="100">
        <v>15.547534320442058</v>
      </c>
      <c r="E30" s="100">
        <v>2164.2167774055342</v>
      </c>
      <c r="F30" s="100">
        <v>14</v>
      </c>
      <c r="G30" s="100">
        <v>1948.7999999999997</v>
      </c>
      <c r="H30" s="100">
        <v>18</v>
      </c>
      <c r="I30" s="100">
        <v>2505.6</v>
      </c>
      <c r="J30" s="100">
        <v>19</v>
      </c>
      <c r="K30" s="100">
        <v>2644.7999999999997</v>
      </c>
      <c r="L30" s="100">
        <v>21</v>
      </c>
      <c r="M30" s="100">
        <v>2923.2</v>
      </c>
      <c r="N30" s="100">
        <v>9.1136053504783501</v>
      </c>
      <c r="O30" s="100">
        <v>1268.6138647865862</v>
      </c>
      <c r="P30" s="100">
        <v>18</v>
      </c>
      <c r="Q30" s="100">
        <v>2505.6</v>
      </c>
      <c r="R30" s="100">
        <v>13.268725161044214</v>
      </c>
      <c r="S30" s="100">
        <v>1847.0065424173545</v>
      </c>
      <c r="T30" s="100">
        <v>19</v>
      </c>
      <c r="U30" s="100">
        <v>2644.7999999999997</v>
      </c>
      <c r="V30" s="100">
        <v>21</v>
      </c>
      <c r="W30" s="100">
        <v>2923.2</v>
      </c>
      <c r="X30" s="100">
        <v>5.0323530143753965</v>
      </c>
      <c r="Y30" s="100">
        <v>700.50353960105508</v>
      </c>
      <c r="Z30" s="100">
        <v>15</v>
      </c>
      <c r="AA30" s="100">
        <v>2088</v>
      </c>
      <c r="AB30" s="100">
        <v>12</v>
      </c>
      <c r="AC30" s="100">
        <v>1670.3999999999999</v>
      </c>
      <c r="AD30" s="100">
        <v>14</v>
      </c>
      <c r="AE30" s="100">
        <v>1948.7999999999997</v>
      </c>
      <c r="AF30" s="100">
        <v>18.240928916473763</v>
      </c>
      <c r="AG30" s="100">
        <v>2539.1373051731475</v>
      </c>
      <c r="AH30" s="100">
        <v>19</v>
      </c>
      <c r="AI30" s="100">
        <v>2644.7999999999997</v>
      </c>
      <c r="AJ30" s="100">
        <v>14</v>
      </c>
      <c r="AK30" s="100">
        <v>1948.7999999999997</v>
      </c>
      <c r="AL30" s="100">
        <v>1.9197124286918041</v>
      </c>
      <c r="AM30" s="100">
        <v>267.22397007389912</v>
      </c>
      <c r="AN30" s="100">
        <v>15</v>
      </c>
      <c r="AO30" s="100">
        <v>2088</v>
      </c>
      <c r="AP30" s="100">
        <v>20</v>
      </c>
      <c r="AQ30" s="100">
        <v>2784</v>
      </c>
      <c r="AR30" s="100">
        <v>20</v>
      </c>
      <c r="AS30" s="100">
        <v>2784</v>
      </c>
      <c r="AT30" s="100">
        <v>11</v>
      </c>
      <c r="AU30" s="100">
        <v>1531.1999999999998</v>
      </c>
      <c r="AV30" s="100">
        <v>21</v>
      </c>
      <c r="AW30" s="100">
        <v>2923.2</v>
      </c>
      <c r="AX30" s="100">
        <v>20.700228459460551</v>
      </c>
      <c r="AY30" s="100">
        <v>2881.4718015569083</v>
      </c>
      <c r="AZ30" s="100">
        <v>4.2943939556199124</v>
      </c>
      <c r="BA30" s="100">
        <v>597.77963862229171</v>
      </c>
      <c r="BB30" s="100">
        <v>15</v>
      </c>
      <c r="BC30" s="100">
        <v>2088</v>
      </c>
      <c r="BD30" s="100">
        <v>14</v>
      </c>
      <c r="BE30" s="100">
        <v>1948.7999999999997</v>
      </c>
      <c r="BF30" s="100">
        <v>19</v>
      </c>
      <c r="BG30" s="100">
        <v>2644.7999999999997</v>
      </c>
      <c r="BH30" s="100">
        <v>8.0904233016561182</v>
      </c>
      <c r="BI30" s="100">
        <v>1126.1869235905315</v>
      </c>
      <c r="BJ30" s="100">
        <v>13</v>
      </c>
      <c r="BK30" s="100">
        <v>1809.6</v>
      </c>
      <c r="BL30" s="100">
        <v>23</v>
      </c>
      <c r="BM30" s="100">
        <v>3201.6</v>
      </c>
      <c r="BN30" s="100">
        <v>13</v>
      </c>
      <c r="BO30" s="100">
        <v>1809.6</v>
      </c>
      <c r="BP30" s="100">
        <v>14</v>
      </c>
      <c r="BQ30" s="100">
        <v>1948.7999999999997</v>
      </c>
      <c r="BR30" s="100">
        <v>2.3064207128033352</v>
      </c>
      <c r="BS30" s="100">
        <v>321.05376322222423</v>
      </c>
      <c r="BT30" s="100">
        <v>17.118915854786422</v>
      </c>
      <c r="BU30" s="100">
        <v>2382.9530869862697</v>
      </c>
      <c r="BV30" s="100">
        <v>23</v>
      </c>
      <c r="BW30" s="100">
        <v>3201.6</v>
      </c>
      <c r="BX30" s="100">
        <v>13</v>
      </c>
      <c r="BY30" s="100">
        <v>1809.6</v>
      </c>
      <c r="BZ30" s="100">
        <v>15</v>
      </c>
      <c r="CA30" s="100">
        <v>2088</v>
      </c>
      <c r="CB30" s="100">
        <v>14.051876636106893</v>
      </c>
      <c r="CC30" s="100">
        <v>1956.0212277460794</v>
      </c>
      <c r="CD30" s="100">
        <v>0</v>
      </c>
      <c r="CE30" s="100">
        <v>0</v>
      </c>
      <c r="CF30" s="100">
        <v>16</v>
      </c>
      <c r="CG30" s="100">
        <v>2227.1999999999998</v>
      </c>
      <c r="CH30" s="100">
        <v>17</v>
      </c>
      <c r="CI30" s="100">
        <v>2366.3999999999996</v>
      </c>
      <c r="CJ30" s="100">
        <v>16</v>
      </c>
      <c r="CK30" s="100">
        <v>2227.1999999999998</v>
      </c>
      <c r="CL30" s="100">
        <v>14</v>
      </c>
      <c r="CM30" s="100">
        <v>1948.7999999999997</v>
      </c>
      <c r="CN30" s="100">
        <v>12</v>
      </c>
      <c r="CO30" s="100">
        <v>1670.3999999999999</v>
      </c>
      <c r="CP30" s="100">
        <v>13</v>
      </c>
      <c r="CQ30" s="100">
        <v>1809.6</v>
      </c>
      <c r="CR30" s="100">
        <v>12</v>
      </c>
      <c r="CS30" s="100">
        <v>1670.3999999999999</v>
      </c>
      <c r="CT30" s="100">
        <v>11.501263195967452</v>
      </c>
      <c r="CU30" s="100">
        <v>1600.9758368786693</v>
      </c>
    </row>
    <row r="31" spans="2:99">
      <c r="C31" s="99" t="s">
        <v>197</v>
      </c>
      <c r="D31" s="100">
        <v>14.632973478063112</v>
      </c>
      <c r="E31" s="100">
        <v>4986.9173613239091</v>
      </c>
      <c r="F31" s="100">
        <v>15</v>
      </c>
      <c r="G31" s="100">
        <v>5112</v>
      </c>
      <c r="H31" s="100">
        <v>15</v>
      </c>
      <c r="I31" s="100">
        <v>5112</v>
      </c>
      <c r="J31" s="100">
        <v>19</v>
      </c>
      <c r="K31" s="100">
        <v>6475.2</v>
      </c>
      <c r="L31" s="100">
        <v>20</v>
      </c>
      <c r="M31" s="100">
        <v>6816</v>
      </c>
      <c r="N31" s="100">
        <v>9.1136053504783501</v>
      </c>
      <c r="O31" s="100">
        <v>3105.916703443022</v>
      </c>
      <c r="P31" s="100">
        <v>20</v>
      </c>
      <c r="Q31" s="100">
        <v>6816</v>
      </c>
      <c r="R31" s="100">
        <v>14.04923840581152</v>
      </c>
      <c r="S31" s="100">
        <v>4787.9804487005658</v>
      </c>
      <c r="T31" s="100">
        <v>19</v>
      </c>
      <c r="U31" s="100">
        <v>6475.2</v>
      </c>
      <c r="V31" s="100">
        <v>19</v>
      </c>
      <c r="W31" s="100">
        <v>6475.2</v>
      </c>
      <c r="X31" s="100">
        <v>5.0323530143753965</v>
      </c>
      <c r="Y31" s="100">
        <v>1715.0259072991353</v>
      </c>
      <c r="Z31" s="100">
        <v>14</v>
      </c>
      <c r="AA31" s="100">
        <v>4771.2</v>
      </c>
      <c r="AB31" s="100">
        <v>10</v>
      </c>
      <c r="AC31" s="100">
        <v>3408</v>
      </c>
      <c r="AD31" s="100">
        <v>13</v>
      </c>
      <c r="AE31" s="100">
        <v>4430.4000000000005</v>
      </c>
      <c r="AF31" s="100">
        <v>19.200977806814489</v>
      </c>
      <c r="AG31" s="100">
        <v>6543.6932365623779</v>
      </c>
      <c r="AH31" s="100">
        <v>17</v>
      </c>
      <c r="AI31" s="100">
        <v>5793.6</v>
      </c>
      <c r="AJ31" s="100">
        <v>12</v>
      </c>
      <c r="AK31" s="100">
        <v>4089.6000000000004</v>
      </c>
      <c r="AL31" s="100">
        <v>2.2228249174326153</v>
      </c>
      <c r="AM31" s="100">
        <v>757.53873186103533</v>
      </c>
      <c r="AN31" s="100">
        <v>16</v>
      </c>
      <c r="AO31" s="100">
        <v>5452.8</v>
      </c>
      <c r="AP31" s="100">
        <v>21</v>
      </c>
      <c r="AQ31" s="100">
        <v>7156.8</v>
      </c>
      <c r="AR31" s="100">
        <v>21</v>
      </c>
      <c r="AS31" s="100">
        <v>7156.8</v>
      </c>
      <c r="AT31" s="100">
        <v>13</v>
      </c>
      <c r="AU31" s="100">
        <v>4430.4000000000005</v>
      </c>
      <c r="AV31" s="100">
        <v>22</v>
      </c>
      <c r="AW31" s="100">
        <v>7497.6</v>
      </c>
      <c r="AX31" s="100">
        <v>21.68595362419677</v>
      </c>
      <c r="AY31" s="100">
        <v>7390.5729951262592</v>
      </c>
      <c r="AZ31" s="100">
        <v>4.0417825464658002</v>
      </c>
      <c r="BA31" s="100">
        <v>1377.4394918355447</v>
      </c>
      <c r="BB31" s="100">
        <v>15</v>
      </c>
      <c r="BC31" s="100">
        <v>5112</v>
      </c>
      <c r="BD31" s="100">
        <v>14</v>
      </c>
      <c r="BE31" s="100">
        <v>4771.2</v>
      </c>
      <c r="BF31" s="100">
        <v>20</v>
      </c>
      <c r="BG31" s="100">
        <v>6816</v>
      </c>
      <c r="BH31" s="100">
        <v>8.0904233016561182</v>
      </c>
      <c r="BI31" s="100">
        <v>2757.2162612044053</v>
      </c>
      <c r="BJ31" s="100">
        <v>11</v>
      </c>
      <c r="BK31" s="100">
        <v>3748.8</v>
      </c>
      <c r="BL31" s="100">
        <v>20</v>
      </c>
      <c r="BM31" s="100">
        <v>6816</v>
      </c>
      <c r="BN31" s="100">
        <v>14</v>
      </c>
      <c r="BO31" s="100">
        <v>4771.2</v>
      </c>
      <c r="BP31" s="100">
        <v>14</v>
      </c>
      <c r="BQ31" s="100">
        <v>4771.2</v>
      </c>
      <c r="BR31" s="100">
        <v>2.1707489061678449</v>
      </c>
      <c r="BS31" s="100">
        <v>739.79122722200157</v>
      </c>
      <c r="BT31" s="100">
        <v>17.118915854786422</v>
      </c>
      <c r="BU31" s="100">
        <v>5834.1265233112126</v>
      </c>
      <c r="BV31" s="100">
        <v>21</v>
      </c>
      <c r="BW31" s="100">
        <v>7156.8</v>
      </c>
      <c r="BX31" s="100">
        <v>13</v>
      </c>
      <c r="BY31" s="100">
        <v>4430.4000000000005</v>
      </c>
      <c r="BZ31" s="100">
        <v>15</v>
      </c>
      <c r="CA31" s="100">
        <v>5112</v>
      </c>
      <c r="CB31" s="100">
        <v>12.774433305551721</v>
      </c>
      <c r="CC31" s="100">
        <v>4353.5268705320268</v>
      </c>
      <c r="CD31" s="100">
        <v>0</v>
      </c>
      <c r="CE31" s="100">
        <v>0</v>
      </c>
      <c r="CF31" s="100">
        <v>17</v>
      </c>
      <c r="CG31" s="100">
        <v>5793.6</v>
      </c>
      <c r="CH31" s="100">
        <v>18</v>
      </c>
      <c r="CI31" s="100">
        <v>6134.4000000000005</v>
      </c>
      <c r="CJ31" s="100">
        <v>18</v>
      </c>
      <c r="CK31" s="100">
        <v>6134.4000000000005</v>
      </c>
      <c r="CL31" s="100">
        <v>13</v>
      </c>
      <c r="CM31" s="100">
        <v>4430.4000000000005</v>
      </c>
      <c r="CN31" s="100">
        <v>12</v>
      </c>
      <c r="CO31" s="100">
        <v>4089.6000000000004</v>
      </c>
      <c r="CP31" s="100">
        <v>13</v>
      </c>
      <c r="CQ31" s="100">
        <v>4430.4000000000005</v>
      </c>
      <c r="CR31" s="100">
        <v>12</v>
      </c>
      <c r="CS31" s="100">
        <v>4089.6000000000004</v>
      </c>
      <c r="CT31" s="100">
        <v>13.144300795391374</v>
      </c>
      <c r="CU31" s="100">
        <v>4479.5777110693798</v>
      </c>
    </row>
    <row r="32" spans="2:99">
      <c r="C32" s="99" t="s">
        <v>198</v>
      </c>
      <c r="D32" s="100">
        <v>14.632973478063112</v>
      </c>
      <c r="E32" s="100">
        <v>12291.697721573015</v>
      </c>
      <c r="F32" s="100">
        <v>15</v>
      </c>
      <c r="G32" s="100">
        <v>12600</v>
      </c>
      <c r="H32" s="100">
        <v>17</v>
      </c>
      <c r="I32" s="100">
        <v>14280</v>
      </c>
      <c r="J32" s="100">
        <v>18</v>
      </c>
      <c r="K32" s="100">
        <v>15120</v>
      </c>
      <c r="L32" s="100">
        <v>20</v>
      </c>
      <c r="M32" s="100">
        <v>16800</v>
      </c>
      <c r="N32" s="100">
        <v>8.1009825337585326</v>
      </c>
      <c r="O32" s="100">
        <v>6804.8253283571676</v>
      </c>
      <c r="P32" s="100">
        <v>19</v>
      </c>
      <c r="Q32" s="100">
        <v>15960</v>
      </c>
      <c r="R32" s="100">
        <v>12.488211916276907</v>
      </c>
      <c r="S32" s="100">
        <v>10490.098009672602</v>
      </c>
      <c r="T32" s="100">
        <v>17</v>
      </c>
      <c r="U32" s="100">
        <v>14280</v>
      </c>
      <c r="V32" s="100">
        <v>19</v>
      </c>
      <c r="W32" s="100">
        <v>15960</v>
      </c>
      <c r="X32" s="100">
        <v>4.3613726124586769</v>
      </c>
      <c r="Y32" s="100">
        <v>3663.5529944652885</v>
      </c>
      <c r="Z32" s="100">
        <v>13</v>
      </c>
      <c r="AA32" s="100">
        <v>10920</v>
      </c>
      <c r="AB32" s="100">
        <v>12</v>
      </c>
      <c r="AC32" s="100">
        <v>10080</v>
      </c>
      <c r="AD32" s="100">
        <v>12</v>
      </c>
      <c r="AE32" s="100">
        <v>10080</v>
      </c>
      <c r="AF32" s="100">
        <v>19.200977806814489</v>
      </c>
      <c r="AG32" s="100">
        <v>16128.821357724171</v>
      </c>
      <c r="AH32" s="100">
        <v>18</v>
      </c>
      <c r="AI32" s="100">
        <v>15120</v>
      </c>
      <c r="AJ32" s="100">
        <v>13</v>
      </c>
      <c r="AK32" s="100">
        <v>10920</v>
      </c>
      <c r="AL32" s="100">
        <v>2.1217874211856786</v>
      </c>
      <c r="AM32" s="100">
        <v>1782.3014337959701</v>
      </c>
      <c r="AN32" s="100">
        <v>13</v>
      </c>
      <c r="AO32" s="100">
        <v>10920</v>
      </c>
      <c r="AP32" s="100">
        <v>20</v>
      </c>
      <c r="AQ32" s="100">
        <v>16800</v>
      </c>
      <c r="AR32" s="100">
        <v>21</v>
      </c>
      <c r="AS32" s="100">
        <v>17640</v>
      </c>
      <c r="AT32" s="100">
        <v>13</v>
      </c>
      <c r="AU32" s="100">
        <v>10920</v>
      </c>
      <c r="AV32" s="100">
        <v>19</v>
      </c>
      <c r="AW32" s="100">
        <v>15960</v>
      </c>
      <c r="AX32" s="100">
        <v>19.714503294724334</v>
      </c>
      <c r="AY32" s="100">
        <v>16560.18276756844</v>
      </c>
      <c r="AZ32" s="100">
        <v>4.5470053647740256</v>
      </c>
      <c r="BA32" s="100">
        <v>3819.4845064101814</v>
      </c>
      <c r="BB32" s="100">
        <v>14</v>
      </c>
      <c r="BC32" s="100">
        <v>11760</v>
      </c>
      <c r="BD32" s="100">
        <v>15</v>
      </c>
      <c r="BE32" s="100">
        <v>12600</v>
      </c>
      <c r="BF32" s="100">
        <v>21</v>
      </c>
      <c r="BG32" s="100">
        <v>17640</v>
      </c>
      <c r="BH32" s="100">
        <v>8.0904233016561182</v>
      </c>
      <c r="BI32" s="100">
        <v>6795.9555733911393</v>
      </c>
      <c r="BJ32" s="100">
        <v>12</v>
      </c>
      <c r="BK32" s="100">
        <v>10080</v>
      </c>
      <c r="BL32" s="100">
        <v>19</v>
      </c>
      <c r="BM32" s="100">
        <v>15960</v>
      </c>
      <c r="BN32" s="100">
        <v>13</v>
      </c>
      <c r="BO32" s="100">
        <v>10920</v>
      </c>
      <c r="BP32" s="100">
        <v>14</v>
      </c>
      <c r="BQ32" s="100">
        <v>11760</v>
      </c>
      <c r="BR32" s="100">
        <v>2.0350770995323546</v>
      </c>
      <c r="BS32" s="100">
        <v>1709.4647636071779</v>
      </c>
      <c r="BT32" s="100">
        <v>17.863216544124963</v>
      </c>
      <c r="BU32" s="100">
        <v>15005.101897064969</v>
      </c>
      <c r="BV32" s="100">
        <v>20</v>
      </c>
      <c r="BW32" s="100">
        <v>16800</v>
      </c>
      <c r="BX32" s="100">
        <v>12</v>
      </c>
      <c r="BY32" s="100">
        <v>10080</v>
      </c>
      <c r="BZ32" s="100">
        <v>13</v>
      </c>
      <c r="CA32" s="100">
        <v>10920</v>
      </c>
      <c r="CB32" s="100">
        <v>14.051876636106893</v>
      </c>
      <c r="CC32" s="100">
        <v>11803.57637432979</v>
      </c>
      <c r="CD32" s="100">
        <v>0</v>
      </c>
      <c r="CE32" s="100">
        <v>0</v>
      </c>
      <c r="CF32" s="100">
        <v>15</v>
      </c>
      <c r="CG32" s="100">
        <v>12600</v>
      </c>
      <c r="CH32" s="100">
        <v>14</v>
      </c>
      <c r="CI32" s="100">
        <v>11760</v>
      </c>
      <c r="CJ32" s="100">
        <v>17</v>
      </c>
      <c r="CK32" s="100">
        <v>14280</v>
      </c>
      <c r="CL32" s="100">
        <v>14</v>
      </c>
      <c r="CM32" s="100">
        <v>11760</v>
      </c>
      <c r="CN32" s="100">
        <v>13</v>
      </c>
      <c r="CO32" s="100">
        <v>10920</v>
      </c>
      <c r="CP32" s="100">
        <v>14</v>
      </c>
      <c r="CQ32" s="100">
        <v>11760</v>
      </c>
      <c r="CR32" s="100">
        <v>13</v>
      </c>
      <c r="CS32" s="100">
        <v>10920</v>
      </c>
      <c r="CT32" s="100">
        <v>11.501263195967452</v>
      </c>
      <c r="CU32" s="100">
        <v>9661.0610846126601</v>
      </c>
    </row>
    <row r="33" spans="2:99">
      <c r="C33" s="99" t="s">
        <v>199</v>
      </c>
      <c r="D33" s="100">
        <v>12.803851793305224</v>
      </c>
      <c r="E33" s="100">
        <v>6069.0257500266762</v>
      </c>
      <c r="F33" s="100">
        <v>16</v>
      </c>
      <c r="G33" s="100">
        <v>7584</v>
      </c>
      <c r="H33" s="100">
        <v>18</v>
      </c>
      <c r="I33" s="100">
        <v>8532</v>
      </c>
      <c r="J33" s="100">
        <v>18</v>
      </c>
      <c r="K33" s="100">
        <v>8532</v>
      </c>
      <c r="L33" s="100">
        <v>19</v>
      </c>
      <c r="M33" s="100">
        <v>9006</v>
      </c>
      <c r="N33" s="100">
        <v>9.1136053504783501</v>
      </c>
      <c r="O33" s="100">
        <v>4319.8489361267375</v>
      </c>
      <c r="P33" s="100">
        <v>17</v>
      </c>
      <c r="Q33" s="100">
        <v>8058</v>
      </c>
      <c r="R33" s="100">
        <v>14.829751650578828</v>
      </c>
      <c r="S33" s="100">
        <v>7029.3022823743649</v>
      </c>
      <c r="T33" s="100">
        <v>18</v>
      </c>
      <c r="U33" s="100">
        <v>8532</v>
      </c>
      <c r="V33" s="100">
        <v>18</v>
      </c>
      <c r="W33" s="100">
        <v>8532</v>
      </c>
      <c r="X33" s="100">
        <v>4.6968628134170372</v>
      </c>
      <c r="Y33" s="100">
        <v>2226.3129735596758</v>
      </c>
      <c r="Z33" s="100">
        <v>14</v>
      </c>
      <c r="AA33" s="100">
        <v>6636</v>
      </c>
      <c r="AB33" s="100">
        <v>12</v>
      </c>
      <c r="AC33" s="100">
        <v>5688</v>
      </c>
      <c r="AD33" s="100">
        <v>14</v>
      </c>
      <c r="AE33" s="100">
        <v>6636</v>
      </c>
      <c r="AF33" s="100">
        <v>17.28088002613304</v>
      </c>
      <c r="AG33" s="100">
        <v>8191.1371323870608</v>
      </c>
      <c r="AH33" s="100">
        <v>17</v>
      </c>
      <c r="AI33" s="100">
        <v>8058</v>
      </c>
      <c r="AJ33" s="100">
        <v>13</v>
      </c>
      <c r="AK33" s="100">
        <v>6162</v>
      </c>
      <c r="AL33" s="100">
        <v>2.1217874211856786</v>
      </c>
      <c r="AM33" s="100">
        <v>1005.7272376420117</v>
      </c>
      <c r="AN33" s="100">
        <v>15</v>
      </c>
      <c r="AO33" s="100">
        <v>7110</v>
      </c>
      <c r="AP33" s="100">
        <v>19</v>
      </c>
      <c r="AQ33" s="100">
        <v>9006</v>
      </c>
      <c r="AR33" s="100">
        <v>19</v>
      </c>
      <c r="AS33" s="100">
        <v>9006</v>
      </c>
      <c r="AT33" s="100">
        <v>13</v>
      </c>
      <c r="AU33" s="100">
        <v>6162</v>
      </c>
      <c r="AV33" s="100">
        <v>21</v>
      </c>
      <c r="AW33" s="100">
        <v>9954</v>
      </c>
      <c r="AX33" s="100">
        <v>18.728778129988118</v>
      </c>
      <c r="AY33" s="100">
        <v>8877.4408336143679</v>
      </c>
      <c r="AZ33" s="100">
        <v>4.5470053647740256</v>
      </c>
      <c r="BA33" s="100">
        <v>2155.2805429028881</v>
      </c>
      <c r="BB33" s="100">
        <v>13</v>
      </c>
      <c r="BC33" s="100">
        <v>6162</v>
      </c>
      <c r="BD33" s="100">
        <v>14</v>
      </c>
      <c r="BE33" s="100">
        <v>6636</v>
      </c>
      <c r="BF33" s="100">
        <v>19</v>
      </c>
      <c r="BG33" s="100">
        <v>9006</v>
      </c>
      <c r="BH33" s="100">
        <v>9.3678585598123494</v>
      </c>
      <c r="BI33" s="100">
        <v>4440.3649573510538</v>
      </c>
      <c r="BJ33" s="100">
        <v>11</v>
      </c>
      <c r="BK33" s="100">
        <v>5214</v>
      </c>
      <c r="BL33" s="100">
        <v>22</v>
      </c>
      <c r="BM33" s="100">
        <v>10428</v>
      </c>
      <c r="BN33" s="100">
        <v>13</v>
      </c>
      <c r="BO33" s="100">
        <v>6162</v>
      </c>
      <c r="BP33" s="100">
        <v>15</v>
      </c>
      <c r="BQ33" s="100">
        <v>7110</v>
      </c>
      <c r="BR33" s="100">
        <v>2.0350770995323546</v>
      </c>
      <c r="BS33" s="100">
        <v>964.62654517833607</v>
      </c>
      <c r="BT33" s="100">
        <v>15.630314476109342</v>
      </c>
      <c r="BU33" s="100">
        <v>7408.7690616758282</v>
      </c>
      <c r="BV33" s="100">
        <v>22</v>
      </c>
      <c r="BW33" s="100">
        <v>10428</v>
      </c>
      <c r="BX33" s="100">
        <v>12</v>
      </c>
      <c r="BY33" s="100">
        <v>5688</v>
      </c>
      <c r="BZ33" s="100">
        <v>15</v>
      </c>
      <c r="CA33" s="100">
        <v>7110</v>
      </c>
      <c r="CB33" s="100">
        <v>12.135711640274135</v>
      </c>
      <c r="CC33" s="100">
        <v>5752.3273174899396</v>
      </c>
      <c r="CD33" s="100">
        <v>0</v>
      </c>
      <c r="CE33" s="100">
        <v>0</v>
      </c>
      <c r="CF33" s="100">
        <v>16</v>
      </c>
      <c r="CG33" s="100">
        <v>7584</v>
      </c>
      <c r="CH33" s="100">
        <v>16</v>
      </c>
      <c r="CI33" s="100">
        <v>7584</v>
      </c>
      <c r="CJ33" s="100">
        <v>17</v>
      </c>
      <c r="CK33" s="100">
        <v>8058</v>
      </c>
      <c r="CL33" s="100">
        <v>13</v>
      </c>
      <c r="CM33" s="100">
        <v>6162</v>
      </c>
      <c r="CN33" s="100">
        <v>13</v>
      </c>
      <c r="CO33" s="100">
        <v>6162</v>
      </c>
      <c r="CP33" s="100">
        <v>13</v>
      </c>
      <c r="CQ33" s="100">
        <v>6162</v>
      </c>
      <c r="CR33" s="100">
        <v>13</v>
      </c>
      <c r="CS33" s="100">
        <v>6162</v>
      </c>
      <c r="CT33" s="100">
        <v>11.501263195967452</v>
      </c>
      <c r="CU33" s="100">
        <v>5451.5987548885723</v>
      </c>
    </row>
    <row r="34" spans="2:99">
      <c r="C34" s="99" t="s">
        <v>200</v>
      </c>
      <c r="D34" s="100">
        <v>12.803851793305224</v>
      </c>
      <c r="E34" s="100">
        <v>7021.6323234485844</v>
      </c>
      <c r="F34" s="100">
        <v>16</v>
      </c>
      <c r="G34" s="100">
        <v>8774.4</v>
      </c>
      <c r="H34" s="100">
        <v>18</v>
      </c>
      <c r="I34" s="100">
        <v>9871.1999999999989</v>
      </c>
      <c r="J34" s="100">
        <v>19</v>
      </c>
      <c r="K34" s="100">
        <v>10419.6</v>
      </c>
      <c r="L34" s="100">
        <v>21</v>
      </c>
      <c r="M34" s="100">
        <v>11516.4</v>
      </c>
      <c r="N34" s="100">
        <v>9.1136053504783501</v>
      </c>
      <c r="O34" s="100">
        <v>4997.9011742023267</v>
      </c>
      <c r="P34" s="100">
        <v>18</v>
      </c>
      <c r="Q34" s="100">
        <v>9871.1999999999989</v>
      </c>
      <c r="R34" s="100">
        <v>13.268725161044214</v>
      </c>
      <c r="S34" s="100">
        <v>7276.568878316647</v>
      </c>
      <c r="T34" s="100">
        <v>20</v>
      </c>
      <c r="U34" s="100">
        <v>10968</v>
      </c>
      <c r="V34" s="100">
        <v>20</v>
      </c>
      <c r="W34" s="100">
        <v>10968</v>
      </c>
      <c r="X34" s="100">
        <v>4.6968628134170372</v>
      </c>
      <c r="Y34" s="100">
        <v>2575.7595668779031</v>
      </c>
      <c r="Z34" s="100">
        <v>12</v>
      </c>
      <c r="AA34" s="100">
        <v>6580.7999999999993</v>
      </c>
      <c r="AB34" s="100">
        <v>11</v>
      </c>
      <c r="AC34" s="100">
        <v>6032.4</v>
      </c>
      <c r="AD34" s="100">
        <v>13</v>
      </c>
      <c r="AE34" s="100">
        <v>7129.2</v>
      </c>
      <c r="AF34" s="100">
        <v>18.240928916473763</v>
      </c>
      <c r="AG34" s="100">
        <v>10003.325417794211</v>
      </c>
      <c r="AH34" s="100">
        <v>20</v>
      </c>
      <c r="AI34" s="100">
        <v>10968</v>
      </c>
      <c r="AJ34" s="100">
        <v>13</v>
      </c>
      <c r="AK34" s="100">
        <v>7129.2</v>
      </c>
      <c r="AL34" s="100">
        <v>1.9197124286918041</v>
      </c>
      <c r="AM34" s="100">
        <v>1052.7702958945854</v>
      </c>
      <c r="AN34" s="100">
        <v>15</v>
      </c>
      <c r="AO34" s="100">
        <v>8226</v>
      </c>
      <c r="AP34" s="100">
        <v>19</v>
      </c>
      <c r="AQ34" s="100">
        <v>10419.6</v>
      </c>
      <c r="AR34" s="100">
        <v>22</v>
      </c>
      <c r="AS34" s="100">
        <v>12064.8</v>
      </c>
      <c r="AT34" s="100">
        <v>11</v>
      </c>
      <c r="AU34" s="100">
        <v>6032.4</v>
      </c>
      <c r="AV34" s="100">
        <v>19</v>
      </c>
      <c r="AW34" s="100">
        <v>10419.6</v>
      </c>
      <c r="AX34" s="100">
        <v>19.714503294724334</v>
      </c>
      <c r="AY34" s="100">
        <v>10811.433606826824</v>
      </c>
      <c r="AZ34" s="100">
        <v>4.2943939556199124</v>
      </c>
      <c r="BA34" s="100">
        <v>2355.0456452619601</v>
      </c>
      <c r="BB34" s="100">
        <v>13</v>
      </c>
      <c r="BC34" s="100">
        <v>7129.2</v>
      </c>
      <c r="BD34" s="100">
        <v>14</v>
      </c>
      <c r="BE34" s="100">
        <v>7677.5999999999995</v>
      </c>
      <c r="BF34" s="100">
        <v>21</v>
      </c>
      <c r="BG34" s="100">
        <v>11516.4</v>
      </c>
      <c r="BH34" s="100">
        <v>8.0904233016561182</v>
      </c>
      <c r="BI34" s="100">
        <v>4436.7881386282152</v>
      </c>
      <c r="BJ34" s="100">
        <v>12</v>
      </c>
      <c r="BK34" s="100">
        <v>6580.7999999999993</v>
      </c>
      <c r="BL34" s="100">
        <v>21</v>
      </c>
      <c r="BM34" s="100">
        <v>11516.4</v>
      </c>
      <c r="BN34" s="100">
        <v>13</v>
      </c>
      <c r="BO34" s="100">
        <v>7129.2</v>
      </c>
      <c r="BP34" s="100">
        <v>13</v>
      </c>
      <c r="BQ34" s="100">
        <v>7129.2</v>
      </c>
      <c r="BR34" s="100">
        <v>2.3064207128033352</v>
      </c>
      <c r="BS34" s="100">
        <v>1264.8411189013489</v>
      </c>
      <c r="BT34" s="100">
        <v>16.374615165447882</v>
      </c>
      <c r="BU34" s="100">
        <v>8979.8389567316171</v>
      </c>
      <c r="BV34" s="100">
        <v>20</v>
      </c>
      <c r="BW34" s="100">
        <v>10968</v>
      </c>
      <c r="BX34" s="100">
        <v>12</v>
      </c>
      <c r="BY34" s="100">
        <v>6580.7999999999993</v>
      </c>
      <c r="BZ34" s="100">
        <v>14</v>
      </c>
      <c r="CA34" s="100">
        <v>7677.5999999999995</v>
      </c>
      <c r="CB34" s="100">
        <v>14.051876636106893</v>
      </c>
      <c r="CC34" s="100">
        <v>7706.0491472410204</v>
      </c>
      <c r="CD34" s="100">
        <v>0</v>
      </c>
      <c r="CE34" s="100">
        <v>0</v>
      </c>
      <c r="CF34" s="100">
        <v>16</v>
      </c>
      <c r="CG34" s="100">
        <v>8774.4</v>
      </c>
      <c r="CH34" s="100">
        <v>15</v>
      </c>
      <c r="CI34" s="100">
        <v>8226</v>
      </c>
      <c r="CJ34" s="100">
        <v>18</v>
      </c>
      <c r="CK34" s="100">
        <v>9871.1999999999989</v>
      </c>
      <c r="CL34" s="100">
        <v>15</v>
      </c>
      <c r="CM34" s="100">
        <v>8226</v>
      </c>
      <c r="CN34" s="100">
        <v>12</v>
      </c>
      <c r="CO34" s="100">
        <v>6580.7999999999993</v>
      </c>
      <c r="CP34" s="100">
        <v>12</v>
      </c>
      <c r="CQ34" s="100">
        <v>6580.7999999999993</v>
      </c>
      <c r="CR34" s="100">
        <v>13</v>
      </c>
      <c r="CS34" s="100">
        <v>7129.2</v>
      </c>
      <c r="CT34" s="100">
        <v>13.144300795391374</v>
      </c>
      <c r="CU34" s="100">
        <v>7208.334556192629</v>
      </c>
    </row>
    <row r="35" spans="2:99">
      <c r="C35" s="99" t="s">
        <v>201</v>
      </c>
      <c r="D35" s="100">
        <v>14.632973478063112</v>
      </c>
      <c r="E35" s="100">
        <v>7357.4590647701316</v>
      </c>
      <c r="F35" s="100">
        <v>16</v>
      </c>
      <c r="G35" s="100">
        <v>8044.7999999999984</v>
      </c>
      <c r="H35" s="100">
        <v>16</v>
      </c>
      <c r="I35" s="100">
        <v>8044.7999999999984</v>
      </c>
      <c r="J35" s="100">
        <v>18</v>
      </c>
      <c r="K35" s="100">
        <v>9050.3999999999978</v>
      </c>
      <c r="L35" s="100">
        <v>22</v>
      </c>
      <c r="M35" s="100">
        <v>11061.599999999999</v>
      </c>
      <c r="N35" s="100">
        <v>9.6199167588382579</v>
      </c>
      <c r="O35" s="100">
        <v>4836.894146343875</v>
      </c>
      <c r="P35" s="100">
        <v>19</v>
      </c>
      <c r="Q35" s="100">
        <v>9553.1999999999989</v>
      </c>
      <c r="R35" s="100">
        <v>14.829751650578828</v>
      </c>
      <c r="S35" s="100">
        <v>7456.399129911033</v>
      </c>
      <c r="T35" s="100">
        <v>21</v>
      </c>
      <c r="U35" s="100">
        <v>10558.799999999997</v>
      </c>
      <c r="V35" s="100">
        <v>22</v>
      </c>
      <c r="W35" s="100">
        <v>11061.599999999999</v>
      </c>
      <c r="X35" s="100">
        <v>5.0323530143753965</v>
      </c>
      <c r="Y35" s="100">
        <v>2530.2670956279489</v>
      </c>
      <c r="Z35" s="100">
        <v>14</v>
      </c>
      <c r="AA35" s="100">
        <v>7039.1999999999989</v>
      </c>
      <c r="AB35" s="100">
        <v>11</v>
      </c>
      <c r="AC35" s="100">
        <v>5530.7999999999993</v>
      </c>
      <c r="AD35" s="100">
        <v>14</v>
      </c>
      <c r="AE35" s="100">
        <v>7039.1999999999989</v>
      </c>
      <c r="AF35" s="100">
        <v>19.200977806814489</v>
      </c>
      <c r="AG35" s="100">
        <v>9654.2516412663226</v>
      </c>
      <c r="AH35" s="100">
        <v>18</v>
      </c>
      <c r="AI35" s="100">
        <v>9050.3999999999978</v>
      </c>
      <c r="AJ35" s="100">
        <v>14</v>
      </c>
      <c r="AK35" s="100">
        <v>7039.1999999999989</v>
      </c>
      <c r="AL35" s="100">
        <v>2.2228249174326153</v>
      </c>
      <c r="AM35" s="100">
        <v>1117.6363684851187</v>
      </c>
      <c r="AN35" s="100">
        <v>14</v>
      </c>
      <c r="AO35" s="100">
        <v>7039.1999999999989</v>
      </c>
      <c r="AP35" s="100">
        <v>18</v>
      </c>
      <c r="AQ35" s="100">
        <v>9050.3999999999978</v>
      </c>
      <c r="AR35" s="100">
        <v>22</v>
      </c>
      <c r="AS35" s="100">
        <v>11061.599999999999</v>
      </c>
      <c r="AT35" s="100">
        <v>13</v>
      </c>
      <c r="AU35" s="100">
        <v>6536.3999999999987</v>
      </c>
      <c r="AV35" s="100">
        <v>21</v>
      </c>
      <c r="AW35" s="100">
        <v>10558.799999999997</v>
      </c>
      <c r="AX35" s="100">
        <v>22.671678788932983</v>
      </c>
      <c r="AY35" s="100">
        <v>11399.320095075502</v>
      </c>
      <c r="AZ35" s="100">
        <v>4.5470053647740256</v>
      </c>
      <c r="BA35" s="100">
        <v>2286.2342974083795</v>
      </c>
      <c r="BB35" s="100">
        <v>13</v>
      </c>
      <c r="BC35" s="100">
        <v>6536.3999999999987</v>
      </c>
      <c r="BD35" s="100">
        <v>13</v>
      </c>
      <c r="BE35" s="100">
        <v>6536.3999999999987</v>
      </c>
      <c r="BF35" s="100">
        <v>20</v>
      </c>
      <c r="BG35" s="100">
        <v>10055.999999999998</v>
      </c>
      <c r="BH35" s="100">
        <v>9.3678585598123494</v>
      </c>
      <c r="BI35" s="100">
        <v>4710.1592838736487</v>
      </c>
      <c r="BJ35" s="100">
        <v>10</v>
      </c>
      <c r="BK35" s="100">
        <v>5027.9999999999991</v>
      </c>
      <c r="BL35" s="100">
        <v>22</v>
      </c>
      <c r="BM35" s="100">
        <v>11061.599999999999</v>
      </c>
      <c r="BN35" s="100">
        <v>14</v>
      </c>
      <c r="BO35" s="100">
        <v>7039.1999999999989</v>
      </c>
      <c r="BP35" s="100">
        <v>13</v>
      </c>
      <c r="BQ35" s="100">
        <v>6536.3999999999987</v>
      </c>
      <c r="BR35" s="100">
        <v>2.1707489061678449</v>
      </c>
      <c r="BS35" s="100">
        <v>1091.4525500211921</v>
      </c>
      <c r="BT35" s="100">
        <v>17.863216544124963</v>
      </c>
      <c r="BU35" s="100">
        <v>8981.6252783860291</v>
      </c>
      <c r="BV35" s="100">
        <v>22</v>
      </c>
      <c r="BW35" s="100">
        <v>11061.599999999999</v>
      </c>
      <c r="BX35" s="100">
        <v>13</v>
      </c>
      <c r="BY35" s="100">
        <v>6536.3999999999987</v>
      </c>
      <c r="BZ35" s="100">
        <v>16</v>
      </c>
      <c r="CA35" s="100">
        <v>8044.7999999999984</v>
      </c>
      <c r="CB35" s="100">
        <v>14.051876636106893</v>
      </c>
      <c r="CC35" s="100">
        <v>7065.2835726345447</v>
      </c>
      <c r="CD35" s="100">
        <v>0</v>
      </c>
      <c r="CE35" s="100">
        <v>0</v>
      </c>
      <c r="CF35" s="100">
        <v>15</v>
      </c>
      <c r="CG35" s="100">
        <v>7541.9999999999982</v>
      </c>
      <c r="CH35" s="100">
        <v>17</v>
      </c>
      <c r="CI35" s="100">
        <v>8547.5999999999985</v>
      </c>
      <c r="CJ35" s="100">
        <v>15</v>
      </c>
      <c r="CK35" s="100">
        <v>7541.9999999999982</v>
      </c>
      <c r="CL35" s="100">
        <v>13</v>
      </c>
      <c r="CM35" s="100">
        <v>6536.3999999999987</v>
      </c>
      <c r="CN35" s="100">
        <v>13</v>
      </c>
      <c r="CO35" s="100">
        <v>6536.3999999999987</v>
      </c>
      <c r="CP35" s="100">
        <v>13</v>
      </c>
      <c r="CQ35" s="100">
        <v>6536.3999999999987</v>
      </c>
      <c r="CR35" s="100">
        <v>13</v>
      </c>
      <c r="CS35" s="100">
        <v>6536.3999999999987</v>
      </c>
      <c r="CT35" s="100">
        <v>12.322781995679414</v>
      </c>
      <c r="CU35" s="100">
        <v>6195.8947874276082</v>
      </c>
    </row>
    <row r="36" spans="2:99">
      <c r="C36" s="99" t="s">
        <v>202</v>
      </c>
      <c r="D36" s="100">
        <v>12.803851793305224</v>
      </c>
      <c r="E36" s="100">
        <v>9741.1704443466133</v>
      </c>
      <c r="F36" s="100">
        <v>16</v>
      </c>
      <c r="G36" s="100">
        <v>12172.8</v>
      </c>
      <c r="H36" s="100">
        <v>17</v>
      </c>
      <c r="I36" s="100">
        <v>12933.599999999999</v>
      </c>
      <c r="J36" s="100">
        <v>18</v>
      </c>
      <c r="K36" s="100">
        <v>13694.4</v>
      </c>
      <c r="L36" s="100">
        <v>18</v>
      </c>
      <c r="M36" s="100">
        <v>13694.4</v>
      </c>
      <c r="N36" s="100">
        <v>9.1136053504783501</v>
      </c>
      <c r="O36" s="100">
        <v>6933.6309506439284</v>
      </c>
      <c r="P36" s="100">
        <v>18</v>
      </c>
      <c r="Q36" s="100">
        <v>13694.4</v>
      </c>
      <c r="R36" s="100">
        <v>13.268725161044214</v>
      </c>
      <c r="S36" s="100">
        <v>10094.846102522437</v>
      </c>
      <c r="T36" s="100">
        <v>19</v>
      </c>
      <c r="U36" s="100">
        <v>14455.199999999999</v>
      </c>
      <c r="V36" s="100">
        <v>20</v>
      </c>
      <c r="W36" s="100">
        <v>15216</v>
      </c>
      <c r="X36" s="100">
        <v>4.6968628134170372</v>
      </c>
      <c r="Y36" s="100">
        <v>3573.3732284476819</v>
      </c>
      <c r="Z36" s="100">
        <v>14</v>
      </c>
      <c r="AA36" s="100">
        <v>10651.199999999999</v>
      </c>
      <c r="AB36" s="100">
        <v>10</v>
      </c>
      <c r="AC36" s="100">
        <v>7608</v>
      </c>
      <c r="AD36" s="100">
        <v>13</v>
      </c>
      <c r="AE36" s="100">
        <v>9890.4</v>
      </c>
      <c r="AF36" s="100">
        <v>18.240928916473763</v>
      </c>
      <c r="AG36" s="100">
        <v>13877.698719653237</v>
      </c>
      <c r="AH36" s="100">
        <v>20</v>
      </c>
      <c r="AI36" s="100">
        <v>15216</v>
      </c>
      <c r="AJ36" s="100">
        <v>12</v>
      </c>
      <c r="AK36" s="100">
        <v>9129.5999999999985</v>
      </c>
      <c r="AL36" s="100">
        <v>1.9197124286918041</v>
      </c>
      <c r="AM36" s="100">
        <v>1460.5172157487245</v>
      </c>
      <c r="AN36" s="100">
        <v>13</v>
      </c>
      <c r="AO36" s="100">
        <v>9890.4</v>
      </c>
      <c r="AP36" s="100">
        <v>20</v>
      </c>
      <c r="AQ36" s="100">
        <v>15216</v>
      </c>
      <c r="AR36" s="100">
        <v>21</v>
      </c>
      <c r="AS36" s="100">
        <v>15976.8</v>
      </c>
      <c r="AT36" s="100">
        <v>11</v>
      </c>
      <c r="AU36" s="100">
        <v>8368.7999999999993</v>
      </c>
      <c r="AV36" s="100">
        <v>21</v>
      </c>
      <c r="AW36" s="100">
        <v>15976.8</v>
      </c>
      <c r="AX36" s="100">
        <v>20.700228459460551</v>
      </c>
      <c r="AY36" s="100">
        <v>15748.733811957585</v>
      </c>
      <c r="AZ36" s="100">
        <v>4.2943939556199124</v>
      </c>
      <c r="BA36" s="100">
        <v>3267.1749214356291</v>
      </c>
      <c r="BB36" s="100">
        <v>14</v>
      </c>
      <c r="BC36" s="100">
        <v>10651.199999999999</v>
      </c>
      <c r="BD36" s="100">
        <v>13</v>
      </c>
      <c r="BE36" s="100">
        <v>9890.4</v>
      </c>
      <c r="BF36" s="100">
        <v>19</v>
      </c>
      <c r="BG36" s="100">
        <v>14455.199999999999</v>
      </c>
      <c r="BH36" s="100">
        <v>8.9420468070936039</v>
      </c>
      <c r="BI36" s="100">
        <v>6803.1092108368139</v>
      </c>
      <c r="BJ36" s="100">
        <v>12</v>
      </c>
      <c r="BK36" s="100">
        <v>9129.5999999999985</v>
      </c>
      <c r="BL36" s="100">
        <v>20</v>
      </c>
      <c r="BM36" s="100">
        <v>15216</v>
      </c>
      <c r="BN36" s="100">
        <v>11</v>
      </c>
      <c r="BO36" s="100">
        <v>8368.7999999999993</v>
      </c>
      <c r="BP36" s="100">
        <v>13</v>
      </c>
      <c r="BQ36" s="100">
        <v>9890.4</v>
      </c>
      <c r="BR36" s="100">
        <v>2.1707489061678449</v>
      </c>
      <c r="BS36" s="100">
        <v>1651.5057678124963</v>
      </c>
      <c r="BT36" s="100">
        <v>17.863216544124963</v>
      </c>
      <c r="BU36" s="100">
        <v>13590.335146770271</v>
      </c>
      <c r="BV36" s="100">
        <v>19</v>
      </c>
      <c r="BW36" s="100">
        <v>14455.199999999999</v>
      </c>
      <c r="BX36" s="100">
        <v>12</v>
      </c>
      <c r="BY36" s="100">
        <v>9129.5999999999985</v>
      </c>
      <c r="BZ36" s="100">
        <v>15</v>
      </c>
      <c r="CA36" s="100">
        <v>11412</v>
      </c>
      <c r="CB36" s="100">
        <v>14.051876636106893</v>
      </c>
      <c r="CC36" s="100">
        <v>10690.667744750124</v>
      </c>
      <c r="CD36" s="100">
        <v>0</v>
      </c>
      <c r="CE36" s="100">
        <v>0</v>
      </c>
      <c r="CF36" s="100">
        <v>15</v>
      </c>
      <c r="CG36" s="100">
        <v>11412</v>
      </c>
      <c r="CH36" s="100">
        <v>15</v>
      </c>
      <c r="CI36" s="100">
        <v>11412</v>
      </c>
      <c r="CJ36" s="100">
        <v>15</v>
      </c>
      <c r="CK36" s="100">
        <v>11412</v>
      </c>
      <c r="CL36" s="100">
        <v>13</v>
      </c>
      <c r="CM36" s="100">
        <v>9890.4</v>
      </c>
      <c r="CN36" s="100">
        <v>13</v>
      </c>
      <c r="CO36" s="100">
        <v>9890.4</v>
      </c>
      <c r="CP36" s="100">
        <v>13</v>
      </c>
      <c r="CQ36" s="100">
        <v>9890.4</v>
      </c>
      <c r="CR36" s="100">
        <v>12</v>
      </c>
      <c r="CS36" s="100">
        <v>9129.5999999999985</v>
      </c>
      <c r="CT36" s="100">
        <v>11.501263195967452</v>
      </c>
      <c r="CU36" s="100">
        <v>8750.1610394920372</v>
      </c>
    </row>
    <row r="37" spans="2:99">
      <c r="B37" s="99" t="s">
        <v>128</v>
      </c>
      <c r="C37" s="99" t="s">
        <v>203</v>
      </c>
      <c r="D37" s="100">
        <v>7.3164867390315562</v>
      </c>
      <c r="E37" s="100">
        <v>6295.1051902627505</v>
      </c>
      <c r="F37" s="100">
        <v>9</v>
      </c>
      <c r="G37" s="100">
        <v>7743.5999999999995</v>
      </c>
      <c r="H37" s="100">
        <v>16</v>
      </c>
      <c r="I37" s="100">
        <v>13766.4</v>
      </c>
      <c r="J37" s="100">
        <v>10</v>
      </c>
      <c r="K37" s="100">
        <v>8604</v>
      </c>
      <c r="L37" s="100">
        <v>10</v>
      </c>
      <c r="M37" s="100">
        <v>8604</v>
      </c>
      <c r="N37" s="100">
        <v>4.0504912668792663</v>
      </c>
      <c r="O37" s="100">
        <v>3485.0426860229209</v>
      </c>
      <c r="P37" s="100">
        <v>14</v>
      </c>
      <c r="Q37" s="100">
        <v>12045.6</v>
      </c>
      <c r="R37" s="100">
        <v>7.0246192029057601</v>
      </c>
      <c r="S37" s="100">
        <v>6043.9823621801161</v>
      </c>
      <c r="T37" s="100">
        <v>8</v>
      </c>
      <c r="U37" s="100">
        <v>6883.2</v>
      </c>
      <c r="V37" s="100">
        <v>13</v>
      </c>
      <c r="W37" s="100">
        <v>11185.199999999999</v>
      </c>
      <c r="X37" s="100">
        <v>3.6903922105419573</v>
      </c>
      <c r="Y37" s="100">
        <v>3175.2134579502999</v>
      </c>
      <c r="Z37" s="100">
        <v>7</v>
      </c>
      <c r="AA37" s="100">
        <v>6022.8</v>
      </c>
      <c r="AB37" s="100">
        <v>14</v>
      </c>
      <c r="AC37" s="100">
        <v>12045.6</v>
      </c>
      <c r="AD37" s="100">
        <v>7</v>
      </c>
      <c r="AE37" s="100">
        <v>6022.8</v>
      </c>
      <c r="AF37" s="100">
        <v>10.560537793747969</v>
      </c>
      <c r="AG37" s="100">
        <v>9086.2867177407516</v>
      </c>
      <c r="AH37" s="100">
        <v>13</v>
      </c>
      <c r="AI37" s="100">
        <v>11185.199999999999</v>
      </c>
      <c r="AJ37" s="100">
        <v>13</v>
      </c>
      <c r="AK37" s="100">
        <v>11185.199999999999</v>
      </c>
      <c r="AL37" s="100">
        <v>1.4145249474571189</v>
      </c>
      <c r="AM37" s="100">
        <v>1217.0572647921051</v>
      </c>
      <c r="AN37" s="100">
        <v>8</v>
      </c>
      <c r="AO37" s="100">
        <v>6883.2</v>
      </c>
      <c r="AP37" s="100">
        <v>10</v>
      </c>
      <c r="AQ37" s="100">
        <v>8604</v>
      </c>
      <c r="AR37" s="100">
        <v>10</v>
      </c>
      <c r="AS37" s="100">
        <v>8604</v>
      </c>
      <c r="AT37" s="100">
        <v>14</v>
      </c>
      <c r="AU37" s="100">
        <v>12045.6</v>
      </c>
      <c r="AV37" s="100">
        <v>14</v>
      </c>
      <c r="AW37" s="100">
        <v>12045.6</v>
      </c>
      <c r="AX37" s="100">
        <v>10.842976812098385</v>
      </c>
      <c r="AY37" s="100">
        <v>9329.2972491294495</v>
      </c>
      <c r="AZ37" s="100">
        <v>3.5365597281575756</v>
      </c>
      <c r="BA37" s="100">
        <v>3042.8559901067779</v>
      </c>
      <c r="BB37" s="100">
        <v>10</v>
      </c>
      <c r="BC37" s="100">
        <v>8604</v>
      </c>
      <c r="BD37" s="100">
        <v>14</v>
      </c>
      <c r="BE37" s="100">
        <v>12045.6</v>
      </c>
      <c r="BF37" s="100">
        <v>13</v>
      </c>
      <c r="BG37" s="100">
        <v>11185.199999999999</v>
      </c>
      <c r="BH37" s="100">
        <v>4.258117527187431</v>
      </c>
      <c r="BI37" s="100">
        <v>3663.6843203920657</v>
      </c>
      <c r="BJ37" s="100">
        <v>13</v>
      </c>
      <c r="BK37" s="100">
        <v>11185.199999999999</v>
      </c>
      <c r="BL37" s="100">
        <v>14</v>
      </c>
      <c r="BM37" s="100">
        <v>12045.6</v>
      </c>
      <c r="BN37" s="100">
        <v>10</v>
      </c>
      <c r="BO37" s="100">
        <v>8604</v>
      </c>
      <c r="BP37" s="100">
        <v>13</v>
      </c>
      <c r="BQ37" s="100">
        <v>11185.199999999999</v>
      </c>
      <c r="BR37" s="100">
        <v>2.0350770995323546</v>
      </c>
      <c r="BS37" s="100">
        <v>1750.9803364376378</v>
      </c>
      <c r="BT37" s="100">
        <v>6.6987062040468617</v>
      </c>
      <c r="BU37" s="100">
        <v>5763.5668179619197</v>
      </c>
      <c r="BV37" s="100">
        <v>8</v>
      </c>
      <c r="BW37" s="100">
        <v>6883.2</v>
      </c>
      <c r="BX37" s="100">
        <v>12</v>
      </c>
      <c r="BY37" s="100">
        <v>10324.799999999999</v>
      </c>
      <c r="BZ37" s="100">
        <v>14</v>
      </c>
      <c r="CA37" s="100">
        <v>12045.6</v>
      </c>
      <c r="CB37" s="100">
        <v>7.0259383180534467</v>
      </c>
      <c r="CC37" s="100">
        <v>6045.1173288531854</v>
      </c>
      <c r="CD37" s="100">
        <v>0</v>
      </c>
      <c r="CE37" s="100">
        <v>0</v>
      </c>
      <c r="CF37" s="100">
        <v>13</v>
      </c>
      <c r="CG37" s="100">
        <v>11185.199999999999</v>
      </c>
      <c r="CH37" s="100">
        <v>10</v>
      </c>
      <c r="CI37" s="100">
        <v>8604</v>
      </c>
      <c r="CJ37" s="100">
        <v>13</v>
      </c>
      <c r="CK37" s="100">
        <v>11185.199999999999</v>
      </c>
      <c r="CL37" s="100">
        <v>12</v>
      </c>
      <c r="CM37" s="100">
        <v>10324.799999999999</v>
      </c>
      <c r="CN37" s="100">
        <v>14</v>
      </c>
      <c r="CO37" s="100">
        <v>12045.6</v>
      </c>
      <c r="CP37" s="100">
        <v>11</v>
      </c>
      <c r="CQ37" s="100">
        <v>9464.4</v>
      </c>
      <c r="CR37" s="100">
        <v>11</v>
      </c>
      <c r="CS37" s="100">
        <v>9464.4</v>
      </c>
      <c r="CT37" s="100">
        <v>10.679744396255492</v>
      </c>
      <c r="CU37" s="100">
        <v>9188.8520785382243</v>
      </c>
    </row>
    <row r="38" spans="2:99">
      <c r="C38" s="99" t="s">
        <v>204</v>
      </c>
      <c r="D38" s="100">
        <v>7.3164867390315562</v>
      </c>
      <c r="E38" s="100">
        <v>9087.076529877193</v>
      </c>
      <c r="F38" s="100">
        <v>9</v>
      </c>
      <c r="G38" s="100">
        <v>11178</v>
      </c>
      <c r="H38" s="100">
        <v>13</v>
      </c>
      <c r="I38" s="100">
        <v>16146</v>
      </c>
      <c r="J38" s="100">
        <v>12</v>
      </c>
      <c r="K38" s="100">
        <v>14904</v>
      </c>
      <c r="L38" s="100">
        <v>10</v>
      </c>
      <c r="M38" s="100">
        <v>12420</v>
      </c>
      <c r="N38" s="100">
        <v>4.0504912668792663</v>
      </c>
      <c r="O38" s="100">
        <v>5030.7101534640487</v>
      </c>
      <c r="P38" s="100">
        <v>13</v>
      </c>
      <c r="Q38" s="100">
        <v>16146</v>
      </c>
      <c r="R38" s="100">
        <v>6.2441059581384533</v>
      </c>
      <c r="S38" s="100">
        <v>7755.1796000079594</v>
      </c>
      <c r="T38" s="100">
        <v>8</v>
      </c>
      <c r="U38" s="100">
        <v>9936</v>
      </c>
      <c r="V38" s="100">
        <v>14</v>
      </c>
      <c r="W38" s="100">
        <v>17388</v>
      </c>
      <c r="X38" s="100">
        <v>3.354902009583598</v>
      </c>
      <c r="Y38" s="100">
        <v>4166.7882959028284</v>
      </c>
      <c r="Z38" s="100">
        <v>8</v>
      </c>
      <c r="AA38" s="100">
        <v>9936</v>
      </c>
      <c r="AB38" s="100">
        <v>12</v>
      </c>
      <c r="AC38" s="100">
        <v>14904</v>
      </c>
      <c r="AD38" s="100">
        <v>8</v>
      </c>
      <c r="AE38" s="100">
        <v>9936</v>
      </c>
      <c r="AF38" s="100">
        <v>10.560537793747969</v>
      </c>
      <c r="AG38" s="100">
        <v>13116.187939834977</v>
      </c>
      <c r="AH38" s="100">
        <v>12</v>
      </c>
      <c r="AI38" s="100">
        <v>14904</v>
      </c>
      <c r="AJ38" s="100">
        <v>12</v>
      </c>
      <c r="AK38" s="100">
        <v>14904</v>
      </c>
      <c r="AL38" s="100">
        <v>1.4145249474571189</v>
      </c>
      <c r="AM38" s="100">
        <v>1756.8399847417415</v>
      </c>
      <c r="AN38" s="100">
        <v>8</v>
      </c>
      <c r="AO38" s="100">
        <v>9936</v>
      </c>
      <c r="AP38" s="100">
        <v>11</v>
      </c>
      <c r="AQ38" s="100">
        <v>13662</v>
      </c>
      <c r="AR38" s="100">
        <v>10</v>
      </c>
      <c r="AS38" s="100">
        <v>12420</v>
      </c>
      <c r="AT38" s="100">
        <v>14</v>
      </c>
      <c r="AU38" s="100">
        <v>17388</v>
      </c>
      <c r="AV38" s="100">
        <v>15</v>
      </c>
      <c r="AW38" s="100">
        <v>18630</v>
      </c>
      <c r="AX38" s="100">
        <v>8.8715264826259492</v>
      </c>
      <c r="AY38" s="100">
        <v>11018.435891421428</v>
      </c>
      <c r="AZ38" s="100">
        <v>3.5365597281575756</v>
      </c>
      <c r="BA38" s="100">
        <v>4392.4071823717086</v>
      </c>
      <c r="BB38" s="100">
        <v>9</v>
      </c>
      <c r="BC38" s="100">
        <v>11178</v>
      </c>
      <c r="BD38" s="100">
        <v>13</v>
      </c>
      <c r="BE38" s="100">
        <v>16146</v>
      </c>
      <c r="BF38" s="100">
        <v>14</v>
      </c>
      <c r="BG38" s="100">
        <v>17388</v>
      </c>
      <c r="BH38" s="100">
        <v>4.6839292799061747</v>
      </c>
      <c r="BI38" s="100">
        <v>5817.4401656434693</v>
      </c>
      <c r="BJ38" s="100">
        <v>15</v>
      </c>
      <c r="BK38" s="100">
        <v>18630</v>
      </c>
      <c r="BL38" s="100">
        <v>13</v>
      </c>
      <c r="BM38" s="100">
        <v>16146</v>
      </c>
      <c r="BN38" s="100">
        <v>10</v>
      </c>
      <c r="BO38" s="100">
        <v>12420</v>
      </c>
      <c r="BP38" s="100">
        <v>16</v>
      </c>
      <c r="BQ38" s="100">
        <v>19872</v>
      </c>
      <c r="BR38" s="100">
        <v>1.7637334862613738</v>
      </c>
      <c r="BS38" s="100">
        <v>2190.5569899366265</v>
      </c>
      <c r="BT38" s="100">
        <v>6.6987062040468617</v>
      </c>
      <c r="BU38" s="100">
        <v>8319.7931054262026</v>
      </c>
      <c r="BV38" s="100">
        <v>9</v>
      </c>
      <c r="BW38" s="100">
        <v>11178</v>
      </c>
      <c r="BX38" s="100">
        <v>13</v>
      </c>
      <c r="BY38" s="100">
        <v>16146</v>
      </c>
      <c r="BZ38" s="100">
        <v>13</v>
      </c>
      <c r="CA38" s="100">
        <v>16146</v>
      </c>
      <c r="CB38" s="100">
        <v>7.0259383180534467</v>
      </c>
      <c r="CC38" s="100">
        <v>8726.2153910223806</v>
      </c>
      <c r="CD38" s="100">
        <v>0</v>
      </c>
      <c r="CE38" s="100">
        <v>0</v>
      </c>
      <c r="CF38" s="100">
        <v>12</v>
      </c>
      <c r="CG38" s="100">
        <v>14904</v>
      </c>
      <c r="CH38" s="100">
        <v>10</v>
      </c>
      <c r="CI38" s="100">
        <v>12420</v>
      </c>
      <c r="CJ38" s="100">
        <v>12</v>
      </c>
      <c r="CK38" s="100">
        <v>14904</v>
      </c>
      <c r="CL38" s="100">
        <v>12</v>
      </c>
      <c r="CM38" s="100">
        <v>14904</v>
      </c>
      <c r="CN38" s="100">
        <v>12</v>
      </c>
      <c r="CO38" s="100">
        <v>14904</v>
      </c>
      <c r="CP38" s="100">
        <v>11</v>
      </c>
      <c r="CQ38" s="100">
        <v>13662</v>
      </c>
      <c r="CR38" s="100">
        <v>10</v>
      </c>
      <c r="CS38" s="100">
        <v>12420</v>
      </c>
      <c r="CT38" s="100">
        <v>9.8582255965435301</v>
      </c>
      <c r="CU38" s="100">
        <v>12243.916190907064</v>
      </c>
    </row>
    <row r="39" spans="2:99">
      <c r="C39" s="99" t="s">
        <v>205</v>
      </c>
      <c r="D39" s="100">
        <v>8.2310475814105004</v>
      </c>
      <c r="E39" s="100">
        <v>11714.426917863424</v>
      </c>
      <c r="F39" s="100">
        <v>9</v>
      </c>
      <c r="G39" s="100">
        <v>12808.800000000001</v>
      </c>
      <c r="H39" s="100">
        <v>14</v>
      </c>
      <c r="I39" s="100">
        <v>19924.8</v>
      </c>
      <c r="J39" s="100">
        <v>11</v>
      </c>
      <c r="K39" s="100">
        <v>15655.2</v>
      </c>
      <c r="L39" s="100">
        <v>10</v>
      </c>
      <c r="M39" s="100">
        <v>14232</v>
      </c>
      <c r="N39" s="100">
        <v>4.0504912668792663</v>
      </c>
      <c r="O39" s="100">
        <v>5764.6591710225721</v>
      </c>
      <c r="P39" s="100">
        <v>12</v>
      </c>
      <c r="Q39" s="100">
        <v>17078.400000000001</v>
      </c>
      <c r="R39" s="100">
        <v>7.0246192029057601</v>
      </c>
      <c r="S39" s="100">
        <v>9997.4380495754776</v>
      </c>
      <c r="T39" s="100">
        <v>8</v>
      </c>
      <c r="U39" s="100">
        <v>11385.6</v>
      </c>
      <c r="V39" s="100">
        <v>15</v>
      </c>
      <c r="W39" s="100">
        <v>21348</v>
      </c>
      <c r="X39" s="100">
        <v>3.354902009583598</v>
      </c>
      <c r="Y39" s="100">
        <v>4774.6965400393765</v>
      </c>
      <c r="Z39" s="100">
        <v>8</v>
      </c>
      <c r="AA39" s="100">
        <v>11385.6</v>
      </c>
      <c r="AB39" s="100">
        <v>12</v>
      </c>
      <c r="AC39" s="100">
        <v>17078.400000000001</v>
      </c>
      <c r="AD39" s="100">
        <v>7</v>
      </c>
      <c r="AE39" s="100">
        <v>9962.4</v>
      </c>
      <c r="AF39" s="100">
        <v>9.6004889034072445</v>
      </c>
      <c r="AG39" s="100">
        <v>13663.415807329191</v>
      </c>
      <c r="AH39" s="100">
        <v>13</v>
      </c>
      <c r="AI39" s="100">
        <v>18501.600000000002</v>
      </c>
      <c r="AJ39" s="100">
        <v>12</v>
      </c>
      <c r="AK39" s="100">
        <v>17078.400000000001</v>
      </c>
      <c r="AL39" s="100">
        <v>1.313487451210182</v>
      </c>
      <c r="AM39" s="100">
        <v>1869.3553405623311</v>
      </c>
      <c r="AN39" s="100">
        <v>7</v>
      </c>
      <c r="AO39" s="100">
        <v>9962.4</v>
      </c>
      <c r="AP39" s="100">
        <v>11</v>
      </c>
      <c r="AQ39" s="100">
        <v>15655.2</v>
      </c>
      <c r="AR39" s="100">
        <v>11</v>
      </c>
      <c r="AS39" s="100">
        <v>15655.2</v>
      </c>
      <c r="AT39" s="100">
        <v>13</v>
      </c>
      <c r="AU39" s="100">
        <v>18501.600000000002</v>
      </c>
      <c r="AV39" s="100">
        <v>15</v>
      </c>
      <c r="AW39" s="100">
        <v>21348</v>
      </c>
      <c r="AX39" s="100">
        <v>9.8572516473621672</v>
      </c>
      <c r="AY39" s="100">
        <v>14028.840544525838</v>
      </c>
      <c r="AZ39" s="100">
        <v>3.7891711373116879</v>
      </c>
      <c r="BA39" s="100">
        <v>5392.7483626219946</v>
      </c>
      <c r="BB39" s="100">
        <v>9</v>
      </c>
      <c r="BC39" s="100">
        <v>12808.800000000001</v>
      </c>
      <c r="BD39" s="100">
        <v>13</v>
      </c>
      <c r="BE39" s="100">
        <v>18501.600000000002</v>
      </c>
      <c r="BF39" s="100">
        <v>14</v>
      </c>
      <c r="BG39" s="100">
        <v>19924.8</v>
      </c>
      <c r="BH39" s="100">
        <v>4.258117527187431</v>
      </c>
      <c r="BI39" s="100">
        <v>6060.152864693152</v>
      </c>
      <c r="BJ39" s="100">
        <v>14</v>
      </c>
      <c r="BK39" s="100">
        <v>19924.8</v>
      </c>
      <c r="BL39" s="100">
        <v>12</v>
      </c>
      <c r="BM39" s="100">
        <v>17078.400000000001</v>
      </c>
      <c r="BN39" s="100">
        <v>10</v>
      </c>
      <c r="BO39" s="100">
        <v>14232</v>
      </c>
      <c r="BP39" s="100">
        <v>13</v>
      </c>
      <c r="BQ39" s="100">
        <v>18501.600000000002</v>
      </c>
      <c r="BR39" s="100">
        <v>2.0350770995323546</v>
      </c>
      <c r="BS39" s="100">
        <v>2896.3217280544472</v>
      </c>
      <c r="BT39" s="100">
        <v>5.9544055147083208</v>
      </c>
      <c r="BU39" s="100">
        <v>8474.3099285328826</v>
      </c>
      <c r="BV39" s="100">
        <v>9</v>
      </c>
      <c r="BW39" s="100">
        <v>12808.800000000001</v>
      </c>
      <c r="BX39" s="100">
        <v>12</v>
      </c>
      <c r="BY39" s="100">
        <v>17078.400000000001</v>
      </c>
      <c r="BZ39" s="100">
        <v>12</v>
      </c>
      <c r="CA39" s="100">
        <v>17078.400000000001</v>
      </c>
      <c r="CB39" s="100">
        <v>7.664659983331032</v>
      </c>
      <c r="CC39" s="100">
        <v>10908.344088276725</v>
      </c>
      <c r="CD39" s="100">
        <v>0</v>
      </c>
      <c r="CE39" s="100">
        <v>0</v>
      </c>
      <c r="CF39" s="100">
        <v>12</v>
      </c>
      <c r="CG39" s="100">
        <v>17078.400000000001</v>
      </c>
      <c r="CH39" s="100">
        <v>10</v>
      </c>
      <c r="CI39" s="100">
        <v>14232</v>
      </c>
      <c r="CJ39" s="100">
        <v>12</v>
      </c>
      <c r="CK39" s="100">
        <v>17078.400000000001</v>
      </c>
      <c r="CL39" s="100">
        <v>11</v>
      </c>
      <c r="CM39" s="100">
        <v>15655.2</v>
      </c>
      <c r="CN39" s="100">
        <v>12</v>
      </c>
      <c r="CO39" s="100">
        <v>17078.400000000001</v>
      </c>
      <c r="CP39" s="100">
        <v>12</v>
      </c>
      <c r="CQ39" s="100">
        <v>17078.400000000001</v>
      </c>
      <c r="CR39" s="100">
        <v>10</v>
      </c>
      <c r="CS39" s="100">
        <v>14232</v>
      </c>
      <c r="CT39" s="100">
        <v>9.0367067968315702</v>
      </c>
      <c r="CU39" s="100">
        <v>12861.041113250691</v>
      </c>
    </row>
    <row r="40" spans="2:99">
      <c r="C40" s="99" t="s">
        <v>206</v>
      </c>
      <c r="D40" s="100">
        <v>7.3164867390315562</v>
      </c>
      <c r="E40" s="100">
        <v>5302.989588450072</v>
      </c>
      <c r="F40" s="100">
        <v>8</v>
      </c>
      <c r="G40" s="100">
        <v>5798.4</v>
      </c>
      <c r="H40" s="100">
        <v>15</v>
      </c>
      <c r="I40" s="100">
        <v>10872</v>
      </c>
      <c r="J40" s="100">
        <v>11</v>
      </c>
      <c r="K40" s="100">
        <v>7972.7999999999993</v>
      </c>
      <c r="L40" s="100">
        <v>10</v>
      </c>
      <c r="M40" s="100">
        <v>7248</v>
      </c>
      <c r="N40" s="100">
        <v>4.0504912668792663</v>
      </c>
      <c r="O40" s="100">
        <v>2935.796070234092</v>
      </c>
      <c r="P40" s="100">
        <v>13</v>
      </c>
      <c r="Q40" s="100">
        <v>9422.4</v>
      </c>
      <c r="R40" s="100">
        <v>7.8051324476730661</v>
      </c>
      <c r="S40" s="100">
        <v>5657.1599980734381</v>
      </c>
      <c r="T40" s="100">
        <v>8</v>
      </c>
      <c r="U40" s="100">
        <v>5798.4</v>
      </c>
      <c r="V40" s="100">
        <v>16</v>
      </c>
      <c r="W40" s="100">
        <v>11596.8</v>
      </c>
      <c r="X40" s="100">
        <v>3.354902009583598</v>
      </c>
      <c r="Y40" s="100">
        <v>2431.6329765461915</v>
      </c>
      <c r="Z40" s="100">
        <v>8</v>
      </c>
      <c r="AA40" s="100">
        <v>5798.4</v>
      </c>
      <c r="AB40" s="100">
        <v>15</v>
      </c>
      <c r="AC40" s="100">
        <v>10872</v>
      </c>
      <c r="AD40" s="100">
        <v>8</v>
      </c>
      <c r="AE40" s="100">
        <v>5798.4</v>
      </c>
      <c r="AF40" s="100">
        <v>12.480635574429419</v>
      </c>
      <c r="AG40" s="100">
        <v>9045.9646643464421</v>
      </c>
      <c r="AH40" s="100">
        <v>13</v>
      </c>
      <c r="AI40" s="100">
        <v>9422.4</v>
      </c>
      <c r="AJ40" s="100">
        <v>13</v>
      </c>
      <c r="AK40" s="100">
        <v>9422.4</v>
      </c>
      <c r="AL40" s="100">
        <v>1.4145249474571189</v>
      </c>
      <c r="AM40" s="100">
        <v>1025.2476819169196</v>
      </c>
      <c r="AN40" s="100">
        <v>7</v>
      </c>
      <c r="AO40" s="100">
        <v>5073.5999999999995</v>
      </c>
      <c r="AP40" s="100">
        <v>12</v>
      </c>
      <c r="AQ40" s="100">
        <v>8697.5999999999985</v>
      </c>
      <c r="AR40" s="100">
        <v>10</v>
      </c>
      <c r="AS40" s="100">
        <v>7248</v>
      </c>
      <c r="AT40" s="100">
        <v>15</v>
      </c>
      <c r="AU40" s="100">
        <v>10872</v>
      </c>
      <c r="AV40" s="100">
        <v>13</v>
      </c>
      <c r="AW40" s="100">
        <v>9422.4</v>
      </c>
      <c r="AX40" s="100">
        <v>10.842976812098385</v>
      </c>
      <c r="AY40" s="100">
        <v>7858.9895934089091</v>
      </c>
      <c r="AZ40" s="100">
        <v>3.2839483190034624</v>
      </c>
      <c r="BA40" s="100">
        <v>2380.2057416137095</v>
      </c>
      <c r="BB40" s="100">
        <v>9</v>
      </c>
      <c r="BC40" s="100">
        <v>6523.2</v>
      </c>
      <c r="BD40" s="100">
        <v>14</v>
      </c>
      <c r="BE40" s="100">
        <v>10147.199999999999</v>
      </c>
      <c r="BF40" s="100">
        <v>15</v>
      </c>
      <c r="BG40" s="100">
        <v>10872</v>
      </c>
      <c r="BH40" s="100">
        <v>4.6839292799061747</v>
      </c>
      <c r="BI40" s="100">
        <v>3394.9119420759953</v>
      </c>
      <c r="BJ40" s="100">
        <v>15</v>
      </c>
      <c r="BK40" s="100">
        <v>10872</v>
      </c>
      <c r="BL40" s="100">
        <v>14</v>
      </c>
      <c r="BM40" s="100">
        <v>10147.199999999999</v>
      </c>
      <c r="BN40" s="100">
        <v>12</v>
      </c>
      <c r="BO40" s="100">
        <v>8697.5999999999985</v>
      </c>
      <c r="BP40" s="100">
        <v>15</v>
      </c>
      <c r="BQ40" s="100">
        <v>10872</v>
      </c>
      <c r="BR40" s="100">
        <v>1.8994052928968641</v>
      </c>
      <c r="BS40" s="100">
        <v>1376.6889562916469</v>
      </c>
      <c r="BT40" s="100">
        <v>5.9544055147083208</v>
      </c>
      <c r="BU40" s="100">
        <v>4315.7531170605907</v>
      </c>
      <c r="BV40" s="100">
        <v>9</v>
      </c>
      <c r="BW40" s="100">
        <v>6523.2</v>
      </c>
      <c r="BX40" s="100">
        <v>11</v>
      </c>
      <c r="BY40" s="100">
        <v>7972.7999999999993</v>
      </c>
      <c r="BZ40" s="100">
        <v>15</v>
      </c>
      <c r="CA40" s="100">
        <v>10872</v>
      </c>
      <c r="CB40" s="100">
        <v>7.664659983331032</v>
      </c>
      <c r="CC40" s="100">
        <v>5555.3455559183312</v>
      </c>
      <c r="CD40" s="100">
        <v>0</v>
      </c>
      <c r="CE40" s="100">
        <v>0</v>
      </c>
      <c r="CF40" s="100">
        <v>12</v>
      </c>
      <c r="CG40" s="100">
        <v>8697.5999999999985</v>
      </c>
      <c r="CH40" s="100">
        <v>10</v>
      </c>
      <c r="CI40" s="100">
        <v>7248</v>
      </c>
      <c r="CJ40" s="100">
        <v>12</v>
      </c>
      <c r="CK40" s="100">
        <v>8697.5999999999985</v>
      </c>
      <c r="CL40" s="100">
        <v>13</v>
      </c>
      <c r="CM40" s="100">
        <v>9422.4</v>
      </c>
      <c r="CN40" s="100">
        <v>13</v>
      </c>
      <c r="CO40" s="100">
        <v>9422.4</v>
      </c>
      <c r="CP40" s="100">
        <v>11</v>
      </c>
      <c r="CQ40" s="100">
        <v>7972.7999999999993</v>
      </c>
      <c r="CR40" s="100">
        <v>10</v>
      </c>
      <c r="CS40" s="100">
        <v>7248</v>
      </c>
      <c r="CT40" s="100">
        <v>9.0367067968315702</v>
      </c>
      <c r="CU40" s="100">
        <v>6549.8050863435219</v>
      </c>
    </row>
    <row r="41" spans="2:99">
      <c r="C41" s="99" t="s">
        <v>207</v>
      </c>
      <c r="D41" s="100">
        <v>8.2310475814105004</v>
      </c>
      <c r="E41" s="100">
        <v>5432.49140373093</v>
      </c>
      <c r="F41" s="100">
        <v>8</v>
      </c>
      <c r="G41" s="100">
        <v>5280</v>
      </c>
      <c r="H41" s="100">
        <v>16</v>
      </c>
      <c r="I41" s="100">
        <v>10560</v>
      </c>
      <c r="J41" s="100">
        <v>11</v>
      </c>
      <c r="K41" s="100">
        <v>7260</v>
      </c>
      <c r="L41" s="100">
        <v>9</v>
      </c>
      <c r="M41" s="100">
        <v>5940</v>
      </c>
      <c r="N41" s="100">
        <v>4.556802675239175</v>
      </c>
      <c r="O41" s="100">
        <v>3007.4897656578555</v>
      </c>
      <c r="P41" s="100">
        <v>13</v>
      </c>
      <c r="Q41" s="100">
        <v>8580</v>
      </c>
      <c r="R41" s="100">
        <v>7.0246192029057601</v>
      </c>
      <c r="S41" s="100">
        <v>4636.2486739178021</v>
      </c>
      <c r="T41" s="100">
        <v>9</v>
      </c>
      <c r="U41" s="100">
        <v>5940</v>
      </c>
      <c r="V41" s="100">
        <v>13</v>
      </c>
      <c r="W41" s="100">
        <v>8580</v>
      </c>
      <c r="X41" s="100">
        <v>3.6903922105419573</v>
      </c>
      <c r="Y41" s="100">
        <v>2435.6588589576918</v>
      </c>
      <c r="Z41" s="100">
        <v>8</v>
      </c>
      <c r="AA41" s="100">
        <v>5280</v>
      </c>
      <c r="AB41" s="100">
        <v>13</v>
      </c>
      <c r="AC41" s="100">
        <v>8580</v>
      </c>
      <c r="AD41" s="100">
        <v>8</v>
      </c>
      <c r="AE41" s="100">
        <v>5280</v>
      </c>
      <c r="AF41" s="100">
        <v>10.560537793747969</v>
      </c>
      <c r="AG41" s="100">
        <v>6969.9549438736594</v>
      </c>
      <c r="AH41" s="100">
        <v>12</v>
      </c>
      <c r="AI41" s="100">
        <v>7920</v>
      </c>
      <c r="AJ41" s="100">
        <v>13</v>
      </c>
      <c r="AK41" s="100">
        <v>8580</v>
      </c>
      <c r="AL41" s="100">
        <v>1.4145249474571189</v>
      </c>
      <c r="AM41" s="100">
        <v>933.58646532169848</v>
      </c>
      <c r="AN41" s="100">
        <v>9</v>
      </c>
      <c r="AO41" s="100">
        <v>5940</v>
      </c>
      <c r="AP41" s="100">
        <v>12</v>
      </c>
      <c r="AQ41" s="100">
        <v>7920</v>
      </c>
      <c r="AR41" s="100">
        <v>10</v>
      </c>
      <c r="AS41" s="100">
        <v>6600</v>
      </c>
      <c r="AT41" s="100">
        <v>14</v>
      </c>
      <c r="AU41" s="100">
        <v>9240</v>
      </c>
      <c r="AV41" s="100">
        <v>14</v>
      </c>
      <c r="AW41" s="100">
        <v>9240</v>
      </c>
      <c r="AX41" s="100">
        <v>9.8572516473621672</v>
      </c>
      <c r="AY41" s="100">
        <v>6505.78608725903</v>
      </c>
      <c r="AZ41" s="100">
        <v>3.5365597281575756</v>
      </c>
      <c r="BA41" s="100">
        <v>2334.1294205839999</v>
      </c>
      <c r="BB41" s="100">
        <v>10</v>
      </c>
      <c r="BC41" s="100">
        <v>6600</v>
      </c>
      <c r="BD41" s="100">
        <v>14</v>
      </c>
      <c r="BE41" s="100">
        <v>9240</v>
      </c>
      <c r="BF41" s="100">
        <v>15</v>
      </c>
      <c r="BG41" s="100">
        <v>9900</v>
      </c>
      <c r="BH41" s="100">
        <v>4.6839292799061747</v>
      </c>
      <c r="BI41" s="100">
        <v>3091.3933247380751</v>
      </c>
      <c r="BJ41" s="100">
        <v>15</v>
      </c>
      <c r="BK41" s="100">
        <v>9900</v>
      </c>
      <c r="BL41" s="100">
        <v>13</v>
      </c>
      <c r="BM41" s="100">
        <v>8580</v>
      </c>
      <c r="BN41" s="100">
        <v>11</v>
      </c>
      <c r="BO41" s="100">
        <v>7260</v>
      </c>
      <c r="BP41" s="100">
        <v>16</v>
      </c>
      <c r="BQ41" s="100">
        <v>10560</v>
      </c>
      <c r="BR41" s="100">
        <v>1.7637334862613738</v>
      </c>
      <c r="BS41" s="100">
        <v>1164.0641009325068</v>
      </c>
      <c r="BT41" s="100">
        <v>7.4430068933854008</v>
      </c>
      <c r="BU41" s="100">
        <v>4912.3845496343647</v>
      </c>
      <c r="BV41" s="100">
        <v>8</v>
      </c>
      <c r="BW41" s="100">
        <v>5280</v>
      </c>
      <c r="BX41" s="100">
        <v>14</v>
      </c>
      <c r="BY41" s="100">
        <v>9240</v>
      </c>
      <c r="BZ41" s="100">
        <v>15</v>
      </c>
      <c r="CA41" s="100">
        <v>9900</v>
      </c>
      <c r="CB41" s="100">
        <v>8.3033816486086192</v>
      </c>
      <c r="CC41" s="100">
        <v>5480.2318880816883</v>
      </c>
      <c r="CD41" s="100">
        <v>0</v>
      </c>
      <c r="CE41" s="100">
        <v>0</v>
      </c>
      <c r="CF41" s="100">
        <v>13</v>
      </c>
      <c r="CG41" s="100">
        <v>8580</v>
      </c>
      <c r="CH41" s="100">
        <v>10</v>
      </c>
      <c r="CI41" s="100">
        <v>6600</v>
      </c>
      <c r="CJ41" s="100">
        <v>14</v>
      </c>
      <c r="CK41" s="100">
        <v>9240</v>
      </c>
      <c r="CL41" s="100">
        <v>13</v>
      </c>
      <c r="CM41" s="100">
        <v>8580</v>
      </c>
      <c r="CN41" s="100">
        <v>14</v>
      </c>
      <c r="CO41" s="100">
        <v>9240</v>
      </c>
      <c r="CP41" s="100">
        <v>13</v>
      </c>
      <c r="CQ41" s="100">
        <v>8580</v>
      </c>
      <c r="CR41" s="100">
        <v>10</v>
      </c>
      <c r="CS41" s="100">
        <v>6600</v>
      </c>
      <c r="CT41" s="100">
        <v>10.679744396255492</v>
      </c>
      <c r="CU41" s="100">
        <v>7048.631301528625</v>
      </c>
    </row>
    <row r="42" spans="2:99">
      <c r="C42" s="99" t="s">
        <v>208</v>
      </c>
      <c r="D42" s="100">
        <v>8.2310475814105004</v>
      </c>
      <c r="E42" s="100">
        <v>6963.4662538732837</v>
      </c>
      <c r="F42" s="100">
        <v>8</v>
      </c>
      <c r="G42" s="100">
        <v>6768</v>
      </c>
      <c r="H42" s="100">
        <v>15</v>
      </c>
      <c r="I42" s="100">
        <v>12690</v>
      </c>
      <c r="J42" s="100">
        <v>11</v>
      </c>
      <c r="K42" s="100">
        <v>9306</v>
      </c>
      <c r="L42" s="100">
        <v>9</v>
      </c>
      <c r="M42" s="100">
        <v>7614</v>
      </c>
      <c r="N42" s="100">
        <v>4.0504912668792663</v>
      </c>
      <c r="O42" s="100">
        <v>3426.7156117798595</v>
      </c>
      <c r="P42" s="100">
        <v>14</v>
      </c>
      <c r="Q42" s="100">
        <v>11844</v>
      </c>
      <c r="R42" s="100">
        <v>6.2441059581384533</v>
      </c>
      <c r="S42" s="100">
        <v>5282.5136405851317</v>
      </c>
      <c r="T42" s="100">
        <v>8</v>
      </c>
      <c r="U42" s="100">
        <v>6768</v>
      </c>
      <c r="V42" s="100">
        <v>16</v>
      </c>
      <c r="W42" s="100">
        <v>13536</v>
      </c>
      <c r="X42" s="100">
        <v>3.354902009583598</v>
      </c>
      <c r="Y42" s="100">
        <v>2838.2471001077238</v>
      </c>
      <c r="Z42" s="100">
        <v>7</v>
      </c>
      <c r="AA42" s="100">
        <v>5922</v>
      </c>
      <c r="AB42" s="100">
        <v>13</v>
      </c>
      <c r="AC42" s="100">
        <v>10998</v>
      </c>
      <c r="AD42" s="100">
        <v>8</v>
      </c>
      <c r="AE42" s="100">
        <v>6768</v>
      </c>
      <c r="AF42" s="100">
        <v>10.560537793747969</v>
      </c>
      <c r="AG42" s="100">
        <v>8934.2149735107814</v>
      </c>
      <c r="AH42" s="100">
        <v>12</v>
      </c>
      <c r="AI42" s="100">
        <v>10152</v>
      </c>
      <c r="AJ42" s="100">
        <v>13</v>
      </c>
      <c r="AK42" s="100">
        <v>10998</v>
      </c>
      <c r="AL42" s="100">
        <v>1.6165999399509932</v>
      </c>
      <c r="AM42" s="100">
        <v>1367.6435491985403</v>
      </c>
      <c r="AN42" s="100">
        <v>7</v>
      </c>
      <c r="AO42" s="100">
        <v>5922</v>
      </c>
      <c r="AP42" s="100">
        <v>11</v>
      </c>
      <c r="AQ42" s="100">
        <v>9306</v>
      </c>
      <c r="AR42" s="100">
        <v>11</v>
      </c>
      <c r="AS42" s="100">
        <v>9306</v>
      </c>
      <c r="AT42" s="100">
        <v>14</v>
      </c>
      <c r="AU42" s="100">
        <v>11844</v>
      </c>
      <c r="AV42" s="100">
        <v>14</v>
      </c>
      <c r="AW42" s="100">
        <v>11844</v>
      </c>
      <c r="AX42" s="100">
        <v>10.842976812098385</v>
      </c>
      <c r="AY42" s="100">
        <v>9173.1583830352338</v>
      </c>
      <c r="AZ42" s="100">
        <v>3.7891711373116879</v>
      </c>
      <c r="BA42" s="100">
        <v>3205.6387821656881</v>
      </c>
      <c r="BB42" s="100">
        <v>10</v>
      </c>
      <c r="BC42" s="100">
        <v>8460</v>
      </c>
      <c r="BD42" s="100">
        <v>13</v>
      </c>
      <c r="BE42" s="100">
        <v>10998</v>
      </c>
      <c r="BF42" s="100">
        <v>12</v>
      </c>
      <c r="BG42" s="100">
        <v>10152</v>
      </c>
      <c r="BH42" s="100">
        <v>4.258117527187431</v>
      </c>
      <c r="BI42" s="100">
        <v>3602.3674280005666</v>
      </c>
      <c r="BJ42" s="100">
        <v>15</v>
      </c>
      <c r="BK42" s="100">
        <v>12690</v>
      </c>
      <c r="BL42" s="100">
        <v>14</v>
      </c>
      <c r="BM42" s="100">
        <v>11844</v>
      </c>
      <c r="BN42" s="100">
        <v>11</v>
      </c>
      <c r="BO42" s="100">
        <v>9306</v>
      </c>
      <c r="BP42" s="100">
        <v>15</v>
      </c>
      <c r="BQ42" s="100">
        <v>12690</v>
      </c>
      <c r="BR42" s="100">
        <v>2.0350770995323546</v>
      </c>
      <c r="BS42" s="100">
        <v>1721.6752262043719</v>
      </c>
      <c r="BT42" s="100">
        <v>5.9544055147083208</v>
      </c>
      <c r="BU42" s="100">
        <v>5037.4270654432394</v>
      </c>
      <c r="BV42" s="100">
        <v>9</v>
      </c>
      <c r="BW42" s="100">
        <v>7614</v>
      </c>
      <c r="BX42" s="100">
        <v>13</v>
      </c>
      <c r="BY42" s="100">
        <v>10998</v>
      </c>
      <c r="BZ42" s="100">
        <v>13</v>
      </c>
      <c r="CA42" s="100">
        <v>10998</v>
      </c>
      <c r="CB42" s="100">
        <v>7.0259383180534467</v>
      </c>
      <c r="CC42" s="100">
        <v>5943.9438170732155</v>
      </c>
      <c r="CD42" s="100">
        <v>0</v>
      </c>
      <c r="CE42" s="100">
        <v>0</v>
      </c>
      <c r="CF42" s="100">
        <v>12</v>
      </c>
      <c r="CG42" s="100">
        <v>10152</v>
      </c>
      <c r="CH42" s="100">
        <v>9</v>
      </c>
      <c r="CI42" s="100">
        <v>7614</v>
      </c>
      <c r="CJ42" s="100">
        <v>14</v>
      </c>
      <c r="CK42" s="100">
        <v>11844</v>
      </c>
      <c r="CL42" s="100">
        <v>13</v>
      </c>
      <c r="CM42" s="100">
        <v>10998</v>
      </c>
      <c r="CN42" s="100">
        <v>14</v>
      </c>
      <c r="CO42" s="100">
        <v>11844</v>
      </c>
      <c r="CP42" s="100">
        <v>12</v>
      </c>
      <c r="CQ42" s="100">
        <v>10152</v>
      </c>
      <c r="CR42" s="100">
        <v>10</v>
      </c>
      <c r="CS42" s="100">
        <v>8460</v>
      </c>
      <c r="CT42" s="100">
        <v>9.0367067968315702</v>
      </c>
      <c r="CU42" s="100">
        <v>7645.053950119508</v>
      </c>
    </row>
    <row r="43" spans="2:99">
      <c r="C43" s="99" t="s">
        <v>209</v>
      </c>
      <c r="D43" s="100">
        <v>8.2310475814105004</v>
      </c>
      <c r="E43" s="100">
        <v>8415.4230472340951</v>
      </c>
      <c r="F43" s="100">
        <v>8</v>
      </c>
      <c r="G43" s="100">
        <v>8179.2</v>
      </c>
      <c r="H43" s="100">
        <v>15</v>
      </c>
      <c r="I43" s="100">
        <v>15336</v>
      </c>
      <c r="J43" s="100">
        <v>10</v>
      </c>
      <c r="K43" s="100">
        <v>10224</v>
      </c>
      <c r="L43" s="100">
        <v>10</v>
      </c>
      <c r="M43" s="100">
        <v>10224</v>
      </c>
      <c r="N43" s="100">
        <v>4.0504912668792663</v>
      </c>
      <c r="O43" s="100">
        <v>4141.2222712573621</v>
      </c>
      <c r="P43" s="100">
        <v>13</v>
      </c>
      <c r="Q43" s="100">
        <v>13291.199999999999</v>
      </c>
      <c r="R43" s="100">
        <v>7.0246192029057601</v>
      </c>
      <c r="S43" s="100">
        <v>7181.9706730508487</v>
      </c>
      <c r="T43" s="100">
        <v>8</v>
      </c>
      <c r="U43" s="100">
        <v>8179.2</v>
      </c>
      <c r="V43" s="100">
        <v>14</v>
      </c>
      <c r="W43" s="100">
        <v>14313.6</v>
      </c>
      <c r="X43" s="100">
        <v>3.354902009583598</v>
      </c>
      <c r="Y43" s="100">
        <v>3430.0518145982705</v>
      </c>
      <c r="Z43" s="100">
        <v>7</v>
      </c>
      <c r="AA43" s="100">
        <v>7156.8</v>
      </c>
      <c r="AB43" s="100">
        <v>14</v>
      </c>
      <c r="AC43" s="100">
        <v>14313.6</v>
      </c>
      <c r="AD43" s="100">
        <v>7</v>
      </c>
      <c r="AE43" s="100">
        <v>7156.8</v>
      </c>
      <c r="AF43" s="100">
        <v>10.560537793747969</v>
      </c>
      <c r="AG43" s="100">
        <v>10797.093840327923</v>
      </c>
      <c r="AH43" s="100">
        <v>12</v>
      </c>
      <c r="AI43" s="100">
        <v>12268.8</v>
      </c>
      <c r="AJ43" s="100">
        <v>11</v>
      </c>
      <c r="AK43" s="100">
        <v>11246.4</v>
      </c>
      <c r="AL43" s="100">
        <v>1.4145249474571189</v>
      </c>
      <c r="AM43" s="100">
        <v>1446.2103062801582</v>
      </c>
      <c r="AN43" s="100">
        <v>8</v>
      </c>
      <c r="AO43" s="100">
        <v>8179.2</v>
      </c>
      <c r="AP43" s="100">
        <v>10</v>
      </c>
      <c r="AQ43" s="100">
        <v>10224</v>
      </c>
      <c r="AR43" s="100">
        <v>9</v>
      </c>
      <c r="AS43" s="100">
        <v>9201.6</v>
      </c>
      <c r="AT43" s="100">
        <v>15</v>
      </c>
      <c r="AU43" s="100">
        <v>15336</v>
      </c>
      <c r="AV43" s="100">
        <v>14</v>
      </c>
      <c r="AW43" s="100">
        <v>14313.6</v>
      </c>
      <c r="AX43" s="100">
        <v>9.8572516473621672</v>
      </c>
      <c r="AY43" s="100">
        <v>10078.05408426308</v>
      </c>
      <c r="AZ43" s="100">
        <v>3.5365597281575756</v>
      </c>
      <c r="BA43" s="100">
        <v>3615.778666068305</v>
      </c>
      <c r="BB43" s="100">
        <v>10</v>
      </c>
      <c r="BC43" s="100">
        <v>10224</v>
      </c>
      <c r="BD43" s="100">
        <v>13</v>
      </c>
      <c r="BE43" s="100">
        <v>13291.199999999999</v>
      </c>
      <c r="BF43" s="100">
        <v>12</v>
      </c>
      <c r="BG43" s="100">
        <v>12268.8</v>
      </c>
      <c r="BH43" s="100">
        <v>4.6839292799061747</v>
      </c>
      <c r="BI43" s="100">
        <v>4788.8492957760727</v>
      </c>
      <c r="BJ43" s="100">
        <v>16</v>
      </c>
      <c r="BK43" s="100">
        <v>16358.4</v>
      </c>
      <c r="BL43" s="100">
        <v>12</v>
      </c>
      <c r="BM43" s="100">
        <v>12268.8</v>
      </c>
      <c r="BN43" s="100">
        <v>11</v>
      </c>
      <c r="BO43" s="100">
        <v>11246.4</v>
      </c>
      <c r="BP43" s="100">
        <v>16</v>
      </c>
      <c r="BQ43" s="100">
        <v>16358.4</v>
      </c>
      <c r="BR43" s="100">
        <v>1.8994052928968641</v>
      </c>
      <c r="BS43" s="100">
        <v>1941.9519714577539</v>
      </c>
      <c r="BT43" s="100">
        <v>6.6987062040468617</v>
      </c>
      <c r="BU43" s="100">
        <v>6848.757223017511</v>
      </c>
      <c r="BV43" s="100">
        <v>9</v>
      </c>
      <c r="BW43" s="100">
        <v>9201.6</v>
      </c>
      <c r="BX43" s="100">
        <v>13</v>
      </c>
      <c r="BY43" s="100">
        <v>13291.199999999999</v>
      </c>
      <c r="BZ43" s="100">
        <v>13</v>
      </c>
      <c r="CA43" s="100">
        <v>13291.199999999999</v>
      </c>
      <c r="CB43" s="100">
        <v>7.664659983331032</v>
      </c>
      <c r="CC43" s="100">
        <v>7836.3483669576472</v>
      </c>
      <c r="CD43" s="100">
        <v>0</v>
      </c>
      <c r="CE43" s="100">
        <v>0</v>
      </c>
      <c r="CF43" s="100">
        <v>11</v>
      </c>
      <c r="CG43" s="100">
        <v>11246.4</v>
      </c>
      <c r="CH43" s="100">
        <v>10</v>
      </c>
      <c r="CI43" s="100">
        <v>10224</v>
      </c>
      <c r="CJ43" s="100">
        <v>14</v>
      </c>
      <c r="CK43" s="100">
        <v>14313.6</v>
      </c>
      <c r="CL43" s="100">
        <v>12</v>
      </c>
      <c r="CM43" s="100">
        <v>12268.8</v>
      </c>
      <c r="CN43" s="100">
        <v>13</v>
      </c>
      <c r="CO43" s="100">
        <v>13291.199999999999</v>
      </c>
      <c r="CP43" s="100">
        <v>12</v>
      </c>
      <c r="CQ43" s="100">
        <v>12268.8</v>
      </c>
      <c r="CR43" s="100">
        <v>10</v>
      </c>
      <c r="CS43" s="100">
        <v>10224</v>
      </c>
      <c r="CT43" s="100">
        <v>9.8582255965435301</v>
      </c>
      <c r="CU43" s="100">
        <v>10079.049849906105</v>
      </c>
    </row>
    <row r="44" spans="2:99">
      <c r="C44" s="99" t="s">
        <v>210</v>
      </c>
      <c r="D44" s="100">
        <v>8.2310475814105004</v>
      </c>
      <c r="E44" s="100">
        <v>8415.4230472340951</v>
      </c>
      <c r="F44" s="100">
        <v>8</v>
      </c>
      <c r="G44" s="100">
        <v>8179.2</v>
      </c>
      <c r="H44" s="100">
        <v>14</v>
      </c>
      <c r="I44" s="100">
        <v>14313.6</v>
      </c>
      <c r="J44" s="100">
        <v>11</v>
      </c>
      <c r="K44" s="100">
        <v>11246.4</v>
      </c>
      <c r="L44" s="100">
        <v>9</v>
      </c>
      <c r="M44" s="100">
        <v>9201.6</v>
      </c>
      <c r="N44" s="100">
        <v>3.544179858519358</v>
      </c>
      <c r="O44" s="100">
        <v>3623.5694873501916</v>
      </c>
      <c r="P44" s="100">
        <v>14</v>
      </c>
      <c r="Q44" s="100">
        <v>14313.6</v>
      </c>
      <c r="R44" s="100">
        <v>6.2441059581384533</v>
      </c>
      <c r="S44" s="100">
        <v>6383.9739316007544</v>
      </c>
      <c r="T44" s="100">
        <v>8</v>
      </c>
      <c r="U44" s="100">
        <v>8179.2</v>
      </c>
      <c r="V44" s="100">
        <v>13</v>
      </c>
      <c r="W44" s="100">
        <v>13291.199999999999</v>
      </c>
      <c r="X44" s="100">
        <v>3.6903922105419573</v>
      </c>
      <c r="Y44" s="100">
        <v>3773.056996058097</v>
      </c>
      <c r="Z44" s="100">
        <v>7</v>
      </c>
      <c r="AA44" s="100">
        <v>7156.8</v>
      </c>
      <c r="AB44" s="100">
        <v>13</v>
      </c>
      <c r="AC44" s="100">
        <v>13291.199999999999</v>
      </c>
      <c r="AD44" s="100">
        <v>7</v>
      </c>
      <c r="AE44" s="100">
        <v>7156.8</v>
      </c>
      <c r="AF44" s="100">
        <v>10.560537793747969</v>
      </c>
      <c r="AG44" s="100">
        <v>10797.093840327923</v>
      </c>
      <c r="AH44" s="100">
        <v>13</v>
      </c>
      <c r="AI44" s="100">
        <v>13291.199999999999</v>
      </c>
      <c r="AJ44" s="100">
        <v>13</v>
      </c>
      <c r="AK44" s="100">
        <v>13291.199999999999</v>
      </c>
      <c r="AL44" s="100">
        <v>1.4145249474571189</v>
      </c>
      <c r="AM44" s="100">
        <v>1446.2103062801582</v>
      </c>
      <c r="AN44" s="100">
        <v>7</v>
      </c>
      <c r="AO44" s="100">
        <v>7156.8</v>
      </c>
      <c r="AP44" s="100">
        <v>11</v>
      </c>
      <c r="AQ44" s="100">
        <v>11246.4</v>
      </c>
      <c r="AR44" s="100">
        <v>10</v>
      </c>
      <c r="AS44" s="100">
        <v>10224</v>
      </c>
      <c r="AT44" s="100">
        <v>14</v>
      </c>
      <c r="AU44" s="100">
        <v>14313.6</v>
      </c>
      <c r="AV44" s="100">
        <v>12</v>
      </c>
      <c r="AW44" s="100">
        <v>12268.8</v>
      </c>
      <c r="AX44" s="100">
        <v>10.842976812098385</v>
      </c>
      <c r="AY44" s="100">
        <v>11085.859492689389</v>
      </c>
      <c r="AZ44" s="100">
        <v>3.5365597281575756</v>
      </c>
      <c r="BA44" s="100">
        <v>3615.778666068305</v>
      </c>
      <c r="BB44" s="100">
        <v>9</v>
      </c>
      <c r="BC44" s="100">
        <v>9201.6</v>
      </c>
      <c r="BD44" s="100">
        <v>14</v>
      </c>
      <c r="BE44" s="100">
        <v>14313.6</v>
      </c>
      <c r="BF44" s="100">
        <v>13</v>
      </c>
      <c r="BG44" s="100">
        <v>13291.199999999999</v>
      </c>
      <c r="BH44" s="100">
        <v>4.6839292799061747</v>
      </c>
      <c r="BI44" s="100">
        <v>4788.8492957760727</v>
      </c>
      <c r="BJ44" s="100">
        <v>14</v>
      </c>
      <c r="BK44" s="100">
        <v>14313.6</v>
      </c>
      <c r="BL44" s="100">
        <v>14</v>
      </c>
      <c r="BM44" s="100">
        <v>14313.6</v>
      </c>
      <c r="BN44" s="100">
        <v>10</v>
      </c>
      <c r="BO44" s="100">
        <v>10224</v>
      </c>
      <c r="BP44" s="100">
        <v>14</v>
      </c>
      <c r="BQ44" s="100">
        <v>14313.6</v>
      </c>
      <c r="BR44" s="100">
        <v>2.0350770995323546</v>
      </c>
      <c r="BS44" s="100">
        <v>2080.6628265618792</v>
      </c>
      <c r="BT44" s="100">
        <v>6.6987062040468617</v>
      </c>
      <c r="BU44" s="100">
        <v>6848.757223017511</v>
      </c>
      <c r="BV44" s="100">
        <v>9</v>
      </c>
      <c r="BW44" s="100">
        <v>9201.6</v>
      </c>
      <c r="BX44" s="100">
        <v>13</v>
      </c>
      <c r="BY44" s="100">
        <v>13291.199999999999</v>
      </c>
      <c r="BZ44" s="100">
        <v>15</v>
      </c>
      <c r="CA44" s="100">
        <v>15336</v>
      </c>
      <c r="CB44" s="100">
        <v>7.0259383180534467</v>
      </c>
      <c r="CC44" s="100">
        <v>7183.3193363778437</v>
      </c>
      <c r="CD44" s="100">
        <v>0</v>
      </c>
      <c r="CE44" s="100">
        <v>0</v>
      </c>
      <c r="CF44" s="100">
        <v>12</v>
      </c>
      <c r="CG44" s="100">
        <v>12268.8</v>
      </c>
      <c r="CH44" s="100">
        <v>10</v>
      </c>
      <c r="CI44" s="100">
        <v>10224</v>
      </c>
      <c r="CJ44" s="100">
        <v>13</v>
      </c>
      <c r="CK44" s="100">
        <v>13291.199999999999</v>
      </c>
      <c r="CL44" s="100">
        <v>12</v>
      </c>
      <c r="CM44" s="100">
        <v>12268.8</v>
      </c>
      <c r="CN44" s="100">
        <v>14</v>
      </c>
      <c r="CO44" s="100">
        <v>14313.6</v>
      </c>
      <c r="CP44" s="100">
        <v>11</v>
      </c>
      <c r="CQ44" s="100">
        <v>11246.4</v>
      </c>
      <c r="CR44" s="100">
        <v>11</v>
      </c>
      <c r="CS44" s="100">
        <v>11246.4</v>
      </c>
      <c r="CT44" s="100">
        <v>9.0367067968315702</v>
      </c>
      <c r="CU44" s="100">
        <v>9239.1290290805973</v>
      </c>
    </row>
    <row r="45" spans="2:99">
      <c r="C45" s="99" t="s">
        <v>211</v>
      </c>
      <c r="D45" s="100">
        <v>7.3164867390315562</v>
      </c>
      <c r="E45" s="100">
        <v>9139.7552343982206</v>
      </c>
      <c r="F45" s="100">
        <v>9</v>
      </c>
      <c r="G45" s="100">
        <v>11242.800000000001</v>
      </c>
      <c r="H45" s="100">
        <v>14</v>
      </c>
      <c r="I45" s="100">
        <v>17488.8</v>
      </c>
      <c r="J45" s="100">
        <v>10</v>
      </c>
      <c r="K45" s="100">
        <v>12492</v>
      </c>
      <c r="L45" s="100">
        <v>9</v>
      </c>
      <c r="M45" s="100">
        <v>11242.800000000001</v>
      </c>
      <c r="N45" s="100">
        <v>4.0504912668792663</v>
      </c>
      <c r="O45" s="100">
        <v>5059.8736905855794</v>
      </c>
      <c r="P45" s="100">
        <v>13</v>
      </c>
      <c r="Q45" s="100">
        <v>16239.6</v>
      </c>
      <c r="R45" s="100">
        <v>6.2441059581384533</v>
      </c>
      <c r="S45" s="100">
        <v>7800.1371629065561</v>
      </c>
      <c r="T45" s="100">
        <v>8</v>
      </c>
      <c r="U45" s="100">
        <v>9993.6</v>
      </c>
      <c r="V45" s="100">
        <v>14</v>
      </c>
      <c r="W45" s="100">
        <v>17488.8</v>
      </c>
      <c r="X45" s="100">
        <v>3.6903922105419573</v>
      </c>
      <c r="Y45" s="100">
        <v>4610.037949409013</v>
      </c>
      <c r="Z45" s="100">
        <v>8</v>
      </c>
      <c r="AA45" s="100">
        <v>9993.6</v>
      </c>
      <c r="AB45" s="100">
        <v>12</v>
      </c>
      <c r="AC45" s="100">
        <v>14990.400000000001</v>
      </c>
      <c r="AD45" s="100">
        <v>8</v>
      </c>
      <c r="AE45" s="100">
        <v>9993.6</v>
      </c>
      <c r="AF45" s="100">
        <v>10.560537793747969</v>
      </c>
      <c r="AG45" s="100">
        <v>13192.223811949963</v>
      </c>
      <c r="AH45" s="100">
        <v>13</v>
      </c>
      <c r="AI45" s="100">
        <v>16239.6</v>
      </c>
      <c r="AJ45" s="100">
        <v>11</v>
      </c>
      <c r="AK45" s="100">
        <v>13741.2</v>
      </c>
      <c r="AL45" s="100">
        <v>1.313487451210182</v>
      </c>
      <c r="AM45" s="100">
        <v>1640.8085240517594</v>
      </c>
      <c r="AN45" s="100">
        <v>7</v>
      </c>
      <c r="AO45" s="100">
        <v>8744.4</v>
      </c>
      <c r="AP45" s="100">
        <v>11</v>
      </c>
      <c r="AQ45" s="100">
        <v>13741.2</v>
      </c>
      <c r="AR45" s="100">
        <v>11</v>
      </c>
      <c r="AS45" s="100">
        <v>13741.2</v>
      </c>
      <c r="AT45" s="100">
        <v>13</v>
      </c>
      <c r="AU45" s="100">
        <v>16239.6</v>
      </c>
      <c r="AV45" s="100">
        <v>13</v>
      </c>
      <c r="AW45" s="100">
        <v>16239.6</v>
      </c>
      <c r="AX45" s="100">
        <v>9.8572516473621672</v>
      </c>
      <c r="AY45" s="100">
        <v>12313.67875788482</v>
      </c>
      <c r="AZ45" s="100">
        <v>3.5365597281575756</v>
      </c>
      <c r="BA45" s="100">
        <v>4417.8704124144433</v>
      </c>
      <c r="BB45" s="100">
        <v>9</v>
      </c>
      <c r="BC45" s="100">
        <v>11242.800000000001</v>
      </c>
      <c r="BD45" s="100">
        <v>13</v>
      </c>
      <c r="BE45" s="100">
        <v>16239.6</v>
      </c>
      <c r="BF45" s="100">
        <v>12</v>
      </c>
      <c r="BG45" s="100">
        <v>14990.400000000001</v>
      </c>
      <c r="BH45" s="100">
        <v>4.6839292799061747</v>
      </c>
      <c r="BI45" s="100">
        <v>5851.1644564587932</v>
      </c>
      <c r="BJ45" s="100">
        <v>14</v>
      </c>
      <c r="BK45" s="100">
        <v>17488.8</v>
      </c>
      <c r="BL45" s="100">
        <v>13</v>
      </c>
      <c r="BM45" s="100">
        <v>16239.6</v>
      </c>
      <c r="BN45" s="100">
        <v>11</v>
      </c>
      <c r="BO45" s="100">
        <v>13741.2</v>
      </c>
      <c r="BP45" s="100">
        <v>14</v>
      </c>
      <c r="BQ45" s="100">
        <v>17488.8</v>
      </c>
      <c r="BR45" s="100">
        <v>2.0350770995323546</v>
      </c>
      <c r="BS45" s="100">
        <v>2542.2183127358176</v>
      </c>
      <c r="BT45" s="100">
        <v>5.9544055147083208</v>
      </c>
      <c r="BU45" s="100">
        <v>7438.2433689736345</v>
      </c>
      <c r="BV45" s="100">
        <v>9</v>
      </c>
      <c r="BW45" s="100">
        <v>11242.800000000001</v>
      </c>
      <c r="BX45" s="100">
        <v>13</v>
      </c>
      <c r="BY45" s="100">
        <v>16239.6</v>
      </c>
      <c r="BZ45" s="100">
        <v>14</v>
      </c>
      <c r="CA45" s="100">
        <v>17488.8</v>
      </c>
      <c r="CB45" s="100">
        <v>7.664659983331032</v>
      </c>
      <c r="CC45" s="100">
        <v>9574.6932511771247</v>
      </c>
      <c r="CD45" s="100">
        <v>0</v>
      </c>
      <c r="CE45" s="100">
        <v>0</v>
      </c>
      <c r="CF45" s="100">
        <v>10</v>
      </c>
      <c r="CG45" s="100">
        <v>12492</v>
      </c>
      <c r="CH45" s="100">
        <v>9</v>
      </c>
      <c r="CI45" s="100">
        <v>11242.800000000001</v>
      </c>
      <c r="CJ45" s="100">
        <v>13</v>
      </c>
      <c r="CK45" s="100">
        <v>16239.6</v>
      </c>
      <c r="CL45" s="100">
        <v>12</v>
      </c>
      <c r="CM45" s="100">
        <v>14990.400000000001</v>
      </c>
      <c r="CN45" s="100">
        <v>13</v>
      </c>
      <c r="CO45" s="100">
        <v>16239.6</v>
      </c>
      <c r="CP45" s="100">
        <v>13</v>
      </c>
      <c r="CQ45" s="100">
        <v>16239.6</v>
      </c>
      <c r="CR45" s="100">
        <v>11</v>
      </c>
      <c r="CS45" s="100">
        <v>13741.2</v>
      </c>
      <c r="CT45" s="100">
        <v>9.0367067968315702</v>
      </c>
      <c r="CU45" s="100">
        <v>11288.654130601997</v>
      </c>
    </row>
    <row r="46" spans="2:99">
      <c r="C46" s="99" t="s">
        <v>212</v>
      </c>
      <c r="D46" s="100">
        <v>9.1456084237894455</v>
      </c>
      <c r="E46" s="100">
        <v>11084.477409632807</v>
      </c>
      <c r="F46" s="100">
        <v>8</v>
      </c>
      <c r="G46" s="100">
        <v>9696</v>
      </c>
      <c r="H46" s="100">
        <v>14</v>
      </c>
      <c r="I46" s="100">
        <v>16968</v>
      </c>
      <c r="J46" s="100">
        <v>11</v>
      </c>
      <c r="K46" s="100">
        <v>13332</v>
      </c>
      <c r="L46" s="100">
        <v>9</v>
      </c>
      <c r="M46" s="100">
        <v>10908</v>
      </c>
      <c r="N46" s="100">
        <v>4.0504912668792663</v>
      </c>
      <c r="O46" s="100">
        <v>4909.1954154576706</v>
      </c>
      <c r="P46" s="100">
        <v>12</v>
      </c>
      <c r="Q46" s="100">
        <v>14544</v>
      </c>
      <c r="R46" s="100">
        <v>7.0246192029057601</v>
      </c>
      <c r="S46" s="100">
        <v>8513.8384739217818</v>
      </c>
      <c r="T46" s="100">
        <v>7</v>
      </c>
      <c r="U46" s="100">
        <v>8484</v>
      </c>
      <c r="V46" s="100">
        <v>14</v>
      </c>
      <c r="W46" s="100">
        <v>16968</v>
      </c>
      <c r="X46" s="100">
        <v>3.6903922105419573</v>
      </c>
      <c r="Y46" s="100">
        <v>4472.7553591768519</v>
      </c>
      <c r="Z46" s="100">
        <v>7</v>
      </c>
      <c r="AA46" s="100">
        <v>8484</v>
      </c>
      <c r="AB46" s="100">
        <v>14</v>
      </c>
      <c r="AC46" s="100">
        <v>16968</v>
      </c>
      <c r="AD46" s="100">
        <v>7</v>
      </c>
      <c r="AE46" s="100">
        <v>8484</v>
      </c>
      <c r="AF46" s="100">
        <v>10.560537793747969</v>
      </c>
      <c r="AG46" s="100">
        <v>12799.371806022538</v>
      </c>
      <c r="AH46" s="100">
        <v>13</v>
      </c>
      <c r="AI46" s="100">
        <v>15756</v>
      </c>
      <c r="AJ46" s="100">
        <v>13</v>
      </c>
      <c r="AK46" s="100">
        <v>15756</v>
      </c>
      <c r="AL46" s="100">
        <v>1.313487451210182</v>
      </c>
      <c r="AM46" s="100">
        <v>1591.9467908667405</v>
      </c>
      <c r="AN46" s="100">
        <v>7</v>
      </c>
      <c r="AO46" s="100">
        <v>8484</v>
      </c>
      <c r="AP46" s="100">
        <v>10</v>
      </c>
      <c r="AQ46" s="100">
        <v>12120</v>
      </c>
      <c r="AR46" s="100">
        <v>10</v>
      </c>
      <c r="AS46" s="100">
        <v>12120</v>
      </c>
      <c r="AT46" s="100">
        <v>13</v>
      </c>
      <c r="AU46" s="100">
        <v>15756</v>
      </c>
      <c r="AV46" s="100">
        <v>14</v>
      </c>
      <c r="AW46" s="100">
        <v>16968</v>
      </c>
      <c r="AX46" s="100">
        <v>9.8572516473621672</v>
      </c>
      <c r="AY46" s="100">
        <v>11946.988996602946</v>
      </c>
      <c r="AZ46" s="100">
        <v>3.5365597281575756</v>
      </c>
      <c r="BA46" s="100">
        <v>4286.3103905269818</v>
      </c>
      <c r="BB46" s="100">
        <v>9</v>
      </c>
      <c r="BC46" s="100">
        <v>10908</v>
      </c>
      <c r="BD46" s="100">
        <v>14</v>
      </c>
      <c r="BE46" s="100">
        <v>16968</v>
      </c>
      <c r="BF46" s="100">
        <v>14</v>
      </c>
      <c r="BG46" s="100">
        <v>16968</v>
      </c>
      <c r="BH46" s="100">
        <v>4.6839292799061747</v>
      </c>
      <c r="BI46" s="100">
        <v>5676.9222872462833</v>
      </c>
      <c r="BJ46" s="100">
        <v>13</v>
      </c>
      <c r="BK46" s="100">
        <v>15756</v>
      </c>
      <c r="BL46" s="100">
        <v>12</v>
      </c>
      <c r="BM46" s="100">
        <v>14544</v>
      </c>
      <c r="BN46" s="100">
        <v>11</v>
      </c>
      <c r="BO46" s="100">
        <v>13332</v>
      </c>
      <c r="BP46" s="100">
        <v>14</v>
      </c>
      <c r="BQ46" s="100">
        <v>16968</v>
      </c>
      <c r="BR46" s="100">
        <v>1.8994052928968641</v>
      </c>
      <c r="BS46" s="100">
        <v>2302.0792149909994</v>
      </c>
      <c r="BT46" s="100">
        <v>6.6987062040468617</v>
      </c>
      <c r="BU46" s="100">
        <v>8118.8319193047964</v>
      </c>
      <c r="BV46" s="100">
        <v>8</v>
      </c>
      <c r="BW46" s="100">
        <v>9696</v>
      </c>
      <c r="BX46" s="100">
        <v>12</v>
      </c>
      <c r="BY46" s="100">
        <v>14544</v>
      </c>
      <c r="BZ46" s="100">
        <v>13</v>
      </c>
      <c r="CA46" s="100">
        <v>15756</v>
      </c>
      <c r="CB46" s="100">
        <v>7.664659983331032</v>
      </c>
      <c r="CC46" s="100">
        <v>9289.56789979721</v>
      </c>
      <c r="CD46" s="100">
        <v>0</v>
      </c>
      <c r="CE46" s="100">
        <v>0</v>
      </c>
      <c r="CF46" s="100">
        <v>13</v>
      </c>
      <c r="CG46" s="100">
        <v>15756</v>
      </c>
      <c r="CH46" s="100">
        <v>9</v>
      </c>
      <c r="CI46" s="100">
        <v>10908</v>
      </c>
      <c r="CJ46" s="100">
        <v>14</v>
      </c>
      <c r="CK46" s="100">
        <v>16968</v>
      </c>
      <c r="CL46" s="100">
        <v>13</v>
      </c>
      <c r="CM46" s="100">
        <v>15756</v>
      </c>
      <c r="CN46" s="100">
        <v>12</v>
      </c>
      <c r="CO46" s="100">
        <v>14544</v>
      </c>
      <c r="CP46" s="100">
        <v>11</v>
      </c>
      <c r="CQ46" s="100">
        <v>13332</v>
      </c>
      <c r="CR46" s="100">
        <v>10</v>
      </c>
      <c r="CS46" s="100">
        <v>12120</v>
      </c>
      <c r="CT46" s="100">
        <v>9.8582255965435301</v>
      </c>
      <c r="CU46" s="100">
        <v>11948.169423010759</v>
      </c>
    </row>
    <row r="47" spans="2:99">
      <c r="C47" s="99" t="s">
        <v>213</v>
      </c>
      <c r="D47" s="100">
        <v>7.3164867390315562</v>
      </c>
      <c r="E47" s="100">
        <v>11176.665142544605</v>
      </c>
      <c r="F47" s="100">
        <v>8</v>
      </c>
      <c r="G47" s="100">
        <v>12220.8</v>
      </c>
      <c r="H47" s="100">
        <v>14</v>
      </c>
      <c r="I47" s="100">
        <v>21386.399999999998</v>
      </c>
      <c r="J47" s="100">
        <v>10</v>
      </c>
      <c r="K47" s="100">
        <v>15276</v>
      </c>
      <c r="L47" s="100">
        <v>10</v>
      </c>
      <c r="M47" s="100">
        <v>15276</v>
      </c>
      <c r="N47" s="100">
        <v>4.0504912668792663</v>
      </c>
      <c r="O47" s="100">
        <v>6187.5304592847669</v>
      </c>
      <c r="P47" s="100">
        <v>13</v>
      </c>
      <c r="Q47" s="100">
        <v>19858.8</v>
      </c>
      <c r="R47" s="100">
        <v>7.0246192029057601</v>
      </c>
      <c r="S47" s="100">
        <v>10730.808294358838</v>
      </c>
      <c r="T47" s="100">
        <v>7</v>
      </c>
      <c r="U47" s="100">
        <v>10693.199999999999</v>
      </c>
      <c r="V47" s="100">
        <v>13</v>
      </c>
      <c r="W47" s="100">
        <v>19858.8</v>
      </c>
      <c r="X47" s="100">
        <v>3.6903922105419573</v>
      </c>
      <c r="Y47" s="100">
        <v>5637.4431408238934</v>
      </c>
      <c r="Z47" s="100">
        <v>7</v>
      </c>
      <c r="AA47" s="100">
        <v>10693.199999999999</v>
      </c>
      <c r="AB47" s="100">
        <v>12</v>
      </c>
      <c r="AC47" s="100">
        <v>18331.199999999997</v>
      </c>
      <c r="AD47" s="100">
        <v>7</v>
      </c>
      <c r="AE47" s="100">
        <v>10693.199999999999</v>
      </c>
      <c r="AF47" s="100">
        <v>11.520586684088693</v>
      </c>
      <c r="AG47" s="100">
        <v>17598.848218613886</v>
      </c>
      <c r="AH47" s="100">
        <v>11</v>
      </c>
      <c r="AI47" s="100">
        <v>16803.599999999999</v>
      </c>
      <c r="AJ47" s="100">
        <v>12</v>
      </c>
      <c r="AK47" s="100">
        <v>18331.199999999997</v>
      </c>
      <c r="AL47" s="100">
        <v>1.313487451210182</v>
      </c>
      <c r="AM47" s="100">
        <v>2006.4834304686738</v>
      </c>
      <c r="AN47" s="100">
        <v>7</v>
      </c>
      <c r="AO47" s="100">
        <v>10693.199999999999</v>
      </c>
      <c r="AP47" s="100">
        <v>12</v>
      </c>
      <c r="AQ47" s="100">
        <v>18331.199999999997</v>
      </c>
      <c r="AR47" s="100">
        <v>11</v>
      </c>
      <c r="AS47" s="100">
        <v>16803.599999999999</v>
      </c>
      <c r="AT47" s="100">
        <v>13</v>
      </c>
      <c r="AU47" s="100">
        <v>19858.8</v>
      </c>
      <c r="AV47" s="100">
        <v>14</v>
      </c>
      <c r="AW47" s="100">
        <v>21386.399999999998</v>
      </c>
      <c r="AX47" s="100">
        <v>10.842976812098385</v>
      </c>
      <c r="AY47" s="100">
        <v>16563.731378161494</v>
      </c>
      <c r="AZ47" s="100">
        <v>3.2839483190034624</v>
      </c>
      <c r="BA47" s="100">
        <v>5016.5594521096891</v>
      </c>
      <c r="BB47" s="100">
        <v>10</v>
      </c>
      <c r="BC47" s="100">
        <v>15276</v>
      </c>
      <c r="BD47" s="100">
        <v>13</v>
      </c>
      <c r="BE47" s="100">
        <v>19858.8</v>
      </c>
      <c r="BF47" s="100">
        <v>13</v>
      </c>
      <c r="BG47" s="100">
        <v>19858.8</v>
      </c>
      <c r="BH47" s="100">
        <v>3.8323057744686881</v>
      </c>
      <c r="BI47" s="100">
        <v>5854.230301078368</v>
      </c>
      <c r="BJ47" s="100">
        <v>13</v>
      </c>
      <c r="BK47" s="100">
        <v>19858.8</v>
      </c>
      <c r="BL47" s="100">
        <v>14</v>
      </c>
      <c r="BM47" s="100">
        <v>21386.399999999998</v>
      </c>
      <c r="BN47" s="100">
        <v>10</v>
      </c>
      <c r="BO47" s="100">
        <v>15276</v>
      </c>
      <c r="BP47" s="100">
        <v>13</v>
      </c>
      <c r="BQ47" s="100">
        <v>19858.8</v>
      </c>
      <c r="BR47" s="100">
        <v>2.0350770995323546</v>
      </c>
      <c r="BS47" s="100">
        <v>3108.7837772456246</v>
      </c>
      <c r="BT47" s="100">
        <v>5.9544055147083208</v>
      </c>
      <c r="BU47" s="100">
        <v>9095.9498642684302</v>
      </c>
      <c r="BV47" s="100">
        <v>9</v>
      </c>
      <c r="BW47" s="100">
        <v>13748.4</v>
      </c>
      <c r="BX47" s="100">
        <v>11</v>
      </c>
      <c r="BY47" s="100">
        <v>16803.599999999999</v>
      </c>
      <c r="BZ47" s="100">
        <v>14</v>
      </c>
      <c r="CA47" s="100">
        <v>21386.399999999998</v>
      </c>
      <c r="CB47" s="100">
        <v>7.0259383180534467</v>
      </c>
      <c r="CC47" s="100">
        <v>10732.823374658445</v>
      </c>
      <c r="CD47" s="100">
        <v>0</v>
      </c>
      <c r="CE47" s="100">
        <v>0</v>
      </c>
      <c r="CF47" s="100">
        <v>12</v>
      </c>
      <c r="CG47" s="100">
        <v>18331.199999999997</v>
      </c>
      <c r="CH47" s="100">
        <v>9</v>
      </c>
      <c r="CI47" s="100">
        <v>13748.4</v>
      </c>
      <c r="CJ47" s="100">
        <v>12</v>
      </c>
      <c r="CK47" s="100">
        <v>18331.199999999997</v>
      </c>
      <c r="CL47" s="100">
        <v>13</v>
      </c>
      <c r="CM47" s="100">
        <v>19858.8</v>
      </c>
      <c r="CN47" s="100">
        <v>12</v>
      </c>
      <c r="CO47" s="100">
        <v>18331.199999999997</v>
      </c>
      <c r="CP47" s="100">
        <v>12</v>
      </c>
      <c r="CQ47" s="100">
        <v>18331.199999999997</v>
      </c>
      <c r="CR47" s="100">
        <v>10</v>
      </c>
      <c r="CS47" s="100">
        <v>15276</v>
      </c>
      <c r="CT47" s="100">
        <v>9.0367067968315702</v>
      </c>
      <c r="CU47" s="100">
        <v>13804.473302839906</v>
      </c>
    </row>
    <row r="48" spans="2:99">
      <c r="C48" s="99" t="s">
        <v>214</v>
      </c>
      <c r="D48" s="100">
        <v>8.2310475814105004</v>
      </c>
      <c r="E48" s="100">
        <v>7141.2568816317507</v>
      </c>
      <c r="F48" s="100">
        <v>8</v>
      </c>
      <c r="G48" s="100">
        <v>6940.8</v>
      </c>
      <c r="H48" s="100">
        <v>15</v>
      </c>
      <c r="I48" s="100">
        <v>13014</v>
      </c>
      <c r="J48" s="100">
        <v>12</v>
      </c>
      <c r="K48" s="100">
        <v>10411.200000000001</v>
      </c>
      <c r="L48" s="100">
        <v>9</v>
      </c>
      <c r="M48" s="100">
        <v>7808.4000000000005</v>
      </c>
      <c r="N48" s="100">
        <v>4.0504912668792663</v>
      </c>
      <c r="O48" s="100">
        <v>3514.2062231444515</v>
      </c>
      <c r="P48" s="100">
        <v>13</v>
      </c>
      <c r="Q48" s="100">
        <v>11278.800000000001</v>
      </c>
      <c r="R48" s="100">
        <v>7.0246192029057601</v>
      </c>
      <c r="S48" s="100">
        <v>6094.5596204410376</v>
      </c>
      <c r="T48" s="100">
        <v>8</v>
      </c>
      <c r="U48" s="100">
        <v>6940.8</v>
      </c>
      <c r="V48" s="100">
        <v>14</v>
      </c>
      <c r="W48" s="100">
        <v>12146.4</v>
      </c>
      <c r="X48" s="100">
        <v>3.354902009583598</v>
      </c>
      <c r="Y48" s="100">
        <v>2910.7129835147298</v>
      </c>
      <c r="Z48" s="100">
        <v>8</v>
      </c>
      <c r="AA48" s="100">
        <v>6940.8</v>
      </c>
      <c r="AB48" s="100">
        <v>12</v>
      </c>
      <c r="AC48" s="100">
        <v>10411.200000000001</v>
      </c>
      <c r="AD48" s="100">
        <v>7</v>
      </c>
      <c r="AE48" s="100">
        <v>6073.2</v>
      </c>
      <c r="AF48" s="100">
        <v>11.520586684088693</v>
      </c>
      <c r="AG48" s="100">
        <v>9995.2610071153504</v>
      </c>
      <c r="AH48" s="100">
        <v>13</v>
      </c>
      <c r="AI48" s="100">
        <v>11278.800000000001</v>
      </c>
      <c r="AJ48" s="100">
        <v>13</v>
      </c>
      <c r="AK48" s="100">
        <v>11278.800000000001</v>
      </c>
      <c r="AL48" s="100">
        <v>1.515562443704056</v>
      </c>
      <c r="AM48" s="100">
        <v>1314.901976157639</v>
      </c>
      <c r="AN48" s="100">
        <v>8</v>
      </c>
      <c r="AO48" s="100">
        <v>6940.8</v>
      </c>
      <c r="AP48" s="100">
        <v>12</v>
      </c>
      <c r="AQ48" s="100">
        <v>10411.200000000001</v>
      </c>
      <c r="AR48" s="100">
        <v>10</v>
      </c>
      <c r="AS48" s="100">
        <v>8676</v>
      </c>
      <c r="AT48" s="100">
        <v>14</v>
      </c>
      <c r="AU48" s="100">
        <v>12146.4</v>
      </c>
      <c r="AV48" s="100">
        <v>15</v>
      </c>
      <c r="AW48" s="100">
        <v>13014</v>
      </c>
      <c r="AX48" s="100">
        <v>10.842976812098385</v>
      </c>
      <c r="AY48" s="100">
        <v>9407.3666821765601</v>
      </c>
      <c r="AZ48" s="100">
        <v>3.2839483190034624</v>
      </c>
      <c r="BA48" s="100">
        <v>2849.1535615674043</v>
      </c>
      <c r="BB48" s="100">
        <v>9</v>
      </c>
      <c r="BC48" s="100">
        <v>7808.4000000000005</v>
      </c>
      <c r="BD48" s="100">
        <v>14</v>
      </c>
      <c r="BE48" s="100">
        <v>12146.4</v>
      </c>
      <c r="BF48" s="100">
        <v>14</v>
      </c>
      <c r="BG48" s="100">
        <v>12146.4</v>
      </c>
      <c r="BH48" s="100">
        <v>3.8323057744686881</v>
      </c>
      <c r="BI48" s="100">
        <v>3324.9084899290337</v>
      </c>
      <c r="BJ48" s="100">
        <v>15</v>
      </c>
      <c r="BK48" s="100">
        <v>13014</v>
      </c>
      <c r="BL48" s="100">
        <v>14</v>
      </c>
      <c r="BM48" s="100">
        <v>12146.4</v>
      </c>
      <c r="BN48" s="100">
        <v>11</v>
      </c>
      <c r="BO48" s="100">
        <v>9543.6</v>
      </c>
      <c r="BP48" s="100">
        <v>15</v>
      </c>
      <c r="BQ48" s="100">
        <v>13014</v>
      </c>
      <c r="BR48" s="100">
        <v>1.8994052928968641</v>
      </c>
      <c r="BS48" s="100">
        <v>1647.9240321173193</v>
      </c>
      <c r="BT48" s="100">
        <v>5.9544055147083208</v>
      </c>
      <c r="BU48" s="100">
        <v>5166.0422245609388</v>
      </c>
      <c r="BV48" s="100">
        <v>9</v>
      </c>
      <c r="BW48" s="100">
        <v>7808.4000000000005</v>
      </c>
      <c r="BX48" s="100">
        <v>13</v>
      </c>
      <c r="BY48" s="100">
        <v>11278.800000000001</v>
      </c>
      <c r="BZ48" s="100">
        <v>15</v>
      </c>
      <c r="CA48" s="100">
        <v>13014</v>
      </c>
      <c r="CB48" s="100">
        <v>7.0259383180534467</v>
      </c>
      <c r="CC48" s="100">
        <v>6095.7040847431708</v>
      </c>
      <c r="CD48" s="100">
        <v>0</v>
      </c>
      <c r="CE48" s="100">
        <v>0</v>
      </c>
      <c r="CF48" s="100">
        <v>12</v>
      </c>
      <c r="CG48" s="100">
        <v>10411.200000000001</v>
      </c>
      <c r="CH48" s="100">
        <v>10</v>
      </c>
      <c r="CI48" s="100">
        <v>8676</v>
      </c>
      <c r="CJ48" s="100">
        <v>13</v>
      </c>
      <c r="CK48" s="100">
        <v>11278.800000000001</v>
      </c>
      <c r="CL48" s="100">
        <v>12</v>
      </c>
      <c r="CM48" s="100">
        <v>10411.200000000001</v>
      </c>
      <c r="CN48" s="100">
        <v>12</v>
      </c>
      <c r="CO48" s="100">
        <v>10411.200000000001</v>
      </c>
      <c r="CP48" s="100">
        <v>13</v>
      </c>
      <c r="CQ48" s="100">
        <v>11278.800000000001</v>
      </c>
      <c r="CR48" s="100">
        <v>10</v>
      </c>
      <c r="CS48" s="100">
        <v>8676</v>
      </c>
      <c r="CT48" s="100">
        <v>9.0367067968315702</v>
      </c>
      <c r="CU48" s="100">
        <v>7840.2468169310705</v>
      </c>
    </row>
    <row r="49" spans="2:99">
      <c r="B49" s="99" t="s">
        <v>129</v>
      </c>
      <c r="C49" s="99" t="s">
        <v>215</v>
      </c>
      <c r="D49" s="100">
        <v>5.2563886658766341</v>
      </c>
      <c r="E49" s="100">
        <v>5178.5941136216597</v>
      </c>
      <c r="F49" s="100">
        <v>9</v>
      </c>
      <c r="G49" s="100">
        <v>8866.7999999999993</v>
      </c>
      <c r="H49" s="100">
        <v>10</v>
      </c>
      <c r="I49" s="100">
        <v>9852</v>
      </c>
      <c r="J49" s="100">
        <v>2.1649180919063311</v>
      </c>
      <c r="K49" s="100">
        <v>2132.8773041461172</v>
      </c>
      <c r="L49" s="100">
        <v>9</v>
      </c>
      <c r="M49" s="100">
        <v>8866.7999999999993</v>
      </c>
      <c r="N49" s="100">
        <v>9</v>
      </c>
      <c r="O49" s="100">
        <v>8866.7999999999993</v>
      </c>
      <c r="P49" s="100">
        <v>7</v>
      </c>
      <c r="Q49" s="100">
        <v>6896.4</v>
      </c>
      <c r="R49" s="100">
        <v>6</v>
      </c>
      <c r="S49" s="100">
        <v>5911.2</v>
      </c>
      <c r="T49" s="100">
        <v>6</v>
      </c>
      <c r="U49" s="100">
        <v>5911.2</v>
      </c>
      <c r="V49" s="100">
        <v>6</v>
      </c>
      <c r="W49" s="100">
        <v>5911.2</v>
      </c>
      <c r="X49" s="100">
        <v>7</v>
      </c>
      <c r="Y49" s="100">
        <v>6896.4</v>
      </c>
      <c r="Z49" s="100">
        <v>8</v>
      </c>
      <c r="AA49" s="100">
        <v>7881.5999999999995</v>
      </c>
      <c r="AB49" s="100">
        <v>7</v>
      </c>
      <c r="AC49" s="100">
        <v>6896.4</v>
      </c>
      <c r="AD49" s="100">
        <v>8</v>
      </c>
      <c r="AE49" s="100">
        <v>7881.5999999999995</v>
      </c>
      <c r="AF49" s="100">
        <v>10</v>
      </c>
      <c r="AG49" s="100">
        <v>9852</v>
      </c>
      <c r="AH49" s="100">
        <v>7</v>
      </c>
      <c r="AI49" s="100">
        <v>6896.4</v>
      </c>
      <c r="AJ49" s="100">
        <v>7.675209359967452</v>
      </c>
      <c r="AK49" s="100">
        <v>7561.6162614399336</v>
      </c>
      <c r="AL49" s="100">
        <v>4.074695005585518</v>
      </c>
      <c r="AM49" s="100">
        <v>4014.3895195028522</v>
      </c>
      <c r="AN49" s="100">
        <v>8</v>
      </c>
      <c r="AO49" s="100">
        <v>7881.5999999999995</v>
      </c>
      <c r="AP49" s="100">
        <v>6</v>
      </c>
      <c r="AQ49" s="100">
        <v>5911.2</v>
      </c>
      <c r="AR49" s="100">
        <v>4.3741969107586485</v>
      </c>
      <c r="AS49" s="100">
        <v>4309.45879647942</v>
      </c>
      <c r="AT49" s="100">
        <v>9</v>
      </c>
      <c r="AU49" s="100">
        <v>8866.7999999999993</v>
      </c>
      <c r="AV49" s="100">
        <v>6</v>
      </c>
      <c r="AW49" s="100">
        <v>5911.2</v>
      </c>
      <c r="AX49" s="100">
        <v>6</v>
      </c>
      <c r="AY49" s="100">
        <v>5911.2</v>
      </c>
      <c r="AZ49" s="100">
        <v>7</v>
      </c>
      <c r="BA49" s="100">
        <v>6896.4</v>
      </c>
      <c r="BB49" s="100">
        <v>6</v>
      </c>
      <c r="BC49" s="100">
        <v>5911.2</v>
      </c>
      <c r="BD49" s="100">
        <v>10</v>
      </c>
      <c r="BE49" s="100">
        <v>9852</v>
      </c>
      <c r="BF49" s="100">
        <v>5.2567305683345653</v>
      </c>
      <c r="BG49" s="100">
        <v>5178.9309559232133</v>
      </c>
      <c r="BH49" s="100">
        <v>8</v>
      </c>
      <c r="BI49" s="100">
        <v>7881.5999999999995</v>
      </c>
      <c r="BJ49" s="100">
        <v>6</v>
      </c>
      <c r="BK49" s="100">
        <v>5911.2</v>
      </c>
      <c r="BL49" s="100">
        <v>5</v>
      </c>
      <c r="BM49" s="100">
        <v>4926</v>
      </c>
      <c r="BN49" s="100">
        <v>4.1536468814504843</v>
      </c>
      <c r="BO49" s="100">
        <v>4092.1729076050169</v>
      </c>
      <c r="BP49" s="100">
        <v>7.1146245059288047</v>
      </c>
      <c r="BQ49" s="100">
        <v>7009.3280632410579</v>
      </c>
      <c r="BR49" s="100">
        <v>8</v>
      </c>
      <c r="BS49" s="100">
        <v>7881.5999999999995</v>
      </c>
      <c r="BT49" s="100">
        <v>10</v>
      </c>
      <c r="BU49" s="100">
        <v>9852</v>
      </c>
      <c r="BV49" s="100">
        <v>9</v>
      </c>
      <c r="BW49" s="100">
        <v>8866.7999999999993</v>
      </c>
      <c r="BX49" s="100">
        <v>8</v>
      </c>
      <c r="BY49" s="100">
        <v>7881.5999999999995</v>
      </c>
      <c r="BZ49" s="100">
        <v>8</v>
      </c>
      <c r="CA49" s="100">
        <v>7881.5999999999995</v>
      </c>
      <c r="CB49" s="100">
        <v>9</v>
      </c>
      <c r="CC49" s="100">
        <v>8866.7999999999993</v>
      </c>
      <c r="CD49" s="100">
        <v>6</v>
      </c>
      <c r="CE49" s="100">
        <v>5911.2</v>
      </c>
      <c r="CF49" s="100">
        <v>6.4592274678108579</v>
      </c>
      <c r="CG49" s="100">
        <v>6363.6309012872571</v>
      </c>
      <c r="CH49" s="100">
        <v>6</v>
      </c>
      <c r="CI49" s="100">
        <v>5911.2</v>
      </c>
      <c r="CJ49" s="100">
        <v>10</v>
      </c>
      <c r="CK49" s="100">
        <v>9852</v>
      </c>
      <c r="CL49" s="100">
        <v>11</v>
      </c>
      <c r="CM49" s="100">
        <v>10837.199999999999</v>
      </c>
      <c r="CN49" s="100">
        <v>9</v>
      </c>
      <c r="CO49" s="100">
        <v>8866.7999999999993</v>
      </c>
      <c r="CP49" s="100">
        <v>8.3173079543455657</v>
      </c>
      <c r="CQ49" s="100">
        <v>8194.21179662125</v>
      </c>
      <c r="CR49" s="100">
        <v>6</v>
      </c>
      <c r="CS49" s="100">
        <v>5911.2</v>
      </c>
      <c r="CT49" s="100">
        <v>12</v>
      </c>
      <c r="CU49" s="100">
        <v>11822.4</v>
      </c>
    </row>
    <row r="50" spans="2:99">
      <c r="C50" s="99" t="s">
        <v>216</v>
      </c>
      <c r="D50" s="100">
        <v>8.2310475814105004</v>
      </c>
      <c r="E50" s="100">
        <v>2321.1554179577611</v>
      </c>
      <c r="F50" s="100">
        <v>9</v>
      </c>
      <c r="G50" s="100">
        <v>2538</v>
      </c>
      <c r="H50" s="100">
        <v>12</v>
      </c>
      <c r="I50" s="100">
        <v>3384</v>
      </c>
      <c r="J50" s="100">
        <v>8</v>
      </c>
      <c r="K50" s="100">
        <v>2256</v>
      </c>
      <c r="L50" s="100">
        <v>10</v>
      </c>
      <c r="M50" s="100">
        <v>2820</v>
      </c>
      <c r="N50" s="100">
        <v>5.0631140835990829</v>
      </c>
      <c r="O50" s="100">
        <v>1427.7981715749413</v>
      </c>
      <c r="P50" s="100">
        <v>6</v>
      </c>
      <c r="Q50" s="100">
        <v>1692</v>
      </c>
      <c r="R50" s="100">
        <v>4.6830794686038404</v>
      </c>
      <c r="S50" s="100">
        <v>1320.6284101462829</v>
      </c>
      <c r="T50" s="100">
        <v>5</v>
      </c>
      <c r="U50" s="100">
        <v>1410</v>
      </c>
      <c r="V50" s="100">
        <v>6</v>
      </c>
      <c r="W50" s="100">
        <v>1692</v>
      </c>
      <c r="X50" s="100">
        <v>2.3484314067085186</v>
      </c>
      <c r="Y50" s="100">
        <v>662.25765669180225</v>
      </c>
      <c r="Z50" s="100">
        <v>9</v>
      </c>
      <c r="AA50" s="100">
        <v>2538</v>
      </c>
      <c r="AB50" s="100">
        <v>8</v>
      </c>
      <c r="AC50" s="100">
        <v>2256</v>
      </c>
      <c r="AD50" s="100">
        <v>8</v>
      </c>
      <c r="AE50" s="100">
        <v>2256</v>
      </c>
      <c r="AF50" s="100">
        <v>8.6404400130665202</v>
      </c>
      <c r="AG50" s="100">
        <v>2436.6040836847587</v>
      </c>
      <c r="AH50" s="100">
        <v>7</v>
      </c>
      <c r="AI50" s="100">
        <v>1974</v>
      </c>
      <c r="AJ50" s="100">
        <v>10</v>
      </c>
      <c r="AK50" s="100">
        <v>2820</v>
      </c>
      <c r="AL50" s="100">
        <v>1.1114124587163077</v>
      </c>
      <c r="AM50" s="100">
        <v>313.41831335799878</v>
      </c>
      <c r="AN50" s="100">
        <v>8</v>
      </c>
      <c r="AO50" s="100">
        <v>2256</v>
      </c>
      <c r="AP50" s="100">
        <v>7</v>
      </c>
      <c r="AQ50" s="100">
        <v>1974</v>
      </c>
      <c r="AR50" s="100">
        <v>5</v>
      </c>
      <c r="AS50" s="100">
        <v>1410</v>
      </c>
      <c r="AT50" s="100">
        <v>9</v>
      </c>
      <c r="AU50" s="100">
        <v>2538</v>
      </c>
      <c r="AV50" s="100">
        <v>6</v>
      </c>
      <c r="AW50" s="100">
        <v>1692</v>
      </c>
      <c r="AX50" s="100">
        <v>6.9000761531535169</v>
      </c>
      <c r="AY50" s="100">
        <v>1945.8214751892917</v>
      </c>
      <c r="AZ50" s="100">
        <v>1.7682798640787878</v>
      </c>
      <c r="BA50" s="100">
        <v>498.65492167021813</v>
      </c>
      <c r="BB50" s="100">
        <v>7</v>
      </c>
      <c r="BC50" s="100">
        <v>1974</v>
      </c>
      <c r="BD50" s="100">
        <v>11</v>
      </c>
      <c r="BE50" s="100">
        <v>3102</v>
      </c>
      <c r="BF50" s="100">
        <v>6</v>
      </c>
      <c r="BG50" s="100">
        <v>1692</v>
      </c>
      <c r="BH50" s="100">
        <v>3.4064940217499449</v>
      </c>
      <c r="BI50" s="100">
        <v>960.63131413348447</v>
      </c>
      <c r="BJ50" s="100">
        <v>8</v>
      </c>
      <c r="BK50" s="100">
        <v>2256</v>
      </c>
      <c r="BL50" s="100">
        <v>6</v>
      </c>
      <c r="BM50" s="100">
        <v>1692</v>
      </c>
      <c r="BN50" s="100">
        <v>9</v>
      </c>
      <c r="BO50" s="100">
        <v>2538</v>
      </c>
      <c r="BP50" s="100">
        <v>10</v>
      </c>
      <c r="BQ50" s="100">
        <v>2820</v>
      </c>
      <c r="BR50" s="100">
        <v>1.0853744530839224</v>
      </c>
      <c r="BS50" s="100">
        <v>306.07559576966611</v>
      </c>
      <c r="BT50" s="100">
        <v>8.1873075827239408</v>
      </c>
      <c r="BU50" s="100">
        <v>2308.8207383281515</v>
      </c>
      <c r="BV50" s="100">
        <v>9</v>
      </c>
      <c r="BW50" s="100">
        <v>2538</v>
      </c>
      <c r="BX50" s="100">
        <v>8</v>
      </c>
      <c r="BY50" s="100">
        <v>2256</v>
      </c>
      <c r="BZ50" s="100">
        <v>9</v>
      </c>
      <c r="CA50" s="100">
        <v>2538</v>
      </c>
      <c r="CB50" s="100">
        <v>7.0259383180534467</v>
      </c>
      <c r="CC50" s="100">
        <v>1981.3146056910721</v>
      </c>
      <c r="CD50" s="100">
        <v>0</v>
      </c>
      <c r="CE50" s="100">
        <v>0</v>
      </c>
      <c r="CF50" s="100">
        <v>7</v>
      </c>
      <c r="CG50" s="100">
        <v>1974</v>
      </c>
      <c r="CH50" s="100">
        <v>6</v>
      </c>
      <c r="CI50" s="100">
        <v>1692</v>
      </c>
      <c r="CJ50" s="100">
        <v>11</v>
      </c>
      <c r="CK50" s="100">
        <v>3102</v>
      </c>
      <c r="CL50" s="100">
        <v>11</v>
      </c>
      <c r="CM50" s="100">
        <v>3102</v>
      </c>
      <c r="CN50" s="100">
        <v>9</v>
      </c>
      <c r="CO50" s="100">
        <v>2538</v>
      </c>
      <c r="CP50" s="100">
        <v>11</v>
      </c>
      <c r="CQ50" s="100">
        <v>3102</v>
      </c>
      <c r="CR50" s="100">
        <v>6</v>
      </c>
      <c r="CS50" s="100">
        <v>1692</v>
      </c>
      <c r="CT50" s="100">
        <v>9.8582255965435301</v>
      </c>
      <c r="CU50" s="100">
        <v>2780.0196182252753</v>
      </c>
    </row>
    <row r="51" spans="2:99">
      <c r="C51" s="99" t="s">
        <v>217</v>
      </c>
      <c r="D51" s="100">
        <v>8.2310475814105004</v>
      </c>
      <c r="E51" s="100">
        <v>7032.6070535571316</v>
      </c>
      <c r="F51" s="100">
        <v>8</v>
      </c>
      <c r="G51" s="100">
        <v>6835.2</v>
      </c>
      <c r="H51" s="100">
        <v>12</v>
      </c>
      <c r="I51" s="100">
        <v>10252.799999999999</v>
      </c>
      <c r="J51" s="100">
        <v>9</v>
      </c>
      <c r="K51" s="100">
        <v>7689.5999999999995</v>
      </c>
      <c r="L51" s="100">
        <v>9</v>
      </c>
      <c r="M51" s="100">
        <v>7689.5999999999995</v>
      </c>
      <c r="N51" s="100">
        <v>5.0631140835990829</v>
      </c>
      <c r="O51" s="100">
        <v>4325.9246730270561</v>
      </c>
      <c r="P51" s="100">
        <v>6</v>
      </c>
      <c r="Q51" s="100">
        <v>5126.3999999999996</v>
      </c>
      <c r="R51" s="100">
        <v>4.6830794686038404</v>
      </c>
      <c r="S51" s="100">
        <v>4001.2230979751212</v>
      </c>
      <c r="T51" s="100">
        <v>6</v>
      </c>
      <c r="U51" s="100">
        <v>5126.3999999999996</v>
      </c>
      <c r="V51" s="100">
        <v>6</v>
      </c>
      <c r="W51" s="100">
        <v>5126.3999999999996</v>
      </c>
      <c r="X51" s="100">
        <v>2.3484314067085186</v>
      </c>
      <c r="Y51" s="100">
        <v>2006.4997938917581</v>
      </c>
      <c r="Z51" s="100">
        <v>8</v>
      </c>
      <c r="AA51" s="100">
        <v>6835.2</v>
      </c>
      <c r="AB51" s="100">
        <v>7</v>
      </c>
      <c r="AC51" s="100">
        <v>5980.8</v>
      </c>
      <c r="AD51" s="100">
        <v>7</v>
      </c>
      <c r="AE51" s="100">
        <v>5980.8</v>
      </c>
      <c r="AF51" s="100">
        <v>9.6004889034072445</v>
      </c>
      <c r="AG51" s="100">
        <v>8202.6577190711487</v>
      </c>
      <c r="AH51" s="100">
        <v>7</v>
      </c>
      <c r="AI51" s="100">
        <v>5980.8</v>
      </c>
      <c r="AJ51" s="100">
        <v>9</v>
      </c>
      <c r="AK51" s="100">
        <v>7689.5999999999995</v>
      </c>
      <c r="AL51" s="100">
        <v>1.0103749624693708</v>
      </c>
      <c r="AM51" s="100">
        <v>863.26436793383039</v>
      </c>
      <c r="AN51" s="100">
        <v>7</v>
      </c>
      <c r="AO51" s="100">
        <v>5980.8</v>
      </c>
      <c r="AP51" s="100">
        <v>7</v>
      </c>
      <c r="AQ51" s="100">
        <v>5980.8</v>
      </c>
      <c r="AR51" s="100">
        <v>6</v>
      </c>
      <c r="AS51" s="100">
        <v>5126.3999999999996</v>
      </c>
      <c r="AT51" s="100">
        <v>8</v>
      </c>
      <c r="AU51" s="100">
        <v>6835.2</v>
      </c>
      <c r="AV51" s="100">
        <v>6</v>
      </c>
      <c r="AW51" s="100">
        <v>5126.3999999999996</v>
      </c>
      <c r="AX51" s="100">
        <v>6.9000761531535169</v>
      </c>
      <c r="AY51" s="100">
        <v>5895.4250652543642</v>
      </c>
      <c r="AZ51" s="100">
        <v>1.7682798640787878</v>
      </c>
      <c r="BA51" s="100">
        <v>1510.8183158689162</v>
      </c>
      <c r="BB51" s="100">
        <v>6</v>
      </c>
      <c r="BC51" s="100">
        <v>5126.3999999999996</v>
      </c>
      <c r="BD51" s="100">
        <v>10</v>
      </c>
      <c r="BE51" s="100">
        <v>8544</v>
      </c>
      <c r="BF51" s="100">
        <v>6</v>
      </c>
      <c r="BG51" s="100">
        <v>5126.3999999999996</v>
      </c>
      <c r="BH51" s="100">
        <v>3.4064940217499449</v>
      </c>
      <c r="BI51" s="100">
        <v>2910.5084921831526</v>
      </c>
      <c r="BJ51" s="100">
        <v>6</v>
      </c>
      <c r="BK51" s="100">
        <v>5126.3999999999996</v>
      </c>
      <c r="BL51" s="100">
        <v>6</v>
      </c>
      <c r="BM51" s="100">
        <v>5126.3999999999996</v>
      </c>
      <c r="BN51" s="100">
        <v>9</v>
      </c>
      <c r="BO51" s="100">
        <v>7689.5999999999995</v>
      </c>
      <c r="BP51" s="100">
        <v>11</v>
      </c>
      <c r="BQ51" s="100">
        <v>9398.4</v>
      </c>
      <c r="BR51" s="100">
        <v>1.0853744530839224</v>
      </c>
      <c r="BS51" s="100">
        <v>927.3439327149033</v>
      </c>
      <c r="BT51" s="100">
        <v>7.4430068933854008</v>
      </c>
      <c r="BU51" s="100">
        <v>6359.3050897084859</v>
      </c>
      <c r="BV51" s="100">
        <v>9</v>
      </c>
      <c r="BW51" s="100">
        <v>7689.5999999999995</v>
      </c>
      <c r="BX51" s="100">
        <v>8</v>
      </c>
      <c r="BY51" s="100">
        <v>6835.2</v>
      </c>
      <c r="BZ51" s="100">
        <v>9</v>
      </c>
      <c r="CA51" s="100">
        <v>7689.5999999999995</v>
      </c>
      <c r="CB51" s="100">
        <v>6.3872166527758605</v>
      </c>
      <c r="CC51" s="100">
        <v>5457.2379081316949</v>
      </c>
      <c r="CD51" s="100">
        <v>0</v>
      </c>
      <c r="CE51" s="100">
        <v>0</v>
      </c>
      <c r="CF51" s="100">
        <v>7</v>
      </c>
      <c r="CG51" s="100">
        <v>5980.8</v>
      </c>
      <c r="CH51" s="100">
        <v>6</v>
      </c>
      <c r="CI51" s="100">
        <v>5126.3999999999996</v>
      </c>
      <c r="CJ51" s="100">
        <v>10</v>
      </c>
      <c r="CK51" s="100">
        <v>8544</v>
      </c>
      <c r="CL51" s="100">
        <v>10</v>
      </c>
      <c r="CM51" s="100">
        <v>8544</v>
      </c>
      <c r="CN51" s="100">
        <v>9</v>
      </c>
      <c r="CO51" s="100">
        <v>7689.5999999999995</v>
      </c>
      <c r="CP51" s="100">
        <v>11</v>
      </c>
      <c r="CQ51" s="100">
        <v>9398.4</v>
      </c>
      <c r="CR51" s="100">
        <v>6</v>
      </c>
      <c r="CS51" s="100">
        <v>5126.3999999999996</v>
      </c>
      <c r="CT51" s="100">
        <v>9.8582255965435301</v>
      </c>
      <c r="CU51" s="100">
        <v>8422.8679496867917</v>
      </c>
    </row>
    <row r="52" spans="2:99">
      <c r="C52" s="99" t="s">
        <v>218</v>
      </c>
      <c r="D52" s="100">
        <v>8.2310475814105004</v>
      </c>
      <c r="E52" s="100">
        <v>4444.76569396167</v>
      </c>
      <c r="F52" s="100">
        <v>10</v>
      </c>
      <c r="G52" s="100">
        <v>5400</v>
      </c>
      <c r="H52" s="100">
        <v>12</v>
      </c>
      <c r="I52" s="100">
        <v>6480</v>
      </c>
      <c r="J52" s="100">
        <v>10</v>
      </c>
      <c r="K52" s="100">
        <v>5400</v>
      </c>
      <c r="L52" s="100">
        <v>10</v>
      </c>
      <c r="M52" s="100">
        <v>5400</v>
      </c>
      <c r="N52" s="100">
        <v>5.0631140835990829</v>
      </c>
      <c r="O52" s="100">
        <v>2734.0816051435049</v>
      </c>
      <c r="P52" s="100">
        <v>7</v>
      </c>
      <c r="Q52" s="100">
        <v>3780</v>
      </c>
      <c r="R52" s="100">
        <v>4.6830794686038404</v>
      </c>
      <c r="S52" s="100">
        <v>2528.862913046074</v>
      </c>
      <c r="T52" s="100">
        <v>5</v>
      </c>
      <c r="U52" s="100">
        <v>2700</v>
      </c>
      <c r="V52" s="100">
        <v>6</v>
      </c>
      <c r="W52" s="100">
        <v>3240</v>
      </c>
      <c r="X52" s="100">
        <v>2.3484314067085186</v>
      </c>
      <c r="Y52" s="100">
        <v>1268.1529596226001</v>
      </c>
      <c r="Z52" s="100">
        <v>8</v>
      </c>
      <c r="AA52" s="100">
        <v>4320</v>
      </c>
      <c r="AB52" s="100">
        <v>8</v>
      </c>
      <c r="AC52" s="100">
        <v>4320</v>
      </c>
      <c r="AD52" s="100">
        <v>9</v>
      </c>
      <c r="AE52" s="100">
        <v>4860</v>
      </c>
      <c r="AF52" s="100">
        <v>9.6004889034072445</v>
      </c>
      <c r="AG52" s="100">
        <v>5184.2640078399118</v>
      </c>
      <c r="AH52" s="100">
        <v>6</v>
      </c>
      <c r="AI52" s="100">
        <v>3240</v>
      </c>
      <c r="AJ52" s="100">
        <v>10</v>
      </c>
      <c r="AK52" s="100">
        <v>5400</v>
      </c>
      <c r="AL52" s="100">
        <v>0.90933746622243361</v>
      </c>
      <c r="AM52" s="100">
        <v>491.04223176011413</v>
      </c>
      <c r="AN52" s="100">
        <v>7</v>
      </c>
      <c r="AO52" s="100">
        <v>3780</v>
      </c>
      <c r="AP52" s="100">
        <v>6</v>
      </c>
      <c r="AQ52" s="100">
        <v>3240</v>
      </c>
      <c r="AR52" s="100">
        <v>6</v>
      </c>
      <c r="AS52" s="100">
        <v>3240</v>
      </c>
      <c r="AT52" s="100">
        <v>9</v>
      </c>
      <c r="AU52" s="100">
        <v>4860</v>
      </c>
      <c r="AV52" s="100">
        <v>6</v>
      </c>
      <c r="AW52" s="100">
        <v>3240</v>
      </c>
      <c r="AX52" s="100">
        <v>6.9000761531535169</v>
      </c>
      <c r="AY52" s="100">
        <v>3726.041122702899</v>
      </c>
      <c r="AZ52" s="100">
        <v>2.0208912732329001</v>
      </c>
      <c r="BA52" s="100">
        <v>1091.281287545766</v>
      </c>
      <c r="BB52" s="100">
        <v>6</v>
      </c>
      <c r="BC52" s="100">
        <v>3240</v>
      </c>
      <c r="BD52" s="100">
        <v>10</v>
      </c>
      <c r="BE52" s="100">
        <v>5400</v>
      </c>
      <c r="BF52" s="100">
        <v>6</v>
      </c>
      <c r="BG52" s="100">
        <v>3240</v>
      </c>
      <c r="BH52" s="100">
        <v>3.4064940217499449</v>
      </c>
      <c r="BI52" s="100">
        <v>1839.5067717449701</v>
      </c>
      <c r="BJ52" s="100">
        <v>8</v>
      </c>
      <c r="BK52" s="100">
        <v>4320</v>
      </c>
      <c r="BL52" s="100">
        <v>6</v>
      </c>
      <c r="BM52" s="100">
        <v>3240</v>
      </c>
      <c r="BN52" s="100">
        <v>8</v>
      </c>
      <c r="BO52" s="100">
        <v>4320</v>
      </c>
      <c r="BP52" s="100">
        <v>10</v>
      </c>
      <c r="BQ52" s="100">
        <v>5400</v>
      </c>
      <c r="BR52" s="100">
        <v>1.2210462597194127</v>
      </c>
      <c r="BS52" s="100">
        <v>659.36498024848288</v>
      </c>
      <c r="BT52" s="100">
        <v>8.1873075827239408</v>
      </c>
      <c r="BU52" s="100">
        <v>4421.1460946709276</v>
      </c>
      <c r="BV52" s="100">
        <v>10</v>
      </c>
      <c r="BW52" s="100">
        <v>5400</v>
      </c>
      <c r="BX52" s="100">
        <v>8</v>
      </c>
      <c r="BY52" s="100">
        <v>4320</v>
      </c>
      <c r="BZ52" s="100">
        <v>9</v>
      </c>
      <c r="CA52" s="100">
        <v>4860</v>
      </c>
      <c r="CB52" s="100">
        <v>6.3872166527758605</v>
      </c>
      <c r="CC52" s="100">
        <v>3449.0969924989645</v>
      </c>
      <c r="CD52" s="100">
        <v>0</v>
      </c>
      <c r="CE52" s="100">
        <v>0</v>
      </c>
      <c r="CF52" s="100">
        <v>7</v>
      </c>
      <c r="CG52" s="100">
        <v>3780</v>
      </c>
      <c r="CH52" s="100">
        <v>6</v>
      </c>
      <c r="CI52" s="100">
        <v>3240</v>
      </c>
      <c r="CJ52" s="100">
        <v>10</v>
      </c>
      <c r="CK52" s="100">
        <v>5400</v>
      </c>
      <c r="CL52" s="100">
        <v>10</v>
      </c>
      <c r="CM52" s="100">
        <v>5400</v>
      </c>
      <c r="CN52" s="100">
        <v>8</v>
      </c>
      <c r="CO52" s="100">
        <v>4320</v>
      </c>
      <c r="CP52" s="100">
        <v>11</v>
      </c>
      <c r="CQ52" s="100">
        <v>5940</v>
      </c>
      <c r="CR52" s="100">
        <v>6</v>
      </c>
      <c r="CS52" s="100">
        <v>3240</v>
      </c>
      <c r="CT52" s="100">
        <v>8.2151879971196085</v>
      </c>
      <c r="CU52" s="100">
        <v>4436.2015184445881</v>
      </c>
    </row>
    <row r="53" spans="2:99">
      <c r="C53" s="99" t="s">
        <v>219</v>
      </c>
      <c r="D53" s="100">
        <v>8.2310475814105004</v>
      </c>
      <c r="E53" s="100">
        <v>3348.3901561177918</v>
      </c>
      <c r="F53" s="100">
        <v>10</v>
      </c>
      <c r="G53" s="100">
        <v>4068</v>
      </c>
      <c r="H53" s="100">
        <v>11</v>
      </c>
      <c r="I53" s="100">
        <v>4474.8</v>
      </c>
      <c r="J53" s="100">
        <v>8</v>
      </c>
      <c r="K53" s="100">
        <v>3254.4</v>
      </c>
      <c r="L53" s="100">
        <v>8</v>
      </c>
      <c r="M53" s="100">
        <v>3254.4</v>
      </c>
      <c r="N53" s="100">
        <v>5.0631140835990829</v>
      </c>
      <c r="O53" s="100">
        <v>2059.674809208107</v>
      </c>
      <c r="P53" s="100">
        <v>7</v>
      </c>
      <c r="Q53" s="100">
        <v>2847.6</v>
      </c>
      <c r="R53" s="100">
        <v>4.6830794686038404</v>
      </c>
      <c r="S53" s="100">
        <v>1905.0767278280423</v>
      </c>
      <c r="T53" s="100">
        <v>5</v>
      </c>
      <c r="U53" s="100">
        <v>2034</v>
      </c>
      <c r="V53" s="100">
        <v>6</v>
      </c>
      <c r="W53" s="100">
        <v>2440.8000000000002</v>
      </c>
      <c r="X53" s="100">
        <v>2.6839216076668779</v>
      </c>
      <c r="Y53" s="100">
        <v>1091.819309998886</v>
      </c>
      <c r="Z53" s="100">
        <v>8</v>
      </c>
      <c r="AA53" s="100">
        <v>3254.4</v>
      </c>
      <c r="AB53" s="100">
        <v>8</v>
      </c>
      <c r="AC53" s="100">
        <v>3254.4</v>
      </c>
      <c r="AD53" s="100">
        <v>8</v>
      </c>
      <c r="AE53" s="100">
        <v>3254.4</v>
      </c>
      <c r="AF53" s="100">
        <v>9.6004889034072445</v>
      </c>
      <c r="AG53" s="100">
        <v>3905.4788859060673</v>
      </c>
      <c r="AH53" s="100">
        <v>7</v>
      </c>
      <c r="AI53" s="100">
        <v>2847.6</v>
      </c>
      <c r="AJ53" s="100">
        <v>10</v>
      </c>
      <c r="AK53" s="100">
        <v>4068</v>
      </c>
      <c r="AL53" s="100">
        <v>1.0103749624693708</v>
      </c>
      <c r="AM53" s="100">
        <v>411.02053473254006</v>
      </c>
      <c r="AN53" s="100">
        <v>7</v>
      </c>
      <c r="AO53" s="100">
        <v>2847.6</v>
      </c>
      <c r="AP53" s="100">
        <v>7</v>
      </c>
      <c r="AQ53" s="100">
        <v>2847.6</v>
      </c>
      <c r="AR53" s="100">
        <v>6</v>
      </c>
      <c r="AS53" s="100">
        <v>2440.8000000000002</v>
      </c>
      <c r="AT53" s="100">
        <v>9</v>
      </c>
      <c r="AU53" s="100">
        <v>3661.2000000000003</v>
      </c>
      <c r="AV53" s="100">
        <v>7</v>
      </c>
      <c r="AW53" s="100">
        <v>2847.6</v>
      </c>
      <c r="AX53" s="100">
        <v>6.9000761531535169</v>
      </c>
      <c r="AY53" s="100">
        <v>2806.9509791028509</v>
      </c>
      <c r="AZ53" s="100">
        <v>1.7682798640787878</v>
      </c>
      <c r="BA53" s="100">
        <v>719.33624870725089</v>
      </c>
      <c r="BB53" s="100">
        <v>7</v>
      </c>
      <c r="BC53" s="100">
        <v>2847.6</v>
      </c>
      <c r="BD53" s="100">
        <v>10</v>
      </c>
      <c r="BE53" s="100">
        <v>4068</v>
      </c>
      <c r="BF53" s="100">
        <v>6</v>
      </c>
      <c r="BG53" s="100">
        <v>2440.8000000000002</v>
      </c>
      <c r="BH53" s="100">
        <v>3.4064940217499449</v>
      </c>
      <c r="BI53" s="100">
        <v>1385.7617680478777</v>
      </c>
      <c r="BJ53" s="100">
        <v>8</v>
      </c>
      <c r="BK53" s="100">
        <v>3254.4</v>
      </c>
      <c r="BL53" s="100">
        <v>6</v>
      </c>
      <c r="BM53" s="100">
        <v>2440.8000000000002</v>
      </c>
      <c r="BN53" s="100">
        <v>9</v>
      </c>
      <c r="BO53" s="100">
        <v>3661.2000000000003</v>
      </c>
      <c r="BP53" s="100">
        <v>10</v>
      </c>
      <c r="BQ53" s="100">
        <v>4068</v>
      </c>
      <c r="BR53" s="100">
        <v>1.0853744530839224</v>
      </c>
      <c r="BS53" s="100">
        <v>441.53032751453964</v>
      </c>
      <c r="BT53" s="100">
        <v>8.1873075827239408</v>
      </c>
      <c r="BU53" s="100">
        <v>3330.5967246520991</v>
      </c>
      <c r="BV53" s="100">
        <v>10</v>
      </c>
      <c r="BW53" s="100">
        <v>4068</v>
      </c>
      <c r="BX53" s="100">
        <v>8</v>
      </c>
      <c r="BY53" s="100">
        <v>3254.4</v>
      </c>
      <c r="BZ53" s="100">
        <v>9</v>
      </c>
      <c r="CA53" s="100">
        <v>3661.2000000000003</v>
      </c>
      <c r="CB53" s="100">
        <v>6.3872166527758605</v>
      </c>
      <c r="CC53" s="100">
        <v>2598.3197343492202</v>
      </c>
      <c r="CD53" s="100">
        <v>0</v>
      </c>
      <c r="CE53" s="100">
        <v>0</v>
      </c>
      <c r="CF53" s="100">
        <v>7</v>
      </c>
      <c r="CG53" s="100">
        <v>2847.6</v>
      </c>
      <c r="CH53" s="100">
        <v>6</v>
      </c>
      <c r="CI53" s="100">
        <v>2440.8000000000002</v>
      </c>
      <c r="CJ53" s="100">
        <v>11</v>
      </c>
      <c r="CK53" s="100">
        <v>4474.8</v>
      </c>
      <c r="CL53" s="100">
        <v>10</v>
      </c>
      <c r="CM53" s="100">
        <v>4068</v>
      </c>
      <c r="CN53" s="100">
        <v>9</v>
      </c>
      <c r="CO53" s="100">
        <v>3661.2000000000003</v>
      </c>
      <c r="CP53" s="100">
        <v>11</v>
      </c>
      <c r="CQ53" s="100">
        <v>4474.8</v>
      </c>
      <c r="CR53" s="100">
        <v>6</v>
      </c>
      <c r="CS53" s="100">
        <v>2440.8000000000002</v>
      </c>
      <c r="CT53" s="100">
        <v>9.0367067968315702</v>
      </c>
      <c r="CU53" s="100">
        <v>3676.1323249510829</v>
      </c>
    </row>
    <row r="54" spans="2:99">
      <c r="C54" s="99" t="s">
        <v>220</v>
      </c>
      <c r="D54" s="100">
        <v>7.3164867390315562</v>
      </c>
      <c r="E54" s="100">
        <v>2449.5597602277653</v>
      </c>
      <c r="F54" s="100">
        <v>10</v>
      </c>
      <c r="G54" s="100">
        <v>3348</v>
      </c>
      <c r="H54" s="100">
        <v>12</v>
      </c>
      <c r="I54" s="100">
        <v>4017.6000000000004</v>
      </c>
      <c r="J54" s="100">
        <v>9</v>
      </c>
      <c r="K54" s="100">
        <v>3013.2000000000003</v>
      </c>
      <c r="L54" s="100">
        <v>9</v>
      </c>
      <c r="M54" s="100">
        <v>3013.2000000000003</v>
      </c>
      <c r="N54" s="100">
        <v>4.556802675239175</v>
      </c>
      <c r="O54" s="100">
        <v>1525.6175356700758</v>
      </c>
      <c r="P54" s="100">
        <v>6</v>
      </c>
      <c r="Q54" s="100">
        <v>2008.8000000000002</v>
      </c>
      <c r="R54" s="100">
        <v>5.4635927133711464</v>
      </c>
      <c r="S54" s="100">
        <v>1829.21084043666</v>
      </c>
      <c r="T54" s="100">
        <v>6</v>
      </c>
      <c r="U54" s="100">
        <v>2008.8000000000002</v>
      </c>
      <c r="V54" s="100">
        <v>6</v>
      </c>
      <c r="W54" s="100">
        <v>2008.8000000000002</v>
      </c>
      <c r="X54" s="100">
        <v>2.6839216076668779</v>
      </c>
      <c r="Y54" s="100">
        <v>898.57695424687074</v>
      </c>
      <c r="Z54" s="100">
        <v>8</v>
      </c>
      <c r="AA54" s="100">
        <v>2678.4</v>
      </c>
      <c r="AB54" s="100">
        <v>7</v>
      </c>
      <c r="AC54" s="100">
        <v>2343.6</v>
      </c>
      <c r="AD54" s="100">
        <v>9</v>
      </c>
      <c r="AE54" s="100">
        <v>3013.2000000000003</v>
      </c>
      <c r="AF54" s="100">
        <v>9.6004889034072445</v>
      </c>
      <c r="AG54" s="100">
        <v>3214.2436848607454</v>
      </c>
      <c r="AH54" s="100">
        <v>7</v>
      </c>
      <c r="AI54" s="100">
        <v>2343.6</v>
      </c>
      <c r="AJ54" s="100">
        <v>10</v>
      </c>
      <c r="AK54" s="100">
        <v>3348</v>
      </c>
      <c r="AL54" s="100">
        <v>0.90933746622243361</v>
      </c>
      <c r="AM54" s="100">
        <v>304.44618369127079</v>
      </c>
      <c r="AN54" s="100">
        <v>7</v>
      </c>
      <c r="AO54" s="100">
        <v>2343.6</v>
      </c>
      <c r="AP54" s="100">
        <v>6</v>
      </c>
      <c r="AQ54" s="100">
        <v>2008.8000000000002</v>
      </c>
      <c r="AR54" s="100">
        <v>5</v>
      </c>
      <c r="AS54" s="100">
        <v>1674</v>
      </c>
      <c r="AT54" s="100">
        <v>8</v>
      </c>
      <c r="AU54" s="100">
        <v>2678.4</v>
      </c>
      <c r="AV54" s="100">
        <v>6</v>
      </c>
      <c r="AW54" s="100">
        <v>2008.8000000000002</v>
      </c>
      <c r="AX54" s="100">
        <v>6.9000761531535169</v>
      </c>
      <c r="AY54" s="100">
        <v>2310.1454960757974</v>
      </c>
      <c r="AZ54" s="100">
        <v>1.7682798640787878</v>
      </c>
      <c r="BA54" s="100">
        <v>592.02009849357819</v>
      </c>
      <c r="BB54" s="100">
        <v>7</v>
      </c>
      <c r="BC54" s="100">
        <v>2343.6</v>
      </c>
      <c r="BD54" s="100">
        <v>11</v>
      </c>
      <c r="BE54" s="100">
        <v>3682.8</v>
      </c>
      <c r="BF54" s="100">
        <v>6</v>
      </c>
      <c r="BG54" s="100">
        <v>2008.8000000000002</v>
      </c>
      <c r="BH54" s="100">
        <v>3.8323057744686881</v>
      </c>
      <c r="BI54" s="100">
        <v>1283.0559732921167</v>
      </c>
      <c r="BJ54" s="100">
        <v>7</v>
      </c>
      <c r="BK54" s="100">
        <v>2343.6</v>
      </c>
      <c r="BL54" s="100">
        <v>6</v>
      </c>
      <c r="BM54" s="100">
        <v>2008.8000000000002</v>
      </c>
      <c r="BN54" s="100">
        <v>9</v>
      </c>
      <c r="BO54" s="100">
        <v>3013.2000000000003</v>
      </c>
      <c r="BP54" s="100">
        <v>10</v>
      </c>
      <c r="BQ54" s="100">
        <v>3348</v>
      </c>
      <c r="BR54" s="100">
        <v>1.0853744530839224</v>
      </c>
      <c r="BS54" s="100">
        <v>363.38336689249724</v>
      </c>
      <c r="BT54" s="100">
        <v>8.1873075827239408</v>
      </c>
      <c r="BU54" s="100">
        <v>2741.1105786959756</v>
      </c>
      <c r="BV54" s="100">
        <v>11</v>
      </c>
      <c r="BW54" s="100">
        <v>3682.8</v>
      </c>
      <c r="BX54" s="100">
        <v>8</v>
      </c>
      <c r="BY54" s="100">
        <v>2678.4</v>
      </c>
      <c r="BZ54" s="100">
        <v>10</v>
      </c>
      <c r="CA54" s="100">
        <v>3348</v>
      </c>
      <c r="CB54" s="100">
        <v>6.3872166527758605</v>
      </c>
      <c r="CC54" s="100">
        <v>2138.4401353493581</v>
      </c>
      <c r="CD54" s="100">
        <v>0</v>
      </c>
      <c r="CE54" s="100">
        <v>0</v>
      </c>
      <c r="CF54" s="100">
        <v>8</v>
      </c>
      <c r="CG54" s="100">
        <v>2678.4</v>
      </c>
      <c r="CH54" s="100">
        <v>5</v>
      </c>
      <c r="CI54" s="100">
        <v>1674</v>
      </c>
      <c r="CJ54" s="100">
        <v>11</v>
      </c>
      <c r="CK54" s="100">
        <v>3682.8</v>
      </c>
      <c r="CL54" s="100">
        <v>11</v>
      </c>
      <c r="CM54" s="100">
        <v>3682.8</v>
      </c>
      <c r="CN54" s="100">
        <v>10</v>
      </c>
      <c r="CO54" s="100">
        <v>3348</v>
      </c>
      <c r="CP54" s="100">
        <v>12</v>
      </c>
      <c r="CQ54" s="100">
        <v>4017.6000000000004</v>
      </c>
      <c r="CR54" s="100">
        <v>6</v>
      </c>
      <c r="CS54" s="100">
        <v>2008.8000000000002</v>
      </c>
      <c r="CT54" s="100">
        <v>9.0367067968315702</v>
      </c>
      <c r="CU54" s="100">
        <v>3025.4894355792098</v>
      </c>
    </row>
    <row r="55" spans="2:99">
      <c r="C55" s="99" t="s">
        <v>221</v>
      </c>
      <c r="D55" s="100">
        <v>7.3164867390315562</v>
      </c>
      <c r="E55" s="100">
        <v>4855.2206000213409</v>
      </c>
      <c r="F55" s="100">
        <v>8</v>
      </c>
      <c r="G55" s="100">
        <v>5308.8</v>
      </c>
      <c r="H55" s="100">
        <v>11</v>
      </c>
      <c r="I55" s="100">
        <v>7299.6</v>
      </c>
      <c r="J55" s="100">
        <v>8</v>
      </c>
      <c r="K55" s="100">
        <v>5308.8</v>
      </c>
      <c r="L55" s="100">
        <v>10</v>
      </c>
      <c r="M55" s="100">
        <v>6636</v>
      </c>
      <c r="N55" s="100">
        <v>5.0631140835990829</v>
      </c>
      <c r="O55" s="100">
        <v>3359.8825058763514</v>
      </c>
      <c r="P55" s="100">
        <v>6</v>
      </c>
      <c r="Q55" s="100">
        <v>3981.6000000000004</v>
      </c>
      <c r="R55" s="100">
        <v>5.4635927133711464</v>
      </c>
      <c r="S55" s="100">
        <v>3625.6401245930929</v>
      </c>
      <c r="T55" s="100">
        <v>6</v>
      </c>
      <c r="U55" s="100">
        <v>3981.6000000000004</v>
      </c>
      <c r="V55" s="100">
        <v>6</v>
      </c>
      <c r="W55" s="100">
        <v>3981.6000000000004</v>
      </c>
      <c r="X55" s="100">
        <v>2.3484314067085186</v>
      </c>
      <c r="Y55" s="100">
        <v>1558.4190814917729</v>
      </c>
      <c r="Z55" s="100">
        <v>8</v>
      </c>
      <c r="AA55" s="100">
        <v>5308.8</v>
      </c>
      <c r="AB55" s="100">
        <v>7</v>
      </c>
      <c r="AC55" s="100">
        <v>4645.2</v>
      </c>
      <c r="AD55" s="100">
        <v>8</v>
      </c>
      <c r="AE55" s="100">
        <v>5308.8</v>
      </c>
      <c r="AF55" s="100">
        <v>9.6004889034072445</v>
      </c>
      <c r="AG55" s="100">
        <v>6370.8844363010476</v>
      </c>
      <c r="AH55" s="100">
        <v>6</v>
      </c>
      <c r="AI55" s="100">
        <v>3981.6000000000004</v>
      </c>
      <c r="AJ55" s="100">
        <v>9</v>
      </c>
      <c r="AK55" s="100">
        <v>5972.4000000000005</v>
      </c>
      <c r="AL55" s="100">
        <v>0.90933746622243361</v>
      </c>
      <c r="AM55" s="100">
        <v>603.43634258520694</v>
      </c>
      <c r="AN55" s="100">
        <v>7</v>
      </c>
      <c r="AO55" s="100">
        <v>4645.2</v>
      </c>
      <c r="AP55" s="100">
        <v>6</v>
      </c>
      <c r="AQ55" s="100">
        <v>3981.6000000000004</v>
      </c>
      <c r="AR55" s="100">
        <v>6</v>
      </c>
      <c r="AS55" s="100">
        <v>3981.6000000000004</v>
      </c>
      <c r="AT55" s="100">
        <v>9</v>
      </c>
      <c r="AU55" s="100">
        <v>5972.4000000000005</v>
      </c>
      <c r="AV55" s="100">
        <v>7</v>
      </c>
      <c r="AW55" s="100">
        <v>4645.2</v>
      </c>
      <c r="AX55" s="100">
        <v>7.8858013178897339</v>
      </c>
      <c r="AY55" s="100">
        <v>5233.0177545516281</v>
      </c>
      <c r="AZ55" s="100">
        <v>2.0208912732329001</v>
      </c>
      <c r="BA55" s="100">
        <v>1341.0634489173526</v>
      </c>
      <c r="BB55" s="100">
        <v>6</v>
      </c>
      <c r="BC55" s="100">
        <v>3981.6000000000004</v>
      </c>
      <c r="BD55" s="100">
        <v>12</v>
      </c>
      <c r="BE55" s="100">
        <v>7963.2000000000007</v>
      </c>
      <c r="BF55" s="100">
        <v>6</v>
      </c>
      <c r="BG55" s="100">
        <v>3981.6000000000004</v>
      </c>
      <c r="BH55" s="100">
        <v>3.8323057744686881</v>
      </c>
      <c r="BI55" s="100">
        <v>2543.1181119374214</v>
      </c>
      <c r="BJ55" s="100">
        <v>7</v>
      </c>
      <c r="BK55" s="100">
        <v>4645.2</v>
      </c>
      <c r="BL55" s="100">
        <v>6</v>
      </c>
      <c r="BM55" s="100">
        <v>3981.6000000000004</v>
      </c>
      <c r="BN55" s="100">
        <v>8</v>
      </c>
      <c r="BO55" s="100">
        <v>5308.8</v>
      </c>
      <c r="BP55" s="100">
        <v>10</v>
      </c>
      <c r="BQ55" s="100">
        <v>6636</v>
      </c>
      <c r="BR55" s="100">
        <v>1.2210462597194127</v>
      </c>
      <c r="BS55" s="100">
        <v>810.28629794980236</v>
      </c>
      <c r="BT55" s="100">
        <v>8.1873075827239408</v>
      </c>
      <c r="BU55" s="100">
        <v>5433.0973118956072</v>
      </c>
      <c r="BV55" s="100">
        <v>10</v>
      </c>
      <c r="BW55" s="100">
        <v>6636</v>
      </c>
      <c r="BX55" s="100">
        <v>8</v>
      </c>
      <c r="BY55" s="100">
        <v>5308.8</v>
      </c>
      <c r="BZ55" s="100">
        <v>10</v>
      </c>
      <c r="CA55" s="100">
        <v>6636</v>
      </c>
      <c r="CB55" s="100">
        <v>6.3872166527758605</v>
      </c>
      <c r="CC55" s="100">
        <v>4238.5569707820614</v>
      </c>
      <c r="CD55" s="100">
        <v>0</v>
      </c>
      <c r="CE55" s="100">
        <v>0</v>
      </c>
      <c r="CF55" s="100">
        <v>7</v>
      </c>
      <c r="CG55" s="100">
        <v>4645.2</v>
      </c>
      <c r="CH55" s="100">
        <v>5</v>
      </c>
      <c r="CI55" s="100">
        <v>3318</v>
      </c>
      <c r="CJ55" s="100">
        <v>11</v>
      </c>
      <c r="CK55" s="100">
        <v>7299.6</v>
      </c>
      <c r="CL55" s="100">
        <v>11</v>
      </c>
      <c r="CM55" s="100">
        <v>7299.6</v>
      </c>
      <c r="CN55" s="100">
        <v>9</v>
      </c>
      <c r="CO55" s="100">
        <v>5972.4000000000005</v>
      </c>
      <c r="CP55" s="100">
        <v>11</v>
      </c>
      <c r="CQ55" s="100">
        <v>7299.6</v>
      </c>
      <c r="CR55" s="100">
        <v>6</v>
      </c>
      <c r="CS55" s="100">
        <v>3981.6000000000004</v>
      </c>
      <c r="CT55" s="100">
        <v>9.0367067968315702</v>
      </c>
      <c r="CU55" s="100">
        <v>5996.7586303774306</v>
      </c>
    </row>
    <row r="56" spans="2:99">
      <c r="C56" s="99" t="s">
        <v>222</v>
      </c>
      <c r="D56" s="100">
        <v>8</v>
      </c>
      <c r="E56" s="100">
        <v>7852.7999999999993</v>
      </c>
      <c r="F56" s="100">
        <v>8.7881759725621595</v>
      </c>
      <c r="G56" s="100">
        <v>8626.473534667015</v>
      </c>
      <c r="H56" s="100">
        <v>8.7214919578091976</v>
      </c>
      <c r="I56" s="100">
        <v>8561.0165057855083</v>
      </c>
      <c r="J56" s="100">
        <v>7.9176273194948692</v>
      </c>
      <c r="K56" s="100">
        <v>7771.9429768161626</v>
      </c>
      <c r="L56" s="100">
        <v>9</v>
      </c>
      <c r="M56" s="100">
        <v>8834.4</v>
      </c>
      <c r="N56" s="100">
        <v>10</v>
      </c>
      <c r="O56" s="100">
        <v>9816</v>
      </c>
      <c r="P56" s="100">
        <v>5.8313776686150156</v>
      </c>
      <c r="Q56" s="100">
        <v>5724.080319512499</v>
      </c>
      <c r="R56" s="100">
        <v>6.5745856353590773</v>
      </c>
      <c r="S56" s="100">
        <v>6453.6132596684693</v>
      </c>
      <c r="T56" s="100">
        <v>4.8341232227487865</v>
      </c>
      <c r="U56" s="100">
        <v>4745.1753554502084</v>
      </c>
      <c r="V56" s="100">
        <v>6</v>
      </c>
      <c r="W56" s="100">
        <v>5889.5999999999995</v>
      </c>
      <c r="X56" s="100">
        <v>7.6907165744861672</v>
      </c>
      <c r="Y56" s="100">
        <v>7549.2073895156209</v>
      </c>
      <c r="Z56" s="100">
        <v>2.5429130155025339</v>
      </c>
      <c r="AA56" s="100">
        <v>2496.1234160172871</v>
      </c>
      <c r="AB56" s="100">
        <v>6.3978494623655537</v>
      </c>
      <c r="AC56" s="100">
        <v>6280.1290322580271</v>
      </c>
      <c r="AD56" s="100">
        <v>5.5607476635513686</v>
      </c>
      <c r="AE56" s="100">
        <v>5458.4299065420228</v>
      </c>
      <c r="AF56" s="100">
        <v>9</v>
      </c>
      <c r="AG56" s="100">
        <v>8834.4</v>
      </c>
      <c r="AH56" s="100">
        <v>3.185840707964549</v>
      </c>
      <c r="AI56" s="100">
        <v>3127.2212389380011</v>
      </c>
      <c r="AJ56" s="100">
        <v>9</v>
      </c>
      <c r="AK56" s="100">
        <v>8834.4</v>
      </c>
      <c r="AL56" s="100">
        <v>10</v>
      </c>
      <c r="AM56" s="100">
        <v>9816</v>
      </c>
      <c r="AN56" s="100">
        <v>8</v>
      </c>
      <c r="AO56" s="100">
        <v>7852.7999999999993</v>
      </c>
      <c r="AP56" s="100">
        <v>6</v>
      </c>
      <c r="AQ56" s="100">
        <v>5889.5999999999995</v>
      </c>
      <c r="AR56" s="100">
        <v>5</v>
      </c>
      <c r="AS56" s="100">
        <v>4908</v>
      </c>
      <c r="AT56" s="100">
        <v>8</v>
      </c>
      <c r="AU56" s="100">
        <v>7852.7999999999993</v>
      </c>
      <c r="AV56" s="100">
        <v>4.6502038485607109</v>
      </c>
      <c r="AW56" s="100">
        <v>4564.6400977471931</v>
      </c>
      <c r="AX56" s="100">
        <v>6</v>
      </c>
      <c r="AY56" s="100">
        <v>5889.5999999999995</v>
      </c>
      <c r="AZ56" s="100">
        <v>8</v>
      </c>
      <c r="BA56" s="100">
        <v>7852.7999999999993</v>
      </c>
      <c r="BB56" s="100">
        <v>6</v>
      </c>
      <c r="BC56" s="100">
        <v>5889.5999999999995</v>
      </c>
      <c r="BD56" s="100">
        <v>10</v>
      </c>
      <c r="BE56" s="100">
        <v>9816</v>
      </c>
      <c r="BF56" s="100">
        <v>6</v>
      </c>
      <c r="BG56" s="100">
        <v>5889.5999999999995</v>
      </c>
      <c r="BH56" s="100">
        <v>8</v>
      </c>
      <c r="BI56" s="100">
        <v>7852.7999999999993</v>
      </c>
      <c r="BJ56" s="100">
        <v>4.4638305705948698</v>
      </c>
      <c r="BK56" s="100">
        <v>4381.6960880959241</v>
      </c>
      <c r="BL56" s="100">
        <v>5</v>
      </c>
      <c r="BM56" s="100">
        <v>4908</v>
      </c>
      <c r="BN56" s="100">
        <v>9</v>
      </c>
      <c r="BO56" s="100">
        <v>8834.4</v>
      </c>
      <c r="BP56" s="100">
        <v>9</v>
      </c>
      <c r="BQ56" s="100">
        <v>8834.4</v>
      </c>
      <c r="BR56" s="100">
        <v>8</v>
      </c>
      <c r="BS56" s="100">
        <v>7852.7999999999993</v>
      </c>
      <c r="BT56" s="100">
        <v>9.1959939339003558</v>
      </c>
      <c r="BU56" s="100">
        <v>9026.7876455165879</v>
      </c>
      <c r="BV56" s="100">
        <v>5.4329937093303879</v>
      </c>
      <c r="BW56" s="100">
        <v>5333.0266250787081</v>
      </c>
      <c r="BX56" s="100">
        <v>8</v>
      </c>
      <c r="BY56" s="100">
        <v>7852.7999999999993</v>
      </c>
      <c r="BZ56" s="100">
        <v>8</v>
      </c>
      <c r="CA56" s="100">
        <v>7852.7999999999993</v>
      </c>
      <c r="CB56" s="100">
        <v>10</v>
      </c>
      <c r="CC56" s="100">
        <v>9816</v>
      </c>
      <c r="CD56" s="100">
        <v>4.27467811158788</v>
      </c>
      <c r="CE56" s="100">
        <v>4196.0240343346622</v>
      </c>
      <c r="CF56" s="100">
        <v>7</v>
      </c>
      <c r="CG56" s="100">
        <v>6871.1999999999989</v>
      </c>
      <c r="CH56" s="100">
        <v>4.0975609756096834</v>
      </c>
      <c r="CI56" s="100">
        <v>4022.1658536584646</v>
      </c>
      <c r="CJ56" s="100">
        <v>6.1952457559080338</v>
      </c>
      <c r="CK56" s="100">
        <v>6081.2532339993259</v>
      </c>
      <c r="CL56" s="100">
        <v>7.168525202949775</v>
      </c>
      <c r="CM56" s="100">
        <v>7036.6243392154984</v>
      </c>
      <c r="CN56" s="100">
        <v>8.644067796610118</v>
      </c>
      <c r="CO56" s="100">
        <v>8485.0169491524903</v>
      </c>
      <c r="CP56" s="100">
        <v>0.70292440091741049</v>
      </c>
      <c r="CQ56" s="100">
        <v>689.99059194053007</v>
      </c>
      <c r="CR56" s="100">
        <v>5.5737704918032458</v>
      </c>
      <c r="CS56" s="100">
        <v>5471.2131147540658</v>
      </c>
      <c r="CT56" s="100">
        <v>10</v>
      </c>
      <c r="CU56" s="100">
        <v>9816</v>
      </c>
    </row>
    <row r="57" spans="2:99">
      <c r="C57" s="99" t="s">
        <v>223</v>
      </c>
      <c r="D57" s="100">
        <v>7.3164867390315562</v>
      </c>
      <c r="E57" s="100">
        <v>10325.026086121332</v>
      </c>
      <c r="F57" s="100">
        <v>9</v>
      </c>
      <c r="G57" s="100">
        <v>12700.800000000001</v>
      </c>
      <c r="H57" s="100">
        <v>10</v>
      </c>
      <c r="I57" s="100">
        <v>14112</v>
      </c>
      <c r="J57" s="100">
        <v>8</v>
      </c>
      <c r="K57" s="100">
        <v>11289.6</v>
      </c>
      <c r="L57" s="100">
        <v>8</v>
      </c>
      <c r="M57" s="100">
        <v>11289.6</v>
      </c>
      <c r="N57" s="100">
        <v>4.556802675239175</v>
      </c>
      <c r="O57" s="100">
        <v>6430.5599352975241</v>
      </c>
      <c r="P57" s="100">
        <v>6</v>
      </c>
      <c r="Q57" s="100">
        <v>8467.2000000000007</v>
      </c>
      <c r="R57" s="100">
        <v>4.6830794686038404</v>
      </c>
      <c r="S57" s="100">
        <v>6608.7617460937399</v>
      </c>
      <c r="T57" s="100">
        <v>5</v>
      </c>
      <c r="U57" s="100">
        <v>7056</v>
      </c>
      <c r="V57" s="100">
        <v>6</v>
      </c>
      <c r="W57" s="100">
        <v>8467.2000000000007</v>
      </c>
      <c r="X57" s="100">
        <v>2.3484314067085186</v>
      </c>
      <c r="Y57" s="100">
        <v>3314.1064011470617</v>
      </c>
      <c r="Z57" s="100">
        <v>8</v>
      </c>
      <c r="AA57" s="100">
        <v>11289.6</v>
      </c>
      <c r="AB57" s="100">
        <v>8</v>
      </c>
      <c r="AC57" s="100">
        <v>11289.6</v>
      </c>
      <c r="AD57" s="100">
        <v>8</v>
      </c>
      <c r="AE57" s="100">
        <v>11289.6</v>
      </c>
      <c r="AF57" s="100">
        <v>7.6803911227257959</v>
      </c>
      <c r="AG57" s="100">
        <v>10838.567952390644</v>
      </c>
      <c r="AH57" s="100">
        <v>7</v>
      </c>
      <c r="AI57" s="100">
        <v>9878.4</v>
      </c>
      <c r="AJ57" s="100">
        <v>10</v>
      </c>
      <c r="AK57" s="100">
        <v>14112</v>
      </c>
      <c r="AL57" s="100">
        <v>0.90933746622243361</v>
      </c>
      <c r="AM57" s="100">
        <v>1283.2570323330983</v>
      </c>
      <c r="AN57" s="100">
        <v>7</v>
      </c>
      <c r="AO57" s="100">
        <v>9878.4</v>
      </c>
      <c r="AP57" s="100">
        <v>6</v>
      </c>
      <c r="AQ57" s="100">
        <v>8467.2000000000007</v>
      </c>
      <c r="AR57" s="100">
        <v>5</v>
      </c>
      <c r="AS57" s="100">
        <v>7056</v>
      </c>
      <c r="AT57" s="100">
        <v>8</v>
      </c>
      <c r="AU57" s="100">
        <v>11289.6</v>
      </c>
      <c r="AV57" s="100">
        <v>6</v>
      </c>
      <c r="AW57" s="100">
        <v>8467.2000000000007</v>
      </c>
      <c r="AX57" s="100">
        <v>6.9000761531535169</v>
      </c>
      <c r="AY57" s="100">
        <v>9737.3874673302435</v>
      </c>
      <c r="AZ57" s="100">
        <v>2.0208912732329001</v>
      </c>
      <c r="BA57" s="100">
        <v>2851.8817647862688</v>
      </c>
      <c r="BB57" s="100">
        <v>7</v>
      </c>
      <c r="BC57" s="100">
        <v>9878.4</v>
      </c>
      <c r="BD57" s="100">
        <v>10</v>
      </c>
      <c r="BE57" s="100">
        <v>14112</v>
      </c>
      <c r="BF57" s="100">
        <v>6</v>
      </c>
      <c r="BG57" s="100">
        <v>8467.2000000000007</v>
      </c>
      <c r="BH57" s="100">
        <v>2.980682269031202</v>
      </c>
      <c r="BI57" s="100">
        <v>4206.3388180568327</v>
      </c>
      <c r="BJ57" s="100">
        <v>7</v>
      </c>
      <c r="BK57" s="100">
        <v>9878.4</v>
      </c>
      <c r="BL57" s="100">
        <v>5</v>
      </c>
      <c r="BM57" s="100">
        <v>7056</v>
      </c>
      <c r="BN57" s="100">
        <v>8</v>
      </c>
      <c r="BO57" s="100">
        <v>11289.6</v>
      </c>
      <c r="BP57" s="100">
        <v>9</v>
      </c>
      <c r="BQ57" s="100">
        <v>12700.800000000001</v>
      </c>
      <c r="BR57" s="100">
        <v>1.0853744530839224</v>
      </c>
      <c r="BS57" s="100">
        <v>1531.6804281920313</v>
      </c>
      <c r="BT57" s="100">
        <v>8.1873075827239408</v>
      </c>
      <c r="BU57" s="100">
        <v>11553.928460740026</v>
      </c>
      <c r="BV57" s="100">
        <v>9</v>
      </c>
      <c r="BW57" s="100">
        <v>12700.800000000001</v>
      </c>
      <c r="BX57" s="100">
        <v>7</v>
      </c>
      <c r="BY57" s="100">
        <v>9878.4</v>
      </c>
      <c r="BZ57" s="100">
        <v>8</v>
      </c>
      <c r="CA57" s="100">
        <v>11289.6</v>
      </c>
      <c r="CB57" s="100">
        <v>6.3872166527758605</v>
      </c>
      <c r="CC57" s="100">
        <v>9013.6401403972941</v>
      </c>
      <c r="CD57" s="100">
        <v>0</v>
      </c>
      <c r="CE57" s="100">
        <v>0</v>
      </c>
      <c r="CF57" s="100">
        <v>8</v>
      </c>
      <c r="CG57" s="100">
        <v>11289.6</v>
      </c>
      <c r="CH57" s="100">
        <v>5</v>
      </c>
      <c r="CI57" s="100">
        <v>7056</v>
      </c>
      <c r="CJ57" s="100">
        <v>9</v>
      </c>
      <c r="CK57" s="100">
        <v>12700.800000000001</v>
      </c>
      <c r="CL57" s="100">
        <v>10</v>
      </c>
      <c r="CM57" s="100">
        <v>14112</v>
      </c>
      <c r="CN57" s="100">
        <v>9</v>
      </c>
      <c r="CO57" s="100">
        <v>12700.800000000001</v>
      </c>
      <c r="CP57" s="100">
        <v>11</v>
      </c>
      <c r="CQ57" s="100">
        <v>15523.2</v>
      </c>
      <c r="CR57" s="100">
        <v>5</v>
      </c>
      <c r="CS57" s="100">
        <v>7056</v>
      </c>
      <c r="CT57" s="100">
        <v>9.0367067968315702</v>
      </c>
      <c r="CU57" s="100">
        <v>12752.600631688712</v>
      </c>
    </row>
    <row r="58" spans="2:99">
      <c r="C58" s="99" t="s">
        <v>224</v>
      </c>
      <c r="D58" s="100">
        <v>4.6723454807792297</v>
      </c>
      <c r="E58" s="100">
        <v>5500.2850999733091</v>
      </c>
      <c r="F58" s="100">
        <v>8</v>
      </c>
      <c r="G58" s="100">
        <v>9417.6</v>
      </c>
      <c r="H58" s="100">
        <v>11</v>
      </c>
      <c r="I58" s="100">
        <v>12949.2</v>
      </c>
      <c r="J58" s="100">
        <v>1.9243716372500723</v>
      </c>
      <c r="K58" s="100">
        <v>2265.3702913707853</v>
      </c>
      <c r="L58" s="100">
        <v>8</v>
      </c>
      <c r="M58" s="100">
        <v>9417.6</v>
      </c>
      <c r="N58" s="100">
        <v>10</v>
      </c>
      <c r="O58" s="100">
        <v>11772</v>
      </c>
      <c r="P58" s="100">
        <v>7</v>
      </c>
      <c r="Q58" s="100">
        <v>8240.4</v>
      </c>
      <c r="R58" s="100">
        <v>6</v>
      </c>
      <c r="S58" s="100">
        <v>7063.2000000000007</v>
      </c>
      <c r="T58" s="100">
        <v>5</v>
      </c>
      <c r="U58" s="100">
        <v>5886</v>
      </c>
      <c r="V58" s="100">
        <v>6</v>
      </c>
      <c r="W58" s="100">
        <v>7063.2000000000007</v>
      </c>
      <c r="X58" s="100">
        <v>7</v>
      </c>
      <c r="Y58" s="100">
        <v>8240.4</v>
      </c>
      <c r="Z58" s="100">
        <v>7</v>
      </c>
      <c r="AA58" s="100">
        <v>8240.4</v>
      </c>
      <c r="AB58" s="100">
        <v>8</v>
      </c>
      <c r="AC58" s="100">
        <v>9417.6</v>
      </c>
      <c r="AD58" s="100">
        <v>8</v>
      </c>
      <c r="AE58" s="100">
        <v>9417.6</v>
      </c>
      <c r="AF58" s="100">
        <v>9</v>
      </c>
      <c r="AG58" s="100">
        <v>10594.800000000001</v>
      </c>
      <c r="AH58" s="100">
        <v>6</v>
      </c>
      <c r="AI58" s="100">
        <v>7063.2000000000007</v>
      </c>
      <c r="AJ58" s="100">
        <v>7.675209359967452</v>
      </c>
      <c r="AK58" s="100">
        <v>9035.2564585536857</v>
      </c>
      <c r="AL58" s="100">
        <v>4.074695005585518</v>
      </c>
      <c r="AM58" s="100">
        <v>4796.7309605752716</v>
      </c>
      <c r="AN58" s="100">
        <v>8</v>
      </c>
      <c r="AO58" s="100">
        <v>9417.6</v>
      </c>
      <c r="AP58" s="100">
        <v>6</v>
      </c>
      <c r="AQ58" s="100">
        <v>7063.2000000000007</v>
      </c>
      <c r="AR58" s="100">
        <v>4.3741969107586485</v>
      </c>
      <c r="AS58" s="100">
        <v>5149.304603345081</v>
      </c>
      <c r="AT58" s="100">
        <v>9</v>
      </c>
      <c r="AU58" s="100">
        <v>10594.800000000001</v>
      </c>
      <c r="AV58" s="100">
        <v>5</v>
      </c>
      <c r="AW58" s="100">
        <v>5886</v>
      </c>
      <c r="AX58" s="100">
        <v>7</v>
      </c>
      <c r="AY58" s="100">
        <v>8240.4</v>
      </c>
      <c r="AZ58" s="100">
        <v>7</v>
      </c>
      <c r="BA58" s="100">
        <v>8240.4</v>
      </c>
      <c r="BB58" s="100">
        <v>6</v>
      </c>
      <c r="BC58" s="100">
        <v>7063.2000000000007</v>
      </c>
      <c r="BD58" s="100">
        <v>10</v>
      </c>
      <c r="BE58" s="100">
        <v>11772</v>
      </c>
      <c r="BF58" s="100">
        <v>5.2567305683345653</v>
      </c>
      <c r="BG58" s="100">
        <v>6188.2232250434508</v>
      </c>
      <c r="BH58" s="100">
        <v>8</v>
      </c>
      <c r="BI58" s="100">
        <v>9417.6</v>
      </c>
      <c r="BJ58" s="100">
        <v>6</v>
      </c>
      <c r="BK58" s="100">
        <v>7063.2000000000007</v>
      </c>
      <c r="BL58" s="100">
        <v>6</v>
      </c>
      <c r="BM58" s="100">
        <v>7063.2000000000007</v>
      </c>
      <c r="BN58" s="100">
        <v>4.1536468814504843</v>
      </c>
      <c r="BO58" s="100">
        <v>4889.6731088435099</v>
      </c>
      <c r="BP58" s="100">
        <v>7.8260869565216842</v>
      </c>
      <c r="BQ58" s="100">
        <v>9212.8695652173265</v>
      </c>
      <c r="BR58" s="100">
        <v>8</v>
      </c>
      <c r="BS58" s="100">
        <v>9417.6</v>
      </c>
      <c r="BT58" s="100">
        <v>11</v>
      </c>
      <c r="BU58" s="100">
        <v>12949.2</v>
      </c>
      <c r="BV58" s="100">
        <v>9</v>
      </c>
      <c r="BW58" s="100">
        <v>10594.800000000001</v>
      </c>
      <c r="BX58" s="100">
        <v>8</v>
      </c>
      <c r="BY58" s="100">
        <v>9417.6</v>
      </c>
      <c r="BZ58" s="100">
        <v>9</v>
      </c>
      <c r="CA58" s="100">
        <v>10594.800000000001</v>
      </c>
      <c r="CB58" s="100">
        <v>10</v>
      </c>
      <c r="CC58" s="100">
        <v>11772</v>
      </c>
      <c r="CD58" s="100">
        <v>6</v>
      </c>
      <c r="CE58" s="100">
        <v>7063.2000000000007</v>
      </c>
      <c r="CF58" s="100">
        <v>6.4592274678108579</v>
      </c>
      <c r="CG58" s="100">
        <v>7603.8025751069426</v>
      </c>
      <c r="CH58" s="100">
        <v>6</v>
      </c>
      <c r="CI58" s="100">
        <v>7063.2000000000007</v>
      </c>
      <c r="CJ58" s="100">
        <v>10</v>
      </c>
      <c r="CK58" s="100">
        <v>11772</v>
      </c>
      <c r="CL58" s="100">
        <v>10</v>
      </c>
      <c r="CM58" s="100">
        <v>11772</v>
      </c>
      <c r="CN58" s="100">
        <v>8</v>
      </c>
      <c r="CO58" s="100">
        <v>9417.6</v>
      </c>
      <c r="CP58" s="100">
        <v>8.3173079543455657</v>
      </c>
      <c r="CQ58" s="100">
        <v>9791.1349238555995</v>
      </c>
      <c r="CR58" s="100">
        <v>6</v>
      </c>
      <c r="CS58" s="100">
        <v>7063.2000000000007</v>
      </c>
      <c r="CT58" s="100">
        <v>10</v>
      </c>
      <c r="CU58" s="100">
        <v>11772</v>
      </c>
    </row>
    <row r="59" spans="2:99">
      <c r="C59" s="99" t="s">
        <v>225</v>
      </c>
      <c r="D59" s="100">
        <v>8.2310475814105004</v>
      </c>
      <c r="E59" s="100">
        <v>2498.9460457162277</v>
      </c>
      <c r="F59" s="100">
        <v>9</v>
      </c>
      <c r="G59" s="100">
        <v>2732.3999999999996</v>
      </c>
      <c r="H59" s="100">
        <v>10</v>
      </c>
      <c r="I59" s="100">
        <v>3035.9999999999995</v>
      </c>
      <c r="J59" s="100">
        <v>8</v>
      </c>
      <c r="K59" s="100">
        <v>2428.7999999999997</v>
      </c>
      <c r="L59" s="100">
        <v>10</v>
      </c>
      <c r="M59" s="100">
        <v>3035.9999999999995</v>
      </c>
      <c r="N59" s="100">
        <v>5.0631140835990829</v>
      </c>
      <c r="O59" s="100">
        <v>1537.1614357806814</v>
      </c>
      <c r="P59" s="100">
        <v>6</v>
      </c>
      <c r="Q59" s="100">
        <v>1821.6</v>
      </c>
      <c r="R59" s="100">
        <v>5.4635927133711464</v>
      </c>
      <c r="S59" s="100">
        <v>1658.7467477794798</v>
      </c>
      <c r="T59" s="100">
        <v>6</v>
      </c>
      <c r="U59" s="100">
        <v>1821.6</v>
      </c>
      <c r="V59" s="100">
        <v>6</v>
      </c>
      <c r="W59" s="100">
        <v>1821.6</v>
      </c>
      <c r="X59" s="100">
        <v>2.6839216076668779</v>
      </c>
      <c r="Y59" s="100">
        <v>814.83860008766408</v>
      </c>
      <c r="Z59" s="100">
        <v>8</v>
      </c>
      <c r="AA59" s="100">
        <v>2428.7999999999997</v>
      </c>
      <c r="AB59" s="100">
        <v>7</v>
      </c>
      <c r="AC59" s="100">
        <v>2125.1999999999998</v>
      </c>
      <c r="AD59" s="100">
        <v>8</v>
      </c>
      <c r="AE59" s="100">
        <v>2428.7999999999997</v>
      </c>
      <c r="AF59" s="100">
        <v>10.560537793747969</v>
      </c>
      <c r="AG59" s="100">
        <v>3206.1792741818831</v>
      </c>
      <c r="AH59" s="100">
        <v>6</v>
      </c>
      <c r="AI59" s="100">
        <v>1821.6</v>
      </c>
      <c r="AJ59" s="100">
        <v>10</v>
      </c>
      <c r="AK59" s="100">
        <v>3035.9999999999995</v>
      </c>
      <c r="AL59" s="100">
        <v>1.0103749624693708</v>
      </c>
      <c r="AM59" s="100">
        <v>306.74983860570092</v>
      </c>
      <c r="AN59" s="100">
        <v>8</v>
      </c>
      <c r="AO59" s="100">
        <v>2428.7999999999997</v>
      </c>
      <c r="AP59" s="100">
        <v>7</v>
      </c>
      <c r="AQ59" s="100">
        <v>2125.1999999999998</v>
      </c>
      <c r="AR59" s="100">
        <v>6</v>
      </c>
      <c r="AS59" s="100">
        <v>1821.6</v>
      </c>
      <c r="AT59" s="100">
        <v>9</v>
      </c>
      <c r="AU59" s="100">
        <v>2732.3999999999996</v>
      </c>
      <c r="AV59" s="100">
        <v>6</v>
      </c>
      <c r="AW59" s="100">
        <v>1821.6</v>
      </c>
      <c r="AX59" s="100">
        <v>7.8858013178897339</v>
      </c>
      <c r="AY59" s="100">
        <v>2394.1292801113232</v>
      </c>
      <c r="AZ59" s="100">
        <v>2.0208912732329001</v>
      </c>
      <c r="BA59" s="100">
        <v>613.54259055350838</v>
      </c>
      <c r="BB59" s="100">
        <v>7</v>
      </c>
      <c r="BC59" s="100">
        <v>2125.1999999999998</v>
      </c>
      <c r="BD59" s="100">
        <v>10</v>
      </c>
      <c r="BE59" s="100">
        <v>3035.9999999999995</v>
      </c>
      <c r="BF59" s="100">
        <v>7</v>
      </c>
      <c r="BG59" s="100">
        <v>2125.1999999999998</v>
      </c>
      <c r="BH59" s="100">
        <v>3.4064940217499449</v>
      </c>
      <c r="BI59" s="100">
        <v>1034.2115850032831</v>
      </c>
      <c r="BJ59" s="100">
        <v>7</v>
      </c>
      <c r="BK59" s="100">
        <v>2125.1999999999998</v>
      </c>
      <c r="BL59" s="100">
        <v>6</v>
      </c>
      <c r="BM59" s="100">
        <v>1821.6</v>
      </c>
      <c r="BN59" s="100">
        <v>10</v>
      </c>
      <c r="BO59" s="100">
        <v>3035.9999999999995</v>
      </c>
      <c r="BP59" s="100">
        <v>10</v>
      </c>
      <c r="BQ59" s="100">
        <v>3035.9999999999995</v>
      </c>
      <c r="BR59" s="100">
        <v>1.0853744530839224</v>
      </c>
      <c r="BS59" s="100">
        <v>329.51968395627881</v>
      </c>
      <c r="BT59" s="100">
        <v>8.1873075827239408</v>
      </c>
      <c r="BU59" s="100">
        <v>2485.6665821149882</v>
      </c>
      <c r="BV59" s="100">
        <v>9</v>
      </c>
      <c r="BW59" s="100">
        <v>2732.3999999999996</v>
      </c>
      <c r="BX59" s="100">
        <v>8</v>
      </c>
      <c r="BY59" s="100">
        <v>2428.7999999999997</v>
      </c>
      <c r="BZ59" s="100">
        <v>10</v>
      </c>
      <c r="CA59" s="100">
        <v>3035.9999999999995</v>
      </c>
      <c r="CB59" s="100">
        <v>7.0259383180534467</v>
      </c>
      <c r="CC59" s="100">
        <v>2133.0748733610262</v>
      </c>
      <c r="CD59" s="100">
        <v>0</v>
      </c>
      <c r="CE59" s="100">
        <v>0</v>
      </c>
      <c r="CF59" s="100">
        <v>7</v>
      </c>
      <c r="CG59" s="100">
        <v>2125.1999999999998</v>
      </c>
      <c r="CH59" s="100">
        <v>6</v>
      </c>
      <c r="CI59" s="100">
        <v>1821.6</v>
      </c>
      <c r="CJ59" s="100">
        <v>10</v>
      </c>
      <c r="CK59" s="100">
        <v>3035.9999999999995</v>
      </c>
      <c r="CL59" s="100">
        <v>11</v>
      </c>
      <c r="CM59" s="100">
        <v>3339.5999999999995</v>
      </c>
      <c r="CN59" s="100">
        <v>9</v>
      </c>
      <c r="CO59" s="100">
        <v>2732.3999999999996</v>
      </c>
      <c r="CP59" s="100">
        <v>10</v>
      </c>
      <c r="CQ59" s="100">
        <v>3035.9999999999995</v>
      </c>
      <c r="CR59" s="100">
        <v>7</v>
      </c>
      <c r="CS59" s="100">
        <v>2125.1999999999998</v>
      </c>
      <c r="CT59" s="100">
        <v>9.8582255965435301</v>
      </c>
      <c r="CU59" s="100">
        <v>2992.9572911106156</v>
      </c>
    </row>
    <row r="60" spans="2:99">
      <c r="C60" s="99" t="s">
        <v>226</v>
      </c>
      <c r="D60" s="100">
        <v>7.3164867390315562</v>
      </c>
      <c r="E60" s="100">
        <v>4767.4227591529625</v>
      </c>
      <c r="F60" s="100">
        <v>9</v>
      </c>
      <c r="G60" s="100">
        <v>5864.4000000000005</v>
      </c>
      <c r="H60" s="100">
        <v>11</v>
      </c>
      <c r="I60" s="100">
        <v>7167.6</v>
      </c>
      <c r="J60" s="100">
        <v>8</v>
      </c>
      <c r="K60" s="100">
        <v>5212.8</v>
      </c>
      <c r="L60" s="100">
        <v>8</v>
      </c>
      <c r="M60" s="100">
        <v>5212.8</v>
      </c>
      <c r="N60" s="100">
        <v>5.0631140835990829</v>
      </c>
      <c r="O60" s="100">
        <v>3299.1251368731623</v>
      </c>
      <c r="P60" s="100">
        <v>6</v>
      </c>
      <c r="Q60" s="100">
        <v>3909.6000000000004</v>
      </c>
      <c r="R60" s="100">
        <v>5.4635927133711464</v>
      </c>
      <c r="S60" s="100">
        <v>3560.0770120326392</v>
      </c>
      <c r="T60" s="100">
        <v>6</v>
      </c>
      <c r="U60" s="100">
        <v>3909.6000000000004</v>
      </c>
      <c r="V60" s="100">
        <v>7</v>
      </c>
      <c r="W60" s="100">
        <v>4561.2</v>
      </c>
      <c r="X60" s="100">
        <v>2.3484314067085186</v>
      </c>
      <c r="Y60" s="100">
        <v>1530.2379046112708</v>
      </c>
      <c r="Z60" s="100">
        <v>8</v>
      </c>
      <c r="AA60" s="100">
        <v>5212.8</v>
      </c>
      <c r="AB60" s="100">
        <v>8</v>
      </c>
      <c r="AC60" s="100">
        <v>5212.8</v>
      </c>
      <c r="AD60" s="100">
        <v>8</v>
      </c>
      <c r="AE60" s="100">
        <v>5212.8</v>
      </c>
      <c r="AF60" s="100">
        <v>8.6404400130665202</v>
      </c>
      <c r="AG60" s="100">
        <v>5630.1107125141443</v>
      </c>
      <c r="AH60" s="100">
        <v>7</v>
      </c>
      <c r="AI60" s="100">
        <v>4561.2</v>
      </c>
      <c r="AJ60" s="100">
        <v>9</v>
      </c>
      <c r="AK60" s="100">
        <v>5864.4000000000005</v>
      </c>
      <c r="AL60" s="100">
        <v>0.90933746622243361</v>
      </c>
      <c r="AM60" s="100">
        <v>592.52429299053779</v>
      </c>
      <c r="AN60" s="100">
        <v>7</v>
      </c>
      <c r="AO60" s="100">
        <v>4561.2</v>
      </c>
      <c r="AP60" s="100">
        <v>6</v>
      </c>
      <c r="AQ60" s="100">
        <v>3909.6000000000004</v>
      </c>
      <c r="AR60" s="100">
        <v>6</v>
      </c>
      <c r="AS60" s="100">
        <v>3909.6000000000004</v>
      </c>
      <c r="AT60" s="100">
        <v>8</v>
      </c>
      <c r="AU60" s="100">
        <v>5212.8</v>
      </c>
      <c r="AV60" s="100">
        <v>6</v>
      </c>
      <c r="AW60" s="100">
        <v>3909.6000000000004</v>
      </c>
      <c r="AX60" s="100">
        <v>6.9000761531535169</v>
      </c>
      <c r="AY60" s="100">
        <v>4496.0896213948317</v>
      </c>
      <c r="AZ60" s="100">
        <v>1.7682798640787878</v>
      </c>
      <c r="BA60" s="100">
        <v>1152.2111594337382</v>
      </c>
      <c r="BB60" s="100">
        <v>6</v>
      </c>
      <c r="BC60" s="100">
        <v>3909.6000000000004</v>
      </c>
      <c r="BD60" s="100">
        <v>10</v>
      </c>
      <c r="BE60" s="100">
        <v>6516</v>
      </c>
      <c r="BF60" s="100">
        <v>6</v>
      </c>
      <c r="BG60" s="100">
        <v>3909.6000000000004</v>
      </c>
      <c r="BH60" s="100">
        <v>3.8323057744686881</v>
      </c>
      <c r="BI60" s="100">
        <v>2497.1304426437973</v>
      </c>
      <c r="BJ60" s="100">
        <v>8</v>
      </c>
      <c r="BK60" s="100">
        <v>5212.8</v>
      </c>
      <c r="BL60" s="100">
        <v>6</v>
      </c>
      <c r="BM60" s="100">
        <v>3909.6000000000004</v>
      </c>
      <c r="BN60" s="100">
        <v>8</v>
      </c>
      <c r="BO60" s="100">
        <v>5212.8</v>
      </c>
      <c r="BP60" s="100">
        <v>10</v>
      </c>
      <c r="BQ60" s="100">
        <v>6516</v>
      </c>
      <c r="BR60" s="100">
        <v>1.0853744530839224</v>
      </c>
      <c r="BS60" s="100">
        <v>707.22999362948394</v>
      </c>
      <c r="BT60" s="100">
        <v>8.9316082720624816</v>
      </c>
      <c r="BU60" s="100">
        <v>5819.8359500759134</v>
      </c>
      <c r="BV60" s="100">
        <v>10</v>
      </c>
      <c r="BW60" s="100">
        <v>6516</v>
      </c>
      <c r="BX60" s="100">
        <v>7</v>
      </c>
      <c r="BY60" s="100">
        <v>4561.2</v>
      </c>
      <c r="BZ60" s="100">
        <v>9</v>
      </c>
      <c r="CA60" s="100">
        <v>5864.4000000000005</v>
      </c>
      <c r="CB60" s="100">
        <v>7.0259383180534467</v>
      </c>
      <c r="CC60" s="100">
        <v>4578.1014080436262</v>
      </c>
      <c r="CD60" s="100">
        <v>0</v>
      </c>
      <c r="CE60" s="100">
        <v>0</v>
      </c>
      <c r="CF60" s="100">
        <v>7</v>
      </c>
      <c r="CG60" s="100">
        <v>4561.2</v>
      </c>
      <c r="CH60" s="100">
        <v>5</v>
      </c>
      <c r="CI60" s="100">
        <v>3258</v>
      </c>
      <c r="CJ60" s="100">
        <v>11</v>
      </c>
      <c r="CK60" s="100">
        <v>7167.6</v>
      </c>
      <c r="CL60" s="100">
        <v>10</v>
      </c>
      <c r="CM60" s="100">
        <v>6516</v>
      </c>
      <c r="CN60" s="100">
        <v>10</v>
      </c>
      <c r="CO60" s="100">
        <v>6516</v>
      </c>
      <c r="CP60" s="100">
        <v>11</v>
      </c>
      <c r="CQ60" s="100">
        <v>7167.6</v>
      </c>
      <c r="CR60" s="100">
        <v>6</v>
      </c>
      <c r="CS60" s="100">
        <v>3909.6000000000004</v>
      </c>
      <c r="CT60" s="100">
        <v>9.0367067968315702</v>
      </c>
      <c r="CU60" s="100">
        <v>5888.3181488154514</v>
      </c>
    </row>
    <row r="61" spans="2:99">
      <c r="C61" s="99" t="s">
        <v>227</v>
      </c>
      <c r="D61" s="100">
        <v>7.3164867390315562</v>
      </c>
      <c r="E61" s="100">
        <v>6962.3687808624281</v>
      </c>
      <c r="F61" s="100">
        <v>9</v>
      </c>
      <c r="G61" s="100">
        <v>8564.4</v>
      </c>
      <c r="H61" s="100">
        <v>10</v>
      </c>
      <c r="I61" s="100">
        <v>9516</v>
      </c>
      <c r="J61" s="100">
        <v>9</v>
      </c>
      <c r="K61" s="100">
        <v>8564.4</v>
      </c>
      <c r="L61" s="100">
        <v>9</v>
      </c>
      <c r="M61" s="100">
        <v>8564.4</v>
      </c>
      <c r="N61" s="100">
        <v>5.0631140835990829</v>
      </c>
      <c r="O61" s="100">
        <v>4818.0593619528872</v>
      </c>
      <c r="P61" s="100">
        <v>6</v>
      </c>
      <c r="Q61" s="100">
        <v>5709.5999999999995</v>
      </c>
      <c r="R61" s="100">
        <v>4.6830794686038404</v>
      </c>
      <c r="S61" s="100">
        <v>4456.4184223234142</v>
      </c>
      <c r="T61" s="100">
        <v>6</v>
      </c>
      <c r="U61" s="100">
        <v>5709.5999999999995</v>
      </c>
      <c r="V61" s="100">
        <v>7</v>
      </c>
      <c r="W61" s="100">
        <v>6661.1999999999989</v>
      </c>
      <c r="X61" s="100">
        <v>2.3484314067085186</v>
      </c>
      <c r="Y61" s="100">
        <v>2234.7673266238262</v>
      </c>
      <c r="Z61" s="100">
        <v>7</v>
      </c>
      <c r="AA61" s="100">
        <v>6661.1999999999989</v>
      </c>
      <c r="AB61" s="100">
        <v>7</v>
      </c>
      <c r="AC61" s="100">
        <v>6661.1999999999989</v>
      </c>
      <c r="AD61" s="100">
        <v>8</v>
      </c>
      <c r="AE61" s="100">
        <v>7612.7999999999993</v>
      </c>
      <c r="AF61" s="100">
        <v>9.6004889034072445</v>
      </c>
      <c r="AG61" s="100">
        <v>9135.8252404823324</v>
      </c>
      <c r="AH61" s="100">
        <v>6</v>
      </c>
      <c r="AI61" s="100">
        <v>5709.5999999999995</v>
      </c>
      <c r="AJ61" s="100">
        <v>9</v>
      </c>
      <c r="AK61" s="100">
        <v>8564.4</v>
      </c>
      <c r="AL61" s="100">
        <v>1.0103749624693708</v>
      </c>
      <c r="AM61" s="100">
        <v>961.47281428585313</v>
      </c>
      <c r="AN61" s="100">
        <v>8</v>
      </c>
      <c r="AO61" s="100">
        <v>7612.7999999999993</v>
      </c>
      <c r="AP61" s="100">
        <v>6</v>
      </c>
      <c r="AQ61" s="100">
        <v>5709.5999999999995</v>
      </c>
      <c r="AR61" s="100">
        <v>6</v>
      </c>
      <c r="AS61" s="100">
        <v>5709.5999999999995</v>
      </c>
      <c r="AT61" s="100">
        <v>8</v>
      </c>
      <c r="AU61" s="100">
        <v>7612.7999999999993</v>
      </c>
      <c r="AV61" s="100">
        <v>6</v>
      </c>
      <c r="AW61" s="100">
        <v>5709.5999999999995</v>
      </c>
      <c r="AX61" s="100">
        <v>6.9000761531535169</v>
      </c>
      <c r="AY61" s="100">
        <v>6566.1124673408858</v>
      </c>
      <c r="AZ61" s="100">
        <v>2.0208912732329001</v>
      </c>
      <c r="BA61" s="100">
        <v>1923.0801356084276</v>
      </c>
      <c r="BB61" s="100">
        <v>7</v>
      </c>
      <c r="BC61" s="100">
        <v>6661.1999999999989</v>
      </c>
      <c r="BD61" s="100">
        <v>11</v>
      </c>
      <c r="BE61" s="100">
        <v>10467.599999999999</v>
      </c>
      <c r="BF61" s="100">
        <v>6</v>
      </c>
      <c r="BG61" s="100">
        <v>5709.5999999999995</v>
      </c>
      <c r="BH61" s="100">
        <v>3.8323057744686881</v>
      </c>
      <c r="BI61" s="100">
        <v>3646.8221749844033</v>
      </c>
      <c r="BJ61" s="100">
        <v>8</v>
      </c>
      <c r="BK61" s="100">
        <v>7612.7999999999993</v>
      </c>
      <c r="BL61" s="100">
        <v>5</v>
      </c>
      <c r="BM61" s="100">
        <v>4758</v>
      </c>
      <c r="BN61" s="100">
        <v>9</v>
      </c>
      <c r="BO61" s="100">
        <v>8564.4</v>
      </c>
      <c r="BP61" s="100">
        <v>9</v>
      </c>
      <c r="BQ61" s="100">
        <v>8564.4</v>
      </c>
      <c r="BR61" s="100">
        <v>1.0853744530839224</v>
      </c>
      <c r="BS61" s="100">
        <v>1032.8423295546604</v>
      </c>
      <c r="BT61" s="100">
        <v>7.4430068933854008</v>
      </c>
      <c r="BU61" s="100">
        <v>7082.7653597455464</v>
      </c>
      <c r="BV61" s="100">
        <v>9</v>
      </c>
      <c r="BW61" s="100">
        <v>8564.4</v>
      </c>
      <c r="BX61" s="100">
        <v>8</v>
      </c>
      <c r="BY61" s="100">
        <v>7612.7999999999993</v>
      </c>
      <c r="BZ61" s="100">
        <v>9</v>
      </c>
      <c r="CA61" s="100">
        <v>8564.4</v>
      </c>
      <c r="CB61" s="100">
        <v>6.3872166527758605</v>
      </c>
      <c r="CC61" s="100">
        <v>6078.0753667815079</v>
      </c>
      <c r="CD61" s="100">
        <v>0</v>
      </c>
      <c r="CE61" s="100">
        <v>0</v>
      </c>
      <c r="CF61" s="100">
        <v>7</v>
      </c>
      <c r="CG61" s="100">
        <v>6661.1999999999989</v>
      </c>
      <c r="CH61" s="100">
        <v>6</v>
      </c>
      <c r="CI61" s="100">
        <v>5709.5999999999995</v>
      </c>
      <c r="CJ61" s="100">
        <v>10</v>
      </c>
      <c r="CK61" s="100">
        <v>9516</v>
      </c>
      <c r="CL61" s="100">
        <v>11</v>
      </c>
      <c r="CM61" s="100">
        <v>10467.599999999999</v>
      </c>
      <c r="CN61" s="100">
        <v>10</v>
      </c>
      <c r="CO61" s="100">
        <v>9516</v>
      </c>
      <c r="CP61" s="100">
        <v>11</v>
      </c>
      <c r="CQ61" s="100">
        <v>10467.599999999999</v>
      </c>
      <c r="CR61" s="100">
        <v>6</v>
      </c>
      <c r="CS61" s="100">
        <v>5709.5999999999995</v>
      </c>
      <c r="CT61" s="100">
        <v>8.2151879971196085</v>
      </c>
      <c r="CU61" s="100">
        <v>7817.5728980590184</v>
      </c>
    </row>
    <row r="62" spans="2:99">
      <c r="C62" s="99" t="s">
        <v>228</v>
      </c>
      <c r="D62" s="100">
        <v>8</v>
      </c>
      <c r="E62" s="100">
        <v>13353.6</v>
      </c>
      <c r="F62" s="100">
        <v>7.811711975610808</v>
      </c>
      <c r="G62" s="100">
        <v>13039.309629689562</v>
      </c>
      <c r="H62" s="100">
        <v>7.9286290525538163</v>
      </c>
      <c r="I62" s="100">
        <v>13234.467614522831</v>
      </c>
      <c r="J62" s="100">
        <v>7.9176273194948692</v>
      </c>
      <c r="K62" s="100">
        <v>13216.103521700836</v>
      </c>
      <c r="L62" s="100">
        <v>9</v>
      </c>
      <c r="M62" s="100">
        <v>15022.800000000001</v>
      </c>
      <c r="N62" s="100">
        <v>10</v>
      </c>
      <c r="O62" s="100">
        <v>16692</v>
      </c>
      <c r="P62" s="100">
        <v>5.8313776686150156</v>
      </c>
      <c r="Q62" s="100">
        <v>9733.7356044521839</v>
      </c>
      <c r="R62" s="100">
        <v>5.635359116022066</v>
      </c>
      <c r="S62" s="100">
        <v>9406.5414364640328</v>
      </c>
      <c r="T62" s="100">
        <v>4.0284360189573221</v>
      </c>
      <c r="U62" s="100">
        <v>6724.2654028435618</v>
      </c>
      <c r="V62" s="100">
        <v>6</v>
      </c>
      <c r="W62" s="100">
        <v>10015.200000000001</v>
      </c>
      <c r="X62" s="100">
        <v>6.7293770026753963</v>
      </c>
      <c r="Y62" s="100">
        <v>11232.676092865771</v>
      </c>
      <c r="Z62" s="100">
        <v>2.2250488885647171</v>
      </c>
      <c r="AA62" s="100">
        <v>3714.0516047922256</v>
      </c>
      <c r="AB62" s="100">
        <v>6.3978494623655537</v>
      </c>
      <c r="AC62" s="100">
        <v>10679.290322580582</v>
      </c>
      <c r="AD62" s="100">
        <v>6.3551401869158504</v>
      </c>
      <c r="AE62" s="100">
        <v>10607.999999999938</v>
      </c>
      <c r="AF62" s="100">
        <v>10</v>
      </c>
      <c r="AG62" s="100">
        <v>16692</v>
      </c>
      <c r="AH62" s="100">
        <v>3.185840707964549</v>
      </c>
      <c r="AI62" s="100">
        <v>5317.8053097344255</v>
      </c>
      <c r="AJ62" s="100">
        <v>9</v>
      </c>
      <c r="AK62" s="100">
        <v>15022.800000000001</v>
      </c>
      <c r="AL62" s="100">
        <v>8</v>
      </c>
      <c r="AM62" s="100">
        <v>13353.6</v>
      </c>
      <c r="AN62" s="100">
        <v>7</v>
      </c>
      <c r="AO62" s="100">
        <v>11684.4</v>
      </c>
      <c r="AP62" s="100">
        <v>6</v>
      </c>
      <c r="AQ62" s="100">
        <v>10015.200000000001</v>
      </c>
      <c r="AR62" s="100">
        <v>5</v>
      </c>
      <c r="AS62" s="100">
        <v>8346</v>
      </c>
      <c r="AT62" s="100">
        <v>8</v>
      </c>
      <c r="AU62" s="100">
        <v>13353.6</v>
      </c>
      <c r="AV62" s="100">
        <v>3.8751698738005929</v>
      </c>
      <c r="AW62" s="100">
        <v>6468.4335533479498</v>
      </c>
      <c r="AX62" s="100">
        <v>7</v>
      </c>
      <c r="AY62" s="100">
        <v>11684.4</v>
      </c>
      <c r="AZ62" s="100">
        <v>7</v>
      </c>
      <c r="BA62" s="100">
        <v>11684.4</v>
      </c>
      <c r="BB62" s="100">
        <v>6</v>
      </c>
      <c r="BC62" s="100">
        <v>10015.200000000001</v>
      </c>
      <c r="BD62" s="100">
        <v>11</v>
      </c>
      <c r="BE62" s="100">
        <v>18361.2</v>
      </c>
      <c r="BF62" s="100">
        <v>6</v>
      </c>
      <c r="BG62" s="100">
        <v>10015.200000000001</v>
      </c>
      <c r="BH62" s="100">
        <v>8</v>
      </c>
      <c r="BI62" s="100">
        <v>13353.6</v>
      </c>
      <c r="BJ62" s="100">
        <v>4.4638305705948698</v>
      </c>
      <c r="BK62" s="100">
        <v>7451.025988436957</v>
      </c>
      <c r="BL62" s="100">
        <v>5</v>
      </c>
      <c r="BM62" s="100">
        <v>8346</v>
      </c>
      <c r="BN62" s="100">
        <v>7</v>
      </c>
      <c r="BO62" s="100">
        <v>11684.4</v>
      </c>
      <c r="BP62" s="100">
        <v>9</v>
      </c>
      <c r="BQ62" s="100">
        <v>15022.800000000001</v>
      </c>
      <c r="BR62" s="100">
        <v>8</v>
      </c>
      <c r="BS62" s="100">
        <v>13353.6</v>
      </c>
      <c r="BT62" s="100">
        <v>10.115593327290393</v>
      </c>
      <c r="BU62" s="100">
        <v>16884.948381913124</v>
      </c>
      <c r="BV62" s="100">
        <v>4.8896943383973497</v>
      </c>
      <c r="BW62" s="100">
        <v>8161.8777896528563</v>
      </c>
      <c r="BX62" s="100">
        <v>8</v>
      </c>
      <c r="BY62" s="100">
        <v>13353.6</v>
      </c>
      <c r="BZ62" s="100">
        <v>8</v>
      </c>
      <c r="CA62" s="100">
        <v>13353.6</v>
      </c>
      <c r="CB62" s="100">
        <v>10</v>
      </c>
      <c r="CC62" s="100">
        <v>16692</v>
      </c>
      <c r="CD62" s="100">
        <v>3.5622317596565671</v>
      </c>
      <c r="CE62" s="100">
        <v>5946.077253218742</v>
      </c>
      <c r="CF62" s="100">
        <v>8</v>
      </c>
      <c r="CG62" s="100">
        <v>13353.6</v>
      </c>
      <c r="CH62" s="100">
        <v>4.0975609756096834</v>
      </c>
      <c r="CI62" s="100">
        <v>6839.6487804876833</v>
      </c>
      <c r="CJ62" s="100">
        <v>6.8836063954533708</v>
      </c>
      <c r="CK62" s="100">
        <v>11490.115795290767</v>
      </c>
      <c r="CL62" s="100">
        <v>7.168525202949775</v>
      </c>
      <c r="CM62" s="100">
        <v>11965.702268763765</v>
      </c>
      <c r="CN62" s="100">
        <v>7.6836158192089936</v>
      </c>
      <c r="CO62" s="100">
        <v>12825.491525423653</v>
      </c>
      <c r="CP62" s="100">
        <v>0.63902218265219124</v>
      </c>
      <c r="CQ62" s="100">
        <v>1066.6558272830378</v>
      </c>
      <c r="CR62" s="100">
        <v>5.5737704918032458</v>
      </c>
      <c r="CS62" s="100">
        <v>9303.7377049179777</v>
      </c>
      <c r="CT62" s="100">
        <v>10</v>
      </c>
      <c r="CU62" s="100">
        <v>16692</v>
      </c>
    </row>
    <row r="63" spans="2:99">
      <c r="C63" s="99" t="s">
        <v>229</v>
      </c>
      <c r="D63" s="100">
        <v>7.3164867390315562</v>
      </c>
      <c r="E63" s="100">
        <v>5820.9968495735066</v>
      </c>
      <c r="F63" s="100">
        <v>9</v>
      </c>
      <c r="G63" s="100">
        <v>7160.4000000000005</v>
      </c>
      <c r="H63" s="100">
        <v>11</v>
      </c>
      <c r="I63" s="100">
        <v>8751.6</v>
      </c>
      <c r="J63" s="100">
        <v>8</v>
      </c>
      <c r="K63" s="100">
        <v>6364.8</v>
      </c>
      <c r="L63" s="100">
        <v>8</v>
      </c>
      <c r="M63" s="100">
        <v>6364.8</v>
      </c>
      <c r="N63" s="100">
        <v>5.0631140835990829</v>
      </c>
      <c r="O63" s="100">
        <v>4028.2135649114302</v>
      </c>
      <c r="P63" s="100">
        <v>6</v>
      </c>
      <c r="Q63" s="100">
        <v>4773.6000000000004</v>
      </c>
      <c r="R63" s="100">
        <v>4.6830794686038404</v>
      </c>
      <c r="S63" s="100">
        <v>3725.8580252212155</v>
      </c>
      <c r="T63" s="100">
        <v>6</v>
      </c>
      <c r="U63" s="100">
        <v>4773.6000000000004</v>
      </c>
      <c r="V63" s="100">
        <v>7</v>
      </c>
      <c r="W63" s="100">
        <v>5569.2</v>
      </c>
      <c r="X63" s="100">
        <v>2.6839216076668779</v>
      </c>
      <c r="Y63" s="100">
        <v>2135.3280310597684</v>
      </c>
      <c r="Z63" s="100">
        <v>9</v>
      </c>
      <c r="AA63" s="100">
        <v>7160.4000000000005</v>
      </c>
      <c r="AB63" s="100">
        <v>8</v>
      </c>
      <c r="AC63" s="100">
        <v>6364.8</v>
      </c>
      <c r="AD63" s="100">
        <v>7</v>
      </c>
      <c r="AE63" s="100">
        <v>5569.2</v>
      </c>
      <c r="AF63" s="100">
        <v>8.6404400130665202</v>
      </c>
      <c r="AG63" s="100">
        <v>6874.3340743957233</v>
      </c>
      <c r="AH63" s="100">
        <v>7</v>
      </c>
      <c r="AI63" s="100">
        <v>5569.2</v>
      </c>
      <c r="AJ63" s="100">
        <v>9</v>
      </c>
      <c r="AK63" s="100">
        <v>7160.4000000000005</v>
      </c>
      <c r="AL63" s="100">
        <v>0.90933746622243361</v>
      </c>
      <c r="AM63" s="100">
        <v>723.46888812656823</v>
      </c>
      <c r="AN63" s="100">
        <v>7</v>
      </c>
      <c r="AO63" s="100">
        <v>5569.2</v>
      </c>
      <c r="AP63" s="100">
        <v>7</v>
      </c>
      <c r="AQ63" s="100">
        <v>5569.2</v>
      </c>
      <c r="AR63" s="100">
        <v>6</v>
      </c>
      <c r="AS63" s="100">
        <v>4773.6000000000004</v>
      </c>
      <c r="AT63" s="100">
        <v>8</v>
      </c>
      <c r="AU63" s="100">
        <v>6364.8</v>
      </c>
      <c r="AV63" s="100">
        <v>6</v>
      </c>
      <c r="AW63" s="100">
        <v>4773.6000000000004</v>
      </c>
      <c r="AX63" s="100">
        <v>7.8858013178897339</v>
      </c>
      <c r="AY63" s="100">
        <v>6273.9435285130721</v>
      </c>
      <c r="AZ63" s="100">
        <v>1.7682798640787878</v>
      </c>
      <c r="BA63" s="100">
        <v>1406.8434598610836</v>
      </c>
      <c r="BB63" s="100">
        <v>6</v>
      </c>
      <c r="BC63" s="100">
        <v>4773.6000000000004</v>
      </c>
      <c r="BD63" s="100">
        <v>10</v>
      </c>
      <c r="BE63" s="100">
        <v>7956</v>
      </c>
      <c r="BF63" s="100">
        <v>7</v>
      </c>
      <c r="BG63" s="100">
        <v>5569.2</v>
      </c>
      <c r="BH63" s="100">
        <v>2.980682269031202</v>
      </c>
      <c r="BI63" s="100">
        <v>2371.4308132412243</v>
      </c>
      <c r="BJ63" s="100">
        <v>7</v>
      </c>
      <c r="BK63" s="100">
        <v>5569.2</v>
      </c>
      <c r="BL63" s="100">
        <v>5</v>
      </c>
      <c r="BM63" s="100">
        <v>3978</v>
      </c>
      <c r="BN63" s="100">
        <v>9</v>
      </c>
      <c r="BO63" s="100">
        <v>7160.4000000000005</v>
      </c>
      <c r="BP63" s="100">
        <v>9</v>
      </c>
      <c r="BQ63" s="100">
        <v>7160.4000000000005</v>
      </c>
      <c r="BR63" s="100">
        <v>1.0853744530839224</v>
      </c>
      <c r="BS63" s="100">
        <v>863.52391487356874</v>
      </c>
      <c r="BT63" s="100">
        <v>8.9316082720624816</v>
      </c>
      <c r="BU63" s="100">
        <v>7105.9875412529109</v>
      </c>
      <c r="BV63" s="100">
        <v>9</v>
      </c>
      <c r="BW63" s="100">
        <v>7160.4000000000005</v>
      </c>
      <c r="BX63" s="100">
        <v>7</v>
      </c>
      <c r="BY63" s="100">
        <v>5569.2</v>
      </c>
      <c r="BZ63" s="100">
        <v>9</v>
      </c>
      <c r="CA63" s="100">
        <v>7160.4000000000005</v>
      </c>
      <c r="CB63" s="100">
        <v>6.3872166527758605</v>
      </c>
      <c r="CC63" s="100">
        <v>5081.669568948475</v>
      </c>
      <c r="CD63" s="100">
        <v>0</v>
      </c>
      <c r="CE63" s="100">
        <v>0</v>
      </c>
      <c r="CF63" s="100">
        <v>8</v>
      </c>
      <c r="CG63" s="100">
        <v>6364.8</v>
      </c>
      <c r="CH63" s="100">
        <v>6</v>
      </c>
      <c r="CI63" s="100">
        <v>4773.6000000000004</v>
      </c>
      <c r="CJ63" s="100">
        <v>10</v>
      </c>
      <c r="CK63" s="100">
        <v>7956</v>
      </c>
      <c r="CL63" s="100">
        <v>11</v>
      </c>
      <c r="CM63" s="100">
        <v>8751.6</v>
      </c>
      <c r="CN63" s="100">
        <v>9</v>
      </c>
      <c r="CO63" s="100">
        <v>7160.4000000000005</v>
      </c>
      <c r="CP63" s="100">
        <v>10</v>
      </c>
      <c r="CQ63" s="100">
        <v>7956</v>
      </c>
      <c r="CR63" s="100">
        <v>6</v>
      </c>
      <c r="CS63" s="100">
        <v>4773.6000000000004</v>
      </c>
      <c r="CT63" s="100">
        <v>8.2151879971196085</v>
      </c>
      <c r="CU63" s="100">
        <v>6536.003570508361</v>
      </c>
    </row>
    <row r="64" spans="2:99">
      <c r="C64" s="99" t="s">
        <v>230</v>
      </c>
      <c r="D64" s="100">
        <v>7.3164867390315562</v>
      </c>
      <c r="E64" s="100">
        <v>7383.7984170306454</v>
      </c>
      <c r="F64" s="100">
        <v>9</v>
      </c>
      <c r="G64" s="100">
        <v>9082.7999999999993</v>
      </c>
      <c r="H64" s="100">
        <v>11</v>
      </c>
      <c r="I64" s="100">
        <v>11101.199999999997</v>
      </c>
      <c r="J64" s="100">
        <v>8</v>
      </c>
      <c r="K64" s="100">
        <v>8073.5999999999985</v>
      </c>
      <c r="L64" s="100">
        <v>9</v>
      </c>
      <c r="M64" s="100">
        <v>9082.7999999999993</v>
      </c>
      <c r="N64" s="100">
        <v>4.556802675239175</v>
      </c>
      <c r="O64" s="100">
        <v>4598.7252598513742</v>
      </c>
      <c r="P64" s="100">
        <v>6</v>
      </c>
      <c r="Q64" s="100">
        <v>6055.1999999999989</v>
      </c>
      <c r="R64" s="100">
        <v>5.4635927133711464</v>
      </c>
      <c r="S64" s="100">
        <v>5513.8577663341603</v>
      </c>
      <c r="T64" s="100">
        <v>6</v>
      </c>
      <c r="U64" s="100">
        <v>6055.1999999999989</v>
      </c>
      <c r="V64" s="100">
        <v>6</v>
      </c>
      <c r="W64" s="100">
        <v>6055.1999999999989</v>
      </c>
      <c r="X64" s="100">
        <v>2.3484314067085186</v>
      </c>
      <c r="Y64" s="100">
        <v>2370.0369756502364</v>
      </c>
      <c r="Z64" s="100">
        <v>8</v>
      </c>
      <c r="AA64" s="100">
        <v>8073.5999999999985</v>
      </c>
      <c r="AB64" s="100">
        <v>8</v>
      </c>
      <c r="AC64" s="100">
        <v>8073.5999999999985</v>
      </c>
      <c r="AD64" s="100">
        <v>7</v>
      </c>
      <c r="AE64" s="100">
        <v>7064.3999999999987</v>
      </c>
      <c r="AF64" s="100">
        <v>8.6404400130665202</v>
      </c>
      <c r="AG64" s="100">
        <v>8719.9320611867315</v>
      </c>
      <c r="AH64" s="100">
        <v>7</v>
      </c>
      <c r="AI64" s="100">
        <v>7064.3999999999987</v>
      </c>
      <c r="AJ64" s="100">
        <v>9</v>
      </c>
      <c r="AK64" s="100">
        <v>9082.7999999999993</v>
      </c>
      <c r="AL64" s="100">
        <v>1.0103749624693708</v>
      </c>
      <c r="AM64" s="100">
        <v>1019.6704121240888</v>
      </c>
      <c r="AN64" s="100">
        <v>7</v>
      </c>
      <c r="AO64" s="100">
        <v>7064.3999999999987</v>
      </c>
      <c r="AP64" s="100">
        <v>6</v>
      </c>
      <c r="AQ64" s="100">
        <v>6055.1999999999989</v>
      </c>
      <c r="AR64" s="100">
        <v>5</v>
      </c>
      <c r="AS64" s="100">
        <v>5045.9999999999991</v>
      </c>
      <c r="AT64" s="100">
        <v>8</v>
      </c>
      <c r="AU64" s="100">
        <v>8073.5999999999985</v>
      </c>
      <c r="AV64" s="100">
        <v>6</v>
      </c>
      <c r="AW64" s="100">
        <v>6055.1999999999989</v>
      </c>
      <c r="AX64" s="100">
        <v>5.9143509884173007</v>
      </c>
      <c r="AY64" s="100">
        <v>5968.7630175107388</v>
      </c>
      <c r="AZ64" s="100">
        <v>1.7682798640787878</v>
      </c>
      <c r="BA64" s="100">
        <v>1784.5480388283122</v>
      </c>
      <c r="BB64" s="100">
        <v>7</v>
      </c>
      <c r="BC64" s="100">
        <v>7064.3999999999987</v>
      </c>
      <c r="BD64" s="100">
        <v>10</v>
      </c>
      <c r="BE64" s="100">
        <v>10091.999999999998</v>
      </c>
      <c r="BF64" s="100">
        <v>6</v>
      </c>
      <c r="BG64" s="100">
        <v>6055.1999999999989</v>
      </c>
      <c r="BH64" s="100">
        <v>3.4064940217499449</v>
      </c>
      <c r="BI64" s="100">
        <v>3437.8337667500437</v>
      </c>
      <c r="BJ64" s="100">
        <v>7</v>
      </c>
      <c r="BK64" s="100">
        <v>7064.3999999999987</v>
      </c>
      <c r="BL64" s="100">
        <v>6</v>
      </c>
      <c r="BM64" s="100">
        <v>6055.1999999999989</v>
      </c>
      <c r="BN64" s="100">
        <v>9</v>
      </c>
      <c r="BO64" s="100">
        <v>9082.7999999999993</v>
      </c>
      <c r="BP64" s="100">
        <v>10</v>
      </c>
      <c r="BQ64" s="100">
        <v>10091.999999999998</v>
      </c>
      <c r="BR64" s="100">
        <v>1.0853744530839224</v>
      </c>
      <c r="BS64" s="100">
        <v>1095.3598980522943</v>
      </c>
      <c r="BT64" s="100">
        <v>8.1873075827239408</v>
      </c>
      <c r="BU64" s="100">
        <v>8262.6308124850002</v>
      </c>
      <c r="BV64" s="100">
        <v>9</v>
      </c>
      <c r="BW64" s="100">
        <v>9082.7999999999993</v>
      </c>
      <c r="BX64" s="100">
        <v>8</v>
      </c>
      <c r="BY64" s="100">
        <v>8073.5999999999985</v>
      </c>
      <c r="BZ64" s="100">
        <v>9</v>
      </c>
      <c r="CA64" s="100">
        <v>9082.7999999999993</v>
      </c>
      <c r="CB64" s="100">
        <v>5.7484949874982743</v>
      </c>
      <c r="CC64" s="100">
        <v>5801.3811413832573</v>
      </c>
      <c r="CD64" s="100">
        <v>0</v>
      </c>
      <c r="CE64" s="100">
        <v>0</v>
      </c>
      <c r="CF64" s="100">
        <v>8</v>
      </c>
      <c r="CG64" s="100">
        <v>8073.5999999999985</v>
      </c>
      <c r="CH64" s="100">
        <v>5</v>
      </c>
      <c r="CI64" s="100">
        <v>5045.9999999999991</v>
      </c>
      <c r="CJ64" s="100">
        <v>9</v>
      </c>
      <c r="CK64" s="100">
        <v>9082.7999999999993</v>
      </c>
      <c r="CL64" s="100">
        <v>10</v>
      </c>
      <c r="CM64" s="100">
        <v>10091.999999999998</v>
      </c>
      <c r="CN64" s="100">
        <v>9</v>
      </c>
      <c r="CO64" s="100">
        <v>9082.7999999999993</v>
      </c>
      <c r="CP64" s="100">
        <v>10</v>
      </c>
      <c r="CQ64" s="100">
        <v>10091.999999999998</v>
      </c>
      <c r="CR64" s="100">
        <v>5</v>
      </c>
      <c r="CS64" s="100">
        <v>5045.9999999999991</v>
      </c>
      <c r="CT64" s="100">
        <v>8.2151879971196085</v>
      </c>
      <c r="CU64" s="100">
        <v>8290.7677266931078</v>
      </c>
    </row>
    <row r="65" spans="2:99">
      <c r="C65" s="99" t="s">
        <v>231</v>
      </c>
      <c r="D65" s="100">
        <v>7.3164867390315562</v>
      </c>
      <c r="E65" s="100">
        <v>7506.7153942463765</v>
      </c>
      <c r="F65" s="100">
        <v>9</v>
      </c>
      <c r="G65" s="100">
        <v>9234</v>
      </c>
      <c r="H65" s="100">
        <v>11</v>
      </c>
      <c r="I65" s="100">
        <v>11286</v>
      </c>
      <c r="J65" s="100">
        <v>8</v>
      </c>
      <c r="K65" s="100">
        <v>8208</v>
      </c>
      <c r="L65" s="100">
        <v>9</v>
      </c>
      <c r="M65" s="100">
        <v>9234</v>
      </c>
      <c r="N65" s="100">
        <v>4.556802675239175</v>
      </c>
      <c r="O65" s="100">
        <v>4675.279544795394</v>
      </c>
      <c r="P65" s="100">
        <v>6</v>
      </c>
      <c r="Q65" s="100">
        <v>6156</v>
      </c>
      <c r="R65" s="100">
        <v>4.6830794686038404</v>
      </c>
      <c r="S65" s="100">
        <v>4804.8395347875403</v>
      </c>
      <c r="T65" s="100">
        <v>6</v>
      </c>
      <c r="U65" s="100">
        <v>6156</v>
      </c>
      <c r="V65" s="100">
        <v>7</v>
      </c>
      <c r="W65" s="100">
        <v>7182</v>
      </c>
      <c r="X65" s="100">
        <v>2.6839216076668779</v>
      </c>
      <c r="Y65" s="100">
        <v>2753.7035694662168</v>
      </c>
      <c r="Z65" s="100">
        <v>8</v>
      </c>
      <c r="AA65" s="100">
        <v>8208</v>
      </c>
      <c r="AB65" s="100">
        <v>8</v>
      </c>
      <c r="AC65" s="100">
        <v>8208</v>
      </c>
      <c r="AD65" s="100">
        <v>8</v>
      </c>
      <c r="AE65" s="100">
        <v>8208</v>
      </c>
      <c r="AF65" s="100">
        <v>9.6004889034072445</v>
      </c>
      <c r="AG65" s="100">
        <v>9850.1016148958333</v>
      </c>
      <c r="AH65" s="100">
        <v>7</v>
      </c>
      <c r="AI65" s="100">
        <v>7182</v>
      </c>
      <c r="AJ65" s="100">
        <v>10</v>
      </c>
      <c r="AK65" s="100">
        <v>10260</v>
      </c>
      <c r="AL65" s="100">
        <v>1.0103749624693708</v>
      </c>
      <c r="AM65" s="100">
        <v>1036.6447114935745</v>
      </c>
      <c r="AN65" s="100">
        <v>7</v>
      </c>
      <c r="AO65" s="100">
        <v>7182</v>
      </c>
      <c r="AP65" s="100">
        <v>6</v>
      </c>
      <c r="AQ65" s="100">
        <v>6156</v>
      </c>
      <c r="AR65" s="100">
        <v>5</v>
      </c>
      <c r="AS65" s="100">
        <v>5130</v>
      </c>
      <c r="AT65" s="100">
        <v>9</v>
      </c>
      <c r="AU65" s="100">
        <v>9234</v>
      </c>
      <c r="AV65" s="100">
        <v>5</v>
      </c>
      <c r="AW65" s="100">
        <v>5130</v>
      </c>
      <c r="AX65" s="100">
        <v>6.9000761531535169</v>
      </c>
      <c r="AY65" s="100">
        <v>7079.478133135508</v>
      </c>
      <c r="AZ65" s="100">
        <v>1.7682798640787878</v>
      </c>
      <c r="BA65" s="100">
        <v>1814.2551405448362</v>
      </c>
      <c r="BB65" s="100">
        <v>6</v>
      </c>
      <c r="BC65" s="100">
        <v>6156</v>
      </c>
      <c r="BD65" s="100">
        <v>11</v>
      </c>
      <c r="BE65" s="100">
        <v>11286</v>
      </c>
      <c r="BF65" s="100">
        <v>6</v>
      </c>
      <c r="BG65" s="100">
        <v>6156</v>
      </c>
      <c r="BH65" s="100">
        <v>3.4064940217499449</v>
      </c>
      <c r="BI65" s="100">
        <v>3495.0628663154434</v>
      </c>
      <c r="BJ65" s="100">
        <v>7</v>
      </c>
      <c r="BK65" s="100">
        <v>7182</v>
      </c>
      <c r="BL65" s="100">
        <v>6</v>
      </c>
      <c r="BM65" s="100">
        <v>6156</v>
      </c>
      <c r="BN65" s="100">
        <v>9</v>
      </c>
      <c r="BO65" s="100">
        <v>9234</v>
      </c>
      <c r="BP65" s="100">
        <v>11</v>
      </c>
      <c r="BQ65" s="100">
        <v>11286</v>
      </c>
      <c r="BR65" s="100">
        <v>1.0853744530839224</v>
      </c>
      <c r="BS65" s="100">
        <v>1113.5941888641044</v>
      </c>
      <c r="BT65" s="100">
        <v>7.4430068933854008</v>
      </c>
      <c r="BU65" s="100">
        <v>7636.5250726134209</v>
      </c>
      <c r="BV65" s="100">
        <v>10</v>
      </c>
      <c r="BW65" s="100">
        <v>10260</v>
      </c>
      <c r="BX65" s="100">
        <v>8</v>
      </c>
      <c r="BY65" s="100">
        <v>8208</v>
      </c>
      <c r="BZ65" s="100">
        <v>9</v>
      </c>
      <c r="CA65" s="100">
        <v>9234</v>
      </c>
      <c r="CB65" s="100">
        <v>5.7484949874982743</v>
      </c>
      <c r="CC65" s="100">
        <v>5897.9558571732296</v>
      </c>
      <c r="CD65" s="100">
        <v>0</v>
      </c>
      <c r="CE65" s="100">
        <v>0</v>
      </c>
      <c r="CF65" s="100">
        <v>7</v>
      </c>
      <c r="CG65" s="100">
        <v>7182</v>
      </c>
      <c r="CH65" s="100">
        <v>5</v>
      </c>
      <c r="CI65" s="100">
        <v>5130</v>
      </c>
      <c r="CJ65" s="100">
        <v>9</v>
      </c>
      <c r="CK65" s="100">
        <v>9234</v>
      </c>
      <c r="CL65" s="100">
        <v>10</v>
      </c>
      <c r="CM65" s="100">
        <v>10260</v>
      </c>
      <c r="CN65" s="100">
        <v>8</v>
      </c>
      <c r="CO65" s="100">
        <v>8208</v>
      </c>
      <c r="CP65" s="100">
        <v>11</v>
      </c>
      <c r="CQ65" s="100">
        <v>11286</v>
      </c>
      <c r="CR65" s="100">
        <v>6</v>
      </c>
      <c r="CS65" s="100">
        <v>6156</v>
      </c>
      <c r="CT65" s="100">
        <v>9.0367067968315702</v>
      </c>
      <c r="CU65" s="100">
        <v>9271.6611735491915</v>
      </c>
    </row>
    <row r="66" spans="2:99">
      <c r="C66" s="99" t="s">
        <v>232</v>
      </c>
      <c r="D66" s="100">
        <v>6.401925896652612</v>
      </c>
      <c r="E66" s="100">
        <v>7620.8525873752687</v>
      </c>
      <c r="F66" s="100">
        <v>9</v>
      </c>
      <c r="G66" s="100">
        <v>10713.599999999999</v>
      </c>
      <c r="H66" s="100">
        <v>10</v>
      </c>
      <c r="I66" s="100">
        <v>11903.999999999998</v>
      </c>
      <c r="J66" s="100">
        <v>9</v>
      </c>
      <c r="K66" s="100">
        <v>10713.599999999999</v>
      </c>
      <c r="L66" s="100">
        <v>9</v>
      </c>
      <c r="M66" s="100">
        <v>10713.599999999999</v>
      </c>
      <c r="N66" s="100">
        <v>4.556802675239175</v>
      </c>
      <c r="O66" s="100">
        <v>5424.4179046047129</v>
      </c>
      <c r="P66" s="100">
        <v>6</v>
      </c>
      <c r="Q66" s="100">
        <v>7142.4</v>
      </c>
      <c r="R66" s="100">
        <v>4.6830794686038404</v>
      </c>
      <c r="S66" s="100">
        <v>5574.7377994260114</v>
      </c>
      <c r="T66" s="100">
        <v>6</v>
      </c>
      <c r="U66" s="100">
        <v>7142.4</v>
      </c>
      <c r="V66" s="100">
        <v>6</v>
      </c>
      <c r="W66" s="100">
        <v>7142.4</v>
      </c>
      <c r="X66" s="100">
        <v>2.3484314067085186</v>
      </c>
      <c r="Y66" s="100">
        <v>2795.5727465458203</v>
      </c>
      <c r="Z66" s="100">
        <v>8</v>
      </c>
      <c r="AA66" s="100">
        <v>9523.1999999999989</v>
      </c>
      <c r="AB66" s="100">
        <v>8</v>
      </c>
      <c r="AC66" s="100">
        <v>9523.1999999999989</v>
      </c>
      <c r="AD66" s="100">
        <v>8</v>
      </c>
      <c r="AE66" s="100">
        <v>9523.1999999999989</v>
      </c>
      <c r="AF66" s="100">
        <v>8.6404400130665202</v>
      </c>
      <c r="AG66" s="100">
        <v>10285.579791554384</v>
      </c>
      <c r="AH66" s="100">
        <v>6</v>
      </c>
      <c r="AI66" s="100">
        <v>7142.4</v>
      </c>
      <c r="AJ66" s="100">
        <v>9</v>
      </c>
      <c r="AK66" s="100">
        <v>10713.599999999999</v>
      </c>
      <c r="AL66" s="100">
        <v>1.0103749624693708</v>
      </c>
      <c r="AM66" s="100">
        <v>1202.7503553235388</v>
      </c>
      <c r="AN66" s="100">
        <v>7</v>
      </c>
      <c r="AO66" s="100">
        <v>8332.7999999999993</v>
      </c>
      <c r="AP66" s="100">
        <v>6</v>
      </c>
      <c r="AQ66" s="100">
        <v>7142.4</v>
      </c>
      <c r="AR66" s="100">
        <v>6</v>
      </c>
      <c r="AS66" s="100">
        <v>7142.4</v>
      </c>
      <c r="AT66" s="100">
        <v>8</v>
      </c>
      <c r="AU66" s="100">
        <v>9523.1999999999989</v>
      </c>
      <c r="AV66" s="100">
        <v>6</v>
      </c>
      <c r="AW66" s="100">
        <v>7142.4</v>
      </c>
      <c r="AX66" s="100">
        <v>6.9000761531535169</v>
      </c>
      <c r="AY66" s="100">
        <v>8213.8506527139452</v>
      </c>
      <c r="AZ66" s="100">
        <v>1.7682798640787878</v>
      </c>
      <c r="BA66" s="100">
        <v>2104.9603501993888</v>
      </c>
      <c r="BB66" s="100">
        <v>6</v>
      </c>
      <c r="BC66" s="100">
        <v>7142.4</v>
      </c>
      <c r="BD66" s="100">
        <v>10</v>
      </c>
      <c r="BE66" s="100">
        <v>11903.999999999998</v>
      </c>
      <c r="BF66" s="100">
        <v>5</v>
      </c>
      <c r="BG66" s="100">
        <v>5951.9999999999991</v>
      </c>
      <c r="BH66" s="100">
        <v>3.8323057744686881</v>
      </c>
      <c r="BI66" s="100">
        <v>4561.9767939275262</v>
      </c>
      <c r="BJ66" s="100">
        <v>7</v>
      </c>
      <c r="BK66" s="100">
        <v>8332.7999999999993</v>
      </c>
      <c r="BL66" s="100">
        <v>5</v>
      </c>
      <c r="BM66" s="100">
        <v>5951.9999999999991</v>
      </c>
      <c r="BN66" s="100">
        <v>9</v>
      </c>
      <c r="BO66" s="100">
        <v>10713.599999999999</v>
      </c>
      <c r="BP66" s="100">
        <v>10</v>
      </c>
      <c r="BQ66" s="100">
        <v>11903.999999999998</v>
      </c>
      <c r="BR66" s="100">
        <v>1.0853744530839224</v>
      </c>
      <c r="BS66" s="100">
        <v>1292.0297489511011</v>
      </c>
      <c r="BT66" s="100">
        <v>8.1873075827239408</v>
      </c>
      <c r="BU66" s="100">
        <v>9746.1709464745782</v>
      </c>
      <c r="BV66" s="100">
        <v>10</v>
      </c>
      <c r="BW66" s="100">
        <v>11903.999999999998</v>
      </c>
      <c r="BX66" s="100">
        <v>7</v>
      </c>
      <c r="BY66" s="100">
        <v>8332.7999999999993</v>
      </c>
      <c r="BZ66" s="100">
        <v>8</v>
      </c>
      <c r="CA66" s="100">
        <v>9523.1999999999989</v>
      </c>
      <c r="CB66" s="100">
        <v>6.3872166527758605</v>
      </c>
      <c r="CC66" s="100">
        <v>7603.3427034643837</v>
      </c>
      <c r="CD66" s="100">
        <v>0</v>
      </c>
      <c r="CE66" s="100">
        <v>0</v>
      </c>
      <c r="CF66" s="100">
        <v>8</v>
      </c>
      <c r="CG66" s="100">
        <v>9523.1999999999989</v>
      </c>
      <c r="CH66" s="100">
        <v>6</v>
      </c>
      <c r="CI66" s="100">
        <v>7142.4</v>
      </c>
      <c r="CJ66" s="100">
        <v>10</v>
      </c>
      <c r="CK66" s="100">
        <v>11903.999999999998</v>
      </c>
      <c r="CL66" s="100">
        <v>10</v>
      </c>
      <c r="CM66" s="100">
        <v>11903.999999999998</v>
      </c>
      <c r="CN66" s="100">
        <v>9</v>
      </c>
      <c r="CO66" s="100">
        <v>10713.599999999999</v>
      </c>
      <c r="CP66" s="100">
        <v>11</v>
      </c>
      <c r="CQ66" s="100">
        <v>13094.399999999998</v>
      </c>
      <c r="CR66" s="100">
        <v>6</v>
      </c>
      <c r="CS66" s="100">
        <v>7142.4</v>
      </c>
      <c r="CT66" s="100">
        <v>9.0367067968315702</v>
      </c>
      <c r="CU66" s="100">
        <v>10757.2957709483</v>
      </c>
    </row>
    <row r="67" spans="2:99">
      <c r="C67" s="99" t="s">
        <v>233</v>
      </c>
      <c r="D67" s="100">
        <v>8.2310475814105004</v>
      </c>
      <c r="E67" s="100">
        <v>9245.112643440274</v>
      </c>
      <c r="F67" s="100">
        <v>10</v>
      </c>
      <c r="G67" s="100">
        <v>11232</v>
      </c>
      <c r="H67" s="100">
        <v>10</v>
      </c>
      <c r="I67" s="100">
        <v>11232</v>
      </c>
      <c r="J67" s="100">
        <v>9</v>
      </c>
      <c r="K67" s="100">
        <v>10108.800000000001</v>
      </c>
      <c r="L67" s="100">
        <v>10</v>
      </c>
      <c r="M67" s="100">
        <v>11232</v>
      </c>
      <c r="N67" s="100">
        <v>5.0631140835990829</v>
      </c>
      <c r="O67" s="100">
        <v>5686.88973869849</v>
      </c>
      <c r="P67" s="100">
        <v>6</v>
      </c>
      <c r="Q67" s="100">
        <v>6739.2000000000007</v>
      </c>
      <c r="R67" s="100">
        <v>5.4635927133711464</v>
      </c>
      <c r="S67" s="100">
        <v>6136.7073356584715</v>
      </c>
      <c r="T67" s="100">
        <v>6</v>
      </c>
      <c r="U67" s="100">
        <v>6739.2000000000007</v>
      </c>
      <c r="V67" s="100">
        <v>6</v>
      </c>
      <c r="W67" s="100">
        <v>6739.2000000000007</v>
      </c>
      <c r="X67" s="100">
        <v>2.6839216076668779</v>
      </c>
      <c r="Y67" s="100">
        <v>3014.5807497314372</v>
      </c>
      <c r="Z67" s="100">
        <v>7</v>
      </c>
      <c r="AA67" s="100">
        <v>7862.4000000000005</v>
      </c>
      <c r="AB67" s="100">
        <v>7</v>
      </c>
      <c r="AC67" s="100">
        <v>7862.4000000000005</v>
      </c>
      <c r="AD67" s="100">
        <v>8</v>
      </c>
      <c r="AE67" s="100">
        <v>8985.6</v>
      </c>
      <c r="AF67" s="100">
        <v>9.6004889034072445</v>
      </c>
      <c r="AG67" s="100">
        <v>10783.269136307017</v>
      </c>
      <c r="AH67" s="100">
        <v>6</v>
      </c>
      <c r="AI67" s="100">
        <v>6739.2000000000007</v>
      </c>
      <c r="AJ67" s="100">
        <v>8</v>
      </c>
      <c r="AK67" s="100">
        <v>8985.6</v>
      </c>
      <c r="AL67" s="100">
        <v>0.90933746622243361</v>
      </c>
      <c r="AM67" s="100">
        <v>1021.3678420610374</v>
      </c>
      <c r="AN67" s="100">
        <v>7</v>
      </c>
      <c r="AO67" s="100">
        <v>7862.4000000000005</v>
      </c>
      <c r="AP67" s="100">
        <v>6</v>
      </c>
      <c r="AQ67" s="100">
        <v>6739.2000000000007</v>
      </c>
      <c r="AR67" s="100">
        <v>6</v>
      </c>
      <c r="AS67" s="100">
        <v>6739.2000000000007</v>
      </c>
      <c r="AT67" s="100">
        <v>8</v>
      </c>
      <c r="AU67" s="100">
        <v>8985.6</v>
      </c>
      <c r="AV67" s="100">
        <v>6</v>
      </c>
      <c r="AW67" s="100">
        <v>6739.2000000000007</v>
      </c>
      <c r="AX67" s="100">
        <v>6.9000761531535169</v>
      </c>
      <c r="AY67" s="100">
        <v>7750.1655352220305</v>
      </c>
      <c r="AZ67" s="100">
        <v>1.7682798640787878</v>
      </c>
      <c r="BA67" s="100">
        <v>1986.1319433332944</v>
      </c>
      <c r="BB67" s="100">
        <v>7</v>
      </c>
      <c r="BC67" s="100">
        <v>7862.4000000000005</v>
      </c>
      <c r="BD67" s="100">
        <v>10</v>
      </c>
      <c r="BE67" s="100">
        <v>11232</v>
      </c>
      <c r="BF67" s="100">
        <v>6</v>
      </c>
      <c r="BG67" s="100">
        <v>6739.2000000000007</v>
      </c>
      <c r="BH67" s="100">
        <v>3.4064940217499449</v>
      </c>
      <c r="BI67" s="100">
        <v>3826.1740852295384</v>
      </c>
      <c r="BJ67" s="100">
        <v>7</v>
      </c>
      <c r="BK67" s="100">
        <v>7862.4000000000005</v>
      </c>
      <c r="BL67" s="100">
        <v>6</v>
      </c>
      <c r="BM67" s="100">
        <v>6739.2000000000007</v>
      </c>
      <c r="BN67" s="100">
        <v>9</v>
      </c>
      <c r="BO67" s="100">
        <v>10108.800000000001</v>
      </c>
      <c r="BP67" s="100">
        <v>9</v>
      </c>
      <c r="BQ67" s="100">
        <v>10108.800000000001</v>
      </c>
      <c r="BR67" s="100">
        <v>0.94970264644843205</v>
      </c>
      <c r="BS67" s="100">
        <v>1066.7060124908789</v>
      </c>
      <c r="BT67" s="100">
        <v>7.4430068933854008</v>
      </c>
      <c r="BU67" s="100">
        <v>8359.9853426504833</v>
      </c>
      <c r="BV67" s="100">
        <v>10</v>
      </c>
      <c r="BW67" s="100">
        <v>11232</v>
      </c>
      <c r="BX67" s="100">
        <v>7</v>
      </c>
      <c r="BY67" s="100">
        <v>7862.4000000000005</v>
      </c>
      <c r="BZ67" s="100">
        <v>9</v>
      </c>
      <c r="CA67" s="100">
        <v>10108.800000000001</v>
      </c>
      <c r="CB67" s="100">
        <v>5.7484949874982743</v>
      </c>
      <c r="CC67" s="100">
        <v>6456.7095699580623</v>
      </c>
      <c r="CD67" s="100">
        <v>0</v>
      </c>
      <c r="CE67" s="100">
        <v>0</v>
      </c>
      <c r="CF67" s="100">
        <v>7</v>
      </c>
      <c r="CG67" s="100">
        <v>7862.4000000000005</v>
      </c>
      <c r="CH67" s="100">
        <v>5</v>
      </c>
      <c r="CI67" s="100">
        <v>5616</v>
      </c>
      <c r="CJ67" s="100">
        <v>10</v>
      </c>
      <c r="CK67" s="100">
        <v>11232</v>
      </c>
      <c r="CL67" s="100">
        <v>11</v>
      </c>
      <c r="CM67" s="100">
        <v>12355.2</v>
      </c>
      <c r="CN67" s="100">
        <v>8</v>
      </c>
      <c r="CO67" s="100">
        <v>8985.6</v>
      </c>
      <c r="CP67" s="100">
        <v>10</v>
      </c>
      <c r="CQ67" s="100">
        <v>11232</v>
      </c>
      <c r="CR67" s="100">
        <v>6</v>
      </c>
      <c r="CS67" s="100">
        <v>6739.2000000000007</v>
      </c>
      <c r="CT67" s="100">
        <v>8.2151879971196085</v>
      </c>
      <c r="CU67" s="100">
        <v>9227.2991583647454</v>
      </c>
    </row>
    <row r="68" spans="2:99">
      <c r="C68" s="99" t="s">
        <v>234</v>
      </c>
      <c r="D68" s="100">
        <v>8.2310475814105004</v>
      </c>
      <c r="E68" s="100">
        <v>8504.31836111333</v>
      </c>
      <c r="F68" s="100">
        <v>8</v>
      </c>
      <c r="G68" s="100">
        <v>8265.6</v>
      </c>
      <c r="H68" s="100">
        <v>10</v>
      </c>
      <c r="I68" s="100">
        <v>10332</v>
      </c>
      <c r="J68" s="100">
        <v>9</v>
      </c>
      <c r="K68" s="100">
        <v>9298.8000000000011</v>
      </c>
      <c r="L68" s="100">
        <v>9</v>
      </c>
      <c r="M68" s="100">
        <v>9298.8000000000011</v>
      </c>
      <c r="N68" s="100">
        <v>5.0631140835990829</v>
      </c>
      <c r="O68" s="100">
        <v>5231.2094711745731</v>
      </c>
      <c r="P68" s="100">
        <v>6</v>
      </c>
      <c r="Q68" s="100">
        <v>6199.2000000000007</v>
      </c>
      <c r="R68" s="100">
        <v>5.4635927133711464</v>
      </c>
      <c r="S68" s="100">
        <v>5644.9839914550685</v>
      </c>
      <c r="T68" s="100">
        <v>6</v>
      </c>
      <c r="U68" s="100">
        <v>6199.2000000000007</v>
      </c>
      <c r="V68" s="100">
        <v>6</v>
      </c>
      <c r="W68" s="100">
        <v>6199.2000000000007</v>
      </c>
      <c r="X68" s="100">
        <v>2.6839216076668779</v>
      </c>
      <c r="Y68" s="100">
        <v>2773.0278050414186</v>
      </c>
      <c r="Z68" s="100">
        <v>9</v>
      </c>
      <c r="AA68" s="100">
        <v>9298.8000000000011</v>
      </c>
      <c r="AB68" s="100">
        <v>7</v>
      </c>
      <c r="AC68" s="100">
        <v>7232.4000000000005</v>
      </c>
      <c r="AD68" s="100">
        <v>8</v>
      </c>
      <c r="AE68" s="100">
        <v>8265.6</v>
      </c>
      <c r="AF68" s="100">
        <v>8.6404400130665202</v>
      </c>
      <c r="AG68" s="100">
        <v>8927.3026215003283</v>
      </c>
      <c r="AH68" s="100">
        <v>7</v>
      </c>
      <c r="AI68" s="100">
        <v>7232.4000000000005</v>
      </c>
      <c r="AJ68" s="100">
        <v>10</v>
      </c>
      <c r="AK68" s="100">
        <v>10332</v>
      </c>
      <c r="AL68" s="100">
        <v>0.90933746622243361</v>
      </c>
      <c r="AM68" s="100">
        <v>939.52747010101848</v>
      </c>
      <c r="AN68" s="100">
        <v>6</v>
      </c>
      <c r="AO68" s="100">
        <v>6199.2000000000007</v>
      </c>
      <c r="AP68" s="100">
        <v>6</v>
      </c>
      <c r="AQ68" s="100">
        <v>6199.2000000000007</v>
      </c>
      <c r="AR68" s="100">
        <v>5</v>
      </c>
      <c r="AS68" s="100">
        <v>5166</v>
      </c>
      <c r="AT68" s="100">
        <v>8</v>
      </c>
      <c r="AU68" s="100">
        <v>8265.6</v>
      </c>
      <c r="AV68" s="100">
        <v>6</v>
      </c>
      <c r="AW68" s="100">
        <v>6199.2000000000007</v>
      </c>
      <c r="AX68" s="100">
        <v>6.9000761531535169</v>
      </c>
      <c r="AY68" s="100">
        <v>7129.1586814382135</v>
      </c>
      <c r="AZ68" s="100">
        <v>1.7682798640787878</v>
      </c>
      <c r="BA68" s="100">
        <v>1826.9867555662036</v>
      </c>
      <c r="BB68" s="100">
        <v>6</v>
      </c>
      <c r="BC68" s="100">
        <v>6199.2000000000007</v>
      </c>
      <c r="BD68" s="100">
        <v>11</v>
      </c>
      <c r="BE68" s="100">
        <v>11365.2</v>
      </c>
      <c r="BF68" s="100">
        <v>7</v>
      </c>
      <c r="BG68" s="100">
        <v>7232.4000000000005</v>
      </c>
      <c r="BH68" s="100">
        <v>3.4064940217499449</v>
      </c>
      <c r="BI68" s="100">
        <v>3519.5896232720434</v>
      </c>
      <c r="BJ68" s="100">
        <v>6</v>
      </c>
      <c r="BK68" s="100">
        <v>6199.2000000000007</v>
      </c>
      <c r="BL68" s="100">
        <v>5</v>
      </c>
      <c r="BM68" s="100">
        <v>5166</v>
      </c>
      <c r="BN68" s="100">
        <v>8</v>
      </c>
      <c r="BO68" s="100">
        <v>8265.6</v>
      </c>
      <c r="BP68" s="100">
        <v>10</v>
      </c>
      <c r="BQ68" s="100">
        <v>10332</v>
      </c>
      <c r="BR68" s="100">
        <v>1.0853744530839224</v>
      </c>
      <c r="BS68" s="100">
        <v>1121.4088849263087</v>
      </c>
      <c r="BT68" s="100">
        <v>8.1873075827239408</v>
      </c>
      <c r="BU68" s="100">
        <v>8459.1261944703765</v>
      </c>
      <c r="BV68" s="100">
        <v>9</v>
      </c>
      <c r="BW68" s="100">
        <v>9298.8000000000011</v>
      </c>
      <c r="BX68" s="100">
        <v>8</v>
      </c>
      <c r="BY68" s="100">
        <v>8265.6</v>
      </c>
      <c r="BZ68" s="100">
        <v>9</v>
      </c>
      <c r="CA68" s="100">
        <v>9298.8000000000011</v>
      </c>
      <c r="CB68" s="100">
        <v>6.3872166527758605</v>
      </c>
      <c r="CC68" s="100">
        <v>6599.2722456480196</v>
      </c>
      <c r="CD68" s="100">
        <v>0</v>
      </c>
      <c r="CE68" s="100">
        <v>0</v>
      </c>
      <c r="CF68" s="100">
        <v>8</v>
      </c>
      <c r="CG68" s="100">
        <v>8265.6</v>
      </c>
      <c r="CH68" s="100">
        <v>5</v>
      </c>
      <c r="CI68" s="100">
        <v>5166</v>
      </c>
      <c r="CJ68" s="100">
        <v>10</v>
      </c>
      <c r="CK68" s="100">
        <v>10332</v>
      </c>
      <c r="CL68" s="100">
        <v>11</v>
      </c>
      <c r="CM68" s="100">
        <v>11365.2</v>
      </c>
      <c r="CN68" s="100">
        <v>10</v>
      </c>
      <c r="CO68" s="100">
        <v>10332</v>
      </c>
      <c r="CP68" s="100">
        <v>11</v>
      </c>
      <c r="CQ68" s="100">
        <v>11365.2</v>
      </c>
      <c r="CR68" s="100">
        <v>6</v>
      </c>
      <c r="CS68" s="100">
        <v>6199.2000000000007</v>
      </c>
      <c r="CT68" s="100">
        <v>8.2151879971196085</v>
      </c>
      <c r="CU68" s="100">
        <v>8487.9322386239801</v>
      </c>
    </row>
    <row r="69" spans="2:99">
      <c r="C69" s="99" t="s">
        <v>235</v>
      </c>
      <c r="D69" s="100">
        <v>8.2310475814105004</v>
      </c>
      <c r="E69" s="100">
        <v>6242.4264857417229</v>
      </c>
      <c r="F69" s="100">
        <v>9</v>
      </c>
      <c r="G69" s="100">
        <v>6825.5999999999995</v>
      </c>
      <c r="H69" s="100">
        <v>12</v>
      </c>
      <c r="I69" s="100">
        <v>9100.7999999999993</v>
      </c>
      <c r="J69" s="100">
        <v>9</v>
      </c>
      <c r="K69" s="100">
        <v>6825.5999999999995</v>
      </c>
      <c r="L69" s="100">
        <v>10</v>
      </c>
      <c r="M69" s="100">
        <v>7584</v>
      </c>
      <c r="N69" s="100">
        <v>4.556802675239175</v>
      </c>
      <c r="O69" s="100">
        <v>3455.8791489013902</v>
      </c>
      <c r="P69" s="100">
        <v>7</v>
      </c>
      <c r="Q69" s="100">
        <v>5308.8</v>
      </c>
      <c r="R69" s="100">
        <v>5.4635927133711464</v>
      </c>
      <c r="S69" s="100">
        <v>4143.5887138206772</v>
      </c>
      <c r="T69" s="100">
        <v>5</v>
      </c>
      <c r="U69" s="100">
        <v>3792</v>
      </c>
      <c r="V69" s="100">
        <v>6</v>
      </c>
      <c r="W69" s="100">
        <v>4550.3999999999996</v>
      </c>
      <c r="X69" s="100">
        <v>2.3484314067085186</v>
      </c>
      <c r="Y69" s="100">
        <v>1781.0503788477404</v>
      </c>
      <c r="Z69" s="100">
        <v>8</v>
      </c>
      <c r="AA69" s="100">
        <v>6067.2</v>
      </c>
      <c r="AB69" s="100">
        <v>7</v>
      </c>
      <c r="AC69" s="100">
        <v>5308.8</v>
      </c>
      <c r="AD69" s="100">
        <v>9</v>
      </c>
      <c r="AE69" s="100">
        <v>6825.5999999999995</v>
      </c>
      <c r="AF69" s="100">
        <v>9.6004889034072445</v>
      </c>
      <c r="AG69" s="100">
        <v>7281.0107843440537</v>
      </c>
      <c r="AH69" s="100">
        <v>6</v>
      </c>
      <c r="AI69" s="100">
        <v>4550.3999999999996</v>
      </c>
      <c r="AJ69" s="100">
        <v>10</v>
      </c>
      <c r="AK69" s="100">
        <v>7584</v>
      </c>
      <c r="AL69" s="100">
        <v>0.90933746622243361</v>
      </c>
      <c r="AM69" s="100">
        <v>689.64153438309359</v>
      </c>
      <c r="AN69" s="100">
        <v>6</v>
      </c>
      <c r="AO69" s="100">
        <v>4550.3999999999996</v>
      </c>
      <c r="AP69" s="100">
        <v>7</v>
      </c>
      <c r="AQ69" s="100">
        <v>5308.8</v>
      </c>
      <c r="AR69" s="100">
        <v>6</v>
      </c>
      <c r="AS69" s="100">
        <v>4550.3999999999996</v>
      </c>
      <c r="AT69" s="100">
        <v>9</v>
      </c>
      <c r="AU69" s="100">
        <v>6825.5999999999995</v>
      </c>
      <c r="AV69" s="100">
        <v>6</v>
      </c>
      <c r="AW69" s="100">
        <v>4550.3999999999996</v>
      </c>
      <c r="AX69" s="100">
        <v>6.9000761531535169</v>
      </c>
      <c r="AY69" s="100">
        <v>5233.0177545516271</v>
      </c>
      <c r="AZ69" s="100">
        <v>2.0208912732329001</v>
      </c>
      <c r="BA69" s="100">
        <v>1532.6439416198314</v>
      </c>
      <c r="BB69" s="100">
        <v>6</v>
      </c>
      <c r="BC69" s="100">
        <v>4550.3999999999996</v>
      </c>
      <c r="BD69" s="100">
        <v>10</v>
      </c>
      <c r="BE69" s="100">
        <v>7584</v>
      </c>
      <c r="BF69" s="100">
        <v>6</v>
      </c>
      <c r="BG69" s="100">
        <v>4550.3999999999996</v>
      </c>
      <c r="BH69" s="100">
        <v>3.4064940217499449</v>
      </c>
      <c r="BI69" s="100">
        <v>2583.4850660951579</v>
      </c>
      <c r="BJ69" s="100">
        <v>8</v>
      </c>
      <c r="BK69" s="100">
        <v>6067.2</v>
      </c>
      <c r="BL69" s="100">
        <v>6</v>
      </c>
      <c r="BM69" s="100">
        <v>4550.3999999999996</v>
      </c>
      <c r="BN69" s="100">
        <v>9</v>
      </c>
      <c r="BO69" s="100">
        <v>6825.5999999999995</v>
      </c>
      <c r="BP69" s="100">
        <v>10</v>
      </c>
      <c r="BQ69" s="100">
        <v>7584</v>
      </c>
      <c r="BR69" s="100">
        <v>0.94970264644843205</v>
      </c>
      <c r="BS69" s="100">
        <v>720.25448706649081</v>
      </c>
      <c r="BT69" s="100">
        <v>7.4430068933854008</v>
      </c>
      <c r="BU69" s="100">
        <v>5644.7764279434878</v>
      </c>
      <c r="BV69" s="100">
        <v>10</v>
      </c>
      <c r="BW69" s="100">
        <v>7584</v>
      </c>
      <c r="BX69" s="100">
        <v>8</v>
      </c>
      <c r="BY69" s="100">
        <v>6067.2</v>
      </c>
      <c r="BZ69" s="100">
        <v>9</v>
      </c>
      <c r="CA69" s="100">
        <v>6825.5999999999995</v>
      </c>
      <c r="CB69" s="100">
        <v>7.0259383180534467</v>
      </c>
      <c r="CC69" s="100">
        <v>5328.471620411734</v>
      </c>
      <c r="CD69" s="100">
        <v>0</v>
      </c>
      <c r="CE69" s="100">
        <v>0</v>
      </c>
      <c r="CF69" s="100">
        <v>8</v>
      </c>
      <c r="CG69" s="100">
        <v>6067.2</v>
      </c>
      <c r="CH69" s="100">
        <v>5</v>
      </c>
      <c r="CI69" s="100">
        <v>3792</v>
      </c>
      <c r="CJ69" s="100">
        <v>10</v>
      </c>
      <c r="CK69" s="100">
        <v>7584</v>
      </c>
      <c r="CL69" s="100">
        <v>11</v>
      </c>
      <c r="CM69" s="100">
        <v>8342.4</v>
      </c>
      <c r="CN69" s="100">
        <v>8</v>
      </c>
      <c r="CO69" s="100">
        <v>6067.2</v>
      </c>
      <c r="CP69" s="100">
        <v>11</v>
      </c>
      <c r="CQ69" s="100">
        <v>8342.4</v>
      </c>
      <c r="CR69" s="100">
        <v>6</v>
      </c>
      <c r="CS69" s="100">
        <v>4550.3999999999996</v>
      </c>
      <c r="CT69" s="100">
        <v>8.2151879971196085</v>
      </c>
      <c r="CU69" s="100">
        <v>6230.3985770155105</v>
      </c>
    </row>
    <row r="70" spans="2:99">
      <c r="C70" s="99" t="s">
        <v>236</v>
      </c>
      <c r="D70" s="100">
        <v>7.3164867390315562</v>
      </c>
      <c r="E70" s="100">
        <v>3915.7837027296882</v>
      </c>
      <c r="F70" s="100">
        <v>9</v>
      </c>
      <c r="G70" s="100">
        <v>4816.7999999999993</v>
      </c>
      <c r="H70" s="100">
        <v>10</v>
      </c>
      <c r="I70" s="100">
        <v>5351.9999999999991</v>
      </c>
      <c r="J70" s="100">
        <v>8</v>
      </c>
      <c r="K70" s="100">
        <v>4281.5999999999995</v>
      </c>
      <c r="L70" s="100">
        <v>10</v>
      </c>
      <c r="M70" s="100">
        <v>5351.9999999999991</v>
      </c>
      <c r="N70" s="100">
        <v>4.556802675239175</v>
      </c>
      <c r="O70" s="100">
        <v>2438.8007917880063</v>
      </c>
      <c r="P70" s="100">
        <v>6</v>
      </c>
      <c r="Q70" s="100">
        <v>3211.2</v>
      </c>
      <c r="R70" s="100">
        <v>4.6830794686038404</v>
      </c>
      <c r="S70" s="100">
        <v>2506.3841315967752</v>
      </c>
      <c r="T70" s="100">
        <v>6</v>
      </c>
      <c r="U70" s="100">
        <v>3211.2</v>
      </c>
      <c r="V70" s="100">
        <v>6</v>
      </c>
      <c r="W70" s="100">
        <v>3211.2</v>
      </c>
      <c r="X70" s="100">
        <v>2.6839216076668779</v>
      </c>
      <c r="Y70" s="100">
        <v>1436.4348444233128</v>
      </c>
      <c r="Z70" s="100">
        <v>8</v>
      </c>
      <c r="AA70" s="100">
        <v>4281.5999999999995</v>
      </c>
      <c r="AB70" s="100">
        <v>7</v>
      </c>
      <c r="AC70" s="100">
        <v>3746.3999999999996</v>
      </c>
      <c r="AD70" s="100">
        <v>9</v>
      </c>
      <c r="AE70" s="100">
        <v>4816.7999999999993</v>
      </c>
      <c r="AF70" s="100">
        <v>9.6004889034072445</v>
      </c>
      <c r="AG70" s="100">
        <v>5138.1816611035565</v>
      </c>
      <c r="AH70" s="100">
        <v>7</v>
      </c>
      <c r="AI70" s="100">
        <v>3746.3999999999996</v>
      </c>
      <c r="AJ70" s="100">
        <v>10</v>
      </c>
      <c r="AK70" s="100">
        <v>5351.9999999999991</v>
      </c>
      <c r="AL70" s="100">
        <v>0.90933746622243361</v>
      </c>
      <c r="AM70" s="100">
        <v>486.67741192224639</v>
      </c>
      <c r="AN70" s="100">
        <v>7</v>
      </c>
      <c r="AO70" s="100">
        <v>3746.3999999999996</v>
      </c>
      <c r="AP70" s="100">
        <v>7</v>
      </c>
      <c r="AQ70" s="100">
        <v>3746.3999999999996</v>
      </c>
      <c r="AR70" s="100">
        <v>6</v>
      </c>
      <c r="AS70" s="100">
        <v>3211.2</v>
      </c>
      <c r="AT70" s="100">
        <v>8</v>
      </c>
      <c r="AU70" s="100">
        <v>4281.5999999999995</v>
      </c>
      <c r="AV70" s="100">
        <v>7</v>
      </c>
      <c r="AW70" s="100">
        <v>3746.3999999999996</v>
      </c>
      <c r="AX70" s="100">
        <v>6.9000761531535169</v>
      </c>
      <c r="AY70" s="100">
        <v>3692.9207571677616</v>
      </c>
      <c r="AZ70" s="100">
        <v>2.0208912732329001</v>
      </c>
      <c r="BA70" s="100">
        <v>1081.581009434248</v>
      </c>
      <c r="BB70" s="100">
        <v>6</v>
      </c>
      <c r="BC70" s="100">
        <v>3211.2</v>
      </c>
      <c r="BD70" s="100">
        <v>12</v>
      </c>
      <c r="BE70" s="100">
        <v>6422.4</v>
      </c>
      <c r="BF70" s="100">
        <v>6</v>
      </c>
      <c r="BG70" s="100">
        <v>3211.2</v>
      </c>
      <c r="BH70" s="100">
        <v>3.4064940217499449</v>
      </c>
      <c r="BI70" s="100">
        <v>1823.1556004405702</v>
      </c>
      <c r="BJ70" s="100">
        <v>7</v>
      </c>
      <c r="BK70" s="100">
        <v>3746.3999999999996</v>
      </c>
      <c r="BL70" s="100">
        <v>6</v>
      </c>
      <c r="BM70" s="100">
        <v>3211.2</v>
      </c>
      <c r="BN70" s="100">
        <v>9</v>
      </c>
      <c r="BO70" s="100">
        <v>4816.7999999999993</v>
      </c>
      <c r="BP70" s="100">
        <v>9</v>
      </c>
      <c r="BQ70" s="100">
        <v>4816.7999999999993</v>
      </c>
      <c r="BR70" s="100">
        <v>1.2210462597194127</v>
      </c>
      <c r="BS70" s="100">
        <v>653.50395820182962</v>
      </c>
      <c r="BT70" s="100">
        <v>8.1873075827239408</v>
      </c>
      <c r="BU70" s="100">
        <v>4381.8470182738529</v>
      </c>
      <c r="BV70" s="100">
        <v>10</v>
      </c>
      <c r="BW70" s="100">
        <v>5351.9999999999991</v>
      </c>
      <c r="BX70" s="100">
        <v>8</v>
      </c>
      <c r="BY70" s="100">
        <v>4281.5999999999995</v>
      </c>
      <c r="BZ70" s="100">
        <v>9</v>
      </c>
      <c r="CA70" s="100">
        <v>4816.7999999999993</v>
      </c>
      <c r="CB70" s="100">
        <v>7.0259383180534467</v>
      </c>
      <c r="CC70" s="100">
        <v>3760.2821878222044</v>
      </c>
      <c r="CD70" s="100">
        <v>0</v>
      </c>
      <c r="CE70" s="100">
        <v>0</v>
      </c>
      <c r="CF70" s="100">
        <v>7</v>
      </c>
      <c r="CG70" s="100">
        <v>3746.3999999999996</v>
      </c>
      <c r="CH70" s="100">
        <v>6</v>
      </c>
      <c r="CI70" s="100">
        <v>3211.2</v>
      </c>
      <c r="CJ70" s="100">
        <v>11</v>
      </c>
      <c r="CK70" s="100">
        <v>5887.1999999999989</v>
      </c>
      <c r="CL70" s="100">
        <v>11</v>
      </c>
      <c r="CM70" s="100">
        <v>5887.1999999999989</v>
      </c>
      <c r="CN70" s="100">
        <v>9</v>
      </c>
      <c r="CO70" s="100">
        <v>4816.7999999999993</v>
      </c>
      <c r="CP70" s="100">
        <v>10</v>
      </c>
      <c r="CQ70" s="100">
        <v>5351.9999999999991</v>
      </c>
      <c r="CR70" s="100">
        <v>5</v>
      </c>
      <c r="CS70" s="100">
        <v>2675.9999999999995</v>
      </c>
      <c r="CT70" s="100">
        <v>9.0367067968315702</v>
      </c>
      <c r="CU70" s="100">
        <v>4836.445477664256</v>
      </c>
    </row>
    <row r="71" spans="2:99">
      <c r="B71" s="99" t="s">
        <v>130</v>
      </c>
      <c r="C71" s="99" t="s">
        <v>237</v>
      </c>
      <c r="D71" s="100">
        <v>5.8404318509740376</v>
      </c>
      <c r="E71" s="100">
        <v>3294.0035639493572</v>
      </c>
      <c r="F71" s="100">
        <v>8</v>
      </c>
      <c r="G71" s="100">
        <v>4512</v>
      </c>
      <c r="H71" s="100">
        <v>10</v>
      </c>
      <c r="I71" s="100">
        <v>5640</v>
      </c>
      <c r="J71" s="100">
        <v>3.3676503651876262</v>
      </c>
      <c r="K71" s="100">
        <v>1899.3548059658212</v>
      </c>
      <c r="L71" s="100">
        <v>9</v>
      </c>
      <c r="M71" s="100">
        <v>5076</v>
      </c>
      <c r="N71" s="100">
        <v>9</v>
      </c>
      <c r="O71" s="100">
        <v>5076</v>
      </c>
      <c r="P71" s="100">
        <v>8</v>
      </c>
      <c r="Q71" s="100">
        <v>4512</v>
      </c>
      <c r="R71" s="100">
        <v>8</v>
      </c>
      <c r="S71" s="100">
        <v>4512</v>
      </c>
      <c r="T71" s="100">
        <v>12</v>
      </c>
      <c r="U71" s="100">
        <v>6768</v>
      </c>
      <c r="V71" s="100">
        <v>12</v>
      </c>
      <c r="W71" s="100">
        <v>6768</v>
      </c>
      <c r="X71" s="100">
        <v>13</v>
      </c>
      <c r="Y71" s="100">
        <v>7332</v>
      </c>
      <c r="Z71" s="100">
        <v>12</v>
      </c>
      <c r="AA71" s="100">
        <v>6768</v>
      </c>
      <c r="AB71" s="100">
        <v>10</v>
      </c>
      <c r="AC71" s="100">
        <v>5640</v>
      </c>
      <c r="AD71" s="100">
        <v>10</v>
      </c>
      <c r="AE71" s="100">
        <v>5640</v>
      </c>
      <c r="AF71" s="100">
        <v>11</v>
      </c>
      <c r="AG71" s="100">
        <v>6204</v>
      </c>
      <c r="AH71" s="100">
        <v>9</v>
      </c>
      <c r="AI71" s="100">
        <v>5076</v>
      </c>
      <c r="AJ71" s="100">
        <v>8.4427302959641981</v>
      </c>
      <c r="AK71" s="100">
        <v>4761.6998869238078</v>
      </c>
      <c r="AL71" s="100">
        <v>6.7911583426425306</v>
      </c>
      <c r="AM71" s="100">
        <v>3830.2133052503873</v>
      </c>
      <c r="AN71" s="100">
        <v>10</v>
      </c>
      <c r="AO71" s="100">
        <v>5640</v>
      </c>
      <c r="AP71" s="100">
        <v>13</v>
      </c>
      <c r="AQ71" s="100">
        <v>7332</v>
      </c>
      <c r="AR71" s="100">
        <v>11.372911967972485</v>
      </c>
      <c r="AS71" s="100">
        <v>6414.3223499364813</v>
      </c>
      <c r="AT71" s="100">
        <v>11</v>
      </c>
      <c r="AU71" s="100">
        <v>6204</v>
      </c>
      <c r="AV71" s="100">
        <v>8</v>
      </c>
      <c r="AW71" s="100">
        <v>4512</v>
      </c>
      <c r="AX71" s="100">
        <v>8</v>
      </c>
      <c r="AY71" s="100">
        <v>4512</v>
      </c>
      <c r="AZ71" s="100">
        <v>15</v>
      </c>
      <c r="BA71" s="100">
        <v>8460</v>
      </c>
      <c r="BB71" s="100">
        <v>11</v>
      </c>
      <c r="BC71" s="100">
        <v>6204</v>
      </c>
      <c r="BD71" s="100">
        <v>12</v>
      </c>
      <c r="BE71" s="100">
        <v>6768</v>
      </c>
      <c r="BF71" s="100">
        <v>9.6373393752800371</v>
      </c>
      <c r="BG71" s="100">
        <v>5435.4594076579406</v>
      </c>
      <c r="BH71" s="100">
        <v>13</v>
      </c>
      <c r="BI71" s="100">
        <v>7332</v>
      </c>
      <c r="BJ71" s="100">
        <v>12</v>
      </c>
      <c r="BK71" s="100">
        <v>6768</v>
      </c>
      <c r="BL71" s="100">
        <v>8</v>
      </c>
      <c r="BM71" s="100">
        <v>4512</v>
      </c>
      <c r="BN71" s="100">
        <v>5.5381958419339785</v>
      </c>
      <c r="BO71" s="100">
        <v>3123.542454850764</v>
      </c>
      <c r="BP71" s="100">
        <v>10.671936758893207</v>
      </c>
      <c r="BQ71" s="100">
        <v>6018.9723320157682</v>
      </c>
      <c r="BR71" s="100">
        <v>11</v>
      </c>
      <c r="BS71" s="100">
        <v>6204</v>
      </c>
      <c r="BT71" s="100">
        <v>8</v>
      </c>
      <c r="BU71" s="100">
        <v>4512</v>
      </c>
      <c r="BV71" s="100">
        <v>11</v>
      </c>
      <c r="BW71" s="100">
        <v>6204</v>
      </c>
      <c r="BX71" s="100">
        <v>9</v>
      </c>
      <c r="BY71" s="100">
        <v>5076</v>
      </c>
      <c r="BZ71" s="100">
        <v>12</v>
      </c>
      <c r="CA71" s="100">
        <v>6768</v>
      </c>
      <c r="CB71" s="100">
        <v>8</v>
      </c>
      <c r="CC71" s="100">
        <v>4512</v>
      </c>
      <c r="CD71" s="100">
        <v>10</v>
      </c>
      <c r="CE71" s="100">
        <v>5640</v>
      </c>
      <c r="CF71" s="100">
        <v>11.995708154505881</v>
      </c>
      <c r="CG71" s="100">
        <v>6765.5793991413166</v>
      </c>
      <c r="CH71" s="100">
        <v>8</v>
      </c>
      <c r="CI71" s="100">
        <v>4512</v>
      </c>
      <c r="CJ71" s="100">
        <v>8</v>
      </c>
      <c r="CK71" s="100">
        <v>4512</v>
      </c>
      <c r="CL71" s="100">
        <v>14</v>
      </c>
      <c r="CM71" s="100">
        <v>7896</v>
      </c>
      <c r="CN71" s="100">
        <v>7</v>
      </c>
      <c r="CO71" s="100">
        <v>3948</v>
      </c>
      <c r="CP71" s="100">
        <v>9.9807695452146774</v>
      </c>
      <c r="CQ71" s="100">
        <v>5629.154023501078</v>
      </c>
      <c r="CR71" s="100">
        <v>12</v>
      </c>
      <c r="CS71" s="100">
        <v>6768</v>
      </c>
      <c r="CT71" s="100">
        <v>10</v>
      </c>
      <c r="CU71" s="100">
        <v>5640</v>
      </c>
    </row>
    <row r="72" spans="2:99">
      <c r="C72" s="99" t="s">
        <v>238</v>
      </c>
      <c r="D72" s="100">
        <v>5.8404318509740376</v>
      </c>
      <c r="E72" s="100">
        <v>434.52812971246834</v>
      </c>
      <c r="F72" s="100">
        <v>9</v>
      </c>
      <c r="G72" s="100">
        <v>669.59999999999991</v>
      </c>
      <c r="H72" s="100">
        <v>10</v>
      </c>
      <c r="I72" s="100">
        <v>743.99999999999989</v>
      </c>
      <c r="J72" s="100">
        <v>3.8487432745001446</v>
      </c>
      <c r="K72" s="100">
        <v>286.34649962281071</v>
      </c>
      <c r="L72" s="100">
        <v>8</v>
      </c>
      <c r="M72" s="100">
        <v>595.19999999999993</v>
      </c>
      <c r="N72" s="100">
        <v>10</v>
      </c>
      <c r="O72" s="100">
        <v>743.99999999999989</v>
      </c>
      <c r="P72" s="100">
        <v>7</v>
      </c>
      <c r="Q72" s="100">
        <v>520.79999999999995</v>
      </c>
      <c r="R72" s="100">
        <v>9</v>
      </c>
      <c r="S72" s="100">
        <v>669.59999999999991</v>
      </c>
      <c r="T72" s="100">
        <v>13</v>
      </c>
      <c r="U72" s="100">
        <v>967.19999999999993</v>
      </c>
      <c r="V72" s="100">
        <v>14</v>
      </c>
      <c r="W72" s="100">
        <v>1041.5999999999999</v>
      </c>
      <c r="X72" s="100">
        <v>14</v>
      </c>
      <c r="Y72" s="100">
        <v>1041.5999999999999</v>
      </c>
      <c r="Z72" s="100">
        <v>13</v>
      </c>
      <c r="AA72" s="100">
        <v>967.19999999999993</v>
      </c>
      <c r="AB72" s="100">
        <v>11</v>
      </c>
      <c r="AC72" s="100">
        <v>818.39999999999986</v>
      </c>
      <c r="AD72" s="100">
        <v>10</v>
      </c>
      <c r="AE72" s="100">
        <v>743.99999999999989</v>
      </c>
      <c r="AF72" s="100">
        <v>12</v>
      </c>
      <c r="AG72" s="100">
        <v>892.8</v>
      </c>
      <c r="AH72" s="100">
        <v>11</v>
      </c>
      <c r="AI72" s="100">
        <v>818.39999999999986</v>
      </c>
      <c r="AJ72" s="100">
        <v>9.9777721679576885</v>
      </c>
      <c r="AK72" s="100">
        <v>742.34624929605195</v>
      </c>
      <c r="AL72" s="100">
        <v>6.3384144531330291</v>
      </c>
      <c r="AM72" s="100">
        <v>471.5780353130973</v>
      </c>
      <c r="AN72" s="100">
        <v>10</v>
      </c>
      <c r="AO72" s="100">
        <v>743.99999999999989</v>
      </c>
      <c r="AP72" s="100">
        <v>12</v>
      </c>
      <c r="AQ72" s="100">
        <v>892.8</v>
      </c>
      <c r="AR72" s="100">
        <v>12.247751350124215</v>
      </c>
      <c r="AS72" s="100">
        <v>911.23270044924152</v>
      </c>
      <c r="AT72" s="100">
        <v>13</v>
      </c>
      <c r="AU72" s="100">
        <v>967.19999999999993</v>
      </c>
      <c r="AV72" s="100">
        <v>8</v>
      </c>
      <c r="AW72" s="100">
        <v>595.19999999999993</v>
      </c>
      <c r="AX72" s="100">
        <v>8</v>
      </c>
      <c r="AY72" s="100">
        <v>595.19999999999993</v>
      </c>
      <c r="AZ72" s="100">
        <v>14</v>
      </c>
      <c r="BA72" s="100">
        <v>1041.5999999999999</v>
      </c>
      <c r="BB72" s="100">
        <v>11</v>
      </c>
      <c r="BC72" s="100">
        <v>818.39999999999986</v>
      </c>
      <c r="BD72" s="100">
        <v>11</v>
      </c>
      <c r="BE72" s="100">
        <v>818.39999999999986</v>
      </c>
      <c r="BF72" s="100">
        <v>9.6373393752800371</v>
      </c>
      <c r="BG72" s="100">
        <v>717.01804952083467</v>
      </c>
      <c r="BH72" s="100">
        <v>13</v>
      </c>
      <c r="BI72" s="100">
        <v>967.19999999999993</v>
      </c>
      <c r="BJ72" s="100">
        <v>11</v>
      </c>
      <c r="BK72" s="100">
        <v>818.39999999999986</v>
      </c>
      <c r="BL72" s="100">
        <v>8</v>
      </c>
      <c r="BM72" s="100">
        <v>595.19999999999993</v>
      </c>
      <c r="BN72" s="100">
        <v>5.5381958419339785</v>
      </c>
      <c r="BO72" s="100">
        <v>412.04177063988794</v>
      </c>
      <c r="BP72" s="100">
        <v>9.9604743083003253</v>
      </c>
      <c r="BQ72" s="100">
        <v>741.05928853754415</v>
      </c>
      <c r="BR72" s="100">
        <v>12</v>
      </c>
      <c r="BS72" s="100">
        <v>892.8</v>
      </c>
      <c r="BT72" s="100">
        <v>9</v>
      </c>
      <c r="BU72" s="100">
        <v>669.59999999999991</v>
      </c>
      <c r="BV72" s="100">
        <v>10</v>
      </c>
      <c r="BW72" s="100">
        <v>743.99999999999989</v>
      </c>
      <c r="BX72" s="100">
        <v>10</v>
      </c>
      <c r="BY72" s="100">
        <v>743.99999999999989</v>
      </c>
      <c r="BZ72" s="100">
        <v>11</v>
      </c>
      <c r="CA72" s="100">
        <v>818.39999999999986</v>
      </c>
      <c r="CB72" s="100">
        <v>10</v>
      </c>
      <c r="CC72" s="100">
        <v>743.99999999999989</v>
      </c>
      <c r="CD72" s="100">
        <v>9</v>
      </c>
      <c r="CE72" s="100">
        <v>669.59999999999991</v>
      </c>
      <c r="CF72" s="100">
        <v>12.918454935621716</v>
      </c>
      <c r="CG72" s="100">
        <v>961.13304721025554</v>
      </c>
      <c r="CH72" s="100">
        <v>8</v>
      </c>
      <c r="CI72" s="100">
        <v>595.19999999999993</v>
      </c>
      <c r="CJ72" s="100">
        <v>9</v>
      </c>
      <c r="CK72" s="100">
        <v>669.59999999999991</v>
      </c>
      <c r="CL72" s="100">
        <v>15</v>
      </c>
      <c r="CM72" s="100">
        <v>1115.9999999999998</v>
      </c>
      <c r="CN72" s="100">
        <v>9</v>
      </c>
      <c r="CO72" s="100">
        <v>669.59999999999991</v>
      </c>
      <c r="CP72" s="100">
        <v>12.475961931518347</v>
      </c>
      <c r="CQ72" s="100">
        <v>928.21156770496486</v>
      </c>
      <c r="CR72" s="100">
        <v>12</v>
      </c>
      <c r="CS72" s="100">
        <v>892.8</v>
      </c>
      <c r="CT72" s="100">
        <v>12</v>
      </c>
      <c r="CU72" s="100">
        <v>892.8</v>
      </c>
    </row>
    <row r="73" spans="2:99">
      <c r="C73" s="99" t="s">
        <v>239</v>
      </c>
      <c r="D73" s="100">
        <v>6.424475036071442</v>
      </c>
      <c r="E73" s="100">
        <v>3592.5664401711501</v>
      </c>
      <c r="F73" s="100">
        <v>8</v>
      </c>
      <c r="G73" s="100">
        <v>4473.5999999999995</v>
      </c>
      <c r="H73" s="100">
        <v>10</v>
      </c>
      <c r="I73" s="100">
        <v>5591.9999999999991</v>
      </c>
      <c r="J73" s="100">
        <v>3.3676503651876262</v>
      </c>
      <c r="K73" s="100">
        <v>1883.1900842129203</v>
      </c>
      <c r="L73" s="100">
        <v>9</v>
      </c>
      <c r="M73" s="100">
        <v>5032.7999999999993</v>
      </c>
      <c r="N73" s="100">
        <v>9</v>
      </c>
      <c r="O73" s="100">
        <v>5032.7999999999993</v>
      </c>
      <c r="P73" s="100">
        <v>7</v>
      </c>
      <c r="Q73" s="100">
        <v>3914.3999999999996</v>
      </c>
      <c r="R73" s="100">
        <v>8</v>
      </c>
      <c r="S73" s="100">
        <v>4473.5999999999995</v>
      </c>
      <c r="T73" s="100">
        <v>12</v>
      </c>
      <c r="U73" s="100">
        <v>6710.4</v>
      </c>
      <c r="V73" s="100">
        <v>13</v>
      </c>
      <c r="W73" s="100">
        <v>7269.5999999999995</v>
      </c>
      <c r="X73" s="100">
        <v>12</v>
      </c>
      <c r="Y73" s="100">
        <v>6710.4</v>
      </c>
      <c r="Z73" s="100">
        <v>13</v>
      </c>
      <c r="AA73" s="100">
        <v>7269.5999999999995</v>
      </c>
      <c r="AB73" s="100">
        <v>11</v>
      </c>
      <c r="AC73" s="100">
        <v>6151.1999999999989</v>
      </c>
      <c r="AD73" s="100">
        <v>10</v>
      </c>
      <c r="AE73" s="100">
        <v>5591.9999999999991</v>
      </c>
      <c r="AF73" s="100">
        <v>13</v>
      </c>
      <c r="AG73" s="100">
        <v>7269.5999999999995</v>
      </c>
      <c r="AH73" s="100">
        <v>11</v>
      </c>
      <c r="AI73" s="100">
        <v>6151.1999999999989</v>
      </c>
      <c r="AJ73" s="100">
        <v>8.4427302959641981</v>
      </c>
      <c r="AK73" s="100">
        <v>4721.1747815031786</v>
      </c>
      <c r="AL73" s="100">
        <v>5.8856705636235267</v>
      </c>
      <c r="AM73" s="100">
        <v>3291.2669791782755</v>
      </c>
      <c r="AN73" s="100">
        <v>12</v>
      </c>
      <c r="AO73" s="100">
        <v>6710.4</v>
      </c>
      <c r="AP73" s="100">
        <v>13</v>
      </c>
      <c r="AQ73" s="100">
        <v>7269.5999999999995</v>
      </c>
      <c r="AR73" s="100">
        <v>12.247751350124215</v>
      </c>
      <c r="AS73" s="100">
        <v>6848.9425549894604</v>
      </c>
      <c r="AT73" s="100">
        <v>12</v>
      </c>
      <c r="AU73" s="100">
        <v>6710.4</v>
      </c>
      <c r="AV73" s="100">
        <v>8</v>
      </c>
      <c r="AW73" s="100">
        <v>4473.5999999999995</v>
      </c>
      <c r="AX73" s="100">
        <v>7</v>
      </c>
      <c r="AY73" s="100">
        <v>3914.3999999999996</v>
      </c>
      <c r="AZ73" s="100">
        <v>16</v>
      </c>
      <c r="BA73" s="100">
        <v>8947.1999999999989</v>
      </c>
      <c r="BB73" s="100">
        <v>10</v>
      </c>
      <c r="BC73" s="100">
        <v>5591.9999999999991</v>
      </c>
      <c r="BD73" s="100">
        <v>12</v>
      </c>
      <c r="BE73" s="100">
        <v>6710.4</v>
      </c>
      <c r="BF73" s="100">
        <v>8.7612176138909419</v>
      </c>
      <c r="BG73" s="100">
        <v>4899.2728896878143</v>
      </c>
      <c r="BH73" s="100">
        <v>12</v>
      </c>
      <c r="BI73" s="100">
        <v>6710.4</v>
      </c>
      <c r="BJ73" s="100">
        <v>10</v>
      </c>
      <c r="BK73" s="100">
        <v>5591.9999999999991</v>
      </c>
      <c r="BL73" s="100">
        <v>8</v>
      </c>
      <c r="BM73" s="100">
        <v>4473.5999999999995</v>
      </c>
      <c r="BN73" s="100">
        <v>6.461228482256308</v>
      </c>
      <c r="BO73" s="100">
        <v>3613.1189672777268</v>
      </c>
      <c r="BP73" s="100">
        <v>10.671936758893207</v>
      </c>
      <c r="BQ73" s="100">
        <v>5967.7470355730802</v>
      </c>
      <c r="BR73" s="100">
        <v>11</v>
      </c>
      <c r="BS73" s="100">
        <v>6151.1999999999989</v>
      </c>
      <c r="BT73" s="100">
        <v>7</v>
      </c>
      <c r="BU73" s="100">
        <v>3914.3999999999996</v>
      </c>
      <c r="BV73" s="100">
        <v>10</v>
      </c>
      <c r="BW73" s="100">
        <v>5591.9999999999991</v>
      </c>
      <c r="BX73" s="100">
        <v>9</v>
      </c>
      <c r="BY73" s="100">
        <v>5032.7999999999993</v>
      </c>
      <c r="BZ73" s="100">
        <v>11</v>
      </c>
      <c r="CA73" s="100">
        <v>6151.1999999999989</v>
      </c>
      <c r="CB73" s="100">
        <v>8</v>
      </c>
      <c r="CC73" s="100">
        <v>4473.5999999999995</v>
      </c>
      <c r="CD73" s="100">
        <v>9</v>
      </c>
      <c r="CE73" s="100">
        <v>5032.7999999999993</v>
      </c>
      <c r="CF73" s="100">
        <v>12.918454935621716</v>
      </c>
      <c r="CG73" s="100">
        <v>7223.9999999996626</v>
      </c>
      <c r="CH73" s="100">
        <v>7</v>
      </c>
      <c r="CI73" s="100">
        <v>3914.3999999999996</v>
      </c>
      <c r="CJ73" s="100">
        <v>9</v>
      </c>
      <c r="CK73" s="100">
        <v>5032.7999999999993</v>
      </c>
      <c r="CL73" s="100">
        <v>15</v>
      </c>
      <c r="CM73" s="100">
        <v>8387.9999999999982</v>
      </c>
      <c r="CN73" s="100">
        <v>9</v>
      </c>
      <c r="CO73" s="100">
        <v>5032.7999999999993</v>
      </c>
      <c r="CP73" s="100">
        <v>11.644231136083791</v>
      </c>
      <c r="CQ73" s="100">
        <v>6511.4540512980548</v>
      </c>
      <c r="CR73" s="100">
        <v>10</v>
      </c>
      <c r="CS73" s="100">
        <v>5591.9999999999991</v>
      </c>
      <c r="CT73" s="100">
        <v>11</v>
      </c>
      <c r="CU73" s="100">
        <v>6151.1999999999989</v>
      </c>
    </row>
    <row r="74" spans="2:99">
      <c r="C74" s="99" t="s">
        <v>240</v>
      </c>
      <c r="D74" s="100">
        <v>5.8404318509740376</v>
      </c>
      <c r="E74" s="100">
        <v>2354.862122312732</v>
      </c>
      <c r="F74" s="100">
        <v>8</v>
      </c>
      <c r="G74" s="100">
        <v>3225.6</v>
      </c>
      <c r="H74" s="100">
        <v>10</v>
      </c>
      <c r="I74" s="100">
        <v>4032</v>
      </c>
      <c r="J74" s="100">
        <v>3.3676503651876262</v>
      </c>
      <c r="K74" s="100">
        <v>1357.8366272436508</v>
      </c>
      <c r="L74" s="100">
        <v>8</v>
      </c>
      <c r="M74" s="100">
        <v>3225.6</v>
      </c>
      <c r="N74" s="100">
        <v>10</v>
      </c>
      <c r="O74" s="100">
        <v>4032</v>
      </c>
      <c r="P74" s="100">
        <v>8</v>
      </c>
      <c r="Q74" s="100">
        <v>3225.6</v>
      </c>
      <c r="R74" s="100">
        <v>9</v>
      </c>
      <c r="S74" s="100">
        <v>3628.7999999999997</v>
      </c>
      <c r="T74" s="100">
        <v>13</v>
      </c>
      <c r="U74" s="100">
        <v>5241.5999999999995</v>
      </c>
      <c r="V74" s="100">
        <v>12</v>
      </c>
      <c r="W74" s="100">
        <v>4838.3999999999996</v>
      </c>
      <c r="X74" s="100">
        <v>15</v>
      </c>
      <c r="Y74" s="100">
        <v>6048</v>
      </c>
      <c r="Z74" s="100">
        <v>12</v>
      </c>
      <c r="AA74" s="100">
        <v>4838.3999999999996</v>
      </c>
      <c r="AB74" s="100">
        <v>10</v>
      </c>
      <c r="AC74" s="100">
        <v>4032</v>
      </c>
      <c r="AD74" s="100">
        <v>10</v>
      </c>
      <c r="AE74" s="100">
        <v>4032</v>
      </c>
      <c r="AF74" s="100">
        <v>12</v>
      </c>
      <c r="AG74" s="100">
        <v>4838.3999999999996</v>
      </c>
      <c r="AH74" s="100">
        <v>10</v>
      </c>
      <c r="AI74" s="100">
        <v>4032</v>
      </c>
      <c r="AJ74" s="100">
        <v>9.2102512319609424</v>
      </c>
      <c r="AK74" s="100">
        <v>3713.5732967266517</v>
      </c>
      <c r="AL74" s="100">
        <v>6.3384144531330291</v>
      </c>
      <c r="AM74" s="100">
        <v>2555.6487075032373</v>
      </c>
      <c r="AN74" s="100">
        <v>12</v>
      </c>
      <c r="AO74" s="100">
        <v>4838.3999999999996</v>
      </c>
      <c r="AP74" s="100">
        <v>13</v>
      </c>
      <c r="AQ74" s="100">
        <v>5241.5999999999995</v>
      </c>
      <c r="AR74" s="100">
        <v>11.372911967972485</v>
      </c>
      <c r="AS74" s="100">
        <v>4585.5581054865061</v>
      </c>
      <c r="AT74" s="100">
        <v>12</v>
      </c>
      <c r="AU74" s="100">
        <v>4838.3999999999996</v>
      </c>
      <c r="AV74" s="100">
        <v>9</v>
      </c>
      <c r="AW74" s="100">
        <v>3628.7999999999997</v>
      </c>
      <c r="AX74" s="100">
        <v>8</v>
      </c>
      <c r="AY74" s="100">
        <v>3225.6</v>
      </c>
      <c r="AZ74" s="100">
        <v>13</v>
      </c>
      <c r="BA74" s="100">
        <v>5241.5999999999995</v>
      </c>
      <c r="BB74" s="100">
        <v>9</v>
      </c>
      <c r="BC74" s="100">
        <v>3628.7999999999997</v>
      </c>
      <c r="BD74" s="100">
        <v>11</v>
      </c>
      <c r="BE74" s="100">
        <v>4435.2</v>
      </c>
      <c r="BF74" s="100">
        <v>8.7612176138909419</v>
      </c>
      <c r="BG74" s="100">
        <v>3532.5229419208276</v>
      </c>
      <c r="BH74" s="100">
        <v>12</v>
      </c>
      <c r="BI74" s="100">
        <v>4838.3999999999996</v>
      </c>
      <c r="BJ74" s="100">
        <v>12</v>
      </c>
      <c r="BK74" s="100">
        <v>4838.3999999999996</v>
      </c>
      <c r="BL74" s="100">
        <v>7</v>
      </c>
      <c r="BM74" s="100">
        <v>2822.4</v>
      </c>
      <c r="BN74" s="100">
        <v>5.5381958419339785</v>
      </c>
      <c r="BO74" s="100">
        <v>2233.00056346778</v>
      </c>
      <c r="BP74" s="100">
        <v>9.9604743083003253</v>
      </c>
      <c r="BQ74" s="100">
        <v>4016.0632411066908</v>
      </c>
      <c r="BR74" s="100">
        <v>13</v>
      </c>
      <c r="BS74" s="100">
        <v>5241.5999999999995</v>
      </c>
      <c r="BT74" s="100">
        <v>8</v>
      </c>
      <c r="BU74" s="100">
        <v>3225.6</v>
      </c>
      <c r="BV74" s="100">
        <v>12</v>
      </c>
      <c r="BW74" s="100">
        <v>4838.3999999999996</v>
      </c>
      <c r="BX74" s="100">
        <v>9</v>
      </c>
      <c r="BY74" s="100">
        <v>3628.7999999999997</v>
      </c>
      <c r="BZ74" s="100">
        <v>11</v>
      </c>
      <c r="CA74" s="100">
        <v>4435.2</v>
      </c>
      <c r="CB74" s="100">
        <v>8</v>
      </c>
      <c r="CC74" s="100">
        <v>3225.6</v>
      </c>
      <c r="CD74" s="100">
        <v>10</v>
      </c>
      <c r="CE74" s="100">
        <v>4032</v>
      </c>
      <c r="CF74" s="100">
        <v>11.995708154505881</v>
      </c>
      <c r="CG74" s="100">
        <v>4836.6695278967709</v>
      </c>
      <c r="CH74" s="100">
        <v>8</v>
      </c>
      <c r="CI74" s="100">
        <v>3225.6</v>
      </c>
      <c r="CJ74" s="100">
        <v>9</v>
      </c>
      <c r="CK74" s="100">
        <v>3628.7999999999997</v>
      </c>
      <c r="CL74" s="100">
        <v>16</v>
      </c>
      <c r="CM74" s="100">
        <v>6451.2</v>
      </c>
      <c r="CN74" s="100">
        <v>8</v>
      </c>
      <c r="CO74" s="100">
        <v>3225.6</v>
      </c>
      <c r="CP74" s="100">
        <v>11.644231136083791</v>
      </c>
      <c r="CQ74" s="100">
        <v>4694.9539940689847</v>
      </c>
      <c r="CR74" s="100">
        <v>10</v>
      </c>
      <c r="CS74" s="100">
        <v>4032</v>
      </c>
      <c r="CT74" s="100">
        <v>12</v>
      </c>
      <c r="CU74" s="100">
        <v>4838.3999999999996</v>
      </c>
    </row>
    <row r="75" spans="2:99">
      <c r="C75" s="99" t="s">
        <v>241</v>
      </c>
      <c r="D75" s="100">
        <v>5.8404318509740376</v>
      </c>
      <c r="E75" s="100">
        <v>3756.5657665465005</v>
      </c>
      <c r="F75" s="100">
        <v>8</v>
      </c>
      <c r="G75" s="100">
        <v>5145.5999999999995</v>
      </c>
      <c r="H75" s="100">
        <v>11</v>
      </c>
      <c r="I75" s="100">
        <v>7075.1999999999989</v>
      </c>
      <c r="J75" s="100">
        <v>3.3676503651876262</v>
      </c>
      <c r="K75" s="100">
        <v>2166.0727148886808</v>
      </c>
      <c r="L75" s="100">
        <v>8</v>
      </c>
      <c r="M75" s="100">
        <v>5145.5999999999995</v>
      </c>
      <c r="N75" s="100">
        <v>10</v>
      </c>
      <c r="O75" s="100">
        <v>6431.9999999999991</v>
      </c>
      <c r="P75" s="100">
        <v>8</v>
      </c>
      <c r="Q75" s="100">
        <v>5145.5999999999995</v>
      </c>
      <c r="R75" s="100">
        <v>8</v>
      </c>
      <c r="S75" s="100">
        <v>5145.5999999999995</v>
      </c>
      <c r="T75" s="100">
        <v>13</v>
      </c>
      <c r="U75" s="100">
        <v>8361.5999999999985</v>
      </c>
      <c r="V75" s="100">
        <v>14</v>
      </c>
      <c r="W75" s="100">
        <v>9004.7999999999993</v>
      </c>
      <c r="X75" s="100">
        <v>13</v>
      </c>
      <c r="Y75" s="100">
        <v>8361.5999999999985</v>
      </c>
      <c r="Z75" s="100">
        <v>12</v>
      </c>
      <c r="AA75" s="100">
        <v>7718.4</v>
      </c>
      <c r="AB75" s="100">
        <v>9</v>
      </c>
      <c r="AC75" s="100">
        <v>5788.7999999999993</v>
      </c>
      <c r="AD75" s="100">
        <v>10</v>
      </c>
      <c r="AE75" s="100">
        <v>6431.9999999999991</v>
      </c>
      <c r="AF75" s="100">
        <v>12</v>
      </c>
      <c r="AG75" s="100">
        <v>7718.4</v>
      </c>
      <c r="AH75" s="100">
        <v>10</v>
      </c>
      <c r="AI75" s="100">
        <v>6431.9999999999991</v>
      </c>
      <c r="AJ75" s="100">
        <v>8.4427302959641981</v>
      </c>
      <c r="AK75" s="100">
        <v>5430.3641263641721</v>
      </c>
      <c r="AL75" s="100">
        <v>6.3384144531330291</v>
      </c>
      <c r="AM75" s="100">
        <v>4076.8681762551637</v>
      </c>
      <c r="AN75" s="100">
        <v>10</v>
      </c>
      <c r="AO75" s="100">
        <v>6431.9999999999991</v>
      </c>
      <c r="AP75" s="100">
        <v>13</v>
      </c>
      <c r="AQ75" s="100">
        <v>8361.5999999999985</v>
      </c>
      <c r="AR75" s="100">
        <v>12.247751350124215</v>
      </c>
      <c r="AS75" s="100">
        <v>7877.7536683998942</v>
      </c>
      <c r="AT75" s="100">
        <v>11</v>
      </c>
      <c r="AU75" s="100">
        <v>7075.1999999999989</v>
      </c>
      <c r="AV75" s="100">
        <v>8</v>
      </c>
      <c r="AW75" s="100">
        <v>5145.5999999999995</v>
      </c>
      <c r="AX75" s="100">
        <v>7</v>
      </c>
      <c r="AY75" s="100">
        <v>4502.3999999999996</v>
      </c>
      <c r="AZ75" s="100">
        <v>14</v>
      </c>
      <c r="BA75" s="100">
        <v>9004.7999999999993</v>
      </c>
      <c r="BB75" s="100">
        <v>9</v>
      </c>
      <c r="BC75" s="100">
        <v>5788.7999999999993</v>
      </c>
      <c r="BD75" s="100">
        <v>12</v>
      </c>
      <c r="BE75" s="100">
        <v>7718.4</v>
      </c>
      <c r="BF75" s="100">
        <v>8.7612176138909419</v>
      </c>
      <c r="BG75" s="100">
        <v>5635.2151692546531</v>
      </c>
      <c r="BH75" s="100">
        <v>13</v>
      </c>
      <c r="BI75" s="100">
        <v>8361.5999999999985</v>
      </c>
      <c r="BJ75" s="100">
        <v>12</v>
      </c>
      <c r="BK75" s="100">
        <v>7718.4</v>
      </c>
      <c r="BL75" s="100">
        <v>8</v>
      </c>
      <c r="BM75" s="100">
        <v>5145.5999999999995</v>
      </c>
      <c r="BN75" s="100">
        <v>5.5381958419339785</v>
      </c>
      <c r="BO75" s="100">
        <v>3562.1675655319345</v>
      </c>
      <c r="BP75" s="100">
        <v>9.9604743083003253</v>
      </c>
      <c r="BQ75" s="100">
        <v>6406.5770750987685</v>
      </c>
      <c r="BR75" s="100">
        <v>11</v>
      </c>
      <c r="BS75" s="100">
        <v>7075.1999999999989</v>
      </c>
      <c r="BT75" s="100">
        <v>9</v>
      </c>
      <c r="BU75" s="100">
        <v>5788.7999999999993</v>
      </c>
      <c r="BV75" s="100">
        <v>10</v>
      </c>
      <c r="BW75" s="100">
        <v>6431.9999999999991</v>
      </c>
      <c r="BX75" s="100">
        <v>9</v>
      </c>
      <c r="BY75" s="100">
        <v>5788.7999999999993</v>
      </c>
      <c r="BZ75" s="100">
        <v>12</v>
      </c>
      <c r="CA75" s="100">
        <v>7718.4</v>
      </c>
      <c r="CB75" s="100">
        <v>10</v>
      </c>
      <c r="CC75" s="100">
        <v>6431.9999999999991</v>
      </c>
      <c r="CD75" s="100">
        <v>9</v>
      </c>
      <c r="CE75" s="100">
        <v>5788.7999999999993</v>
      </c>
      <c r="CF75" s="100">
        <v>13.841201716737553</v>
      </c>
      <c r="CG75" s="100">
        <v>8902.6609442055924</v>
      </c>
      <c r="CH75" s="100">
        <v>8</v>
      </c>
      <c r="CI75" s="100">
        <v>5145.5999999999995</v>
      </c>
      <c r="CJ75" s="100">
        <v>9</v>
      </c>
      <c r="CK75" s="100">
        <v>5788.7999999999993</v>
      </c>
      <c r="CL75" s="100">
        <v>17</v>
      </c>
      <c r="CM75" s="100">
        <v>10934.4</v>
      </c>
      <c r="CN75" s="100">
        <v>8</v>
      </c>
      <c r="CO75" s="100">
        <v>5145.5999999999995</v>
      </c>
      <c r="CP75" s="100">
        <v>9.9807695452146774</v>
      </c>
      <c r="CQ75" s="100">
        <v>6419.63097148208</v>
      </c>
      <c r="CR75" s="100">
        <v>10</v>
      </c>
      <c r="CS75" s="100">
        <v>6431.9999999999991</v>
      </c>
      <c r="CT75" s="100">
        <v>11</v>
      </c>
      <c r="CU75" s="100">
        <v>7075.1999999999989</v>
      </c>
    </row>
    <row r="76" spans="2:99">
      <c r="C76" s="99" t="s">
        <v>242</v>
      </c>
      <c r="D76" s="100">
        <v>5.2563886658766341</v>
      </c>
      <c r="E76" s="100">
        <v>4093.6754929847225</v>
      </c>
      <c r="F76" s="100">
        <v>9</v>
      </c>
      <c r="G76" s="100">
        <v>7009.2</v>
      </c>
      <c r="H76" s="100">
        <v>10</v>
      </c>
      <c r="I76" s="100">
        <v>7788</v>
      </c>
      <c r="J76" s="100">
        <v>3.1271039105313672</v>
      </c>
      <c r="K76" s="100">
        <v>2435.3885255218288</v>
      </c>
      <c r="L76" s="100">
        <v>8</v>
      </c>
      <c r="M76" s="100">
        <v>6230.4</v>
      </c>
      <c r="N76" s="100">
        <v>8</v>
      </c>
      <c r="O76" s="100">
        <v>6230.4</v>
      </c>
      <c r="P76" s="100">
        <v>8</v>
      </c>
      <c r="Q76" s="100">
        <v>6230.4</v>
      </c>
      <c r="R76" s="100">
        <v>8</v>
      </c>
      <c r="S76" s="100">
        <v>6230.4</v>
      </c>
      <c r="T76" s="100">
        <v>12</v>
      </c>
      <c r="U76" s="100">
        <v>9345.5999999999985</v>
      </c>
      <c r="V76" s="100">
        <v>12</v>
      </c>
      <c r="W76" s="100">
        <v>9345.5999999999985</v>
      </c>
      <c r="X76" s="100">
        <v>14</v>
      </c>
      <c r="Y76" s="100">
        <v>10903.199999999999</v>
      </c>
      <c r="Z76" s="100">
        <v>12</v>
      </c>
      <c r="AA76" s="100">
        <v>9345.5999999999985</v>
      </c>
      <c r="AB76" s="100">
        <v>9</v>
      </c>
      <c r="AC76" s="100">
        <v>7009.2</v>
      </c>
      <c r="AD76" s="100">
        <v>11</v>
      </c>
      <c r="AE76" s="100">
        <v>8566.7999999999993</v>
      </c>
      <c r="AF76" s="100">
        <v>11</v>
      </c>
      <c r="AG76" s="100">
        <v>8566.7999999999993</v>
      </c>
      <c r="AH76" s="100">
        <v>11</v>
      </c>
      <c r="AI76" s="100">
        <v>8566.7999999999993</v>
      </c>
      <c r="AJ76" s="100">
        <v>8.4427302959641981</v>
      </c>
      <c r="AK76" s="100">
        <v>6575.1983544969171</v>
      </c>
      <c r="AL76" s="100">
        <v>6.3384144531330291</v>
      </c>
      <c r="AM76" s="100">
        <v>4936.357176100003</v>
      </c>
      <c r="AN76" s="100">
        <v>10</v>
      </c>
      <c r="AO76" s="100">
        <v>7788</v>
      </c>
      <c r="AP76" s="100">
        <v>13</v>
      </c>
      <c r="AQ76" s="100">
        <v>10124.4</v>
      </c>
      <c r="AR76" s="100">
        <v>11.372911967972485</v>
      </c>
      <c r="AS76" s="100">
        <v>8857.2238406569704</v>
      </c>
      <c r="AT76" s="100">
        <v>11</v>
      </c>
      <c r="AU76" s="100">
        <v>8566.7999999999993</v>
      </c>
      <c r="AV76" s="100">
        <v>8</v>
      </c>
      <c r="AW76" s="100">
        <v>6230.4</v>
      </c>
      <c r="AX76" s="100">
        <v>8</v>
      </c>
      <c r="AY76" s="100">
        <v>6230.4</v>
      </c>
      <c r="AZ76" s="100">
        <v>14</v>
      </c>
      <c r="BA76" s="100">
        <v>10903.199999999999</v>
      </c>
      <c r="BB76" s="100">
        <v>10</v>
      </c>
      <c r="BC76" s="100">
        <v>7788</v>
      </c>
      <c r="BD76" s="100">
        <v>12</v>
      </c>
      <c r="BE76" s="100">
        <v>9345.5999999999985</v>
      </c>
      <c r="BF76" s="100">
        <v>8.7612176138909419</v>
      </c>
      <c r="BG76" s="100">
        <v>6823.2362776982654</v>
      </c>
      <c r="BH76" s="100">
        <v>11</v>
      </c>
      <c r="BI76" s="100">
        <v>8566.7999999999993</v>
      </c>
      <c r="BJ76" s="100">
        <v>11</v>
      </c>
      <c r="BK76" s="100">
        <v>8566.7999999999993</v>
      </c>
      <c r="BL76" s="100">
        <v>7</v>
      </c>
      <c r="BM76" s="100">
        <v>5451.5999999999995</v>
      </c>
      <c r="BN76" s="100">
        <v>5.5381958419339785</v>
      </c>
      <c r="BO76" s="100">
        <v>4313.1469216981823</v>
      </c>
      <c r="BP76" s="100">
        <v>9.9604743083003253</v>
      </c>
      <c r="BQ76" s="100">
        <v>7757.2173913042925</v>
      </c>
      <c r="BR76" s="100">
        <v>10</v>
      </c>
      <c r="BS76" s="100">
        <v>7788</v>
      </c>
      <c r="BT76" s="100">
        <v>9</v>
      </c>
      <c r="BU76" s="100">
        <v>7009.2</v>
      </c>
      <c r="BV76" s="100">
        <v>10</v>
      </c>
      <c r="BW76" s="100">
        <v>7788</v>
      </c>
      <c r="BX76" s="100">
        <v>9</v>
      </c>
      <c r="BY76" s="100">
        <v>7009.2</v>
      </c>
      <c r="BZ76" s="100">
        <v>12</v>
      </c>
      <c r="CA76" s="100">
        <v>9345.5999999999985</v>
      </c>
      <c r="CB76" s="100">
        <v>9</v>
      </c>
      <c r="CC76" s="100">
        <v>7009.2</v>
      </c>
      <c r="CD76" s="100">
        <v>9</v>
      </c>
      <c r="CE76" s="100">
        <v>7009.2</v>
      </c>
      <c r="CF76" s="100">
        <v>12.918454935621716</v>
      </c>
      <c r="CG76" s="100">
        <v>10060.892703862191</v>
      </c>
      <c r="CH76" s="100">
        <v>8</v>
      </c>
      <c r="CI76" s="100">
        <v>6230.4</v>
      </c>
      <c r="CJ76" s="100">
        <v>10</v>
      </c>
      <c r="CK76" s="100">
        <v>7788</v>
      </c>
      <c r="CL76" s="100">
        <v>16</v>
      </c>
      <c r="CM76" s="100">
        <v>12460.8</v>
      </c>
      <c r="CN76" s="100">
        <v>7</v>
      </c>
      <c r="CO76" s="100">
        <v>5451.5999999999995</v>
      </c>
      <c r="CP76" s="100">
        <v>11.644231136083791</v>
      </c>
      <c r="CQ76" s="100">
        <v>9068.5272087820558</v>
      </c>
      <c r="CR76" s="100">
        <v>12</v>
      </c>
      <c r="CS76" s="100">
        <v>9345.5999999999985</v>
      </c>
      <c r="CT76" s="100">
        <v>10</v>
      </c>
      <c r="CU76" s="100">
        <v>7788</v>
      </c>
    </row>
    <row r="77" spans="2:99">
      <c r="C77" s="99" t="s">
        <v>243</v>
      </c>
      <c r="D77" s="100">
        <v>5.8404318509740376</v>
      </c>
      <c r="E77" s="100">
        <v>1625.9762273111719</v>
      </c>
      <c r="F77" s="100">
        <v>9</v>
      </c>
      <c r="G77" s="100">
        <v>2505.6</v>
      </c>
      <c r="H77" s="100">
        <v>11</v>
      </c>
      <c r="I77" s="100">
        <v>3062.3999999999996</v>
      </c>
      <c r="J77" s="100">
        <v>3.3676503651876262</v>
      </c>
      <c r="K77" s="100">
        <v>937.55386166823507</v>
      </c>
      <c r="L77" s="100">
        <v>10</v>
      </c>
      <c r="M77" s="100">
        <v>2784</v>
      </c>
      <c r="N77" s="100">
        <v>9</v>
      </c>
      <c r="O77" s="100">
        <v>2505.6</v>
      </c>
      <c r="P77" s="100">
        <v>8</v>
      </c>
      <c r="Q77" s="100">
        <v>2227.1999999999998</v>
      </c>
      <c r="R77" s="100">
        <v>8</v>
      </c>
      <c r="S77" s="100">
        <v>2227.1999999999998</v>
      </c>
      <c r="T77" s="100">
        <v>14</v>
      </c>
      <c r="U77" s="100">
        <v>3897.5999999999995</v>
      </c>
      <c r="V77" s="100">
        <v>14</v>
      </c>
      <c r="W77" s="100">
        <v>3897.5999999999995</v>
      </c>
      <c r="X77" s="100">
        <v>12</v>
      </c>
      <c r="Y77" s="100">
        <v>3340.7999999999997</v>
      </c>
      <c r="Z77" s="100">
        <v>14</v>
      </c>
      <c r="AA77" s="100">
        <v>3897.5999999999995</v>
      </c>
      <c r="AB77" s="100">
        <v>11</v>
      </c>
      <c r="AC77" s="100">
        <v>3062.3999999999996</v>
      </c>
      <c r="AD77" s="100">
        <v>10</v>
      </c>
      <c r="AE77" s="100">
        <v>2784</v>
      </c>
      <c r="AF77" s="100">
        <v>12</v>
      </c>
      <c r="AG77" s="100">
        <v>3340.7999999999997</v>
      </c>
      <c r="AH77" s="100">
        <v>11</v>
      </c>
      <c r="AI77" s="100">
        <v>3062.3999999999996</v>
      </c>
      <c r="AJ77" s="100">
        <v>9.2102512319609424</v>
      </c>
      <c r="AK77" s="100">
        <v>2564.1339429779264</v>
      </c>
      <c r="AL77" s="100">
        <v>6.3384144531330291</v>
      </c>
      <c r="AM77" s="100">
        <v>1764.6145837522351</v>
      </c>
      <c r="AN77" s="100">
        <v>11</v>
      </c>
      <c r="AO77" s="100">
        <v>3062.3999999999996</v>
      </c>
      <c r="AP77" s="100">
        <v>13</v>
      </c>
      <c r="AQ77" s="100">
        <v>3619.2</v>
      </c>
      <c r="AR77" s="100">
        <v>11.372911967972485</v>
      </c>
      <c r="AS77" s="100">
        <v>3166.2186918835396</v>
      </c>
      <c r="AT77" s="100">
        <v>12</v>
      </c>
      <c r="AU77" s="100">
        <v>3340.7999999999997</v>
      </c>
      <c r="AV77" s="100">
        <v>8</v>
      </c>
      <c r="AW77" s="100">
        <v>2227.1999999999998</v>
      </c>
      <c r="AX77" s="100">
        <v>8</v>
      </c>
      <c r="AY77" s="100">
        <v>2227.1999999999998</v>
      </c>
      <c r="AZ77" s="100">
        <v>16</v>
      </c>
      <c r="BA77" s="100">
        <v>4454.3999999999996</v>
      </c>
      <c r="BB77" s="100">
        <v>10</v>
      </c>
      <c r="BC77" s="100">
        <v>2784</v>
      </c>
      <c r="BD77" s="100">
        <v>13</v>
      </c>
      <c r="BE77" s="100">
        <v>3619.2</v>
      </c>
      <c r="BF77" s="100">
        <v>8.7612176138909419</v>
      </c>
      <c r="BG77" s="100">
        <v>2439.1229837072378</v>
      </c>
      <c r="BH77" s="100">
        <v>11</v>
      </c>
      <c r="BI77" s="100">
        <v>3062.3999999999996</v>
      </c>
      <c r="BJ77" s="100">
        <v>10</v>
      </c>
      <c r="BK77" s="100">
        <v>2784</v>
      </c>
      <c r="BL77" s="100">
        <v>8</v>
      </c>
      <c r="BM77" s="100">
        <v>2227.1999999999998</v>
      </c>
      <c r="BN77" s="100">
        <v>5.5381958419339785</v>
      </c>
      <c r="BO77" s="100">
        <v>1541.8337223944195</v>
      </c>
      <c r="BP77" s="100">
        <v>11.383399209486086</v>
      </c>
      <c r="BQ77" s="100">
        <v>3169.1383399209262</v>
      </c>
      <c r="BR77" s="100">
        <v>11</v>
      </c>
      <c r="BS77" s="100">
        <v>3062.3999999999996</v>
      </c>
      <c r="BT77" s="100">
        <v>9</v>
      </c>
      <c r="BU77" s="100">
        <v>2505.6</v>
      </c>
      <c r="BV77" s="100">
        <v>11</v>
      </c>
      <c r="BW77" s="100">
        <v>3062.3999999999996</v>
      </c>
      <c r="BX77" s="100">
        <v>9</v>
      </c>
      <c r="BY77" s="100">
        <v>2505.6</v>
      </c>
      <c r="BZ77" s="100">
        <v>11</v>
      </c>
      <c r="CA77" s="100">
        <v>3062.3999999999996</v>
      </c>
      <c r="CB77" s="100">
        <v>9</v>
      </c>
      <c r="CC77" s="100">
        <v>2505.6</v>
      </c>
      <c r="CD77" s="100">
        <v>9</v>
      </c>
      <c r="CE77" s="100">
        <v>2505.6</v>
      </c>
      <c r="CF77" s="100">
        <v>11.995708154505881</v>
      </c>
      <c r="CG77" s="100">
        <v>3339.6051502144369</v>
      </c>
      <c r="CH77" s="100">
        <v>9</v>
      </c>
      <c r="CI77" s="100">
        <v>2505.6</v>
      </c>
      <c r="CJ77" s="100">
        <v>9</v>
      </c>
      <c r="CK77" s="100">
        <v>2505.6</v>
      </c>
      <c r="CL77" s="100">
        <v>17</v>
      </c>
      <c r="CM77" s="100">
        <v>4732.7999999999993</v>
      </c>
      <c r="CN77" s="100">
        <v>8</v>
      </c>
      <c r="CO77" s="100">
        <v>2227.1999999999998</v>
      </c>
      <c r="CP77" s="100">
        <v>10.812500340649235</v>
      </c>
      <c r="CQ77" s="100">
        <v>3010.2000948367468</v>
      </c>
      <c r="CR77" s="100">
        <v>12</v>
      </c>
      <c r="CS77" s="100">
        <v>3340.7999999999997</v>
      </c>
      <c r="CT77" s="100">
        <v>12</v>
      </c>
      <c r="CU77" s="100">
        <v>3340.7999999999997</v>
      </c>
    </row>
    <row r="78" spans="2:99">
      <c r="C78" s="99" t="s">
        <v>244</v>
      </c>
      <c r="D78" s="100">
        <v>5.8404318509740376</v>
      </c>
      <c r="E78" s="100">
        <v>3223.9183817376688</v>
      </c>
      <c r="F78" s="100">
        <v>9</v>
      </c>
      <c r="G78" s="100">
        <v>4968</v>
      </c>
      <c r="H78" s="100">
        <v>10</v>
      </c>
      <c r="I78" s="100">
        <v>5520</v>
      </c>
      <c r="J78" s="100">
        <v>3.6081968198438852</v>
      </c>
      <c r="K78" s="100">
        <v>1991.7246445538246</v>
      </c>
      <c r="L78" s="100">
        <v>9</v>
      </c>
      <c r="M78" s="100">
        <v>4968</v>
      </c>
      <c r="N78" s="100">
        <v>9</v>
      </c>
      <c r="O78" s="100">
        <v>4968</v>
      </c>
      <c r="P78" s="100">
        <v>7</v>
      </c>
      <c r="Q78" s="100">
        <v>3864</v>
      </c>
      <c r="R78" s="100">
        <v>8</v>
      </c>
      <c r="S78" s="100">
        <v>4416</v>
      </c>
      <c r="T78" s="100">
        <v>13</v>
      </c>
      <c r="U78" s="100">
        <v>7176</v>
      </c>
      <c r="V78" s="100">
        <v>12</v>
      </c>
      <c r="W78" s="100">
        <v>6624</v>
      </c>
      <c r="X78" s="100">
        <v>14</v>
      </c>
      <c r="Y78" s="100">
        <v>7728</v>
      </c>
      <c r="Z78" s="100">
        <v>12</v>
      </c>
      <c r="AA78" s="100">
        <v>6624</v>
      </c>
      <c r="AB78" s="100">
        <v>9</v>
      </c>
      <c r="AC78" s="100">
        <v>4968</v>
      </c>
      <c r="AD78" s="100">
        <v>11</v>
      </c>
      <c r="AE78" s="100">
        <v>6072</v>
      </c>
      <c r="AF78" s="100">
        <v>11</v>
      </c>
      <c r="AG78" s="100">
        <v>6072</v>
      </c>
      <c r="AH78" s="100">
        <v>11</v>
      </c>
      <c r="AI78" s="100">
        <v>6072</v>
      </c>
      <c r="AJ78" s="100">
        <v>8.4427302959641981</v>
      </c>
      <c r="AK78" s="100">
        <v>4660.3871233722375</v>
      </c>
      <c r="AL78" s="100">
        <v>5.4329266741140243</v>
      </c>
      <c r="AM78" s="100">
        <v>2998.9755241109415</v>
      </c>
      <c r="AN78" s="100">
        <v>12</v>
      </c>
      <c r="AO78" s="100">
        <v>6624</v>
      </c>
      <c r="AP78" s="100">
        <v>11</v>
      </c>
      <c r="AQ78" s="100">
        <v>6072</v>
      </c>
      <c r="AR78" s="100">
        <v>11.372911967972485</v>
      </c>
      <c r="AS78" s="100">
        <v>6277.8474063208114</v>
      </c>
      <c r="AT78" s="100">
        <v>13</v>
      </c>
      <c r="AU78" s="100">
        <v>7176</v>
      </c>
      <c r="AV78" s="100">
        <v>9</v>
      </c>
      <c r="AW78" s="100">
        <v>4968</v>
      </c>
      <c r="AX78" s="100">
        <v>8</v>
      </c>
      <c r="AY78" s="100">
        <v>4416</v>
      </c>
      <c r="AZ78" s="100">
        <v>13</v>
      </c>
      <c r="BA78" s="100">
        <v>7176</v>
      </c>
      <c r="BB78" s="100">
        <v>10</v>
      </c>
      <c r="BC78" s="100">
        <v>5520</v>
      </c>
      <c r="BD78" s="100">
        <v>12</v>
      </c>
      <c r="BE78" s="100">
        <v>6624</v>
      </c>
      <c r="BF78" s="100">
        <v>8.7612176138909419</v>
      </c>
      <c r="BG78" s="100">
        <v>4836.1921228678002</v>
      </c>
      <c r="BH78" s="100">
        <v>13</v>
      </c>
      <c r="BI78" s="100">
        <v>7176</v>
      </c>
      <c r="BJ78" s="100">
        <v>11</v>
      </c>
      <c r="BK78" s="100">
        <v>6072</v>
      </c>
      <c r="BL78" s="100">
        <v>8</v>
      </c>
      <c r="BM78" s="100">
        <v>4416</v>
      </c>
      <c r="BN78" s="100">
        <v>5.9997121620951432</v>
      </c>
      <c r="BO78" s="100">
        <v>3311.8411134765192</v>
      </c>
      <c r="BP78" s="100">
        <v>9.9604743083003253</v>
      </c>
      <c r="BQ78" s="100">
        <v>5498.1818181817798</v>
      </c>
      <c r="BR78" s="100">
        <v>13</v>
      </c>
      <c r="BS78" s="100">
        <v>7176</v>
      </c>
      <c r="BT78" s="100">
        <v>8</v>
      </c>
      <c r="BU78" s="100">
        <v>4416</v>
      </c>
      <c r="BV78" s="100">
        <v>10</v>
      </c>
      <c r="BW78" s="100">
        <v>5520</v>
      </c>
      <c r="BX78" s="100">
        <v>10</v>
      </c>
      <c r="BY78" s="100">
        <v>5520</v>
      </c>
      <c r="BZ78" s="100">
        <v>10</v>
      </c>
      <c r="CA78" s="100">
        <v>5520</v>
      </c>
      <c r="CB78" s="100">
        <v>9</v>
      </c>
      <c r="CC78" s="100">
        <v>4968</v>
      </c>
      <c r="CD78" s="100">
        <v>9</v>
      </c>
      <c r="CE78" s="100">
        <v>4968</v>
      </c>
      <c r="CF78" s="100">
        <v>11.995708154505881</v>
      </c>
      <c r="CG78" s="100">
        <v>6621.6309012872462</v>
      </c>
      <c r="CH78" s="100">
        <v>8</v>
      </c>
      <c r="CI78" s="100">
        <v>4416</v>
      </c>
      <c r="CJ78" s="100">
        <v>10</v>
      </c>
      <c r="CK78" s="100">
        <v>5520</v>
      </c>
      <c r="CL78" s="100">
        <v>14</v>
      </c>
      <c r="CM78" s="100">
        <v>7728</v>
      </c>
      <c r="CN78" s="100">
        <v>8</v>
      </c>
      <c r="CO78" s="100">
        <v>4416</v>
      </c>
      <c r="CP78" s="100">
        <v>10.812500340649235</v>
      </c>
      <c r="CQ78" s="100">
        <v>5968.5001880383779</v>
      </c>
      <c r="CR78" s="100">
        <v>11</v>
      </c>
      <c r="CS78" s="100">
        <v>6072</v>
      </c>
      <c r="CT78" s="100">
        <v>10</v>
      </c>
      <c r="CU78" s="100">
        <v>5520</v>
      </c>
    </row>
    <row r="79" spans="2:99">
      <c r="C79" s="99" t="s">
        <v>245</v>
      </c>
      <c r="D79" s="100">
        <v>5.8404318509740376</v>
      </c>
      <c r="E79" s="100">
        <v>4422.3749975575411</v>
      </c>
      <c r="F79" s="100">
        <v>9</v>
      </c>
      <c r="G79" s="100">
        <v>6814.7999999999993</v>
      </c>
      <c r="H79" s="100">
        <v>10</v>
      </c>
      <c r="I79" s="100">
        <v>7571.9999999999991</v>
      </c>
      <c r="J79" s="100">
        <v>3.6081968198438852</v>
      </c>
      <c r="K79" s="100">
        <v>2732.1266319857896</v>
      </c>
      <c r="L79" s="100">
        <v>9</v>
      </c>
      <c r="M79" s="100">
        <v>6814.7999999999993</v>
      </c>
      <c r="N79" s="100">
        <v>8</v>
      </c>
      <c r="O79" s="100">
        <v>6057.5999999999995</v>
      </c>
      <c r="P79" s="100">
        <v>8</v>
      </c>
      <c r="Q79" s="100">
        <v>6057.5999999999995</v>
      </c>
      <c r="R79" s="100">
        <v>8</v>
      </c>
      <c r="S79" s="100">
        <v>6057.5999999999995</v>
      </c>
      <c r="T79" s="100">
        <v>13</v>
      </c>
      <c r="U79" s="100">
        <v>9843.5999999999985</v>
      </c>
      <c r="V79" s="100">
        <v>12</v>
      </c>
      <c r="W79" s="100">
        <v>9086.4</v>
      </c>
      <c r="X79" s="100">
        <v>14</v>
      </c>
      <c r="Y79" s="100">
        <v>10600.8</v>
      </c>
      <c r="Z79" s="100">
        <v>14</v>
      </c>
      <c r="AA79" s="100">
        <v>10600.8</v>
      </c>
      <c r="AB79" s="100">
        <v>10</v>
      </c>
      <c r="AC79" s="100">
        <v>7571.9999999999991</v>
      </c>
      <c r="AD79" s="100">
        <v>10</v>
      </c>
      <c r="AE79" s="100">
        <v>7571.9999999999991</v>
      </c>
      <c r="AF79" s="100">
        <v>11</v>
      </c>
      <c r="AG79" s="100">
        <v>8329.1999999999989</v>
      </c>
      <c r="AH79" s="100">
        <v>11</v>
      </c>
      <c r="AI79" s="100">
        <v>8329.1999999999989</v>
      </c>
      <c r="AJ79" s="100">
        <v>8.4427302959641981</v>
      </c>
      <c r="AK79" s="100">
        <v>6392.8353801040903</v>
      </c>
      <c r="AL79" s="100">
        <v>5.4329266741140243</v>
      </c>
      <c r="AM79" s="100">
        <v>4113.8120776391388</v>
      </c>
      <c r="AN79" s="100">
        <v>10</v>
      </c>
      <c r="AO79" s="100">
        <v>7571.9999999999991</v>
      </c>
      <c r="AP79" s="100">
        <v>12</v>
      </c>
      <c r="AQ79" s="100">
        <v>9086.4</v>
      </c>
      <c r="AR79" s="100">
        <v>13.122590732275945</v>
      </c>
      <c r="AS79" s="100">
        <v>9936.4257024793442</v>
      </c>
      <c r="AT79" s="100">
        <v>11</v>
      </c>
      <c r="AU79" s="100">
        <v>8329.1999999999989</v>
      </c>
      <c r="AV79" s="100">
        <v>8</v>
      </c>
      <c r="AW79" s="100">
        <v>6057.5999999999995</v>
      </c>
      <c r="AX79" s="100">
        <v>7</v>
      </c>
      <c r="AY79" s="100">
        <v>5300.4</v>
      </c>
      <c r="AZ79" s="100">
        <v>14</v>
      </c>
      <c r="BA79" s="100">
        <v>10600.8</v>
      </c>
      <c r="BB79" s="100">
        <v>10</v>
      </c>
      <c r="BC79" s="100">
        <v>7571.9999999999991</v>
      </c>
      <c r="BD79" s="100">
        <v>11</v>
      </c>
      <c r="BE79" s="100">
        <v>8329.1999999999989</v>
      </c>
      <c r="BF79" s="100">
        <v>9.6373393752800371</v>
      </c>
      <c r="BG79" s="100">
        <v>7297.3933749620437</v>
      </c>
      <c r="BH79" s="100">
        <v>13</v>
      </c>
      <c r="BI79" s="100">
        <v>9843.5999999999985</v>
      </c>
      <c r="BJ79" s="100">
        <v>10</v>
      </c>
      <c r="BK79" s="100">
        <v>7571.9999999999991</v>
      </c>
      <c r="BL79" s="100">
        <v>8</v>
      </c>
      <c r="BM79" s="100">
        <v>6057.5999999999995</v>
      </c>
      <c r="BN79" s="100">
        <v>6.461228482256308</v>
      </c>
      <c r="BO79" s="100">
        <v>4892.4422067644764</v>
      </c>
      <c r="BP79" s="100">
        <v>10.671936758893207</v>
      </c>
      <c r="BQ79" s="100">
        <v>8080.7905138339356</v>
      </c>
      <c r="BR79" s="100">
        <v>12</v>
      </c>
      <c r="BS79" s="100">
        <v>9086.4</v>
      </c>
      <c r="BT79" s="100">
        <v>8</v>
      </c>
      <c r="BU79" s="100">
        <v>6057.5999999999995</v>
      </c>
      <c r="BV79" s="100">
        <v>10</v>
      </c>
      <c r="BW79" s="100">
        <v>7571.9999999999991</v>
      </c>
      <c r="BX79" s="100">
        <v>9</v>
      </c>
      <c r="BY79" s="100">
        <v>6814.7999999999993</v>
      </c>
      <c r="BZ79" s="100">
        <v>12</v>
      </c>
      <c r="CA79" s="100">
        <v>9086.4</v>
      </c>
      <c r="CB79" s="100">
        <v>9</v>
      </c>
      <c r="CC79" s="100">
        <v>6814.7999999999993</v>
      </c>
      <c r="CD79" s="100">
        <v>9</v>
      </c>
      <c r="CE79" s="100">
        <v>6814.7999999999993</v>
      </c>
      <c r="CF79" s="100">
        <v>11.995708154505881</v>
      </c>
      <c r="CG79" s="100">
        <v>9083.1502145918512</v>
      </c>
      <c r="CH79" s="100">
        <v>9</v>
      </c>
      <c r="CI79" s="100">
        <v>6814.7999999999993</v>
      </c>
      <c r="CJ79" s="100">
        <v>9</v>
      </c>
      <c r="CK79" s="100">
        <v>6814.7999999999993</v>
      </c>
      <c r="CL79" s="100">
        <v>15</v>
      </c>
      <c r="CM79" s="100">
        <v>11357.999999999998</v>
      </c>
      <c r="CN79" s="100">
        <v>8</v>
      </c>
      <c r="CO79" s="100">
        <v>6057.5999999999995</v>
      </c>
      <c r="CP79" s="100">
        <v>10.812500340649235</v>
      </c>
      <c r="CQ79" s="100">
        <v>8187.2252579395999</v>
      </c>
      <c r="CR79" s="100">
        <v>12</v>
      </c>
      <c r="CS79" s="100">
        <v>9086.4</v>
      </c>
      <c r="CT79" s="100">
        <v>11</v>
      </c>
      <c r="CU79" s="100">
        <v>8329.1999999999989</v>
      </c>
    </row>
    <row r="80" spans="2:99">
      <c r="C80" s="99" t="s">
        <v>246</v>
      </c>
      <c r="D80" s="100">
        <v>5.8404318509740376</v>
      </c>
      <c r="E80" s="100">
        <v>4702.7157264042944</v>
      </c>
      <c r="F80" s="100">
        <v>8</v>
      </c>
      <c r="G80" s="100">
        <v>6441.5999999999995</v>
      </c>
      <c r="H80" s="100">
        <v>10</v>
      </c>
      <c r="I80" s="100">
        <v>8051.9999999999991</v>
      </c>
      <c r="J80" s="100">
        <v>3.3676503651876262</v>
      </c>
      <c r="K80" s="100">
        <v>2711.6320740490764</v>
      </c>
      <c r="L80" s="100">
        <v>9</v>
      </c>
      <c r="M80" s="100">
        <v>7246.7999999999993</v>
      </c>
      <c r="N80" s="100">
        <v>8</v>
      </c>
      <c r="O80" s="100">
        <v>6441.5999999999995</v>
      </c>
      <c r="P80" s="100">
        <v>7</v>
      </c>
      <c r="Q80" s="100">
        <v>5636.4</v>
      </c>
      <c r="R80" s="100">
        <v>8</v>
      </c>
      <c r="S80" s="100">
        <v>6441.5999999999995</v>
      </c>
      <c r="T80" s="100">
        <v>12</v>
      </c>
      <c r="U80" s="100">
        <v>9662.4</v>
      </c>
      <c r="V80" s="100">
        <v>13</v>
      </c>
      <c r="W80" s="100">
        <v>10467.599999999999</v>
      </c>
      <c r="X80" s="100">
        <v>14</v>
      </c>
      <c r="Y80" s="100">
        <v>11272.8</v>
      </c>
      <c r="Z80" s="100">
        <v>12</v>
      </c>
      <c r="AA80" s="100">
        <v>9662.4</v>
      </c>
      <c r="AB80" s="100">
        <v>9</v>
      </c>
      <c r="AC80" s="100">
        <v>7246.7999999999993</v>
      </c>
      <c r="AD80" s="100">
        <v>11</v>
      </c>
      <c r="AE80" s="100">
        <v>8857.1999999999989</v>
      </c>
      <c r="AF80" s="100">
        <v>11</v>
      </c>
      <c r="AG80" s="100">
        <v>8857.1999999999989</v>
      </c>
      <c r="AH80" s="100">
        <v>10</v>
      </c>
      <c r="AI80" s="100">
        <v>8051.9999999999991</v>
      </c>
      <c r="AJ80" s="100">
        <v>8.4427302959641981</v>
      </c>
      <c r="AK80" s="100">
        <v>6798.0864343103722</v>
      </c>
      <c r="AL80" s="100">
        <v>6.3384144531330291</v>
      </c>
      <c r="AM80" s="100">
        <v>5103.6913176627149</v>
      </c>
      <c r="AN80" s="100">
        <v>10</v>
      </c>
      <c r="AO80" s="100">
        <v>8051.9999999999991</v>
      </c>
      <c r="AP80" s="100">
        <v>12</v>
      </c>
      <c r="AQ80" s="100">
        <v>9662.4</v>
      </c>
      <c r="AR80" s="100">
        <v>11.372911967972485</v>
      </c>
      <c r="AS80" s="100">
        <v>9157.4687166114436</v>
      </c>
      <c r="AT80" s="100">
        <v>11</v>
      </c>
      <c r="AU80" s="100">
        <v>8857.1999999999989</v>
      </c>
      <c r="AV80" s="100">
        <v>8</v>
      </c>
      <c r="AW80" s="100">
        <v>6441.5999999999995</v>
      </c>
      <c r="AX80" s="100">
        <v>8</v>
      </c>
      <c r="AY80" s="100">
        <v>6441.5999999999995</v>
      </c>
      <c r="AZ80" s="100">
        <v>14</v>
      </c>
      <c r="BA80" s="100">
        <v>11272.8</v>
      </c>
      <c r="BB80" s="100">
        <v>10</v>
      </c>
      <c r="BC80" s="100">
        <v>8051.9999999999991</v>
      </c>
      <c r="BD80" s="100">
        <v>11</v>
      </c>
      <c r="BE80" s="100">
        <v>8857.1999999999989</v>
      </c>
      <c r="BF80" s="100">
        <v>8.7612176138909419</v>
      </c>
      <c r="BG80" s="100">
        <v>7054.5324227049859</v>
      </c>
      <c r="BH80" s="100">
        <v>12</v>
      </c>
      <c r="BI80" s="100">
        <v>9662.4</v>
      </c>
      <c r="BJ80" s="100">
        <v>10</v>
      </c>
      <c r="BK80" s="100">
        <v>8051.9999999999991</v>
      </c>
      <c r="BL80" s="100">
        <v>8</v>
      </c>
      <c r="BM80" s="100">
        <v>6441.5999999999995</v>
      </c>
      <c r="BN80" s="100">
        <v>5.9997121620951432</v>
      </c>
      <c r="BO80" s="100">
        <v>4830.9682329190091</v>
      </c>
      <c r="BP80" s="100">
        <v>9.9604743083003253</v>
      </c>
      <c r="BQ80" s="100">
        <v>8020.1739130434216</v>
      </c>
      <c r="BR80" s="100">
        <v>12</v>
      </c>
      <c r="BS80" s="100">
        <v>9662.4</v>
      </c>
      <c r="BT80" s="100">
        <v>8</v>
      </c>
      <c r="BU80" s="100">
        <v>6441.5999999999995</v>
      </c>
      <c r="BV80" s="100">
        <v>11</v>
      </c>
      <c r="BW80" s="100">
        <v>8857.1999999999989</v>
      </c>
      <c r="BX80" s="100">
        <v>10</v>
      </c>
      <c r="BY80" s="100">
        <v>8051.9999999999991</v>
      </c>
      <c r="BZ80" s="100">
        <v>11</v>
      </c>
      <c r="CA80" s="100">
        <v>8857.1999999999989</v>
      </c>
      <c r="CB80" s="100">
        <v>9</v>
      </c>
      <c r="CC80" s="100">
        <v>7246.7999999999993</v>
      </c>
      <c r="CD80" s="100">
        <v>9</v>
      </c>
      <c r="CE80" s="100">
        <v>7246.7999999999993</v>
      </c>
      <c r="CF80" s="100">
        <v>12.918454935621716</v>
      </c>
      <c r="CG80" s="100">
        <v>10401.939914162605</v>
      </c>
      <c r="CH80" s="100">
        <v>7</v>
      </c>
      <c r="CI80" s="100">
        <v>5636.4</v>
      </c>
      <c r="CJ80" s="100">
        <v>8</v>
      </c>
      <c r="CK80" s="100">
        <v>6441.5999999999995</v>
      </c>
      <c r="CL80" s="100">
        <v>14</v>
      </c>
      <c r="CM80" s="100">
        <v>11272.8</v>
      </c>
      <c r="CN80" s="100">
        <v>7</v>
      </c>
      <c r="CO80" s="100">
        <v>5636.4</v>
      </c>
      <c r="CP80" s="100">
        <v>10.812500340649235</v>
      </c>
      <c r="CQ80" s="100">
        <v>8706.225274290764</v>
      </c>
      <c r="CR80" s="100">
        <v>11</v>
      </c>
      <c r="CS80" s="100">
        <v>8857.1999999999989</v>
      </c>
      <c r="CT80" s="100">
        <v>11</v>
      </c>
      <c r="CU80" s="100">
        <v>8857.1999999999989</v>
      </c>
    </row>
    <row r="81" spans="2:99">
      <c r="C81" s="99" t="s">
        <v>247</v>
      </c>
      <c r="D81" s="100">
        <v>5.8404318509740376</v>
      </c>
      <c r="E81" s="100">
        <v>4401.3494428940348</v>
      </c>
      <c r="F81" s="100">
        <v>9</v>
      </c>
      <c r="G81" s="100">
        <v>6782.4000000000005</v>
      </c>
      <c r="H81" s="100">
        <v>10</v>
      </c>
      <c r="I81" s="100">
        <v>7536</v>
      </c>
      <c r="J81" s="100">
        <v>3.6081968198438852</v>
      </c>
      <c r="K81" s="100">
        <v>2719.1371234343519</v>
      </c>
      <c r="L81" s="100">
        <v>8</v>
      </c>
      <c r="M81" s="100">
        <v>6028.8</v>
      </c>
      <c r="N81" s="100">
        <v>8</v>
      </c>
      <c r="O81" s="100">
        <v>6028.8</v>
      </c>
      <c r="P81" s="100">
        <v>8</v>
      </c>
      <c r="Q81" s="100">
        <v>6028.8</v>
      </c>
      <c r="R81" s="100">
        <v>9</v>
      </c>
      <c r="S81" s="100">
        <v>6782.4000000000005</v>
      </c>
      <c r="T81" s="100">
        <v>14</v>
      </c>
      <c r="U81" s="100">
        <v>10550.4</v>
      </c>
      <c r="V81" s="100">
        <v>14</v>
      </c>
      <c r="W81" s="100">
        <v>10550.4</v>
      </c>
      <c r="X81" s="100">
        <v>13</v>
      </c>
      <c r="Y81" s="100">
        <v>9796.8000000000011</v>
      </c>
      <c r="Z81" s="100">
        <v>13</v>
      </c>
      <c r="AA81" s="100">
        <v>9796.8000000000011</v>
      </c>
      <c r="AB81" s="100">
        <v>10</v>
      </c>
      <c r="AC81" s="100">
        <v>7536</v>
      </c>
      <c r="AD81" s="100">
        <v>9</v>
      </c>
      <c r="AE81" s="100">
        <v>6782.4000000000005</v>
      </c>
      <c r="AF81" s="100">
        <v>11</v>
      </c>
      <c r="AG81" s="100">
        <v>8289.6</v>
      </c>
      <c r="AH81" s="100">
        <v>11</v>
      </c>
      <c r="AI81" s="100">
        <v>8289.6</v>
      </c>
      <c r="AJ81" s="100">
        <v>8.4427302959641981</v>
      </c>
      <c r="AK81" s="100">
        <v>6362.4415510386198</v>
      </c>
      <c r="AL81" s="100">
        <v>5.8856705636235267</v>
      </c>
      <c r="AM81" s="100">
        <v>4435.4413367466896</v>
      </c>
      <c r="AN81" s="100">
        <v>10</v>
      </c>
      <c r="AO81" s="100">
        <v>7536</v>
      </c>
      <c r="AP81" s="100">
        <v>12</v>
      </c>
      <c r="AQ81" s="100">
        <v>9043.2000000000007</v>
      </c>
      <c r="AR81" s="100">
        <v>13.122590732275945</v>
      </c>
      <c r="AS81" s="100">
        <v>9889.1843758431532</v>
      </c>
      <c r="AT81" s="100">
        <v>10</v>
      </c>
      <c r="AU81" s="100">
        <v>7536</v>
      </c>
      <c r="AV81" s="100">
        <v>7</v>
      </c>
      <c r="AW81" s="100">
        <v>5275.2</v>
      </c>
      <c r="AX81" s="100">
        <v>7</v>
      </c>
      <c r="AY81" s="100">
        <v>5275.2</v>
      </c>
      <c r="AZ81" s="100">
        <v>15</v>
      </c>
      <c r="BA81" s="100">
        <v>11304</v>
      </c>
      <c r="BB81" s="100">
        <v>9</v>
      </c>
      <c r="BC81" s="100">
        <v>6782.4000000000005</v>
      </c>
      <c r="BD81" s="100">
        <v>11</v>
      </c>
      <c r="BE81" s="100">
        <v>8289.6</v>
      </c>
      <c r="BF81" s="100">
        <v>8.7612176138909419</v>
      </c>
      <c r="BG81" s="100">
        <v>6602.4535938282143</v>
      </c>
      <c r="BH81" s="100">
        <v>11</v>
      </c>
      <c r="BI81" s="100">
        <v>8289.6</v>
      </c>
      <c r="BJ81" s="100">
        <v>11</v>
      </c>
      <c r="BK81" s="100">
        <v>8289.6</v>
      </c>
      <c r="BL81" s="100">
        <v>8</v>
      </c>
      <c r="BM81" s="100">
        <v>6028.8</v>
      </c>
      <c r="BN81" s="100">
        <v>5.9997121620951432</v>
      </c>
      <c r="BO81" s="100">
        <v>4521.3830853548998</v>
      </c>
      <c r="BP81" s="100">
        <v>9.2490118577074458</v>
      </c>
      <c r="BQ81" s="100">
        <v>6970.0553359683317</v>
      </c>
      <c r="BR81" s="100">
        <v>12</v>
      </c>
      <c r="BS81" s="100">
        <v>9043.2000000000007</v>
      </c>
      <c r="BT81" s="100">
        <v>8</v>
      </c>
      <c r="BU81" s="100">
        <v>6028.8</v>
      </c>
      <c r="BV81" s="100">
        <v>11</v>
      </c>
      <c r="BW81" s="100">
        <v>8289.6</v>
      </c>
      <c r="BX81" s="100">
        <v>9</v>
      </c>
      <c r="BY81" s="100">
        <v>6782.4000000000005</v>
      </c>
      <c r="BZ81" s="100">
        <v>12</v>
      </c>
      <c r="CA81" s="100">
        <v>9043.2000000000007</v>
      </c>
      <c r="CB81" s="100">
        <v>9</v>
      </c>
      <c r="CC81" s="100">
        <v>6782.4000000000005</v>
      </c>
      <c r="CD81" s="100">
        <v>9</v>
      </c>
      <c r="CE81" s="100">
        <v>6782.4000000000005</v>
      </c>
      <c r="CF81" s="100">
        <v>11.995708154505881</v>
      </c>
      <c r="CG81" s="100">
        <v>9039.9656652356316</v>
      </c>
      <c r="CH81" s="100">
        <v>7</v>
      </c>
      <c r="CI81" s="100">
        <v>5275.2</v>
      </c>
      <c r="CJ81" s="100">
        <v>9</v>
      </c>
      <c r="CK81" s="100">
        <v>6782.4000000000005</v>
      </c>
      <c r="CL81" s="100">
        <v>15</v>
      </c>
      <c r="CM81" s="100">
        <v>11304</v>
      </c>
      <c r="CN81" s="100">
        <v>8</v>
      </c>
      <c r="CO81" s="100">
        <v>6028.8</v>
      </c>
      <c r="CP81" s="100">
        <v>10.812500340649235</v>
      </c>
      <c r="CQ81" s="100">
        <v>8148.3002567132635</v>
      </c>
      <c r="CR81" s="100">
        <v>10</v>
      </c>
      <c r="CS81" s="100">
        <v>7536</v>
      </c>
      <c r="CT81" s="100">
        <v>10</v>
      </c>
      <c r="CU81" s="100">
        <v>7536</v>
      </c>
    </row>
    <row r="82" spans="2:99">
      <c r="C82" s="99" t="s">
        <v>248</v>
      </c>
      <c r="D82" s="100">
        <v>5.2563886658766341</v>
      </c>
      <c r="E82" s="100">
        <v>2674.4505531980308</v>
      </c>
      <c r="F82" s="100">
        <v>8</v>
      </c>
      <c r="G82" s="100">
        <v>4070.3999999999992</v>
      </c>
      <c r="H82" s="100">
        <v>10</v>
      </c>
      <c r="I82" s="100">
        <v>5087.9999999999991</v>
      </c>
      <c r="J82" s="100">
        <v>3.1271039105313672</v>
      </c>
      <c r="K82" s="100">
        <v>1591.0704696783594</v>
      </c>
      <c r="L82" s="100">
        <v>8</v>
      </c>
      <c r="M82" s="100">
        <v>4070.3999999999992</v>
      </c>
      <c r="N82" s="100">
        <v>8</v>
      </c>
      <c r="O82" s="100">
        <v>4070.3999999999992</v>
      </c>
      <c r="P82" s="100">
        <v>8</v>
      </c>
      <c r="Q82" s="100">
        <v>4070.3999999999992</v>
      </c>
      <c r="R82" s="100">
        <v>9</v>
      </c>
      <c r="S82" s="100">
        <v>4579.1999999999989</v>
      </c>
      <c r="T82" s="100">
        <v>13</v>
      </c>
      <c r="U82" s="100">
        <v>6614.3999999999987</v>
      </c>
      <c r="V82" s="100">
        <v>14</v>
      </c>
      <c r="W82" s="100">
        <v>7123.1999999999989</v>
      </c>
      <c r="X82" s="100">
        <v>15</v>
      </c>
      <c r="Y82" s="100">
        <v>7631.9999999999982</v>
      </c>
      <c r="Z82" s="100">
        <v>13</v>
      </c>
      <c r="AA82" s="100">
        <v>6614.3999999999987</v>
      </c>
      <c r="AB82" s="100">
        <v>9</v>
      </c>
      <c r="AC82" s="100">
        <v>4579.1999999999989</v>
      </c>
      <c r="AD82" s="100">
        <v>9</v>
      </c>
      <c r="AE82" s="100">
        <v>4579.1999999999989</v>
      </c>
      <c r="AF82" s="100">
        <v>12</v>
      </c>
      <c r="AG82" s="100">
        <v>6105.5999999999985</v>
      </c>
      <c r="AH82" s="100">
        <v>11</v>
      </c>
      <c r="AI82" s="100">
        <v>5596.7999999999993</v>
      </c>
      <c r="AJ82" s="100">
        <v>9.2102512319609424</v>
      </c>
      <c r="AK82" s="100">
        <v>4686.1758268217263</v>
      </c>
      <c r="AL82" s="100">
        <v>5.4329266741140243</v>
      </c>
      <c r="AM82" s="100">
        <v>2764.273091789215</v>
      </c>
      <c r="AN82" s="100">
        <v>10</v>
      </c>
      <c r="AO82" s="100">
        <v>5087.9999999999991</v>
      </c>
      <c r="AP82" s="100">
        <v>13</v>
      </c>
      <c r="AQ82" s="100">
        <v>6614.3999999999987</v>
      </c>
      <c r="AR82" s="100">
        <v>13.122590732275945</v>
      </c>
      <c r="AS82" s="100">
        <v>6676.7741645819997</v>
      </c>
      <c r="AT82" s="100">
        <v>11</v>
      </c>
      <c r="AU82" s="100">
        <v>5596.7999999999993</v>
      </c>
      <c r="AV82" s="100">
        <v>9</v>
      </c>
      <c r="AW82" s="100">
        <v>4579.1999999999989</v>
      </c>
      <c r="AX82" s="100">
        <v>8</v>
      </c>
      <c r="AY82" s="100">
        <v>4070.3999999999992</v>
      </c>
      <c r="AZ82" s="100">
        <v>16</v>
      </c>
      <c r="BA82" s="100">
        <v>8140.7999999999984</v>
      </c>
      <c r="BB82" s="100">
        <v>10</v>
      </c>
      <c r="BC82" s="100">
        <v>5087.9999999999991</v>
      </c>
      <c r="BD82" s="100">
        <v>11</v>
      </c>
      <c r="BE82" s="100">
        <v>5596.7999999999993</v>
      </c>
      <c r="BF82" s="100">
        <v>9.6373393752800371</v>
      </c>
      <c r="BG82" s="100">
        <v>4903.4782741424815</v>
      </c>
      <c r="BH82" s="100">
        <v>12</v>
      </c>
      <c r="BI82" s="100">
        <v>6105.5999999999985</v>
      </c>
      <c r="BJ82" s="100">
        <v>11</v>
      </c>
      <c r="BK82" s="100">
        <v>5596.7999999999993</v>
      </c>
      <c r="BL82" s="100">
        <v>8</v>
      </c>
      <c r="BM82" s="100">
        <v>4070.3999999999992</v>
      </c>
      <c r="BN82" s="100">
        <v>5.0766795217728138</v>
      </c>
      <c r="BO82" s="100">
        <v>2583.0145406780071</v>
      </c>
      <c r="BP82" s="100">
        <v>9.2490118577074458</v>
      </c>
      <c r="BQ82" s="100">
        <v>4705.8972332015474</v>
      </c>
      <c r="BR82" s="100">
        <v>12</v>
      </c>
      <c r="BS82" s="100">
        <v>6105.5999999999985</v>
      </c>
      <c r="BT82" s="100">
        <v>8</v>
      </c>
      <c r="BU82" s="100">
        <v>4070.3999999999992</v>
      </c>
      <c r="BV82" s="100">
        <v>11</v>
      </c>
      <c r="BW82" s="100">
        <v>5596.7999999999993</v>
      </c>
      <c r="BX82" s="100">
        <v>9</v>
      </c>
      <c r="BY82" s="100">
        <v>4579.1999999999989</v>
      </c>
      <c r="BZ82" s="100">
        <v>11</v>
      </c>
      <c r="CA82" s="100">
        <v>5596.7999999999993</v>
      </c>
      <c r="CB82" s="100">
        <v>9</v>
      </c>
      <c r="CC82" s="100">
        <v>4579.1999999999989</v>
      </c>
      <c r="CD82" s="100">
        <v>10</v>
      </c>
      <c r="CE82" s="100">
        <v>5087.9999999999991</v>
      </c>
      <c r="CF82" s="100">
        <v>12.918454935621716</v>
      </c>
      <c r="CG82" s="100">
        <v>6572.9098712443274</v>
      </c>
      <c r="CH82" s="100">
        <v>8</v>
      </c>
      <c r="CI82" s="100">
        <v>4070.3999999999992</v>
      </c>
      <c r="CJ82" s="100">
        <v>10</v>
      </c>
      <c r="CK82" s="100">
        <v>5087.9999999999991</v>
      </c>
      <c r="CL82" s="100">
        <v>17</v>
      </c>
      <c r="CM82" s="100">
        <v>8649.5999999999985</v>
      </c>
      <c r="CN82" s="100">
        <v>8</v>
      </c>
      <c r="CO82" s="100">
        <v>4070.3999999999992</v>
      </c>
      <c r="CP82" s="100">
        <v>9.9807695452146774</v>
      </c>
      <c r="CQ82" s="100">
        <v>5078.2155446052266</v>
      </c>
      <c r="CR82" s="100">
        <v>12</v>
      </c>
      <c r="CS82" s="100">
        <v>6105.5999999999985</v>
      </c>
      <c r="CT82" s="100">
        <v>12</v>
      </c>
      <c r="CU82" s="100">
        <v>6105.5999999999985</v>
      </c>
    </row>
    <row r="83" spans="2:99">
      <c r="C83" s="99" t="s">
        <v>249</v>
      </c>
      <c r="D83" s="100">
        <v>5.2563886658766341</v>
      </c>
      <c r="E83" s="100">
        <v>4522.5968081202554</v>
      </c>
      <c r="F83" s="100">
        <v>8</v>
      </c>
      <c r="G83" s="100">
        <v>6883.2</v>
      </c>
      <c r="H83" s="100">
        <v>11</v>
      </c>
      <c r="I83" s="100">
        <v>9464.4</v>
      </c>
      <c r="J83" s="100">
        <v>3.3676503651876262</v>
      </c>
      <c r="K83" s="100">
        <v>2897.5263742074335</v>
      </c>
      <c r="L83" s="100">
        <v>9</v>
      </c>
      <c r="M83" s="100">
        <v>7743.5999999999995</v>
      </c>
      <c r="N83" s="100">
        <v>9</v>
      </c>
      <c r="O83" s="100">
        <v>7743.5999999999995</v>
      </c>
      <c r="P83" s="100">
        <v>8</v>
      </c>
      <c r="Q83" s="100">
        <v>6883.2</v>
      </c>
      <c r="R83" s="100">
        <v>8</v>
      </c>
      <c r="S83" s="100">
        <v>6883.2</v>
      </c>
      <c r="T83" s="100">
        <v>13</v>
      </c>
      <c r="U83" s="100">
        <v>11185.199999999999</v>
      </c>
      <c r="V83" s="100">
        <v>11</v>
      </c>
      <c r="W83" s="100">
        <v>9464.4</v>
      </c>
      <c r="X83" s="100">
        <v>13</v>
      </c>
      <c r="Y83" s="100">
        <v>11185.199999999999</v>
      </c>
      <c r="Z83" s="100">
        <v>13</v>
      </c>
      <c r="AA83" s="100">
        <v>11185.199999999999</v>
      </c>
      <c r="AB83" s="100">
        <v>10</v>
      </c>
      <c r="AC83" s="100">
        <v>8604</v>
      </c>
      <c r="AD83" s="100">
        <v>11</v>
      </c>
      <c r="AE83" s="100">
        <v>9464.4</v>
      </c>
      <c r="AF83" s="100">
        <v>11</v>
      </c>
      <c r="AG83" s="100">
        <v>9464.4</v>
      </c>
      <c r="AH83" s="100">
        <v>10</v>
      </c>
      <c r="AI83" s="100">
        <v>8604</v>
      </c>
      <c r="AJ83" s="100">
        <v>8.4427302959641981</v>
      </c>
      <c r="AK83" s="100">
        <v>7264.125146647596</v>
      </c>
      <c r="AL83" s="100">
        <v>6.3384144531330291</v>
      </c>
      <c r="AM83" s="100">
        <v>5453.5717954756583</v>
      </c>
      <c r="AN83" s="100">
        <v>11</v>
      </c>
      <c r="AO83" s="100">
        <v>9464.4</v>
      </c>
      <c r="AP83" s="100">
        <v>12</v>
      </c>
      <c r="AQ83" s="100">
        <v>10324.799999999999</v>
      </c>
      <c r="AR83" s="100">
        <v>11.372911967972485</v>
      </c>
      <c r="AS83" s="100">
        <v>9785.2534572435252</v>
      </c>
      <c r="AT83" s="100">
        <v>12</v>
      </c>
      <c r="AU83" s="100">
        <v>10324.799999999999</v>
      </c>
      <c r="AV83" s="100">
        <v>8</v>
      </c>
      <c r="AW83" s="100">
        <v>6883.2</v>
      </c>
      <c r="AX83" s="100">
        <v>7</v>
      </c>
      <c r="AY83" s="100">
        <v>6022.8</v>
      </c>
      <c r="AZ83" s="100">
        <v>13</v>
      </c>
      <c r="BA83" s="100">
        <v>11185.199999999999</v>
      </c>
      <c r="BB83" s="100">
        <v>10</v>
      </c>
      <c r="BC83" s="100">
        <v>8604</v>
      </c>
      <c r="BD83" s="100">
        <v>11</v>
      </c>
      <c r="BE83" s="100">
        <v>9464.4</v>
      </c>
      <c r="BF83" s="100">
        <v>9.6373393752800371</v>
      </c>
      <c r="BG83" s="100">
        <v>8291.9667984909429</v>
      </c>
      <c r="BH83" s="100">
        <v>13</v>
      </c>
      <c r="BI83" s="100">
        <v>11185.199999999999</v>
      </c>
      <c r="BJ83" s="100">
        <v>11</v>
      </c>
      <c r="BK83" s="100">
        <v>9464.4</v>
      </c>
      <c r="BL83" s="100">
        <v>8</v>
      </c>
      <c r="BM83" s="100">
        <v>6883.2</v>
      </c>
      <c r="BN83" s="100">
        <v>5.5381958419339785</v>
      </c>
      <c r="BO83" s="100">
        <v>4765.0637023999952</v>
      </c>
      <c r="BP83" s="100">
        <v>10.671936758893207</v>
      </c>
      <c r="BQ83" s="100">
        <v>9182.1343873517144</v>
      </c>
      <c r="BR83" s="100">
        <v>11</v>
      </c>
      <c r="BS83" s="100">
        <v>9464.4</v>
      </c>
      <c r="BT83" s="100">
        <v>9</v>
      </c>
      <c r="BU83" s="100">
        <v>7743.5999999999995</v>
      </c>
      <c r="BV83" s="100">
        <v>11</v>
      </c>
      <c r="BW83" s="100">
        <v>9464.4</v>
      </c>
      <c r="BX83" s="100">
        <v>10</v>
      </c>
      <c r="BY83" s="100">
        <v>8604</v>
      </c>
      <c r="BZ83" s="100">
        <v>11</v>
      </c>
      <c r="CA83" s="100">
        <v>9464.4</v>
      </c>
      <c r="CB83" s="100">
        <v>8</v>
      </c>
      <c r="CC83" s="100">
        <v>6883.2</v>
      </c>
      <c r="CD83" s="100">
        <v>9</v>
      </c>
      <c r="CE83" s="100">
        <v>7743.5999999999995</v>
      </c>
      <c r="CF83" s="100">
        <v>11.995708154505881</v>
      </c>
      <c r="CG83" s="100">
        <v>10321.107296136859</v>
      </c>
      <c r="CH83" s="100">
        <v>7</v>
      </c>
      <c r="CI83" s="100">
        <v>6022.8</v>
      </c>
      <c r="CJ83" s="100">
        <v>9</v>
      </c>
      <c r="CK83" s="100">
        <v>7743.5999999999995</v>
      </c>
      <c r="CL83" s="100">
        <v>15</v>
      </c>
      <c r="CM83" s="100">
        <v>12906</v>
      </c>
      <c r="CN83" s="100">
        <v>7</v>
      </c>
      <c r="CO83" s="100">
        <v>6022.8</v>
      </c>
      <c r="CP83" s="100">
        <v>10.812500340649235</v>
      </c>
      <c r="CQ83" s="100">
        <v>9303.0752930946019</v>
      </c>
      <c r="CR83" s="100">
        <v>12</v>
      </c>
      <c r="CS83" s="100">
        <v>10324.799999999999</v>
      </c>
      <c r="CT83" s="100">
        <v>12</v>
      </c>
      <c r="CU83" s="100">
        <v>10324.799999999999</v>
      </c>
    </row>
    <row r="84" spans="2:99">
      <c r="C84" s="99" t="s">
        <v>250</v>
      </c>
      <c r="D84" s="100">
        <v>5.2563886658766341</v>
      </c>
      <c r="E84" s="100">
        <v>4106.2908257828258</v>
      </c>
      <c r="F84" s="100">
        <v>8</v>
      </c>
      <c r="G84" s="100">
        <v>6249.5999999999995</v>
      </c>
      <c r="H84" s="100">
        <v>10</v>
      </c>
      <c r="I84" s="100">
        <v>7811.9999999999991</v>
      </c>
      <c r="J84" s="100">
        <v>3.3676503651876262</v>
      </c>
      <c r="K84" s="100">
        <v>2630.8084652845732</v>
      </c>
      <c r="L84" s="100">
        <v>9</v>
      </c>
      <c r="M84" s="100">
        <v>7030.7999999999993</v>
      </c>
      <c r="N84" s="100">
        <v>9</v>
      </c>
      <c r="O84" s="100">
        <v>7030.7999999999993</v>
      </c>
      <c r="P84" s="100">
        <v>7</v>
      </c>
      <c r="Q84" s="100">
        <v>5468.4</v>
      </c>
      <c r="R84" s="100">
        <v>9</v>
      </c>
      <c r="S84" s="100">
        <v>7030.7999999999993</v>
      </c>
      <c r="T84" s="100">
        <v>12</v>
      </c>
      <c r="U84" s="100">
        <v>9374.4</v>
      </c>
      <c r="V84" s="100">
        <v>12</v>
      </c>
      <c r="W84" s="100">
        <v>9374.4</v>
      </c>
      <c r="X84" s="100">
        <v>14</v>
      </c>
      <c r="Y84" s="100">
        <v>10936.8</v>
      </c>
      <c r="Z84" s="100">
        <v>12</v>
      </c>
      <c r="AA84" s="100">
        <v>9374.4</v>
      </c>
      <c r="AB84" s="100">
        <v>9</v>
      </c>
      <c r="AC84" s="100">
        <v>7030.7999999999993</v>
      </c>
      <c r="AD84" s="100">
        <v>10</v>
      </c>
      <c r="AE84" s="100">
        <v>7811.9999999999991</v>
      </c>
      <c r="AF84" s="100">
        <v>12</v>
      </c>
      <c r="AG84" s="100">
        <v>9374.4</v>
      </c>
      <c r="AH84" s="100">
        <v>9</v>
      </c>
      <c r="AI84" s="100">
        <v>7030.7999999999993</v>
      </c>
      <c r="AJ84" s="100">
        <v>9.2102512319609424</v>
      </c>
      <c r="AK84" s="100">
        <v>7195.0482624078877</v>
      </c>
      <c r="AL84" s="100">
        <v>5.4329266741140243</v>
      </c>
      <c r="AM84" s="100">
        <v>4244.2023178178752</v>
      </c>
      <c r="AN84" s="100">
        <v>12</v>
      </c>
      <c r="AO84" s="100">
        <v>9374.4</v>
      </c>
      <c r="AP84" s="100">
        <v>13</v>
      </c>
      <c r="AQ84" s="100">
        <v>10155.599999999999</v>
      </c>
      <c r="AR84" s="100">
        <v>10.498072585820756</v>
      </c>
      <c r="AS84" s="100">
        <v>8201.0943040431739</v>
      </c>
      <c r="AT84" s="100">
        <v>11</v>
      </c>
      <c r="AU84" s="100">
        <v>8593.1999999999989</v>
      </c>
      <c r="AV84" s="100">
        <v>7</v>
      </c>
      <c r="AW84" s="100">
        <v>5468.4</v>
      </c>
      <c r="AX84" s="100">
        <v>8</v>
      </c>
      <c r="AY84" s="100">
        <v>6249.5999999999995</v>
      </c>
      <c r="AZ84" s="100">
        <v>13</v>
      </c>
      <c r="BA84" s="100">
        <v>10155.599999999999</v>
      </c>
      <c r="BB84" s="100">
        <v>10</v>
      </c>
      <c r="BC84" s="100">
        <v>7811.9999999999991</v>
      </c>
      <c r="BD84" s="100">
        <v>12</v>
      </c>
      <c r="BE84" s="100">
        <v>9374.4</v>
      </c>
      <c r="BF84" s="100">
        <v>9.6373393752800371</v>
      </c>
      <c r="BG84" s="100">
        <v>7528.6895199687642</v>
      </c>
      <c r="BH84" s="100">
        <v>12</v>
      </c>
      <c r="BI84" s="100">
        <v>9374.4</v>
      </c>
      <c r="BJ84" s="100">
        <v>11</v>
      </c>
      <c r="BK84" s="100">
        <v>8593.1999999999989</v>
      </c>
      <c r="BL84" s="100">
        <v>7</v>
      </c>
      <c r="BM84" s="100">
        <v>5468.4</v>
      </c>
      <c r="BN84" s="100">
        <v>5.5381958419339785</v>
      </c>
      <c r="BO84" s="100">
        <v>4326.4385917188238</v>
      </c>
      <c r="BP84" s="100">
        <v>10.671936758893207</v>
      </c>
      <c r="BQ84" s="100">
        <v>8336.9169960473719</v>
      </c>
      <c r="BR84" s="100">
        <v>11</v>
      </c>
      <c r="BS84" s="100">
        <v>8593.1999999999989</v>
      </c>
      <c r="BT84" s="100">
        <v>9</v>
      </c>
      <c r="BU84" s="100">
        <v>7030.7999999999993</v>
      </c>
      <c r="BV84" s="100">
        <v>10</v>
      </c>
      <c r="BW84" s="100">
        <v>7811.9999999999991</v>
      </c>
      <c r="BX84" s="100">
        <v>8</v>
      </c>
      <c r="BY84" s="100">
        <v>6249.5999999999995</v>
      </c>
      <c r="BZ84" s="100">
        <v>11</v>
      </c>
      <c r="CA84" s="100">
        <v>8593.1999999999989</v>
      </c>
      <c r="CB84" s="100">
        <v>8</v>
      </c>
      <c r="CC84" s="100">
        <v>6249.5999999999995</v>
      </c>
      <c r="CD84" s="100">
        <v>9</v>
      </c>
      <c r="CE84" s="100">
        <v>7030.7999999999993</v>
      </c>
      <c r="CF84" s="100">
        <v>12.918454935621716</v>
      </c>
      <c r="CG84" s="100">
        <v>10091.896995707684</v>
      </c>
      <c r="CH84" s="100">
        <v>8</v>
      </c>
      <c r="CI84" s="100">
        <v>6249.5999999999995</v>
      </c>
      <c r="CJ84" s="100">
        <v>9</v>
      </c>
      <c r="CK84" s="100">
        <v>7030.7999999999993</v>
      </c>
      <c r="CL84" s="100">
        <v>14</v>
      </c>
      <c r="CM84" s="100">
        <v>10936.8</v>
      </c>
      <c r="CN84" s="100">
        <v>9</v>
      </c>
      <c r="CO84" s="100">
        <v>7030.7999999999993</v>
      </c>
      <c r="CP84" s="100">
        <v>9.9807695452146774</v>
      </c>
      <c r="CQ84" s="100">
        <v>7796.9771687217053</v>
      </c>
      <c r="CR84" s="100">
        <v>11</v>
      </c>
      <c r="CS84" s="100">
        <v>8593.1999999999989</v>
      </c>
      <c r="CT84" s="100">
        <v>11</v>
      </c>
      <c r="CU84" s="100">
        <v>8593.1999999999989</v>
      </c>
    </row>
    <row r="85" spans="2:99">
      <c r="C85" s="99" t="s">
        <v>251</v>
      </c>
      <c r="D85" s="100">
        <v>6.424475036071442</v>
      </c>
      <c r="E85" s="100">
        <v>963.6712554107163</v>
      </c>
      <c r="F85" s="100">
        <v>9</v>
      </c>
      <c r="G85" s="100">
        <v>1350</v>
      </c>
      <c r="H85" s="100">
        <v>11</v>
      </c>
      <c r="I85" s="100">
        <v>1650</v>
      </c>
      <c r="J85" s="100">
        <v>3.3676503651876262</v>
      </c>
      <c r="K85" s="100">
        <v>505.1475547781439</v>
      </c>
      <c r="L85" s="100">
        <v>9</v>
      </c>
      <c r="M85" s="100">
        <v>1350</v>
      </c>
      <c r="N85" s="100">
        <v>10</v>
      </c>
      <c r="O85" s="100">
        <v>1500</v>
      </c>
      <c r="P85" s="100">
        <v>8</v>
      </c>
      <c r="Q85" s="100">
        <v>1200</v>
      </c>
      <c r="R85" s="100">
        <v>9</v>
      </c>
      <c r="S85" s="100">
        <v>1350</v>
      </c>
      <c r="T85" s="100">
        <v>13</v>
      </c>
      <c r="U85" s="100">
        <v>1950</v>
      </c>
      <c r="V85" s="100">
        <v>12</v>
      </c>
      <c r="W85" s="100">
        <v>1800</v>
      </c>
      <c r="X85" s="100">
        <v>13</v>
      </c>
      <c r="Y85" s="100">
        <v>1950</v>
      </c>
      <c r="Z85" s="100">
        <v>14</v>
      </c>
      <c r="AA85" s="100">
        <v>2100</v>
      </c>
      <c r="AB85" s="100">
        <v>11</v>
      </c>
      <c r="AC85" s="100">
        <v>1650</v>
      </c>
      <c r="AD85" s="100">
        <v>10</v>
      </c>
      <c r="AE85" s="100">
        <v>1500</v>
      </c>
      <c r="AF85" s="100">
        <v>11</v>
      </c>
      <c r="AG85" s="100">
        <v>1650</v>
      </c>
      <c r="AH85" s="100">
        <v>11</v>
      </c>
      <c r="AI85" s="100">
        <v>1650</v>
      </c>
      <c r="AJ85" s="100">
        <v>8.4427302959641981</v>
      </c>
      <c r="AK85" s="100">
        <v>1266.4095443946296</v>
      </c>
      <c r="AL85" s="100">
        <v>6.7911583426425306</v>
      </c>
      <c r="AM85" s="100">
        <v>1018.6737513963795</v>
      </c>
      <c r="AN85" s="100">
        <v>11</v>
      </c>
      <c r="AO85" s="100">
        <v>1650</v>
      </c>
      <c r="AP85" s="100">
        <v>13</v>
      </c>
      <c r="AQ85" s="100">
        <v>1950</v>
      </c>
      <c r="AR85" s="100">
        <v>11.372911967972485</v>
      </c>
      <c r="AS85" s="100">
        <v>1705.9367951958727</v>
      </c>
      <c r="AT85" s="100">
        <v>11</v>
      </c>
      <c r="AU85" s="100">
        <v>1650</v>
      </c>
      <c r="AV85" s="100">
        <v>9</v>
      </c>
      <c r="AW85" s="100">
        <v>1350</v>
      </c>
      <c r="AX85" s="100">
        <v>8</v>
      </c>
      <c r="AY85" s="100">
        <v>1200</v>
      </c>
      <c r="AZ85" s="100">
        <v>14</v>
      </c>
      <c r="BA85" s="100">
        <v>2100</v>
      </c>
      <c r="BB85" s="100">
        <v>11</v>
      </c>
      <c r="BC85" s="100">
        <v>1650</v>
      </c>
      <c r="BD85" s="100">
        <v>12</v>
      </c>
      <c r="BE85" s="100">
        <v>1800</v>
      </c>
      <c r="BF85" s="100">
        <v>8.7612176138909419</v>
      </c>
      <c r="BG85" s="100">
        <v>1314.1826420836412</v>
      </c>
      <c r="BH85" s="100">
        <v>12</v>
      </c>
      <c r="BI85" s="100">
        <v>1800</v>
      </c>
      <c r="BJ85" s="100">
        <v>10</v>
      </c>
      <c r="BK85" s="100">
        <v>1500</v>
      </c>
      <c r="BL85" s="100">
        <v>8</v>
      </c>
      <c r="BM85" s="100">
        <v>1200</v>
      </c>
      <c r="BN85" s="100">
        <v>5.9997121620951432</v>
      </c>
      <c r="BO85" s="100">
        <v>899.95682431427144</v>
      </c>
      <c r="BP85" s="100">
        <v>10.671936758893207</v>
      </c>
      <c r="BQ85" s="100">
        <v>1600.7905138339811</v>
      </c>
      <c r="BR85" s="100">
        <v>12</v>
      </c>
      <c r="BS85" s="100">
        <v>1800</v>
      </c>
      <c r="BT85" s="100">
        <v>8</v>
      </c>
      <c r="BU85" s="100">
        <v>1200</v>
      </c>
      <c r="BV85" s="100">
        <v>11</v>
      </c>
      <c r="BW85" s="100">
        <v>1650</v>
      </c>
      <c r="BX85" s="100">
        <v>9</v>
      </c>
      <c r="BY85" s="100">
        <v>1350</v>
      </c>
      <c r="BZ85" s="100">
        <v>12</v>
      </c>
      <c r="CA85" s="100">
        <v>1800</v>
      </c>
      <c r="CB85" s="100">
        <v>10</v>
      </c>
      <c r="CC85" s="100">
        <v>1500</v>
      </c>
      <c r="CD85" s="100">
        <v>9</v>
      </c>
      <c r="CE85" s="100">
        <v>1350</v>
      </c>
      <c r="CF85" s="100">
        <v>12.918454935621716</v>
      </c>
      <c r="CG85" s="100">
        <v>1937.7682403432573</v>
      </c>
      <c r="CH85" s="100">
        <v>9</v>
      </c>
      <c r="CI85" s="100">
        <v>1350</v>
      </c>
      <c r="CJ85" s="100">
        <v>9</v>
      </c>
      <c r="CK85" s="100">
        <v>1350</v>
      </c>
      <c r="CL85" s="100">
        <v>15</v>
      </c>
      <c r="CM85" s="100">
        <v>2250</v>
      </c>
      <c r="CN85" s="100">
        <v>8</v>
      </c>
      <c r="CO85" s="100">
        <v>1200</v>
      </c>
      <c r="CP85" s="100">
        <v>10.812500340649235</v>
      </c>
      <c r="CQ85" s="100">
        <v>1621.8750510973853</v>
      </c>
      <c r="CR85" s="100">
        <v>11</v>
      </c>
      <c r="CS85" s="100">
        <v>1650</v>
      </c>
      <c r="CT85" s="100">
        <v>12</v>
      </c>
      <c r="CU85" s="100">
        <v>1800</v>
      </c>
    </row>
    <row r="86" spans="2:99">
      <c r="C86" s="99" t="s">
        <v>252</v>
      </c>
      <c r="D86" s="100">
        <v>5.8404318509740376</v>
      </c>
      <c r="E86" s="100">
        <v>3153.8331995259805</v>
      </c>
      <c r="F86" s="100">
        <v>9</v>
      </c>
      <c r="G86" s="100">
        <v>4860</v>
      </c>
      <c r="H86" s="100">
        <v>11</v>
      </c>
      <c r="I86" s="100">
        <v>5940</v>
      </c>
      <c r="J86" s="100">
        <v>3.3676503651876262</v>
      </c>
      <c r="K86" s="100">
        <v>1818.531197201318</v>
      </c>
      <c r="L86" s="100">
        <v>9</v>
      </c>
      <c r="M86" s="100">
        <v>4860</v>
      </c>
      <c r="N86" s="100">
        <v>8</v>
      </c>
      <c r="O86" s="100">
        <v>4320</v>
      </c>
      <c r="P86" s="100">
        <v>7</v>
      </c>
      <c r="Q86" s="100">
        <v>3780</v>
      </c>
      <c r="R86" s="100">
        <v>9</v>
      </c>
      <c r="S86" s="100">
        <v>4860</v>
      </c>
      <c r="T86" s="100">
        <v>13</v>
      </c>
      <c r="U86" s="100">
        <v>7020</v>
      </c>
      <c r="V86" s="100">
        <v>14</v>
      </c>
      <c r="W86" s="100">
        <v>7560</v>
      </c>
      <c r="X86" s="100">
        <v>13</v>
      </c>
      <c r="Y86" s="100">
        <v>7020</v>
      </c>
      <c r="Z86" s="100">
        <v>14</v>
      </c>
      <c r="AA86" s="100">
        <v>7560</v>
      </c>
      <c r="AB86" s="100">
        <v>10</v>
      </c>
      <c r="AC86" s="100">
        <v>5400</v>
      </c>
      <c r="AD86" s="100">
        <v>10</v>
      </c>
      <c r="AE86" s="100">
        <v>5400</v>
      </c>
      <c r="AF86" s="100">
        <v>11</v>
      </c>
      <c r="AG86" s="100">
        <v>5940</v>
      </c>
      <c r="AH86" s="100">
        <v>11</v>
      </c>
      <c r="AI86" s="100">
        <v>5940</v>
      </c>
      <c r="AJ86" s="100">
        <v>9.2102512319609424</v>
      </c>
      <c r="AK86" s="100">
        <v>4973.5356652589089</v>
      </c>
      <c r="AL86" s="100">
        <v>5.4329266741140243</v>
      </c>
      <c r="AM86" s="100">
        <v>2933.7804040215733</v>
      </c>
      <c r="AN86" s="100">
        <v>11</v>
      </c>
      <c r="AO86" s="100">
        <v>5940</v>
      </c>
      <c r="AP86" s="100">
        <v>13</v>
      </c>
      <c r="AQ86" s="100">
        <v>7020</v>
      </c>
      <c r="AR86" s="100">
        <v>12.247751350124215</v>
      </c>
      <c r="AS86" s="100">
        <v>6613.7857290670763</v>
      </c>
      <c r="AT86" s="100">
        <v>13</v>
      </c>
      <c r="AU86" s="100">
        <v>7020</v>
      </c>
      <c r="AV86" s="100">
        <v>8</v>
      </c>
      <c r="AW86" s="100">
        <v>4320</v>
      </c>
      <c r="AX86" s="100">
        <v>7</v>
      </c>
      <c r="AY86" s="100">
        <v>3780</v>
      </c>
      <c r="AZ86" s="100">
        <v>14</v>
      </c>
      <c r="BA86" s="100">
        <v>7560</v>
      </c>
      <c r="BB86" s="100">
        <v>10</v>
      </c>
      <c r="BC86" s="100">
        <v>5400</v>
      </c>
      <c r="BD86" s="100">
        <v>11</v>
      </c>
      <c r="BE86" s="100">
        <v>5940</v>
      </c>
      <c r="BF86" s="100">
        <v>10.513461136669131</v>
      </c>
      <c r="BG86" s="100">
        <v>5677.2690138013304</v>
      </c>
      <c r="BH86" s="100">
        <v>13</v>
      </c>
      <c r="BI86" s="100">
        <v>7020</v>
      </c>
      <c r="BJ86" s="100">
        <v>10</v>
      </c>
      <c r="BK86" s="100">
        <v>5400</v>
      </c>
      <c r="BL86" s="100">
        <v>7</v>
      </c>
      <c r="BM86" s="100">
        <v>3780</v>
      </c>
      <c r="BN86" s="100">
        <v>5.5381958419339785</v>
      </c>
      <c r="BO86" s="100">
        <v>2990.6257546443485</v>
      </c>
      <c r="BP86" s="100">
        <v>11.383399209486086</v>
      </c>
      <c r="BQ86" s="100">
        <v>6147.0355731224863</v>
      </c>
      <c r="BR86" s="100">
        <v>12</v>
      </c>
      <c r="BS86" s="100">
        <v>6480</v>
      </c>
      <c r="BT86" s="100">
        <v>9</v>
      </c>
      <c r="BU86" s="100">
        <v>4860</v>
      </c>
      <c r="BV86" s="100">
        <v>10</v>
      </c>
      <c r="BW86" s="100">
        <v>5400</v>
      </c>
      <c r="BX86" s="100">
        <v>8</v>
      </c>
      <c r="BY86" s="100">
        <v>4320</v>
      </c>
      <c r="BZ86" s="100">
        <v>11</v>
      </c>
      <c r="CA86" s="100">
        <v>5940</v>
      </c>
      <c r="CB86" s="100">
        <v>10</v>
      </c>
      <c r="CC86" s="100">
        <v>5400</v>
      </c>
      <c r="CD86" s="100">
        <v>9</v>
      </c>
      <c r="CE86" s="100">
        <v>4860</v>
      </c>
      <c r="CF86" s="100">
        <v>13.841201716737553</v>
      </c>
      <c r="CG86" s="100">
        <v>7474.2489270382785</v>
      </c>
      <c r="CH86" s="100">
        <v>8</v>
      </c>
      <c r="CI86" s="100">
        <v>4320</v>
      </c>
      <c r="CJ86" s="100">
        <v>9</v>
      </c>
      <c r="CK86" s="100">
        <v>4860</v>
      </c>
      <c r="CL86" s="100">
        <v>14</v>
      </c>
      <c r="CM86" s="100">
        <v>7560</v>
      </c>
      <c r="CN86" s="100">
        <v>9</v>
      </c>
      <c r="CO86" s="100">
        <v>4860</v>
      </c>
      <c r="CP86" s="100">
        <v>11.644231136083791</v>
      </c>
      <c r="CQ86" s="100">
        <v>6287.8848134852469</v>
      </c>
      <c r="CR86" s="100">
        <v>11</v>
      </c>
      <c r="CS86" s="100">
        <v>5940</v>
      </c>
      <c r="CT86" s="100">
        <v>10</v>
      </c>
      <c r="CU86" s="100">
        <v>5400</v>
      </c>
    </row>
    <row r="87" spans="2:99">
      <c r="B87" s="99" t="s">
        <v>131</v>
      </c>
      <c r="C87" s="99" t="s">
        <v>253</v>
      </c>
      <c r="D87" s="100">
        <v>6</v>
      </c>
      <c r="E87" s="100">
        <v>6444</v>
      </c>
      <c r="F87" s="100">
        <v>8.7881759725621595</v>
      </c>
      <c r="G87" s="100">
        <v>9438.5009945317597</v>
      </c>
      <c r="H87" s="100">
        <v>5.5500403367876707</v>
      </c>
      <c r="I87" s="100">
        <v>5960.7433217099588</v>
      </c>
      <c r="J87" s="100">
        <v>7.9176273194948692</v>
      </c>
      <c r="K87" s="100">
        <v>8503.531741137489</v>
      </c>
      <c r="L87" s="100">
        <v>5</v>
      </c>
      <c r="M87" s="100">
        <v>5370</v>
      </c>
      <c r="N87" s="100">
        <v>6</v>
      </c>
      <c r="O87" s="100">
        <v>6444</v>
      </c>
      <c r="P87" s="100">
        <v>6.8032739467175185</v>
      </c>
      <c r="Q87" s="100">
        <v>7306.7162187746153</v>
      </c>
      <c r="R87" s="100">
        <v>9.3922651933701111</v>
      </c>
      <c r="S87" s="100">
        <v>10087.292817679499</v>
      </c>
      <c r="T87" s="100">
        <v>6.4454976303317162</v>
      </c>
      <c r="U87" s="100">
        <v>6922.4644549762634</v>
      </c>
      <c r="V87" s="100">
        <v>10</v>
      </c>
      <c r="W87" s="100">
        <v>10740</v>
      </c>
      <c r="X87" s="100">
        <v>8.652056146296939</v>
      </c>
      <c r="Y87" s="100">
        <v>9292.3083011229119</v>
      </c>
      <c r="Z87" s="100">
        <v>2.8607771424403508</v>
      </c>
      <c r="AA87" s="100">
        <v>3072.4746509809365</v>
      </c>
      <c r="AB87" s="100">
        <v>10.053763440860157</v>
      </c>
      <c r="AC87" s="100">
        <v>10797.741935483809</v>
      </c>
      <c r="AD87" s="100">
        <v>7.943925233644813</v>
      </c>
      <c r="AE87" s="100">
        <v>8531.7757009345296</v>
      </c>
      <c r="AF87" s="100">
        <v>9</v>
      </c>
      <c r="AG87" s="100">
        <v>9666</v>
      </c>
      <c r="AH87" s="100">
        <v>5.3097345132742486</v>
      </c>
      <c r="AI87" s="100">
        <v>5702.6548672565432</v>
      </c>
      <c r="AJ87" s="100">
        <v>9</v>
      </c>
      <c r="AK87" s="100">
        <v>9666</v>
      </c>
      <c r="AL87" s="100">
        <v>11</v>
      </c>
      <c r="AM87" s="100">
        <v>11814</v>
      </c>
      <c r="AN87" s="100">
        <v>7</v>
      </c>
      <c r="AO87" s="100">
        <v>7518</v>
      </c>
      <c r="AP87" s="100">
        <v>6</v>
      </c>
      <c r="AQ87" s="100">
        <v>6444</v>
      </c>
      <c r="AR87" s="100">
        <v>10</v>
      </c>
      <c r="AS87" s="100">
        <v>10740</v>
      </c>
      <c r="AT87" s="100">
        <v>8</v>
      </c>
      <c r="AU87" s="100">
        <v>8592</v>
      </c>
      <c r="AV87" s="100">
        <v>4.6502038485607109</v>
      </c>
      <c r="AW87" s="100">
        <v>4994.3189333542032</v>
      </c>
      <c r="AX87" s="100">
        <v>6</v>
      </c>
      <c r="AY87" s="100">
        <v>6444</v>
      </c>
      <c r="AZ87" s="100">
        <v>7</v>
      </c>
      <c r="BA87" s="100">
        <v>7518</v>
      </c>
      <c r="BB87" s="100">
        <v>7</v>
      </c>
      <c r="BC87" s="100">
        <v>7518</v>
      </c>
      <c r="BD87" s="100">
        <v>7</v>
      </c>
      <c r="BE87" s="100">
        <v>7518</v>
      </c>
      <c r="BF87" s="100">
        <v>6</v>
      </c>
      <c r="BG87" s="100">
        <v>6444</v>
      </c>
      <c r="BH87" s="100">
        <v>6</v>
      </c>
      <c r="BI87" s="100">
        <v>6444</v>
      </c>
      <c r="BJ87" s="100">
        <v>5.1015206521084231</v>
      </c>
      <c r="BK87" s="100">
        <v>5479.0331803644467</v>
      </c>
      <c r="BL87" s="100">
        <v>10</v>
      </c>
      <c r="BM87" s="100">
        <v>10740</v>
      </c>
      <c r="BN87" s="100">
        <v>7</v>
      </c>
      <c r="BO87" s="100">
        <v>7518</v>
      </c>
      <c r="BP87" s="100">
        <v>12</v>
      </c>
      <c r="BQ87" s="100">
        <v>12888</v>
      </c>
      <c r="BR87" s="100">
        <v>9</v>
      </c>
      <c r="BS87" s="100">
        <v>9666</v>
      </c>
      <c r="BT87" s="100">
        <v>7.3567951471202848</v>
      </c>
      <c r="BU87" s="100">
        <v>7901.1979880071858</v>
      </c>
      <c r="BV87" s="100">
        <v>3.8030955965312723</v>
      </c>
      <c r="BW87" s="100">
        <v>4084.5246706745866</v>
      </c>
      <c r="BX87" s="100">
        <v>7</v>
      </c>
      <c r="BY87" s="100">
        <v>7518</v>
      </c>
      <c r="BZ87" s="100">
        <v>8</v>
      </c>
      <c r="CA87" s="100">
        <v>8592</v>
      </c>
      <c r="CB87" s="100">
        <v>6</v>
      </c>
      <c r="CC87" s="100">
        <v>6444</v>
      </c>
      <c r="CD87" s="100">
        <v>7.8369098712444476</v>
      </c>
      <c r="CE87" s="100">
        <v>8416.8412017165374</v>
      </c>
      <c r="CF87" s="100">
        <v>10</v>
      </c>
      <c r="CG87" s="100">
        <v>10740</v>
      </c>
      <c r="CH87" s="100">
        <v>4.7804878048779642</v>
      </c>
      <c r="CI87" s="100">
        <v>5134.2439024389332</v>
      </c>
      <c r="CJ87" s="100">
        <v>6.1952457559080338</v>
      </c>
      <c r="CK87" s="100">
        <v>6653.6939418452284</v>
      </c>
      <c r="CL87" s="100">
        <v>5.2134728748725641</v>
      </c>
      <c r="CM87" s="100">
        <v>5599.269867613134</v>
      </c>
      <c r="CN87" s="100">
        <v>5.7627118644067448</v>
      </c>
      <c r="CO87" s="100">
        <v>6189.1525423728435</v>
      </c>
      <c r="CP87" s="100">
        <v>0.38341330959131475</v>
      </c>
      <c r="CQ87" s="100">
        <v>411.78589450107205</v>
      </c>
      <c r="CR87" s="100">
        <v>8.3606557377048674</v>
      </c>
      <c r="CS87" s="100">
        <v>8979.3442622950279</v>
      </c>
      <c r="CT87" s="100">
        <v>7</v>
      </c>
      <c r="CU87" s="100">
        <v>7518</v>
      </c>
    </row>
    <row r="88" spans="2:99">
      <c r="C88" s="99" t="s">
        <v>254</v>
      </c>
      <c r="D88" s="100">
        <v>7</v>
      </c>
      <c r="E88" s="100">
        <v>6946.8</v>
      </c>
      <c r="F88" s="100">
        <v>8.7881759725621595</v>
      </c>
      <c r="G88" s="100">
        <v>8721.3858351706876</v>
      </c>
      <c r="H88" s="100">
        <v>6.3429032420430529</v>
      </c>
      <c r="I88" s="100">
        <v>6294.6971774035255</v>
      </c>
      <c r="J88" s="100">
        <v>8.9073307344317278</v>
      </c>
      <c r="K88" s="100">
        <v>8839.6350208500462</v>
      </c>
      <c r="L88" s="100">
        <v>5</v>
      </c>
      <c r="M88" s="100">
        <v>4962</v>
      </c>
      <c r="N88" s="100">
        <v>7</v>
      </c>
      <c r="O88" s="100">
        <v>6946.8</v>
      </c>
      <c r="P88" s="100">
        <v>6.8032739467175185</v>
      </c>
      <c r="Q88" s="100">
        <v>6751.5690647224656</v>
      </c>
      <c r="R88" s="100">
        <v>8.4530386740330989</v>
      </c>
      <c r="S88" s="100">
        <v>8388.7955801104472</v>
      </c>
      <c r="T88" s="100">
        <v>8.0568720379146441</v>
      </c>
      <c r="U88" s="100">
        <v>7995.6398104264927</v>
      </c>
      <c r="V88" s="100">
        <v>9</v>
      </c>
      <c r="W88" s="100">
        <v>8931.6</v>
      </c>
      <c r="X88" s="100">
        <v>9.613395718107709</v>
      </c>
      <c r="Y88" s="100">
        <v>9540.3339106500898</v>
      </c>
      <c r="Z88" s="100">
        <v>3.1786412693781672</v>
      </c>
      <c r="AA88" s="100">
        <v>3154.4835957308928</v>
      </c>
      <c r="AB88" s="100">
        <v>10.967741935483806</v>
      </c>
      <c r="AC88" s="100">
        <v>10884.38709677413</v>
      </c>
      <c r="AD88" s="100">
        <v>7.943925233644813</v>
      </c>
      <c r="AE88" s="100">
        <v>7883.5514018691119</v>
      </c>
      <c r="AF88" s="100">
        <v>9</v>
      </c>
      <c r="AG88" s="100">
        <v>8931.6</v>
      </c>
      <c r="AH88" s="100">
        <v>4.778761061946823</v>
      </c>
      <c r="AI88" s="100">
        <v>4742.4424778760267</v>
      </c>
      <c r="AJ88" s="100">
        <v>10</v>
      </c>
      <c r="AK88" s="100">
        <v>9924</v>
      </c>
      <c r="AL88" s="100">
        <v>9</v>
      </c>
      <c r="AM88" s="100">
        <v>8931.6</v>
      </c>
      <c r="AN88" s="100">
        <v>7</v>
      </c>
      <c r="AO88" s="100">
        <v>6946.8</v>
      </c>
      <c r="AP88" s="100">
        <v>6</v>
      </c>
      <c r="AQ88" s="100">
        <v>5954.4</v>
      </c>
      <c r="AR88" s="100">
        <v>10</v>
      </c>
      <c r="AS88" s="100">
        <v>9924</v>
      </c>
      <c r="AT88" s="100">
        <v>9</v>
      </c>
      <c r="AU88" s="100">
        <v>8931.6</v>
      </c>
      <c r="AV88" s="100">
        <v>4.6502038485607109</v>
      </c>
      <c r="AW88" s="100">
        <v>4614.8622993116496</v>
      </c>
      <c r="AX88" s="100">
        <v>6</v>
      </c>
      <c r="AY88" s="100">
        <v>5954.4</v>
      </c>
      <c r="AZ88" s="100">
        <v>7</v>
      </c>
      <c r="BA88" s="100">
        <v>6946.8</v>
      </c>
      <c r="BB88" s="100">
        <v>8</v>
      </c>
      <c r="BC88" s="100">
        <v>7939.2</v>
      </c>
      <c r="BD88" s="100">
        <v>7</v>
      </c>
      <c r="BE88" s="100">
        <v>6946.8</v>
      </c>
      <c r="BF88" s="100">
        <v>6</v>
      </c>
      <c r="BG88" s="100">
        <v>5954.4</v>
      </c>
      <c r="BH88" s="100">
        <v>7</v>
      </c>
      <c r="BI88" s="100">
        <v>6946.8</v>
      </c>
      <c r="BJ88" s="100">
        <v>4.4638305705948698</v>
      </c>
      <c r="BK88" s="100">
        <v>4429.9054582583485</v>
      </c>
      <c r="BL88" s="100">
        <v>11</v>
      </c>
      <c r="BM88" s="100">
        <v>10916.4</v>
      </c>
      <c r="BN88" s="100">
        <v>7</v>
      </c>
      <c r="BO88" s="100">
        <v>6946.8</v>
      </c>
      <c r="BP88" s="100">
        <v>10</v>
      </c>
      <c r="BQ88" s="100">
        <v>9924</v>
      </c>
      <c r="BR88" s="100">
        <v>8</v>
      </c>
      <c r="BS88" s="100">
        <v>7939.2</v>
      </c>
      <c r="BT88" s="100">
        <v>8.2763945405103208</v>
      </c>
      <c r="BU88" s="100">
        <v>8213.4939420024421</v>
      </c>
      <c r="BV88" s="100">
        <v>4.3463949674643114</v>
      </c>
      <c r="BW88" s="100">
        <v>4313.3623657115822</v>
      </c>
      <c r="BX88" s="100">
        <v>7</v>
      </c>
      <c r="BY88" s="100">
        <v>6946.8</v>
      </c>
      <c r="BZ88" s="100">
        <v>7</v>
      </c>
      <c r="CA88" s="100">
        <v>6946.8</v>
      </c>
      <c r="CB88" s="100">
        <v>7</v>
      </c>
      <c r="CC88" s="100">
        <v>6946.8</v>
      </c>
      <c r="CD88" s="100">
        <v>8.5493562231757601</v>
      </c>
      <c r="CE88" s="100">
        <v>8484.3811158796234</v>
      </c>
      <c r="CF88" s="100">
        <v>11</v>
      </c>
      <c r="CG88" s="100">
        <v>10916.4</v>
      </c>
      <c r="CH88" s="100">
        <v>5.4634146341462442</v>
      </c>
      <c r="CI88" s="100">
        <v>5421.892682926733</v>
      </c>
      <c r="CJ88" s="100">
        <v>6.1952457559080338</v>
      </c>
      <c r="CK88" s="100">
        <v>6148.161888163133</v>
      </c>
      <c r="CL88" s="100">
        <v>5.2134728748725641</v>
      </c>
      <c r="CM88" s="100">
        <v>5173.8504810235327</v>
      </c>
      <c r="CN88" s="100">
        <v>6.7231638418078701</v>
      </c>
      <c r="CO88" s="100">
        <v>6672.0677966101302</v>
      </c>
      <c r="CP88" s="100">
        <v>0.44731552785653389</v>
      </c>
      <c r="CQ88" s="100">
        <v>443.91592984482423</v>
      </c>
      <c r="CR88" s="100">
        <v>8.3606557377048674</v>
      </c>
      <c r="CS88" s="100">
        <v>8297.1147540983093</v>
      </c>
      <c r="CT88" s="100">
        <v>7</v>
      </c>
      <c r="CU88" s="100">
        <v>6946.8</v>
      </c>
    </row>
    <row r="89" spans="2:99">
      <c r="C89" s="99" t="s">
        <v>255</v>
      </c>
      <c r="D89" s="100">
        <v>7</v>
      </c>
      <c r="E89" s="100">
        <v>7434</v>
      </c>
      <c r="F89" s="100">
        <v>8.7881759725621595</v>
      </c>
      <c r="G89" s="100">
        <v>9333.0428828610129</v>
      </c>
      <c r="H89" s="100">
        <v>5.5500403367876707</v>
      </c>
      <c r="I89" s="100">
        <v>5894.1428376685062</v>
      </c>
      <c r="J89" s="100">
        <v>8.9073307344317278</v>
      </c>
      <c r="K89" s="100">
        <v>9459.5852399664946</v>
      </c>
      <c r="L89" s="100">
        <v>5</v>
      </c>
      <c r="M89" s="100">
        <v>5310</v>
      </c>
      <c r="N89" s="100">
        <v>7</v>
      </c>
      <c r="O89" s="100">
        <v>7434</v>
      </c>
      <c r="P89" s="100">
        <v>6.8032739467175185</v>
      </c>
      <c r="Q89" s="100">
        <v>7225.0769314140043</v>
      </c>
      <c r="R89" s="100">
        <v>10.331491712707122</v>
      </c>
      <c r="S89" s="100">
        <v>10972.044198894962</v>
      </c>
      <c r="T89" s="100">
        <v>6.4454976303317162</v>
      </c>
      <c r="U89" s="100">
        <v>6845.1184834122823</v>
      </c>
      <c r="V89" s="100">
        <v>10</v>
      </c>
      <c r="W89" s="100">
        <v>10620</v>
      </c>
      <c r="X89" s="100">
        <v>10.574735289918481</v>
      </c>
      <c r="Y89" s="100">
        <v>11230.368877893427</v>
      </c>
      <c r="Z89" s="100">
        <v>2.8607771424403508</v>
      </c>
      <c r="AA89" s="100">
        <v>3038.1453252716524</v>
      </c>
      <c r="AB89" s="100">
        <v>9.1397849462365066</v>
      </c>
      <c r="AC89" s="100">
        <v>9706.4516129031708</v>
      </c>
      <c r="AD89" s="100">
        <v>8.7383177570092947</v>
      </c>
      <c r="AE89" s="100">
        <v>9280.0934579438708</v>
      </c>
      <c r="AF89" s="100">
        <v>10</v>
      </c>
      <c r="AG89" s="100">
        <v>10620</v>
      </c>
      <c r="AH89" s="100">
        <v>5.3097345132742486</v>
      </c>
      <c r="AI89" s="100">
        <v>5638.9380530972521</v>
      </c>
      <c r="AJ89" s="100">
        <v>9</v>
      </c>
      <c r="AK89" s="100">
        <v>9558</v>
      </c>
      <c r="AL89" s="100">
        <v>10</v>
      </c>
      <c r="AM89" s="100">
        <v>10620</v>
      </c>
      <c r="AN89" s="100">
        <v>7</v>
      </c>
      <c r="AO89" s="100">
        <v>7434</v>
      </c>
      <c r="AP89" s="100">
        <v>6</v>
      </c>
      <c r="AQ89" s="100">
        <v>6372</v>
      </c>
      <c r="AR89" s="100">
        <v>9</v>
      </c>
      <c r="AS89" s="100">
        <v>9558</v>
      </c>
      <c r="AT89" s="100">
        <v>8</v>
      </c>
      <c r="AU89" s="100">
        <v>8496</v>
      </c>
      <c r="AV89" s="100">
        <v>3.8751698738005929</v>
      </c>
      <c r="AW89" s="100">
        <v>4115.4304059762298</v>
      </c>
      <c r="AX89" s="100">
        <v>6</v>
      </c>
      <c r="AY89" s="100">
        <v>6372</v>
      </c>
      <c r="AZ89" s="100">
        <v>6</v>
      </c>
      <c r="BA89" s="100">
        <v>6372</v>
      </c>
      <c r="BB89" s="100">
        <v>7</v>
      </c>
      <c r="BC89" s="100">
        <v>7434</v>
      </c>
      <c r="BD89" s="100">
        <v>7</v>
      </c>
      <c r="BE89" s="100">
        <v>7434</v>
      </c>
      <c r="BF89" s="100">
        <v>6</v>
      </c>
      <c r="BG89" s="100">
        <v>6372</v>
      </c>
      <c r="BH89" s="100">
        <v>6</v>
      </c>
      <c r="BI89" s="100">
        <v>6372</v>
      </c>
      <c r="BJ89" s="100">
        <v>4.4638305705948698</v>
      </c>
      <c r="BK89" s="100">
        <v>4740.5880659717513</v>
      </c>
      <c r="BL89" s="100">
        <v>11</v>
      </c>
      <c r="BM89" s="100">
        <v>11682</v>
      </c>
      <c r="BN89" s="100">
        <v>7</v>
      </c>
      <c r="BO89" s="100">
        <v>7434</v>
      </c>
      <c r="BP89" s="100">
        <v>11</v>
      </c>
      <c r="BQ89" s="100">
        <v>11682</v>
      </c>
      <c r="BR89" s="100">
        <v>8</v>
      </c>
      <c r="BS89" s="100">
        <v>8496</v>
      </c>
      <c r="BT89" s="100">
        <v>7.3567951471202848</v>
      </c>
      <c r="BU89" s="100">
        <v>7812.9164462417421</v>
      </c>
      <c r="BV89" s="100">
        <v>4.3463949674643114</v>
      </c>
      <c r="BW89" s="100">
        <v>4615.8714554470989</v>
      </c>
      <c r="BX89" s="100">
        <v>8</v>
      </c>
      <c r="BY89" s="100">
        <v>8496</v>
      </c>
      <c r="BZ89" s="100">
        <v>7</v>
      </c>
      <c r="CA89" s="100">
        <v>7434</v>
      </c>
      <c r="CB89" s="100">
        <v>6</v>
      </c>
      <c r="CC89" s="100">
        <v>6372</v>
      </c>
      <c r="CD89" s="100">
        <v>8.5493562231757601</v>
      </c>
      <c r="CE89" s="100">
        <v>9079.4163090126567</v>
      </c>
      <c r="CF89" s="100">
        <v>11</v>
      </c>
      <c r="CG89" s="100">
        <v>11682</v>
      </c>
      <c r="CH89" s="100">
        <v>4.7804878048779642</v>
      </c>
      <c r="CI89" s="100">
        <v>5076.8780487803979</v>
      </c>
      <c r="CJ89" s="100">
        <v>6.1952457559080338</v>
      </c>
      <c r="CK89" s="100">
        <v>6579.3509927743316</v>
      </c>
      <c r="CL89" s="100">
        <v>5.2134728748725641</v>
      </c>
      <c r="CM89" s="100">
        <v>5536.7081931146631</v>
      </c>
      <c r="CN89" s="100">
        <v>5.7627118644067448</v>
      </c>
      <c r="CO89" s="100">
        <v>6119.9999999999627</v>
      </c>
      <c r="CP89" s="100">
        <v>0.38341330959131475</v>
      </c>
      <c r="CQ89" s="100">
        <v>407.18493478597628</v>
      </c>
      <c r="CR89" s="100">
        <v>9.2896174863387415</v>
      </c>
      <c r="CS89" s="100">
        <v>9865.5737704917428</v>
      </c>
      <c r="CT89" s="100">
        <v>7</v>
      </c>
      <c r="CU89" s="100">
        <v>7434</v>
      </c>
    </row>
    <row r="90" spans="2:99">
      <c r="C90" s="99" t="s">
        <v>256</v>
      </c>
      <c r="D90" s="100">
        <v>6</v>
      </c>
      <c r="E90" s="100">
        <v>6652.7999999999993</v>
      </c>
      <c r="F90" s="100">
        <v>7.811711975610808</v>
      </c>
      <c r="G90" s="100">
        <v>8661.6262385572627</v>
      </c>
      <c r="H90" s="100">
        <v>6.3429032420430529</v>
      </c>
      <c r="I90" s="100">
        <v>7033.0111147773368</v>
      </c>
      <c r="J90" s="100">
        <v>7.9176273194948692</v>
      </c>
      <c r="K90" s="100">
        <v>8779.0651718559111</v>
      </c>
      <c r="L90" s="100">
        <v>5</v>
      </c>
      <c r="M90" s="100">
        <v>5544</v>
      </c>
      <c r="N90" s="100">
        <v>7</v>
      </c>
      <c r="O90" s="100">
        <v>7761.5999999999995</v>
      </c>
      <c r="P90" s="100">
        <v>5.8313776686150156</v>
      </c>
      <c r="Q90" s="100">
        <v>6465.8315589603289</v>
      </c>
      <c r="R90" s="100">
        <v>10.331491712707122</v>
      </c>
      <c r="S90" s="100">
        <v>11455.558011049656</v>
      </c>
      <c r="T90" s="100">
        <v>7.2511848341231806</v>
      </c>
      <c r="U90" s="100">
        <v>8040.1137440757821</v>
      </c>
      <c r="V90" s="100">
        <v>10</v>
      </c>
      <c r="W90" s="100">
        <v>11088</v>
      </c>
      <c r="X90" s="100">
        <v>8.652056146296939</v>
      </c>
      <c r="Y90" s="100">
        <v>9593.3998550140459</v>
      </c>
      <c r="Z90" s="100">
        <v>2.8607771424403508</v>
      </c>
      <c r="AA90" s="100">
        <v>3172.0296955378608</v>
      </c>
      <c r="AB90" s="100">
        <v>10.053763440860157</v>
      </c>
      <c r="AC90" s="100">
        <v>11147.612903225741</v>
      </c>
      <c r="AD90" s="100">
        <v>8.7383177570092947</v>
      </c>
      <c r="AE90" s="100">
        <v>9689.0467289719054</v>
      </c>
      <c r="AF90" s="100">
        <v>9</v>
      </c>
      <c r="AG90" s="100">
        <v>9979.1999999999989</v>
      </c>
      <c r="AH90" s="100">
        <v>4.778761061946823</v>
      </c>
      <c r="AI90" s="100">
        <v>5298.6902654866371</v>
      </c>
      <c r="AJ90" s="100">
        <v>9</v>
      </c>
      <c r="AK90" s="100">
        <v>9979.1999999999989</v>
      </c>
      <c r="AL90" s="100">
        <v>11</v>
      </c>
      <c r="AM90" s="100">
        <v>12196.8</v>
      </c>
      <c r="AN90" s="100">
        <v>7</v>
      </c>
      <c r="AO90" s="100">
        <v>7761.5999999999995</v>
      </c>
      <c r="AP90" s="100">
        <v>6</v>
      </c>
      <c r="AQ90" s="100">
        <v>6652.7999999999993</v>
      </c>
      <c r="AR90" s="100">
        <v>10</v>
      </c>
      <c r="AS90" s="100">
        <v>11088</v>
      </c>
      <c r="AT90" s="100">
        <v>9</v>
      </c>
      <c r="AU90" s="100">
        <v>9979.1999999999989</v>
      </c>
      <c r="AV90" s="100">
        <v>3.8751698738005929</v>
      </c>
      <c r="AW90" s="100">
        <v>4296.7883560700975</v>
      </c>
      <c r="AX90" s="100">
        <v>6</v>
      </c>
      <c r="AY90" s="100">
        <v>6652.7999999999993</v>
      </c>
      <c r="AZ90" s="100">
        <v>6</v>
      </c>
      <c r="BA90" s="100">
        <v>6652.7999999999993</v>
      </c>
      <c r="BB90" s="100">
        <v>8</v>
      </c>
      <c r="BC90" s="100">
        <v>8870.4</v>
      </c>
      <c r="BD90" s="100">
        <v>7</v>
      </c>
      <c r="BE90" s="100">
        <v>7761.5999999999995</v>
      </c>
      <c r="BF90" s="100">
        <v>6</v>
      </c>
      <c r="BG90" s="100">
        <v>6652.7999999999993</v>
      </c>
      <c r="BH90" s="100">
        <v>6</v>
      </c>
      <c r="BI90" s="100">
        <v>6652.7999999999993</v>
      </c>
      <c r="BJ90" s="100">
        <v>4.4638305705948698</v>
      </c>
      <c r="BK90" s="100">
        <v>4949.4953366755917</v>
      </c>
      <c r="BL90" s="100">
        <v>10</v>
      </c>
      <c r="BM90" s="100">
        <v>11088</v>
      </c>
      <c r="BN90" s="100">
        <v>7</v>
      </c>
      <c r="BO90" s="100">
        <v>7761.5999999999995</v>
      </c>
      <c r="BP90" s="100">
        <v>11</v>
      </c>
      <c r="BQ90" s="100">
        <v>12196.8</v>
      </c>
      <c r="BR90" s="100">
        <v>9</v>
      </c>
      <c r="BS90" s="100">
        <v>9979.1999999999989</v>
      </c>
      <c r="BT90" s="100">
        <v>7.3567951471202848</v>
      </c>
      <c r="BU90" s="100">
        <v>8157.2144591269716</v>
      </c>
      <c r="BV90" s="100">
        <v>3.8030955965312723</v>
      </c>
      <c r="BW90" s="100">
        <v>4216.8723974338745</v>
      </c>
      <c r="BX90" s="100">
        <v>7</v>
      </c>
      <c r="BY90" s="100">
        <v>7761.5999999999995</v>
      </c>
      <c r="BZ90" s="100">
        <v>7</v>
      </c>
      <c r="CA90" s="100">
        <v>7761.5999999999995</v>
      </c>
      <c r="CB90" s="100">
        <v>7</v>
      </c>
      <c r="CC90" s="100">
        <v>7761.5999999999995</v>
      </c>
      <c r="CD90" s="100">
        <v>7.8369098712444476</v>
      </c>
      <c r="CE90" s="100">
        <v>8689.565665235843</v>
      </c>
      <c r="CF90" s="100">
        <v>12</v>
      </c>
      <c r="CG90" s="100">
        <v>13305.599999999999</v>
      </c>
      <c r="CH90" s="100">
        <v>5.4634146341462442</v>
      </c>
      <c r="CI90" s="100">
        <v>6057.8341463413553</v>
      </c>
      <c r="CJ90" s="100">
        <v>6.1952457559080338</v>
      </c>
      <c r="CK90" s="100">
        <v>6869.2884941508273</v>
      </c>
      <c r="CL90" s="100">
        <v>5.2134728748725641</v>
      </c>
      <c r="CM90" s="100">
        <v>5780.6987236586992</v>
      </c>
      <c r="CN90" s="100">
        <v>4.8022598870056212</v>
      </c>
      <c r="CO90" s="100">
        <v>5324.7457627118329</v>
      </c>
      <c r="CP90" s="100">
        <v>0.38341330959131475</v>
      </c>
      <c r="CQ90" s="100">
        <v>425.12867767484977</v>
      </c>
      <c r="CR90" s="100">
        <v>9.2896174863387415</v>
      </c>
      <c r="CS90" s="100">
        <v>10300.327868852397</v>
      </c>
      <c r="CT90" s="100">
        <v>7</v>
      </c>
      <c r="CU90" s="100">
        <v>7761.5999999999995</v>
      </c>
    </row>
    <row r="91" spans="2:99">
      <c r="C91" s="99" t="s">
        <v>257</v>
      </c>
      <c r="D91" s="100">
        <v>6</v>
      </c>
      <c r="E91" s="100">
        <v>6818.4</v>
      </c>
      <c r="F91" s="100">
        <v>7.811711975610808</v>
      </c>
      <c r="G91" s="100">
        <v>8877.2294890841204</v>
      </c>
      <c r="H91" s="100">
        <v>5.5500403367876707</v>
      </c>
      <c r="I91" s="100">
        <v>6307.065838725508</v>
      </c>
      <c r="J91" s="100">
        <v>8.9073307344317278</v>
      </c>
      <c r="K91" s="100">
        <v>10122.290646608215</v>
      </c>
      <c r="L91" s="100">
        <v>5</v>
      </c>
      <c r="M91" s="100">
        <v>5681.9999999999991</v>
      </c>
      <c r="N91" s="100">
        <v>7</v>
      </c>
      <c r="O91" s="100">
        <v>7954.7999999999993</v>
      </c>
      <c r="P91" s="100">
        <v>6.8032739467175185</v>
      </c>
      <c r="Q91" s="100">
        <v>7731.2405130497873</v>
      </c>
      <c r="R91" s="100">
        <v>10.331491712707122</v>
      </c>
      <c r="S91" s="100">
        <v>11740.707182320371</v>
      </c>
      <c r="T91" s="100">
        <v>7.2511848341231806</v>
      </c>
      <c r="U91" s="100">
        <v>8240.2464454975816</v>
      </c>
      <c r="V91" s="100">
        <v>10</v>
      </c>
      <c r="W91" s="100">
        <v>11363.999999999998</v>
      </c>
      <c r="X91" s="100">
        <v>8.652056146296939</v>
      </c>
      <c r="Y91" s="100">
        <v>9832.196604651841</v>
      </c>
      <c r="Z91" s="100">
        <v>2.8607771424403508</v>
      </c>
      <c r="AA91" s="100">
        <v>3250.9871446692141</v>
      </c>
      <c r="AB91" s="100">
        <v>9.1397849462365066</v>
      </c>
      <c r="AC91" s="100">
        <v>10386.451612903165</v>
      </c>
      <c r="AD91" s="100">
        <v>8.7383177570092947</v>
      </c>
      <c r="AE91" s="100">
        <v>9930.2242990653613</v>
      </c>
      <c r="AF91" s="100">
        <v>10</v>
      </c>
      <c r="AG91" s="100">
        <v>11363.999999999998</v>
      </c>
      <c r="AH91" s="100">
        <v>5.3097345132742486</v>
      </c>
      <c r="AI91" s="100">
        <v>6033.9823008848552</v>
      </c>
      <c r="AJ91" s="100">
        <v>11</v>
      </c>
      <c r="AK91" s="100">
        <v>12500.399999999998</v>
      </c>
      <c r="AL91" s="100">
        <v>10</v>
      </c>
      <c r="AM91" s="100">
        <v>11363.999999999998</v>
      </c>
      <c r="AN91" s="100">
        <v>6</v>
      </c>
      <c r="AO91" s="100">
        <v>6818.4</v>
      </c>
      <c r="AP91" s="100">
        <v>6</v>
      </c>
      <c r="AQ91" s="100">
        <v>6818.4</v>
      </c>
      <c r="AR91" s="100">
        <v>10</v>
      </c>
      <c r="AS91" s="100">
        <v>11363.999999999998</v>
      </c>
      <c r="AT91" s="100">
        <v>9</v>
      </c>
      <c r="AU91" s="100">
        <v>10227.599999999999</v>
      </c>
      <c r="AV91" s="100">
        <v>4.6502038485607109</v>
      </c>
      <c r="AW91" s="100">
        <v>5284.4916535043913</v>
      </c>
      <c r="AX91" s="100">
        <v>6</v>
      </c>
      <c r="AY91" s="100">
        <v>6818.4</v>
      </c>
      <c r="AZ91" s="100">
        <v>6</v>
      </c>
      <c r="BA91" s="100">
        <v>6818.4</v>
      </c>
      <c r="BB91" s="100">
        <v>8</v>
      </c>
      <c r="BC91" s="100">
        <v>9091.1999999999989</v>
      </c>
      <c r="BD91" s="100">
        <v>7</v>
      </c>
      <c r="BE91" s="100">
        <v>7954.7999999999993</v>
      </c>
      <c r="BF91" s="100">
        <v>6</v>
      </c>
      <c r="BG91" s="100">
        <v>6818.4</v>
      </c>
      <c r="BH91" s="100">
        <v>6</v>
      </c>
      <c r="BI91" s="100">
        <v>6818.4</v>
      </c>
      <c r="BJ91" s="100">
        <v>3.8261404890813173</v>
      </c>
      <c r="BK91" s="100">
        <v>4348.0260517920087</v>
      </c>
      <c r="BL91" s="100">
        <v>11</v>
      </c>
      <c r="BM91" s="100">
        <v>12500.399999999998</v>
      </c>
      <c r="BN91" s="100">
        <v>8</v>
      </c>
      <c r="BO91" s="100">
        <v>9091.1999999999989</v>
      </c>
      <c r="BP91" s="100">
        <v>10</v>
      </c>
      <c r="BQ91" s="100">
        <v>11363.999999999998</v>
      </c>
      <c r="BR91" s="100">
        <v>9</v>
      </c>
      <c r="BS91" s="100">
        <v>10227.599999999999</v>
      </c>
      <c r="BT91" s="100">
        <v>7.3567951471202848</v>
      </c>
      <c r="BU91" s="100">
        <v>8360.262005187491</v>
      </c>
      <c r="BV91" s="100">
        <v>3.2597962255982331</v>
      </c>
      <c r="BW91" s="100">
        <v>3704.4324307698316</v>
      </c>
      <c r="BX91" s="100">
        <v>8</v>
      </c>
      <c r="BY91" s="100">
        <v>9091.1999999999989</v>
      </c>
      <c r="BZ91" s="100">
        <v>8</v>
      </c>
      <c r="CA91" s="100">
        <v>9091.1999999999989</v>
      </c>
      <c r="CB91" s="100">
        <v>7</v>
      </c>
      <c r="CC91" s="100">
        <v>7954.7999999999993</v>
      </c>
      <c r="CD91" s="100">
        <v>7.1244635193131343</v>
      </c>
      <c r="CE91" s="100">
        <v>8096.2403433474447</v>
      </c>
      <c r="CF91" s="100">
        <v>12</v>
      </c>
      <c r="CG91" s="100">
        <v>13636.8</v>
      </c>
      <c r="CH91" s="100">
        <v>5.4634146341462442</v>
      </c>
      <c r="CI91" s="100">
        <v>6208.6243902437909</v>
      </c>
      <c r="CJ91" s="100">
        <v>6.8836063954533708</v>
      </c>
      <c r="CK91" s="100">
        <v>7822.5303077932094</v>
      </c>
      <c r="CL91" s="100">
        <v>4.5617887655134934</v>
      </c>
      <c r="CM91" s="100">
        <v>5184.0167531295338</v>
      </c>
      <c r="CN91" s="100">
        <v>5.7627118644067448</v>
      </c>
      <c r="CO91" s="100">
        <v>6548.7457627118238</v>
      </c>
      <c r="CP91" s="100">
        <v>0.44731552785653389</v>
      </c>
      <c r="CQ91" s="100">
        <v>508.32936585616505</v>
      </c>
      <c r="CR91" s="100">
        <v>9.2896174863387415</v>
      </c>
      <c r="CS91" s="100">
        <v>10556.721311475345</v>
      </c>
      <c r="CT91" s="100">
        <v>7</v>
      </c>
      <c r="CU91" s="100">
        <v>7954.7999999999993</v>
      </c>
    </row>
    <row r="92" spans="2:99">
      <c r="C92" s="99" t="s">
        <v>258</v>
      </c>
      <c r="D92" s="100">
        <v>6</v>
      </c>
      <c r="E92" s="100">
        <v>4708.7999999999993</v>
      </c>
      <c r="F92" s="100">
        <v>9.7646399695135102</v>
      </c>
      <c r="G92" s="100">
        <v>7663.2894480742025</v>
      </c>
      <c r="H92" s="100">
        <v>6.3429032420430529</v>
      </c>
      <c r="I92" s="100">
        <v>4977.9104643553874</v>
      </c>
      <c r="J92" s="100">
        <v>9.8970341493685865</v>
      </c>
      <c r="K92" s="100">
        <v>7767.1924004244665</v>
      </c>
      <c r="L92" s="100">
        <v>6</v>
      </c>
      <c r="M92" s="100">
        <v>4708.7999999999993</v>
      </c>
      <c r="N92" s="100">
        <v>7</v>
      </c>
      <c r="O92" s="100">
        <v>5493.5999999999995</v>
      </c>
      <c r="P92" s="100">
        <v>6.8032739467175185</v>
      </c>
      <c r="Q92" s="100">
        <v>5339.2093933839078</v>
      </c>
      <c r="R92" s="100">
        <v>10.331491712707122</v>
      </c>
      <c r="S92" s="100">
        <v>8108.1546961325485</v>
      </c>
      <c r="T92" s="100">
        <v>7.2511848341231806</v>
      </c>
      <c r="U92" s="100">
        <v>5690.7298578198715</v>
      </c>
      <c r="V92" s="100">
        <v>9</v>
      </c>
      <c r="W92" s="100">
        <v>7063.2</v>
      </c>
      <c r="X92" s="100">
        <v>9.613395718107709</v>
      </c>
      <c r="Y92" s="100">
        <v>7544.5929595709295</v>
      </c>
      <c r="Z92" s="100">
        <v>2.8607771424403508</v>
      </c>
      <c r="AA92" s="100">
        <v>2245.137901387187</v>
      </c>
      <c r="AB92" s="100">
        <v>10.053763440860157</v>
      </c>
      <c r="AC92" s="100">
        <v>7890.1935483870511</v>
      </c>
      <c r="AD92" s="100">
        <v>9.5327102803737755</v>
      </c>
      <c r="AE92" s="100">
        <v>7481.2710280373385</v>
      </c>
      <c r="AF92" s="100">
        <v>10</v>
      </c>
      <c r="AG92" s="100">
        <v>7848</v>
      </c>
      <c r="AH92" s="100">
        <v>4.778761061946823</v>
      </c>
      <c r="AI92" s="100">
        <v>3750.3716814158665</v>
      </c>
      <c r="AJ92" s="100">
        <v>9</v>
      </c>
      <c r="AK92" s="100">
        <v>7063.2</v>
      </c>
      <c r="AL92" s="100">
        <v>10</v>
      </c>
      <c r="AM92" s="100">
        <v>7848</v>
      </c>
      <c r="AN92" s="100">
        <v>6</v>
      </c>
      <c r="AO92" s="100">
        <v>4708.7999999999993</v>
      </c>
      <c r="AP92" s="100">
        <v>6</v>
      </c>
      <c r="AQ92" s="100">
        <v>4708.7999999999993</v>
      </c>
      <c r="AR92" s="100">
        <v>10</v>
      </c>
      <c r="AS92" s="100">
        <v>7848</v>
      </c>
      <c r="AT92" s="100">
        <v>10</v>
      </c>
      <c r="AU92" s="100">
        <v>7848</v>
      </c>
      <c r="AV92" s="100">
        <v>4.6502038485607109</v>
      </c>
      <c r="AW92" s="100">
        <v>3649.4799803504457</v>
      </c>
      <c r="AX92" s="100">
        <v>6</v>
      </c>
      <c r="AY92" s="100">
        <v>4708.7999999999993</v>
      </c>
      <c r="AZ92" s="100">
        <v>7</v>
      </c>
      <c r="BA92" s="100">
        <v>5493.5999999999995</v>
      </c>
      <c r="BB92" s="100">
        <v>8</v>
      </c>
      <c r="BC92" s="100">
        <v>6278.4</v>
      </c>
      <c r="BD92" s="100">
        <v>7</v>
      </c>
      <c r="BE92" s="100">
        <v>5493.5999999999995</v>
      </c>
      <c r="BF92" s="100">
        <v>6</v>
      </c>
      <c r="BG92" s="100">
        <v>4708.7999999999993</v>
      </c>
      <c r="BH92" s="100">
        <v>6</v>
      </c>
      <c r="BI92" s="100">
        <v>4708.7999999999993</v>
      </c>
      <c r="BJ92" s="100">
        <v>4.4638305705948698</v>
      </c>
      <c r="BK92" s="100">
        <v>3503.2142318028536</v>
      </c>
      <c r="BL92" s="100">
        <v>9</v>
      </c>
      <c r="BM92" s="100">
        <v>7063.2</v>
      </c>
      <c r="BN92" s="100">
        <v>7</v>
      </c>
      <c r="BO92" s="100">
        <v>5493.5999999999995</v>
      </c>
      <c r="BP92" s="100">
        <v>10</v>
      </c>
      <c r="BQ92" s="100">
        <v>7848</v>
      </c>
      <c r="BR92" s="100">
        <v>9</v>
      </c>
      <c r="BS92" s="100">
        <v>7063.2</v>
      </c>
      <c r="BT92" s="100">
        <v>7.3567951471202848</v>
      </c>
      <c r="BU92" s="100">
        <v>5773.6128314599991</v>
      </c>
      <c r="BV92" s="100">
        <v>3.8030955965312723</v>
      </c>
      <c r="BW92" s="100">
        <v>2984.6694241577425</v>
      </c>
      <c r="BX92" s="100">
        <v>7</v>
      </c>
      <c r="BY92" s="100">
        <v>5493.5999999999995</v>
      </c>
      <c r="BZ92" s="100">
        <v>8</v>
      </c>
      <c r="CA92" s="100">
        <v>6278.4</v>
      </c>
      <c r="CB92" s="100">
        <v>6</v>
      </c>
      <c r="CC92" s="100">
        <v>4708.7999999999993</v>
      </c>
      <c r="CD92" s="100">
        <v>7.8369098712444476</v>
      </c>
      <c r="CE92" s="100">
        <v>6150.4068669526423</v>
      </c>
      <c r="CF92" s="100">
        <v>10</v>
      </c>
      <c r="CG92" s="100">
        <v>7848</v>
      </c>
      <c r="CH92" s="100">
        <v>5.4634146341462442</v>
      </c>
      <c r="CI92" s="100">
        <v>4287.6878048779718</v>
      </c>
      <c r="CJ92" s="100">
        <v>6.1952457559080338</v>
      </c>
      <c r="CK92" s="100">
        <v>4862.0288692366248</v>
      </c>
      <c r="CL92" s="100">
        <v>4.5617887655134934</v>
      </c>
      <c r="CM92" s="100">
        <v>3580.0918231749893</v>
      </c>
      <c r="CN92" s="100">
        <v>5.7627118644067448</v>
      </c>
      <c r="CO92" s="100">
        <v>4522.5762711864127</v>
      </c>
      <c r="CP92" s="100">
        <v>0.38341330959131475</v>
      </c>
      <c r="CQ92" s="100">
        <v>300.90276536726378</v>
      </c>
      <c r="CR92" s="100">
        <v>9.2896174863387415</v>
      </c>
      <c r="CS92" s="100">
        <v>7290.4918032786436</v>
      </c>
      <c r="CT92" s="100">
        <v>7</v>
      </c>
      <c r="CU92" s="100">
        <v>5493.5999999999995</v>
      </c>
    </row>
    <row r="93" spans="2:99">
      <c r="C93" s="99" t="s">
        <v>259</v>
      </c>
      <c r="D93" s="100">
        <v>7</v>
      </c>
      <c r="E93" s="100">
        <v>4855.2</v>
      </c>
      <c r="F93" s="100">
        <v>8.7881759725621595</v>
      </c>
      <c r="G93" s="100">
        <v>6095.4788545691144</v>
      </c>
      <c r="H93" s="100">
        <v>5.5500403367876707</v>
      </c>
      <c r="I93" s="100">
        <v>3849.5079775959284</v>
      </c>
      <c r="J93" s="100">
        <v>8.9073307344317278</v>
      </c>
      <c r="K93" s="100">
        <v>6178.1245974018466</v>
      </c>
      <c r="L93" s="100">
        <v>5</v>
      </c>
      <c r="M93" s="100">
        <v>3468</v>
      </c>
      <c r="N93" s="100">
        <v>6</v>
      </c>
      <c r="O93" s="100">
        <v>4161.6000000000004</v>
      </c>
      <c r="P93" s="100">
        <v>6.8032739467175185</v>
      </c>
      <c r="Q93" s="100">
        <v>4718.7508094432706</v>
      </c>
      <c r="R93" s="100">
        <v>10.331491712707122</v>
      </c>
      <c r="S93" s="100">
        <v>7165.9226519336598</v>
      </c>
      <c r="T93" s="100">
        <v>6.4454976303317162</v>
      </c>
      <c r="U93" s="100">
        <v>4470.5971563980784</v>
      </c>
      <c r="V93" s="100">
        <v>11</v>
      </c>
      <c r="W93" s="100">
        <v>7629.6</v>
      </c>
      <c r="X93" s="100">
        <v>9.613395718107709</v>
      </c>
      <c r="Y93" s="100">
        <v>6667.8512700795072</v>
      </c>
      <c r="Z93" s="100">
        <v>2.8607771424403508</v>
      </c>
      <c r="AA93" s="100">
        <v>1984.2350259966274</v>
      </c>
      <c r="AB93" s="100">
        <v>10.967741935483806</v>
      </c>
      <c r="AC93" s="100">
        <v>7607.2258064515681</v>
      </c>
      <c r="AD93" s="100">
        <v>8.7383177570092947</v>
      </c>
      <c r="AE93" s="100">
        <v>6060.897196261647</v>
      </c>
      <c r="AF93" s="100">
        <v>10</v>
      </c>
      <c r="AG93" s="100">
        <v>6936</v>
      </c>
      <c r="AH93" s="100">
        <v>5.3097345132742486</v>
      </c>
      <c r="AI93" s="100">
        <v>3682.8318584070189</v>
      </c>
      <c r="AJ93" s="100">
        <v>9</v>
      </c>
      <c r="AK93" s="100">
        <v>6242.4000000000005</v>
      </c>
      <c r="AL93" s="100">
        <v>11</v>
      </c>
      <c r="AM93" s="100">
        <v>7629.6</v>
      </c>
      <c r="AN93" s="100">
        <v>7</v>
      </c>
      <c r="AO93" s="100">
        <v>4855.2</v>
      </c>
      <c r="AP93" s="100">
        <v>7</v>
      </c>
      <c r="AQ93" s="100">
        <v>4855.2</v>
      </c>
      <c r="AR93" s="100">
        <v>10</v>
      </c>
      <c r="AS93" s="100">
        <v>6936</v>
      </c>
      <c r="AT93" s="100">
        <v>9</v>
      </c>
      <c r="AU93" s="100">
        <v>6242.4000000000005</v>
      </c>
      <c r="AV93" s="100">
        <v>4.6502038485607109</v>
      </c>
      <c r="AW93" s="100">
        <v>3225.3813893617094</v>
      </c>
      <c r="AX93" s="100">
        <v>7</v>
      </c>
      <c r="AY93" s="100">
        <v>4855.2</v>
      </c>
      <c r="AZ93" s="100">
        <v>6</v>
      </c>
      <c r="BA93" s="100">
        <v>4161.6000000000004</v>
      </c>
      <c r="BB93" s="100">
        <v>7</v>
      </c>
      <c r="BC93" s="100">
        <v>4855.2</v>
      </c>
      <c r="BD93" s="100">
        <v>8</v>
      </c>
      <c r="BE93" s="100">
        <v>5548.8</v>
      </c>
      <c r="BF93" s="100">
        <v>7</v>
      </c>
      <c r="BG93" s="100">
        <v>4855.2</v>
      </c>
      <c r="BH93" s="100">
        <v>6</v>
      </c>
      <c r="BI93" s="100">
        <v>4161.6000000000004</v>
      </c>
      <c r="BJ93" s="100">
        <v>4.4638305705948698</v>
      </c>
      <c r="BK93" s="100">
        <v>3096.112883764602</v>
      </c>
      <c r="BL93" s="100">
        <v>10</v>
      </c>
      <c r="BM93" s="100">
        <v>6936</v>
      </c>
      <c r="BN93" s="100">
        <v>8</v>
      </c>
      <c r="BO93" s="100">
        <v>5548.8</v>
      </c>
      <c r="BP93" s="100">
        <v>10</v>
      </c>
      <c r="BQ93" s="100">
        <v>6936</v>
      </c>
      <c r="BR93" s="100">
        <v>9</v>
      </c>
      <c r="BS93" s="100">
        <v>6242.4000000000005</v>
      </c>
      <c r="BT93" s="100">
        <v>7.3567951471202848</v>
      </c>
      <c r="BU93" s="100">
        <v>5102.67311404263</v>
      </c>
      <c r="BV93" s="100">
        <v>3.8030955965312723</v>
      </c>
      <c r="BW93" s="100">
        <v>2637.8271057540906</v>
      </c>
      <c r="BX93" s="100">
        <v>7</v>
      </c>
      <c r="BY93" s="100">
        <v>4855.2</v>
      </c>
      <c r="BZ93" s="100">
        <v>7</v>
      </c>
      <c r="CA93" s="100">
        <v>4855.2</v>
      </c>
      <c r="CB93" s="100">
        <v>7</v>
      </c>
      <c r="CC93" s="100">
        <v>4855.2</v>
      </c>
      <c r="CD93" s="100">
        <v>9.2618025751070743</v>
      </c>
      <c r="CE93" s="100">
        <v>6423.9862660942672</v>
      </c>
      <c r="CF93" s="100">
        <v>12</v>
      </c>
      <c r="CG93" s="100">
        <v>8323.2000000000007</v>
      </c>
      <c r="CH93" s="100">
        <v>5.4634146341462442</v>
      </c>
      <c r="CI93" s="100">
        <v>3789.4243902438352</v>
      </c>
      <c r="CJ93" s="100">
        <v>6.8836063954533708</v>
      </c>
      <c r="CK93" s="100">
        <v>4774.4693958864582</v>
      </c>
      <c r="CL93" s="100">
        <v>5.2134728748725641</v>
      </c>
      <c r="CM93" s="100">
        <v>3616.0647860116105</v>
      </c>
      <c r="CN93" s="100">
        <v>5.7627118644067448</v>
      </c>
      <c r="CO93" s="100">
        <v>3997.0169491525185</v>
      </c>
      <c r="CP93" s="100">
        <v>0.38341330959131475</v>
      </c>
      <c r="CQ93" s="100">
        <v>265.93547153253593</v>
      </c>
      <c r="CR93" s="100">
        <v>9.2896174863387415</v>
      </c>
      <c r="CS93" s="100">
        <v>6443.2786885245514</v>
      </c>
      <c r="CT93" s="100">
        <v>7</v>
      </c>
      <c r="CU93" s="100">
        <v>4855.2</v>
      </c>
    </row>
    <row r="94" spans="2:99">
      <c r="C94" s="99" t="s">
        <v>260</v>
      </c>
      <c r="D94" s="100">
        <v>6</v>
      </c>
      <c r="E94" s="100">
        <v>7156.7999999999993</v>
      </c>
      <c r="F94" s="100">
        <v>7.811711975610808</v>
      </c>
      <c r="G94" s="100">
        <v>9317.8100445085711</v>
      </c>
      <c r="H94" s="100">
        <v>5.5500403367876707</v>
      </c>
      <c r="I94" s="100">
        <v>6620.0881137203332</v>
      </c>
      <c r="J94" s="100">
        <v>7.9176273194948692</v>
      </c>
      <c r="K94" s="100">
        <v>9444.1458666934795</v>
      </c>
      <c r="L94" s="100">
        <v>5</v>
      </c>
      <c r="M94" s="100">
        <v>5964</v>
      </c>
      <c r="N94" s="100">
        <v>6</v>
      </c>
      <c r="O94" s="100">
        <v>7156.7999999999993</v>
      </c>
      <c r="P94" s="100">
        <v>6.8032739467175185</v>
      </c>
      <c r="Q94" s="100">
        <v>8114.9451636446556</v>
      </c>
      <c r="R94" s="100">
        <v>10.331491712707122</v>
      </c>
      <c r="S94" s="100">
        <v>12323.403314917054</v>
      </c>
      <c r="T94" s="100">
        <v>7.2511848341231806</v>
      </c>
      <c r="U94" s="100">
        <v>8649.2132701421287</v>
      </c>
      <c r="V94" s="100">
        <v>10</v>
      </c>
      <c r="W94" s="100">
        <v>11928</v>
      </c>
      <c r="X94" s="100">
        <v>9.613395718107709</v>
      </c>
      <c r="Y94" s="100">
        <v>11466.858412558875</v>
      </c>
      <c r="Z94" s="100">
        <v>3.1786412693781672</v>
      </c>
      <c r="AA94" s="100">
        <v>3791.4833061142776</v>
      </c>
      <c r="AB94" s="100">
        <v>10.053763440860157</v>
      </c>
      <c r="AC94" s="100">
        <v>11992.129032257995</v>
      </c>
      <c r="AD94" s="100">
        <v>7.943925233644813</v>
      </c>
      <c r="AE94" s="100">
        <v>9475.5140186915323</v>
      </c>
      <c r="AF94" s="100">
        <v>9</v>
      </c>
      <c r="AG94" s="100">
        <v>10735.199999999999</v>
      </c>
      <c r="AH94" s="100">
        <v>5.3097345132742486</v>
      </c>
      <c r="AI94" s="100">
        <v>6333.4513274335231</v>
      </c>
      <c r="AJ94" s="100">
        <v>10</v>
      </c>
      <c r="AK94" s="100">
        <v>11928</v>
      </c>
      <c r="AL94" s="100">
        <v>10</v>
      </c>
      <c r="AM94" s="100">
        <v>11928</v>
      </c>
      <c r="AN94" s="100">
        <v>7</v>
      </c>
      <c r="AO94" s="100">
        <v>8349.6</v>
      </c>
      <c r="AP94" s="100">
        <v>6</v>
      </c>
      <c r="AQ94" s="100">
        <v>7156.7999999999993</v>
      </c>
      <c r="AR94" s="100">
        <v>10</v>
      </c>
      <c r="AS94" s="100">
        <v>11928</v>
      </c>
      <c r="AT94" s="100">
        <v>9</v>
      </c>
      <c r="AU94" s="100">
        <v>10735.199999999999</v>
      </c>
      <c r="AV94" s="100">
        <v>4.6502038485607109</v>
      </c>
      <c r="AW94" s="100">
        <v>5546.7631505632162</v>
      </c>
      <c r="AX94" s="100">
        <v>6</v>
      </c>
      <c r="AY94" s="100">
        <v>7156.7999999999993</v>
      </c>
      <c r="AZ94" s="100">
        <v>6</v>
      </c>
      <c r="BA94" s="100">
        <v>7156.7999999999993</v>
      </c>
      <c r="BB94" s="100">
        <v>7</v>
      </c>
      <c r="BC94" s="100">
        <v>8349.6</v>
      </c>
      <c r="BD94" s="100">
        <v>6</v>
      </c>
      <c r="BE94" s="100">
        <v>7156.7999999999993</v>
      </c>
      <c r="BF94" s="100">
        <v>6</v>
      </c>
      <c r="BG94" s="100">
        <v>7156.7999999999993</v>
      </c>
      <c r="BH94" s="100">
        <v>6</v>
      </c>
      <c r="BI94" s="100">
        <v>7156.7999999999993</v>
      </c>
      <c r="BJ94" s="100">
        <v>3.8261404890813173</v>
      </c>
      <c r="BK94" s="100">
        <v>4563.8203753761954</v>
      </c>
      <c r="BL94" s="100">
        <v>11</v>
      </c>
      <c r="BM94" s="100">
        <v>13120.8</v>
      </c>
      <c r="BN94" s="100">
        <v>8</v>
      </c>
      <c r="BO94" s="100">
        <v>9542.4</v>
      </c>
      <c r="BP94" s="100">
        <v>10</v>
      </c>
      <c r="BQ94" s="100">
        <v>11928</v>
      </c>
      <c r="BR94" s="100">
        <v>9</v>
      </c>
      <c r="BS94" s="100">
        <v>10735.199999999999</v>
      </c>
      <c r="BT94" s="100">
        <v>7.3567951471202848</v>
      </c>
      <c r="BU94" s="100">
        <v>8775.1852514850762</v>
      </c>
      <c r="BV94" s="100">
        <v>3.8030955965312723</v>
      </c>
      <c r="BW94" s="100">
        <v>4536.3324275425011</v>
      </c>
      <c r="BX94" s="100">
        <v>6</v>
      </c>
      <c r="BY94" s="100">
        <v>7156.7999999999993</v>
      </c>
      <c r="BZ94" s="100">
        <v>8</v>
      </c>
      <c r="CA94" s="100">
        <v>9542.4</v>
      </c>
      <c r="CB94" s="100">
        <v>7</v>
      </c>
      <c r="CC94" s="100">
        <v>8349.6</v>
      </c>
      <c r="CD94" s="100">
        <v>7.8369098712444476</v>
      </c>
      <c r="CE94" s="100">
        <v>9347.8660944203766</v>
      </c>
      <c r="CF94" s="100">
        <v>12</v>
      </c>
      <c r="CG94" s="100">
        <v>14313.599999999999</v>
      </c>
      <c r="CH94" s="100">
        <v>6.146341463414525</v>
      </c>
      <c r="CI94" s="100">
        <v>7331.3560975608452</v>
      </c>
      <c r="CJ94" s="100">
        <v>5.5068851163626968</v>
      </c>
      <c r="CK94" s="100">
        <v>6568.6125667974247</v>
      </c>
      <c r="CL94" s="100">
        <v>5.8651569842316338</v>
      </c>
      <c r="CM94" s="100">
        <v>6995.9592507914922</v>
      </c>
      <c r="CN94" s="100">
        <v>5.7627118644067448</v>
      </c>
      <c r="CO94" s="100">
        <v>6873.762711864365</v>
      </c>
      <c r="CP94" s="100">
        <v>0.38341330959131475</v>
      </c>
      <c r="CQ94" s="100">
        <v>457.33539568052021</v>
      </c>
      <c r="CR94" s="100">
        <v>9.2896174863387415</v>
      </c>
      <c r="CS94" s="100">
        <v>11080.65573770485</v>
      </c>
      <c r="CT94" s="100">
        <v>6</v>
      </c>
      <c r="CU94" s="100">
        <v>7156.7999999999993</v>
      </c>
    </row>
    <row r="95" spans="2:99">
      <c r="B95" s="99" t="s">
        <v>132</v>
      </c>
      <c r="C95" s="99" t="s">
        <v>261</v>
      </c>
      <c r="D95" s="100">
        <v>8</v>
      </c>
      <c r="E95" s="100">
        <v>2630.4</v>
      </c>
      <c r="F95" s="100">
        <v>7.811711975610808</v>
      </c>
      <c r="G95" s="100">
        <v>2568.4908975808339</v>
      </c>
      <c r="H95" s="100">
        <v>10.307217768319962</v>
      </c>
      <c r="I95" s="100">
        <v>3389.0132022236035</v>
      </c>
      <c r="J95" s="100">
        <v>8.9073307344317278</v>
      </c>
      <c r="K95" s="100">
        <v>2928.7303454811522</v>
      </c>
      <c r="L95" s="100">
        <v>9</v>
      </c>
      <c r="M95" s="100">
        <v>2959.2000000000003</v>
      </c>
      <c r="N95" s="100">
        <v>7</v>
      </c>
      <c r="O95" s="100">
        <v>2301.6</v>
      </c>
      <c r="P95" s="100">
        <v>9.7189627810250272</v>
      </c>
      <c r="Q95" s="100">
        <v>3195.5949624010291</v>
      </c>
      <c r="R95" s="100">
        <v>6.5745856353590773</v>
      </c>
      <c r="S95" s="100">
        <v>2161.7237569060649</v>
      </c>
      <c r="T95" s="100">
        <v>9.6682464454975729</v>
      </c>
      <c r="U95" s="100">
        <v>3178.9194312796021</v>
      </c>
      <c r="V95" s="100">
        <v>8</v>
      </c>
      <c r="W95" s="100">
        <v>2630.4</v>
      </c>
      <c r="X95" s="100">
        <v>6.7293770026753963</v>
      </c>
      <c r="Y95" s="100">
        <v>2212.6191584796702</v>
      </c>
      <c r="Z95" s="100">
        <v>3.496505396315984</v>
      </c>
      <c r="AA95" s="100">
        <v>1149.6509743086956</v>
      </c>
      <c r="AB95" s="100">
        <v>7.3118279569892053</v>
      </c>
      <c r="AC95" s="100">
        <v>2404.1290322580508</v>
      </c>
      <c r="AD95" s="100">
        <v>7.943925233644813</v>
      </c>
      <c r="AE95" s="100">
        <v>2611.9626168224145</v>
      </c>
      <c r="AF95" s="100">
        <v>12</v>
      </c>
      <c r="AG95" s="100">
        <v>3945.6000000000004</v>
      </c>
      <c r="AH95" s="100">
        <v>6.9026548672565227</v>
      </c>
      <c r="AI95" s="100">
        <v>2269.5929203539449</v>
      </c>
      <c r="AJ95" s="100">
        <v>11</v>
      </c>
      <c r="AK95" s="100">
        <v>3616.8</v>
      </c>
      <c r="AL95" s="100">
        <v>7</v>
      </c>
      <c r="AM95" s="100">
        <v>2301.6</v>
      </c>
      <c r="AN95" s="100">
        <v>11</v>
      </c>
      <c r="AO95" s="100">
        <v>3616.8</v>
      </c>
      <c r="AP95" s="100">
        <v>10</v>
      </c>
      <c r="AQ95" s="100">
        <v>3288</v>
      </c>
      <c r="AR95" s="100">
        <v>12</v>
      </c>
      <c r="AS95" s="100">
        <v>3945.6000000000004</v>
      </c>
      <c r="AT95" s="100">
        <v>7</v>
      </c>
      <c r="AU95" s="100">
        <v>2301.6</v>
      </c>
      <c r="AV95" s="100">
        <v>9.3004076971214218</v>
      </c>
      <c r="AW95" s="100">
        <v>3057.9740508135237</v>
      </c>
      <c r="AX95" s="100">
        <v>7</v>
      </c>
      <c r="AY95" s="100">
        <v>2301.6</v>
      </c>
      <c r="AZ95" s="100">
        <v>9</v>
      </c>
      <c r="BA95" s="100">
        <v>2959.2000000000003</v>
      </c>
      <c r="BB95" s="100">
        <v>11</v>
      </c>
      <c r="BC95" s="100">
        <v>3616.8</v>
      </c>
      <c r="BD95" s="100">
        <v>9</v>
      </c>
      <c r="BE95" s="100">
        <v>2959.2000000000003</v>
      </c>
      <c r="BF95" s="100">
        <v>7</v>
      </c>
      <c r="BG95" s="100">
        <v>2301.6</v>
      </c>
      <c r="BH95" s="100">
        <v>12</v>
      </c>
      <c r="BI95" s="100">
        <v>3945.6000000000004</v>
      </c>
      <c r="BJ95" s="100">
        <v>5.1015206521084231</v>
      </c>
      <c r="BK95" s="100">
        <v>1677.3799904132495</v>
      </c>
      <c r="BL95" s="100">
        <v>13</v>
      </c>
      <c r="BM95" s="100">
        <v>4274.4000000000005</v>
      </c>
      <c r="BN95" s="100">
        <v>7</v>
      </c>
      <c r="BO95" s="100">
        <v>2301.6</v>
      </c>
      <c r="BP95" s="100">
        <v>10</v>
      </c>
      <c r="BQ95" s="100">
        <v>3288</v>
      </c>
      <c r="BR95" s="100">
        <v>9</v>
      </c>
      <c r="BS95" s="100">
        <v>2959.2000000000003</v>
      </c>
      <c r="BT95" s="100">
        <v>7.3567951471202848</v>
      </c>
      <c r="BU95" s="100">
        <v>2418.9142443731498</v>
      </c>
      <c r="BV95" s="100">
        <v>3.8030955965312723</v>
      </c>
      <c r="BW95" s="100">
        <v>1250.4578321394824</v>
      </c>
      <c r="BX95" s="100">
        <v>11</v>
      </c>
      <c r="BY95" s="100">
        <v>3616.8</v>
      </c>
      <c r="BZ95" s="100">
        <v>10</v>
      </c>
      <c r="CA95" s="100">
        <v>3288</v>
      </c>
      <c r="CB95" s="100">
        <v>7</v>
      </c>
      <c r="CC95" s="100">
        <v>2301.6</v>
      </c>
      <c r="CD95" s="100">
        <v>9.2618025751070743</v>
      </c>
      <c r="CE95" s="100">
        <v>3045.280686695206</v>
      </c>
      <c r="CF95" s="100">
        <v>12</v>
      </c>
      <c r="CG95" s="100">
        <v>3945.6000000000004</v>
      </c>
      <c r="CH95" s="100">
        <v>5.4634146341462442</v>
      </c>
      <c r="CI95" s="100">
        <v>1796.3707317072851</v>
      </c>
      <c r="CJ95" s="100">
        <v>8.2603276745440439</v>
      </c>
      <c r="CK95" s="100">
        <v>2715.9957393900818</v>
      </c>
      <c r="CL95" s="100">
        <v>6.5168410935907053</v>
      </c>
      <c r="CM95" s="100">
        <v>2142.737351572624</v>
      </c>
      <c r="CN95" s="100">
        <v>9.6045197740112425</v>
      </c>
      <c r="CO95" s="100">
        <v>3157.9661016948967</v>
      </c>
      <c r="CP95" s="100">
        <v>0.70292440091741049</v>
      </c>
      <c r="CQ95" s="100">
        <v>231.12154302164458</v>
      </c>
      <c r="CR95" s="100">
        <v>7.4316939890709932</v>
      </c>
      <c r="CS95" s="100">
        <v>2443.5409836065428</v>
      </c>
      <c r="CT95" s="100">
        <v>7</v>
      </c>
      <c r="CU95" s="100">
        <v>2301.6</v>
      </c>
    </row>
    <row r="96" spans="2:99">
      <c r="C96" s="99" t="s">
        <v>262</v>
      </c>
      <c r="D96" s="100">
        <v>9</v>
      </c>
      <c r="E96" s="100">
        <v>6253.2</v>
      </c>
      <c r="F96" s="100">
        <v>6.8352479786594573</v>
      </c>
      <c r="G96" s="100">
        <v>4749.1302955725905</v>
      </c>
      <c r="H96" s="100">
        <v>8.7214919578091976</v>
      </c>
      <c r="I96" s="100">
        <v>6059.6926122858304</v>
      </c>
      <c r="J96" s="100">
        <v>10.886737564305445</v>
      </c>
      <c r="K96" s="100">
        <v>7564.1052596794225</v>
      </c>
      <c r="L96" s="100">
        <v>9</v>
      </c>
      <c r="M96" s="100">
        <v>6253.2</v>
      </c>
      <c r="N96" s="100">
        <v>8</v>
      </c>
      <c r="O96" s="100">
        <v>5558.4</v>
      </c>
      <c r="P96" s="100">
        <v>9.7189627810250272</v>
      </c>
      <c r="Q96" s="100">
        <v>6752.7353402561885</v>
      </c>
      <c r="R96" s="100">
        <v>7.5138121546960885</v>
      </c>
      <c r="S96" s="100">
        <v>5220.5966850828418</v>
      </c>
      <c r="T96" s="100">
        <v>9.6682464454975729</v>
      </c>
      <c r="U96" s="100">
        <v>6717.4976303317135</v>
      </c>
      <c r="V96" s="100">
        <v>9</v>
      </c>
      <c r="W96" s="100">
        <v>6253.2</v>
      </c>
      <c r="X96" s="100">
        <v>6.7293770026753963</v>
      </c>
      <c r="Y96" s="100">
        <v>4675.571141458865</v>
      </c>
      <c r="Z96" s="100">
        <v>2.8607771424403508</v>
      </c>
      <c r="AA96" s="100">
        <v>1987.6679585675556</v>
      </c>
      <c r="AB96" s="100">
        <v>7.3118279569892053</v>
      </c>
      <c r="AC96" s="100">
        <v>5080.2580645160997</v>
      </c>
      <c r="AD96" s="100">
        <v>7.943925233644813</v>
      </c>
      <c r="AE96" s="100">
        <v>5519.4392523364158</v>
      </c>
      <c r="AF96" s="100">
        <v>12</v>
      </c>
      <c r="AG96" s="100">
        <v>8337.5999999999985</v>
      </c>
      <c r="AH96" s="100">
        <v>6.371681415929098</v>
      </c>
      <c r="AI96" s="100">
        <v>4427.0442477875367</v>
      </c>
      <c r="AJ96" s="100">
        <v>10</v>
      </c>
      <c r="AK96" s="100">
        <v>6948</v>
      </c>
      <c r="AL96" s="100">
        <v>7</v>
      </c>
      <c r="AM96" s="100">
        <v>4863.5999999999995</v>
      </c>
      <c r="AN96" s="100">
        <v>11</v>
      </c>
      <c r="AO96" s="100">
        <v>7642.7999999999993</v>
      </c>
      <c r="AP96" s="100">
        <v>10</v>
      </c>
      <c r="AQ96" s="100">
        <v>6948</v>
      </c>
      <c r="AR96" s="100">
        <v>10</v>
      </c>
      <c r="AS96" s="100">
        <v>6948</v>
      </c>
      <c r="AT96" s="100">
        <v>7</v>
      </c>
      <c r="AU96" s="100">
        <v>4863.5999999999995</v>
      </c>
      <c r="AV96" s="100">
        <v>10.850475646641659</v>
      </c>
      <c r="AW96" s="100">
        <v>7538.9104792866237</v>
      </c>
      <c r="AX96" s="100">
        <v>8</v>
      </c>
      <c r="AY96" s="100">
        <v>5558.4</v>
      </c>
      <c r="AZ96" s="100">
        <v>8</v>
      </c>
      <c r="BA96" s="100">
        <v>5558.4</v>
      </c>
      <c r="BB96" s="100">
        <v>13</v>
      </c>
      <c r="BC96" s="100">
        <v>9032.4</v>
      </c>
      <c r="BD96" s="100">
        <v>8</v>
      </c>
      <c r="BE96" s="100">
        <v>5558.4</v>
      </c>
      <c r="BF96" s="100">
        <v>6</v>
      </c>
      <c r="BG96" s="100">
        <v>4168.7999999999993</v>
      </c>
      <c r="BH96" s="100">
        <v>12</v>
      </c>
      <c r="BI96" s="100">
        <v>8337.5999999999985</v>
      </c>
      <c r="BJ96" s="100">
        <v>5.7392107336219764</v>
      </c>
      <c r="BK96" s="100">
        <v>3987.6036177205488</v>
      </c>
      <c r="BL96" s="100">
        <v>11</v>
      </c>
      <c r="BM96" s="100">
        <v>7642.7999999999993</v>
      </c>
      <c r="BN96" s="100">
        <v>8</v>
      </c>
      <c r="BO96" s="100">
        <v>5558.4</v>
      </c>
      <c r="BP96" s="100">
        <v>11</v>
      </c>
      <c r="BQ96" s="100">
        <v>7642.7999999999993</v>
      </c>
      <c r="BR96" s="100">
        <v>10</v>
      </c>
      <c r="BS96" s="100">
        <v>6948</v>
      </c>
      <c r="BT96" s="100">
        <v>6.4371957537302489</v>
      </c>
      <c r="BU96" s="100">
        <v>4472.5636096917769</v>
      </c>
      <c r="BV96" s="100">
        <v>4.3463949674643114</v>
      </c>
      <c r="BW96" s="100">
        <v>3019.8752233942032</v>
      </c>
      <c r="BX96" s="100">
        <v>9</v>
      </c>
      <c r="BY96" s="100">
        <v>6253.2</v>
      </c>
      <c r="BZ96" s="100">
        <v>8</v>
      </c>
      <c r="CA96" s="100">
        <v>5558.4</v>
      </c>
      <c r="CB96" s="100">
        <v>8</v>
      </c>
      <c r="CC96" s="100">
        <v>5558.4</v>
      </c>
      <c r="CD96" s="100">
        <v>7.8369098712444476</v>
      </c>
      <c r="CE96" s="100">
        <v>5445.0849785406417</v>
      </c>
      <c r="CF96" s="100">
        <v>11</v>
      </c>
      <c r="CG96" s="100">
        <v>7642.7999999999993</v>
      </c>
      <c r="CH96" s="100">
        <v>6.146341463414525</v>
      </c>
      <c r="CI96" s="100">
        <v>4270.4780487804119</v>
      </c>
      <c r="CJ96" s="100">
        <v>8.2603276745440439</v>
      </c>
      <c r="CK96" s="100">
        <v>5739.2756682732015</v>
      </c>
      <c r="CL96" s="100">
        <v>7.8202093123088456</v>
      </c>
      <c r="CM96" s="100">
        <v>5433.4814301921851</v>
      </c>
      <c r="CN96" s="100">
        <v>9.6045197740112425</v>
      </c>
      <c r="CO96" s="100">
        <v>6673.2203389830111</v>
      </c>
      <c r="CP96" s="100">
        <v>0.76682661918262951</v>
      </c>
      <c r="CQ96" s="100">
        <v>532.79113500809092</v>
      </c>
      <c r="CR96" s="100">
        <v>8.3606557377048674</v>
      </c>
      <c r="CS96" s="100">
        <v>5808.9836065573418</v>
      </c>
      <c r="CT96" s="100">
        <v>7</v>
      </c>
      <c r="CU96" s="100">
        <v>4863.5999999999995</v>
      </c>
    </row>
    <row r="97" spans="2:99">
      <c r="C97" s="99" t="s">
        <v>263</v>
      </c>
      <c r="D97" s="100">
        <v>8</v>
      </c>
      <c r="E97" s="100">
        <v>3139.2</v>
      </c>
      <c r="F97" s="100">
        <v>6.8352479786594573</v>
      </c>
      <c r="G97" s="100">
        <v>2682.151306825971</v>
      </c>
      <c r="H97" s="100">
        <v>10.307217768319962</v>
      </c>
      <c r="I97" s="100">
        <v>4044.5522522887527</v>
      </c>
      <c r="J97" s="100">
        <v>8.9073307344317278</v>
      </c>
      <c r="K97" s="100">
        <v>3495.2365801910096</v>
      </c>
      <c r="L97" s="100">
        <v>9</v>
      </c>
      <c r="M97" s="100">
        <v>3531.6</v>
      </c>
      <c r="N97" s="100">
        <v>7</v>
      </c>
      <c r="O97" s="100">
        <v>2746.7999999999997</v>
      </c>
      <c r="P97" s="100">
        <v>9.7189627810250272</v>
      </c>
      <c r="Q97" s="100">
        <v>3813.7209952742205</v>
      </c>
      <c r="R97" s="100">
        <v>7.5138121546960885</v>
      </c>
      <c r="S97" s="100">
        <v>2948.4198895027448</v>
      </c>
      <c r="T97" s="100">
        <v>8.8625592417061085</v>
      </c>
      <c r="U97" s="100">
        <v>3477.6682464454766</v>
      </c>
      <c r="V97" s="100">
        <v>10</v>
      </c>
      <c r="W97" s="100">
        <v>3924</v>
      </c>
      <c r="X97" s="100">
        <v>7.6907165744861672</v>
      </c>
      <c r="Y97" s="100">
        <v>3017.837183828372</v>
      </c>
      <c r="Z97" s="100">
        <v>3.1786412693781672</v>
      </c>
      <c r="AA97" s="100">
        <v>1247.2988341039927</v>
      </c>
      <c r="AB97" s="100">
        <v>6.3978494623655537</v>
      </c>
      <c r="AC97" s="100">
        <v>2510.516129032243</v>
      </c>
      <c r="AD97" s="100">
        <v>7.943925233644813</v>
      </c>
      <c r="AE97" s="100">
        <v>3117.1962616822243</v>
      </c>
      <c r="AF97" s="100">
        <v>13</v>
      </c>
      <c r="AG97" s="100">
        <v>5101.2</v>
      </c>
      <c r="AH97" s="100">
        <v>7.4336283185839473</v>
      </c>
      <c r="AI97" s="100">
        <v>2916.9557522123409</v>
      </c>
      <c r="AJ97" s="100">
        <v>10</v>
      </c>
      <c r="AK97" s="100">
        <v>3924</v>
      </c>
      <c r="AL97" s="100">
        <v>7</v>
      </c>
      <c r="AM97" s="100">
        <v>2746.7999999999997</v>
      </c>
      <c r="AN97" s="100">
        <v>11</v>
      </c>
      <c r="AO97" s="100">
        <v>4316.3999999999996</v>
      </c>
      <c r="AP97" s="100">
        <v>10</v>
      </c>
      <c r="AQ97" s="100">
        <v>3924</v>
      </c>
      <c r="AR97" s="100">
        <v>11</v>
      </c>
      <c r="AS97" s="100">
        <v>4316.3999999999996</v>
      </c>
      <c r="AT97" s="100">
        <v>7</v>
      </c>
      <c r="AU97" s="100">
        <v>2746.7999999999997</v>
      </c>
      <c r="AV97" s="100">
        <v>10.075441671881542</v>
      </c>
      <c r="AW97" s="100">
        <v>3953.6033120463167</v>
      </c>
      <c r="AX97" s="100">
        <v>7</v>
      </c>
      <c r="AY97" s="100">
        <v>2746.7999999999997</v>
      </c>
      <c r="AZ97" s="100">
        <v>9</v>
      </c>
      <c r="BA97" s="100">
        <v>3531.6</v>
      </c>
      <c r="BB97" s="100">
        <v>11</v>
      </c>
      <c r="BC97" s="100">
        <v>4316.3999999999996</v>
      </c>
      <c r="BD97" s="100">
        <v>9</v>
      </c>
      <c r="BE97" s="100">
        <v>3531.6</v>
      </c>
      <c r="BF97" s="100">
        <v>7</v>
      </c>
      <c r="BG97" s="100">
        <v>2746.7999999999997</v>
      </c>
      <c r="BH97" s="100">
        <v>12</v>
      </c>
      <c r="BI97" s="100">
        <v>4708.7999999999993</v>
      </c>
      <c r="BJ97" s="100">
        <v>5.1015206521084231</v>
      </c>
      <c r="BK97" s="100">
        <v>2001.836703887345</v>
      </c>
      <c r="BL97" s="100">
        <v>12</v>
      </c>
      <c r="BM97" s="100">
        <v>4708.7999999999993</v>
      </c>
      <c r="BN97" s="100">
        <v>7</v>
      </c>
      <c r="BO97" s="100">
        <v>2746.7999999999997</v>
      </c>
      <c r="BP97" s="100">
        <v>10</v>
      </c>
      <c r="BQ97" s="100">
        <v>3924</v>
      </c>
      <c r="BR97" s="100">
        <v>10</v>
      </c>
      <c r="BS97" s="100">
        <v>3924</v>
      </c>
      <c r="BT97" s="100">
        <v>6.4371957537302489</v>
      </c>
      <c r="BU97" s="100">
        <v>2525.9556137637496</v>
      </c>
      <c r="BV97" s="100">
        <v>3.8030955965312723</v>
      </c>
      <c r="BW97" s="100">
        <v>1492.3347120788712</v>
      </c>
      <c r="BX97" s="100">
        <v>10</v>
      </c>
      <c r="BY97" s="100">
        <v>3924</v>
      </c>
      <c r="BZ97" s="100">
        <v>10</v>
      </c>
      <c r="CA97" s="100">
        <v>3924</v>
      </c>
      <c r="CB97" s="100">
        <v>7</v>
      </c>
      <c r="CC97" s="100">
        <v>2746.7999999999997</v>
      </c>
      <c r="CD97" s="100">
        <v>9.2618025751070743</v>
      </c>
      <c r="CE97" s="100">
        <v>3634.3313304720159</v>
      </c>
      <c r="CF97" s="100">
        <v>11</v>
      </c>
      <c r="CG97" s="100">
        <v>4316.3999999999996</v>
      </c>
      <c r="CH97" s="100">
        <v>6.146341463414525</v>
      </c>
      <c r="CI97" s="100">
        <v>2411.8243902438594</v>
      </c>
      <c r="CJ97" s="100">
        <v>7.5719670349987078</v>
      </c>
      <c r="CK97" s="100">
        <v>2971.2398645334929</v>
      </c>
      <c r="CL97" s="100">
        <v>7.168525202949775</v>
      </c>
      <c r="CM97" s="100">
        <v>2812.9292896374914</v>
      </c>
      <c r="CN97" s="100">
        <v>9.6045197740112425</v>
      </c>
      <c r="CO97" s="100">
        <v>3768.8135593220113</v>
      </c>
      <c r="CP97" s="100">
        <v>0.70292440091741049</v>
      </c>
      <c r="CQ97" s="100">
        <v>275.82753491999188</v>
      </c>
      <c r="CR97" s="100">
        <v>8.3606557377048674</v>
      </c>
      <c r="CS97" s="100">
        <v>3280.7213114753899</v>
      </c>
      <c r="CT97" s="100">
        <v>8</v>
      </c>
      <c r="CU97" s="100">
        <v>3139.2</v>
      </c>
    </row>
    <row r="98" spans="2:99">
      <c r="C98" s="99" t="s">
        <v>264</v>
      </c>
      <c r="D98" s="100">
        <v>9</v>
      </c>
      <c r="E98" s="100">
        <v>4730.4000000000005</v>
      </c>
      <c r="F98" s="100">
        <v>7.811711975610808</v>
      </c>
      <c r="G98" s="100">
        <v>4105.835814381041</v>
      </c>
      <c r="H98" s="100">
        <v>10.307217768319962</v>
      </c>
      <c r="I98" s="100">
        <v>5417.4736590289722</v>
      </c>
      <c r="J98" s="100">
        <v>9.8970341493685865</v>
      </c>
      <c r="K98" s="100">
        <v>5201.881148908129</v>
      </c>
      <c r="L98" s="100">
        <v>9</v>
      </c>
      <c r="M98" s="100">
        <v>4730.4000000000005</v>
      </c>
      <c r="N98" s="100">
        <v>8</v>
      </c>
      <c r="O98" s="100">
        <v>4204.8</v>
      </c>
      <c r="P98" s="100">
        <v>10.690859059127529</v>
      </c>
      <c r="Q98" s="100">
        <v>5619.1155214774299</v>
      </c>
      <c r="R98" s="100">
        <v>6.5745856353590773</v>
      </c>
      <c r="S98" s="100">
        <v>3455.6022099447309</v>
      </c>
      <c r="T98" s="100">
        <v>8.8625592417061085</v>
      </c>
      <c r="U98" s="100">
        <v>4658.1611374407312</v>
      </c>
      <c r="V98" s="100">
        <v>9</v>
      </c>
      <c r="W98" s="100">
        <v>4730.4000000000005</v>
      </c>
      <c r="X98" s="100">
        <v>8.652056146296939</v>
      </c>
      <c r="Y98" s="100">
        <v>4547.5207104936717</v>
      </c>
      <c r="Z98" s="100">
        <v>3.1786412693781672</v>
      </c>
      <c r="AA98" s="100">
        <v>1670.6938511851647</v>
      </c>
      <c r="AB98" s="100">
        <v>7.3118279569892053</v>
      </c>
      <c r="AC98" s="100">
        <v>3843.0967741935265</v>
      </c>
      <c r="AD98" s="100">
        <v>7.943925233644813</v>
      </c>
      <c r="AE98" s="100">
        <v>4175.3271028037143</v>
      </c>
      <c r="AF98" s="100">
        <v>12</v>
      </c>
      <c r="AG98" s="100">
        <v>6307.2000000000007</v>
      </c>
      <c r="AH98" s="100">
        <v>6.371681415929098</v>
      </c>
      <c r="AI98" s="100">
        <v>3348.9557522123341</v>
      </c>
      <c r="AJ98" s="100">
        <v>11</v>
      </c>
      <c r="AK98" s="100">
        <v>5781.6</v>
      </c>
      <c r="AL98" s="100">
        <v>7</v>
      </c>
      <c r="AM98" s="100">
        <v>3679.2000000000003</v>
      </c>
      <c r="AN98" s="100">
        <v>10</v>
      </c>
      <c r="AO98" s="100">
        <v>5256</v>
      </c>
      <c r="AP98" s="100">
        <v>12</v>
      </c>
      <c r="AQ98" s="100">
        <v>6307.2000000000007</v>
      </c>
      <c r="AR98" s="100">
        <v>10</v>
      </c>
      <c r="AS98" s="100">
        <v>5256</v>
      </c>
      <c r="AT98" s="100">
        <v>7</v>
      </c>
      <c r="AU98" s="100">
        <v>3679.2000000000003</v>
      </c>
      <c r="AV98" s="100">
        <v>10.850475646641659</v>
      </c>
      <c r="AW98" s="100">
        <v>5703.0099998748565</v>
      </c>
      <c r="AX98" s="100">
        <v>7</v>
      </c>
      <c r="AY98" s="100">
        <v>3679.2000000000003</v>
      </c>
      <c r="AZ98" s="100">
        <v>9</v>
      </c>
      <c r="BA98" s="100">
        <v>4730.4000000000005</v>
      </c>
      <c r="BB98" s="100">
        <v>11</v>
      </c>
      <c r="BC98" s="100">
        <v>5781.6</v>
      </c>
      <c r="BD98" s="100">
        <v>8</v>
      </c>
      <c r="BE98" s="100">
        <v>4204.8</v>
      </c>
      <c r="BF98" s="100">
        <v>8</v>
      </c>
      <c r="BG98" s="100">
        <v>4204.8</v>
      </c>
      <c r="BH98" s="100">
        <v>13</v>
      </c>
      <c r="BI98" s="100">
        <v>6832.8</v>
      </c>
      <c r="BJ98" s="100">
        <v>5.7392107336219764</v>
      </c>
      <c r="BK98" s="100">
        <v>3016.5291615917108</v>
      </c>
      <c r="BL98" s="100">
        <v>11</v>
      </c>
      <c r="BM98" s="100">
        <v>5781.6</v>
      </c>
      <c r="BN98" s="100">
        <v>7</v>
      </c>
      <c r="BO98" s="100">
        <v>3679.2000000000003</v>
      </c>
      <c r="BP98" s="100">
        <v>12</v>
      </c>
      <c r="BQ98" s="100">
        <v>6307.2000000000007</v>
      </c>
      <c r="BR98" s="100">
        <v>9</v>
      </c>
      <c r="BS98" s="100">
        <v>4730.4000000000005</v>
      </c>
      <c r="BT98" s="100">
        <v>7.3567951471202848</v>
      </c>
      <c r="BU98" s="100">
        <v>3866.7315293264219</v>
      </c>
      <c r="BV98" s="100">
        <v>3.8030955965312723</v>
      </c>
      <c r="BW98" s="100">
        <v>1998.9070455368369</v>
      </c>
      <c r="BX98" s="100">
        <v>11</v>
      </c>
      <c r="BY98" s="100">
        <v>5781.6</v>
      </c>
      <c r="BZ98" s="100">
        <v>9</v>
      </c>
      <c r="CA98" s="100">
        <v>4730.4000000000005</v>
      </c>
      <c r="CB98" s="100">
        <v>9</v>
      </c>
      <c r="CC98" s="100">
        <v>4730.4000000000005</v>
      </c>
      <c r="CD98" s="100">
        <v>8.5493562231757601</v>
      </c>
      <c r="CE98" s="100">
        <v>4493.5416309011798</v>
      </c>
      <c r="CF98" s="100">
        <v>11</v>
      </c>
      <c r="CG98" s="100">
        <v>5781.6</v>
      </c>
      <c r="CH98" s="100">
        <v>5.4634146341462442</v>
      </c>
      <c r="CI98" s="100">
        <v>2871.5707317072661</v>
      </c>
      <c r="CJ98" s="100">
        <v>7.5719670349987078</v>
      </c>
      <c r="CK98" s="100">
        <v>3979.8258735953209</v>
      </c>
      <c r="CL98" s="100">
        <v>6.5168410935907053</v>
      </c>
      <c r="CM98" s="100">
        <v>3425.251678791275</v>
      </c>
      <c r="CN98" s="100">
        <v>10.564971751412367</v>
      </c>
      <c r="CO98" s="100">
        <v>5552.94915254234</v>
      </c>
      <c r="CP98" s="100">
        <v>0.76682661918262951</v>
      </c>
      <c r="CQ98" s="100">
        <v>403.0440710423901</v>
      </c>
      <c r="CR98" s="100">
        <v>8.3606557377048674</v>
      </c>
      <c r="CS98" s="100">
        <v>4394.3606557376788</v>
      </c>
      <c r="CT98" s="100">
        <v>8</v>
      </c>
      <c r="CU98" s="100">
        <v>4204.8</v>
      </c>
    </row>
    <row r="99" spans="2:99">
      <c r="C99" s="99" t="s">
        <v>265</v>
      </c>
      <c r="D99" s="100">
        <v>7</v>
      </c>
      <c r="E99" s="100">
        <v>29458.799999999996</v>
      </c>
      <c r="F99" s="100">
        <v>5.8587839817081067</v>
      </c>
      <c r="G99" s="100">
        <v>24656.106508620393</v>
      </c>
      <c r="H99" s="100">
        <v>7.1357661472984342</v>
      </c>
      <c r="I99" s="100">
        <v>30030.158254290727</v>
      </c>
      <c r="J99" s="100">
        <v>8.9073307344317278</v>
      </c>
      <c r="K99" s="100">
        <v>37485.610662782477</v>
      </c>
      <c r="L99" s="100">
        <v>7</v>
      </c>
      <c r="M99" s="100">
        <v>29458.799999999996</v>
      </c>
      <c r="N99" s="100">
        <v>7</v>
      </c>
      <c r="O99" s="100">
        <v>29458.799999999996</v>
      </c>
      <c r="P99" s="100">
        <v>8.7470665029225234</v>
      </c>
      <c r="Q99" s="100">
        <v>36811.154670899145</v>
      </c>
      <c r="R99" s="100">
        <v>5.635359116022066</v>
      </c>
      <c r="S99" s="100">
        <v>23715.84530386726</v>
      </c>
      <c r="T99" s="100">
        <v>7.2511848341231806</v>
      </c>
      <c r="U99" s="100">
        <v>30515.88625592399</v>
      </c>
      <c r="V99" s="100">
        <v>7</v>
      </c>
      <c r="W99" s="100">
        <v>29458.799999999996</v>
      </c>
      <c r="X99" s="100">
        <v>6.7293770026753963</v>
      </c>
      <c r="Y99" s="100">
        <v>28319.910178059134</v>
      </c>
      <c r="Z99" s="100">
        <v>2.2250488885647171</v>
      </c>
      <c r="AA99" s="100">
        <v>9363.8957426357538</v>
      </c>
      <c r="AB99" s="100">
        <v>5.4838709677419031</v>
      </c>
      <c r="AC99" s="100">
        <v>23078.322580645025</v>
      </c>
      <c r="AD99" s="100">
        <v>6.3551401869158504</v>
      </c>
      <c r="AE99" s="100">
        <v>26744.971962616662</v>
      </c>
      <c r="AF99" s="100">
        <v>9</v>
      </c>
      <c r="AG99" s="100">
        <v>37875.599999999999</v>
      </c>
      <c r="AH99" s="100">
        <v>5.8407079646016733</v>
      </c>
      <c r="AI99" s="100">
        <v>24580.03539822968</v>
      </c>
      <c r="AJ99" s="100">
        <v>9</v>
      </c>
      <c r="AK99" s="100">
        <v>37875.599999999999</v>
      </c>
      <c r="AL99" s="100">
        <v>7</v>
      </c>
      <c r="AM99" s="100">
        <v>29458.799999999996</v>
      </c>
      <c r="AN99" s="100">
        <v>9</v>
      </c>
      <c r="AO99" s="100">
        <v>37875.599999999999</v>
      </c>
      <c r="AP99" s="100">
        <v>9</v>
      </c>
      <c r="AQ99" s="100">
        <v>37875.599999999999</v>
      </c>
      <c r="AR99" s="100">
        <v>10</v>
      </c>
      <c r="AS99" s="100">
        <v>42084</v>
      </c>
      <c r="AT99" s="100">
        <v>6</v>
      </c>
      <c r="AU99" s="100">
        <v>25250.399999999998</v>
      </c>
      <c r="AV99" s="100">
        <v>9.3004076971214218</v>
      </c>
      <c r="AW99" s="100">
        <v>39139.835752565785</v>
      </c>
      <c r="AX99" s="100">
        <v>6</v>
      </c>
      <c r="AY99" s="100">
        <v>25250.399999999998</v>
      </c>
      <c r="AZ99" s="100">
        <v>6</v>
      </c>
      <c r="BA99" s="100">
        <v>25250.399999999998</v>
      </c>
      <c r="BB99" s="100">
        <v>9</v>
      </c>
      <c r="BC99" s="100">
        <v>37875.599999999999</v>
      </c>
      <c r="BD99" s="100">
        <v>7</v>
      </c>
      <c r="BE99" s="100">
        <v>29458.799999999996</v>
      </c>
      <c r="BF99" s="100">
        <v>5</v>
      </c>
      <c r="BG99" s="100">
        <v>21042</v>
      </c>
      <c r="BH99" s="100">
        <v>10</v>
      </c>
      <c r="BI99" s="100">
        <v>42084</v>
      </c>
      <c r="BJ99" s="100">
        <v>4.4638305705948698</v>
      </c>
      <c r="BK99" s="100">
        <v>18785.584573291449</v>
      </c>
      <c r="BL99" s="100">
        <v>10</v>
      </c>
      <c r="BM99" s="100">
        <v>42084</v>
      </c>
      <c r="BN99" s="100">
        <v>6</v>
      </c>
      <c r="BO99" s="100">
        <v>25250.399999999998</v>
      </c>
      <c r="BP99" s="100">
        <v>9</v>
      </c>
      <c r="BQ99" s="100">
        <v>37875.599999999999</v>
      </c>
      <c r="BR99" s="100">
        <v>7</v>
      </c>
      <c r="BS99" s="100">
        <v>29458.799999999996</v>
      </c>
      <c r="BT99" s="100">
        <v>6.4371957537302489</v>
      </c>
      <c r="BU99" s="100">
        <v>27090.294609998378</v>
      </c>
      <c r="BV99" s="100">
        <v>3.2597962255982331</v>
      </c>
      <c r="BW99" s="100">
        <v>13718.526435807604</v>
      </c>
      <c r="BX99" s="100">
        <v>8</v>
      </c>
      <c r="BY99" s="100">
        <v>33667.199999999997</v>
      </c>
      <c r="BZ99" s="100">
        <v>7</v>
      </c>
      <c r="CA99" s="100">
        <v>29458.799999999996</v>
      </c>
      <c r="CB99" s="100">
        <v>6</v>
      </c>
      <c r="CC99" s="100">
        <v>25250.399999999998</v>
      </c>
      <c r="CD99" s="100">
        <v>7.1244635193131343</v>
      </c>
      <c r="CE99" s="100">
        <v>29982.59227467739</v>
      </c>
      <c r="CF99" s="100">
        <v>10</v>
      </c>
      <c r="CG99" s="100">
        <v>42084</v>
      </c>
      <c r="CH99" s="100">
        <v>4.7804878048779642</v>
      </c>
      <c r="CI99" s="100">
        <v>20118.204878048422</v>
      </c>
      <c r="CJ99" s="100">
        <v>6.1952457559080338</v>
      </c>
      <c r="CK99" s="100">
        <v>26072.072239163368</v>
      </c>
      <c r="CL99" s="100">
        <v>5.8651569842316338</v>
      </c>
      <c r="CM99" s="100">
        <v>24682.926652440405</v>
      </c>
      <c r="CN99" s="100">
        <v>7.6836158192089936</v>
      </c>
      <c r="CO99" s="100">
        <v>32335.728813559126</v>
      </c>
      <c r="CP99" s="100">
        <v>0.5751199643869721</v>
      </c>
      <c r="CQ99" s="100">
        <v>2420.334858126133</v>
      </c>
      <c r="CR99" s="100">
        <v>6.5027322404371191</v>
      </c>
      <c r="CS99" s="100">
        <v>27366.098360655571</v>
      </c>
      <c r="CT99" s="100">
        <v>7</v>
      </c>
      <c r="CU99" s="100">
        <v>29458.799999999996</v>
      </c>
    </row>
    <row r="100" spans="2:99">
      <c r="C100" s="99" t="s">
        <v>266</v>
      </c>
      <c r="D100" s="100">
        <v>8</v>
      </c>
      <c r="E100" s="100">
        <v>2592</v>
      </c>
      <c r="F100" s="100">
        <v>7.811711975610808</v>
      </c>
      <c r="G100" s="100">
        <v>2530.9946800979019</v>
      </c>
      <c r="H100" s="100">
        <v>10.307217768319962</v>
      </c>
      <c r="I100" s="100">
        <v>3339.5385569356677</v>
      </c>
      <c r="J100" s="100">
        <v>9.8970341493685865</v>
      </c>
      <c r="K100" s="100">
        <v>3206.6390643954219</v>
      </c>
      <c r="L100" s="100">
        <v>9</v>
      </c>
      <c r="M100" s="100">
        <v>2916</v>
      </c>
      <c r="N100" s="100">
        <v>9</v>
      </c>
      <c r="O100" s="100">
        <v>2916</v>
      </c>
      <c r="P100" s="100">
        <v>9.7189627810250272</v>
      </c>
      <c r="Q100" s="100">
        <v>3148.943941052109</v>
      </c>
      <c r="R100" s="100">
        <v>7.5138121546960885</v>
      </c>
      <c r="S100" s="100">
        <v>2434.4751381215328</v>
      </c>
      <c r="T100" s="100">
        <v>10.473933649289037</v>
      </c>
      <c r="U100" s="100">
        <v>3393.5545023696482</v>
      </c>
      <c r="V100" s="100">
        <v>10</v>
      </c>
      <c r="W100" s="100">
        <v>3240</v>
      </c>
      <c r="X100" s="100">
        <v>7.6907165744861672</v>
      </c>
      <c r="Y100" s="100">
        <v>2491.7921701335181</v>
      </c>
      <c r="Z100" s="100">
        <v>3.1786412693781672</v>
      </c>
      <c r="AA100" s="100">
        <v>1029.8797712785261</v>
      </c>
      <c r="AB100" s="100">
        <v>7.3118279569892053</v>
      </c>
      <c r="AC100" s="100">
        <v>2369.0322580645025</v>
      </c>
      <c r="AD100" s="100">
        <v>8.7383177570092947</v>
      </c>
      <c r="AE100" s="100">
        <v>2831.2149532710114</v>
      </c>
      <c r="AF100" s="100">
        <v>11</v>
      </c>
      <c r="AG100" s="100">
        <v>3564</v>
      </c>
      <c r="AH100" s="100">
        <v>6.9026548672565227</v>
      </c>
      <c r="AI100" s="100">
        <v>2236.4601769911133</v>
      </c>
      <c r="AJ100" s="100">
        <v>10</v>
      </c>
      <c r="AK100" s="100">
        <v>3240</v>
      </c>
      <c r="AL100" s="100">
        <v>8</v>
      </c>
      <c r="AM100" s="100">
        <v>2592</v>
      </c>
      <c r="AN100" s="100">
        <v>11</v>
      </c>
      <c r="AO100" s="100">
        <v>3564</v>
      </c>
      <c r="AP100" s="100">
        <v>10</v>
      </c>
      <c r="AQ100" s="100">
        <v>3240</v>
      </c>
      <c r="AR100" s="100">
        <v>10</v>
      </c>
      <c r="AS100" s="100">
        <v>3240</v>
      </c>
      <c r="AT100" s="100">
        <v>7</v>
      </c>
      <c r="AU100" s="100">
        <v>2268</v>
      </c>
      <c r="AV100" s="100">
        <v>10.850475646641659</v>
      </c>
      <c r="AW100" s="100">
        <v>3515.5541095118974</v>
      </c>
      <c r="AX100" s="100">
        <v>8</v>
      </c>
      <c r="AY100" s="100">
        <v>2592</v>
      </c>
      <c r="AZ100" s="100">
        <v>8</v>
      </c>
      <c r="BA100" s="100">
        <v>2592</v>
      </c>
      <c r="BB100" s="100">
        <v>11</v>
      </c>
      <c r="BC100" s="100">
        <v>3564</v>
      </c>
      <c r="BD100" s="100">
        <v>9</v>
      </c>
      <c r="BE100" s="100">
        <v>2916</v>
      </c>
      <c r="BF100" s="100">
        <v>8</v>
      </c>
      <c r="BG100" s="100">
        <v>2592</v>
      </c>
      <c r="BH100" s="100">
        <v>13</v>
      </c>
      <c r="BI100" s="100">
        <v>4212</v>
      </c>
      <c r="BJ100" s="100">
        <v>5.7392107336219764</v>
      </c>
      <c r="BK100" s="100">
        <v>1859.5042776935204</v>
      </c>
      <c r="BL100" s="100">
        <v>11</v>
      </c>
      <c r="BM100" s="100">
        <v>3564</v>
      </c>
      <c r="BN100" s="100">
        <v>7</v>
      </c>
      <c r="BO100" s="100">
        <v>2268</v>
      </c>
      <c r="BP100" s="100">
        <v>10</v>
      </c>
      <c r="BQ100" s="100">
        <v>3240</v>
      </c>
      <c r="BR100" s="100">
        <v>9</v>
      </c>
      <c r="BS100" s="100">
        <v>2916</v>
      </c>
      <c r="BT100" s="100">
        <v>7.3567951471202848</v>
      </c>
      <c r="BU100" s="100">
        <v>2383.6016276669725</v>
      </c>
      <c r="BV100" s="100">
        <v>4.3463949674643114</v>
      </c>
      <c r="BW100" s="100">
        <v>1408.2319694584369</v>
      </c>
      <c r="BX100" s="100">
        <v>10</v>
      </c>
      <c r="BY100" s="100">
        <v>3240</v>
      </c>
      <c r="BZ100" s="100">
        <v>10</v>
      </c>
      <c r="CA100" s="100">
        <v>3240</v>
      </c>
      <c r="CB100" s="100">
        <v>7</v>
      </c>
      <c r="CC100" s="100">
        <v>2268</v>
      </c>
      <c r="CD100" s="100">
        <v>8.5493562231757601</v>
      </c>
      <c r="CE100" s="100">
        <v>2769.9914163089461</v>
      </c>
      <c r="CF100" s="100">
        <v>11</v>
      </c>
      <c r="CG100" s="100">
        <v>3564</v>
      </c>
      <c r="CH100" s="100">
        <v>5.4634146341462442</v>
      </c>
      <c r="CI100" s="100">
        <v>1770.1463414633831</v>
      </c>
      <c r="CJ100" s="100">
        <v>8.2603276745440439</v>
      </c>
      <c r="CK100" s="100">
        <v>2676.34616655227</v>
      </c>
      <c r="CL100" s="100">
        <v>7.168525202949775</v>
      </c>
      <c r="CM100" s="100">
        <v>2322.6021657557271</v>
      </c>
      <c r="CN100" s="100">
        <v>10.564971751412367</v>
      </c>
      <c r="CO100" s="100">
        <v>3423.0508474576068</v>
      </c>
      <c r="CP100" s="100">
        <v>0.70292440091741049</v>
      </c>
      <c r="CQ100" s="100">
        <v>227.74750589724098</v>
      </c>
      <c r="CR100" s="100">
        <v>7.4316939890709932</v>
      </c>
      <c r="CS100" s="100">
        <v>2407.8688524590016</v>
      </c>
      <c r="CT100" s="100">
        <v>7</v>
      </c>
      <c r="CU100" s="100">
        <v>2268</v>
      </c>
    </row>
    <row r="101" spans="2:99">
      <c r="C101" s="99" t="s">
        <v>267</v>
      </c>
      <c r="D101" s="100">
        <v>9</v>
      </c>
      <c r="E101" s="100">
        <v>6512.4000000000005</v>
      </c>
      <c r="F101" s="100">
        <v>6.8352479786594573</v>
      </c>
      <c r="G101" s="100">
        <v>4945.9854373579838</v>
      </c>
      <c r="H101" s="100">
        <v>8.7214919578091976</v>
      </c>
      <c r="I101" s="100">
        <v>6310.871580670736</v>
      </c>
      <c r="J101" s="100">
        <v>9.8970341493685865</v>
      </c>
      <c r="K101" s="100">
        <v>7161.4939104831092</v>
      </c>
      <c r="L101" s="100">
        <v>9</v>
      </c>
      <c r="M101" s="100">
        <v>6512.4000000000005</v>
      </c>
      <c r="N101" s="100">
        <v>8</v>
      </c>
      <c r="O101" s="100">
        <v>5788.8</v>
      </c>
      <c r="P101" s="100">
        <v>9.7189627810250272</v>
      </c>
      <c r="Q101" s="100">
        <v>7032.6414683497096</v>
      </c>
      <c r="R101" s="100">
        <v>7.5138121546960885</v>
      </c>
      <c r="S101" s="100">
        <v>5436.9944751380899</v>
      </c>
      <c r="T101" s="100">
        <v>9.6682464454975729</v>
      </c>
      <c r="U101" s="100">
        <v>6995.9431279620439</v>
      </c>
      <c r="V101" s="100">
        <v>8</v>
      </c>
      <c r="W101" s="100">
        <v>5788.8</v>
      </c>
      <c r="X101" s="100">
        <v>7.6907165744861672</v>
      </c>
      <c r="Y101" s="100">
        <v>5565.0025132981909</v>
      </c>
      <c r="Z101" s="100">
        <v>2.8607771424403508</v>
      </c>
      <c r="AA101" s="100">
        <v>2070.058340269838</v>
      </c>
      <c r="AB101" s="100">
        <v>6.3978494623655537</v>
      </c>
      <c r="AC101" s="100">
        <v>4629.4838709677151</v>
      </c>
      <c r="AD101" s="100">
        <v>8.7383177570092947</v>
      </c>
      <c r="AE101" s="100">
        <v>6323.0467289719254</v>
      </c>
      <c r="AF101" s="100">
        <v>11</v>
      </c>
      <c r="AG101" s="100">
        <v>7959.6</v>
      </c>
      <c r="AH101" s="100">
        <v>6.371681415929098</v>
      </c>
      <c r="AI101" s="100">
        <v>4610.5486725662959</v>
      </c>
      <c r="AJ101" s="100">
        <v>11</v>
      </c>
      <c r="AK101" s="100">
        <v>7959.6</v>
      </c>
      <c r="AL101" s="100">
        <v>8</v>
      </c>
      <c r="AM101" s="100">
        <v>5788.8</v>
      </c>
      <c r="AN101" s="100">
        <v>11</v>
      </c>
      <c r="AO101" s="100">
        <v>7959.6</v>
      </c>
      <c r="AP101" s="100">
        <v>10</v>
      </c>
      <c r="AQ101" s="100">
        <v>7236</v>
      </c>
      <c r="AR101" s="100">
        <v>11</v>
      </c>
      <c r="AS101" s="100">
        <v>7959.6</v>
      </c>
      <c r="AT101" s="100">
        <v>8</v>
      </c>
      <c r="AU101" s="100">
        <v>5788.8</v>
      </c>
      <c r="AV101" s="100">
        <v>10.075441671881542</v>
      </c>
      <c r="AW101" s="100">
        <v>7290.589593773484</v>
      </c>
      <c r="AX101" s="100">
        <v>8</v>
      </c>
      <c r="AY101" s="100">
        <v>5788.8</v>
      </c>
      <c r="AZ101" s="100">
        <v>7</v>
      </c>
      <c r="BA101" s="100">
        <v>5065.2</v>
      </c>
      <c r="BB101" s="100">
        <v>13</v>
      </c>
      <c r="BC101" s="100">
        <v>9406.8000000000011</v>
      </c>
      <c r="BD101" s="100">
        <v>8</v>
      </c>
      <c r="BE101" s="100">
        <v>5788.8</v>
      </c>
      <c r="BF101" s="100">
        <v>7</v>
      </c>
      <c r="BG101" s="100">
        <v>5065.2</v>
      </c>
      <c r="BH101" s="100">
        <v>13</v>
      </c>
      <c r="BI101" s="100">
        <v>9406.8000000000011</v>
      </c>
      <c r="BJ101" s="100">
        <v>5.7392107336219764</v>
      </c>
      <c r="BK101" s="100">
        <v>4152.892886848862</v>
      </c>
      <c r="BL101" s="100">
        <v>11</v>
      </c>
      <c r="BM101" s="100">
        <v>7959.6</v>
      </c>
      <c r="BN101" s="100">
        <v>7</v>
      </c>
      <c r="BO101" s="100">
        <v>5065.2</v>
      </c>
      <c r="BP101" s="100">
        <v>11</v>
      </c>
      <c r="BQ101" s="100">
        <v>7959.6</v>
      </c>
      <c r="BR101" s="100">
        <v>10</v>
      </c>
      <c r="BS101" s="100">
        <v>7236</v>
      </c>
      <c r="BT101" s="100">
        <v>6.4371957537302489</v>
      </c>
      <c r="BU101" s="100">
        <v>4657.9548473992081</v>
      </c>
      <c r="BV101" s="100">
        <v>3.8030955965312723</v>
      </c>
      <c r="BW101" s="100">
        <v>2751.9199736500286</v>
      </c>
      <c r="BX101" s="100">
        <v>9</v>
      </c>
      <c r="BY101" s="100">
        <v>6512.4000000000005</v>
      </c>
      <c r="BZ101" s="100">
        <v>9</v>
      </c>
      <c r="CA101" s="100">
        <v>6512.4000000000005</v>
      </c>
      <c r="CB101" s="100">
        <v>8</v>
      </c>
      <c r="CC101" s="100">
        <v>5788.8</v>
      </c>
      <c r="CD101" s="100">
        <v>8.5493562231757601</v>
      </c>
      <c r="CE101" s="100">
        <v>6186.31416308998</v>
      </c>
      <c r="CF101" s="100">
        <v>11</v>
      </c>
      <c r="CG101" s="100">
        <v>7959.6</v>
      </c>
      <c r="CH101" s="100">
        <v>4.7804878048779642</v>
      </c>
      <c r="CI101" s="100">
        <v>3459.160975609695</v>
      </c>
      <c r="CJ101" s="100">
        <v>8.2603276745440439</v>
      </c>
      <c r="CK101" s="100">
        <v>5977.1731053000703</v>
      </c>
      <c r="CL101" s="100">
        <v>6.5168410935907053</v>
      </c>
      <c r="CM101" s="100">
        <v>4715.5862153222342</v>
      </c>
      <c r="CN101" s="100">
        <v>9.6045197740112425</v>
      </c>
      <c r="CO101" s="100">
        <v>6949.8305084745352</v>
      </c>
      <c r="CP101" s="100">
        <v>0.70292440091741049</v>
      </c>
      <c r="CQ101" s="100">
        <v>508.63609650383825</v>
      </c>
      <c r="CR101" s="100">
        <v>7.4316939890709932</v>
      </c>
      <c r="CS101" s="100">
        <v>5377.573770491771</v>
      </c>
      <c r="CT101" s="100">
        <v>8</v>
      </c>
      <c r="CU101" s="100">
        <v>5788.8</v>
      </c>
    </row>
    <row r="102" spans="2:99">
      <c r="C102" s="99" t="s">
        <v>268</v>
      </c>
      <c r="D102" s="100">
        <v>9</v>
      </c>
      <c r="E102" s="100">
        <v>4784.4000000000005</v>
      </c>
      <c r="F102" s="100">
        <v>7.811711975610808</v>
      </c>
      <c r="G102" s="100">
        <v>4152.7060862347053</v>
      </c>
      <c r="H102" s="100">
        <v>10.307217768319962</v>
      </c>
      <c r="I102" s="100">
        <v>5479.3169656388918</v>
      </c>
      <c r="J102" s="100">
        <v>9.8970341493685865</v>
      </c>
      <c r="K102" s="100">
        <v>5261.263353804341</v>
      </c>
      <c r="L102" s="100">
        <v>9</v>
      </c>
      <c r="M102" s="100">
        <v>4784.4000000000005</v>
      </c>
      <c r="N102" s="100">
        <v>8</v>
      </c>
      <c r="O102" s="100">
        <v>4252.8</v>
      </c>
      <c r="P102" s="100">
        <v>9.7189627810250272</v>
      </c>
      <c r="Q102" s="100">
        <v>5166.6006143929044</v>
      </c>
      <c r="R102" s="100">
        <v>7.5138121546960885</v>
      </c>
      <c r="S102" s="100">
        <v>3994.342541436441</v>
      </c>
      <c r="T102" s="100">
        <v>10.473933649289037</v>
      </c>
      <c r="U102" s="100">
        <v>5567.9431279620521</v>
      </c>
      <c r="V102" s="100">
        <v>8</v>
      </c>
      <c r="W102" s="100">
        <v>4252.8</v>
      </c>
      <c r="X102" s="100">
        <v>8.652056146296939</v>
      </c>
      <c r="Y102" s="100">
        <v>4599.4330473714526</v>
      </c>
      <c r="Z102" s="100">
        <v>3.1786412693781672</v>
      </c>
      <c r="AA102" s="100">
        <v>1689.7656988014337</v>
      </c>
      <c r="AB102" s="100">
        <v>7.3118279569892053</v>
      </c>
      <c r="AC102" s="100">
        <v>3886.9677419354616</v>
      </c>
      <c r="AD102" s="100">
        <v>9.5327102803737755</v>
      </c>
      <c r="AE102" s="100">
        <v>5067.5887850466997</v>
      </c>
      <c r="AF102" s="100">
        <v>11</v>
      </c>
      <c r="AG102" s="100">
        <v>5847.6</v>
      </c>
      <c r="AH102" s="100">
        <v>6.371681415929098</v>
      </c>
      <c r="AI102" s="100">
        <v>3387.1858407079085</v>
      </c>
      <c r="AJ102" s="100">
        <v>10</v>
      </c>
      <c r="AK102" s="100">
        <v>5316</v>
      </c>
      <c r="AL102" s="100">
        <v>8</v>
      </c>
      <c r="AM102" s="100">
        <v>4252.8</v>
      </c>
      <c r="AN102" s="100">
        <v>10</v>
      </c>
      <c r="AO102" s="100">
        <v>5316</v>
      </c>
      <c r="AP102" s="100">
        <v>12</v>
      </c>
      <c r="AQ102" s="100">
        <v>6379.2000000000007</v>
      </c>
      <c r="AR102" s="100">
        <v>12</v>
      </c>
      <c r="AS102" s="100">
        <v>6379.2000000000007</v>
      </c>
      <c r="AT102" s="100">
        <v>6</v>
      </c>
      <c r="AU102" s="100">
        <v>3189.6000000000004</v>
      </c>
      <c r="AV102" s="100">
        <v>10.075441671881542</v>
      </c>
      <c r="AW102" s="100">
        <v>5356.1047927722284</v>
      </c>
      <c r="AX102" s="100">
        <v>8</v>
      </c>
      <c r="AY102" s="100">
        <v>4252.8</v>
      </c>
      <c r="AZ102" s="100">
        <v>8</v>
      </c>
      <c r="BA102" s="100">
        <v>4252.8</v>
      </c>
      <c r="BB102" s="100">
        <v>13</v>
      </c>
      <c r="BC102" s="100">
        <v>6910.8</v>
      </c>
      <c r="BD102" s="100">
        <v>8</v>
      </c>
      <c r="BE102" s="100">
        <v>4252.8</v>
      </c>
      <c r="BF102" s="100">
        <v>7</v>
      </c>
      <c r="BG102" s="100">
        <v>3721.2000000000003</v>
      </c>
      <c r="BH102" s="100">
        <v>13</v>
      </c>
      <c r="BI102" s="100">
        <v>6910.8</v>
      </c>
      <c r="BJ102" s="100">
        <v>5.1015206521084231</v>
      </c>
      <c r="BK102" s="100">
        <v>2711.968378660838</v>
      </c>
      <c r="BL102" s="100">
        <v>12</v>
      </c>
      <c r="BM102" s="100">
        <v>6379.2000000000007</v>
      </c>
      <c r="BN102" s="100">
        <v>7</v>
      </c>
      <c r="BO102" s="100">
        <v>3721.2000000000003</v>
      </c>
      <c r="BP102" s="100">
        <v>11</v>
      </c>
      <c r="BQ102" s="100">
        <v>5847.6</v>
      </c>
      <c r="BR102" s="100">
        <v>10</v>
      </c>
      <c r="BS102" s="100">
        <v>5316</v>
      </c>
      <c r="BT102" s="100">
        <v>7.3567951471202848</v>
      </c>
      <c r="BU102" s="100">
        <v>3910.8723002091438</v>
      </c>
      <c r="BV102" s="100">
        <v>3.8030955965312723</v>
      </c>
      <c r="BW102" s="100">
        <v>2021.7256191160245</v>
      </c>
      <c r="BX102" s="100">
        <v>10</v>
      </c>
      <c r="BY102" s="100">
        <v>5316</v>
      </c>
      <c r="BZ102" s="100">
        <v>9</v>
      </c>
      <c r="CA102" s="100">
        <v>4784.4000000000005</v>
      </c>
      <c r="CB102" s="100">
        <v>8</v>
      </c>
      <c r="CC102" s="100">
        <v>4252.8</v>
      </c>
      <c r="CD102" s="100">
        <v>8.5493562231757601</v>
      </c>
      <c r="CE102" s="100">
        <v>4544.8377682402343</v>
      </c>
      <c r="CF102" s="100">
        <v>11</v>
      </c>
      <c r="CG102" s="100">
        <v>5847.6</v>
      </c>
      <c r="CH102" s="100">
        <v>5.4634146341462442</v>
      </c>
      <c r="CI102" s="100">
        <v>2904.3512195121434</v>
      </c>
      <c r="CJ102" s="100">
        <v>7.5719670349987078</v>
      </c>
      <c r="CK102" s="100">
        <v>4025.2576758053133</v>
      </c>
      <c r="CL102" s="100">
        <v>7.168525202949775</v>
      </c>
      <c r="CM102" s="100">
        <v>3810.7879978881006</v>
      </c>
      <c r="CN102" s="100">
        <v>10.564971751412367</v>
      </c>
      <c r="CO102" s="100">
        <v>5616.338983050814</v>
      </c>
      <c r="CP102" s="100">
        <v>0.76682661918262951</v>
      </c>
      <c r="CQ102" s="100">
        <v>407.64503075748587</v>
      </c>
      <c r="CR102" s="100">
        <v>8.3606557377048674</v>
      </c>
      <c r="CS102" s="100">
        <v>4444.5245901639073</v>
      </c>
      <c r="CT102" s="100">
        <v>7</v>
      </c>
      <c r="CU102" s="100">
        <v>3721.2000000000003</v>
      </c>
    </row>
    <row r="103" spans="2:99">
      <c r="C103" s="99" t="s">
        <v>269</v>
      </c>
      <c r="D103" s="100">
        <v>8</v>
      </c>
      <c r="E103" s="100">
        <v>4713.5999999999995</v>
      </c>
      <c r="F103" s="100">
        <v>7.811711975610808</v>
      </c>
      <c r="G103" s="100">
        <v>4602.6606960298877</v>
      </c>
      <c r="H103" s="100">
        <v>10.307217768319962</v>
      </c>
      <c r="I103" s="100">
        <v>6073.0127090941205</v>
      </c>
      <c r="J103" s="100">
        <v>10.886737564305445</v>
      </c>
      <c r="K103" s="100">
        <v>6414.4657728887678</v>
      </c>
      <c r="L103" s="100">
        <v>10</v>
      </c>
      <c r="M103" s="100">
        <v>5891.9999999999991</v>
      </c>
      <c r="N103" s="100">
        <v>8</v>
      </c>
      <c r="O103" s="100">
        <v>4713.5999999999995</v>
      </c>
      <c r="P103" s="100">
        <v>9.7189627810250272</v>
      </c>
      <c r="Q103" s="100">
        <v>5726.4128705799458</v>
      </c>
      <c r="R103" s="100">
        <v>7.5138121546960885</v>
      </c>
      <c r="S103" s="100">
        <v>4427.1381215469346</v>
      </c>
      <c r="T103" s="100">
        <v>8.8625592417061085</v>
      </c>
      <c r="U103" s="100">
        <v>5221.8199052132386</v>
      </c>
      <c r="V103" s="100">
        <v>9</v>
      </c>
      <c r="W103" s="100">
        <v>5302.7999999999993</v>
      </c>
      <c r="X103" s="100">
        <v>8.652056146296939</v>
      </c>
      <c r="Y103" s="100">
        <v>5097.7914813981561</v>
      </c>
      <c r="Z103" s="100">
        <v>2.8607771424403508</v>
      </c>
      <c r="AA103" s="100">
        <v>1685.5698923258544</v>
      </c>
      <c r="AB103" s="100">
        <v>7.3118279569892053</v>
      </c>
      <c r="AC103" s="100">
        <v>4308.1290322580389</v>
      </c>
      <c r="AD103" s="100">
        <v>7.943925233644813</v>
      </c>
      <c r="AE103" s="100">
        <v>4680.5607476635232</v>
      </c>
      <c r="AF103" s="100">
        <v>11</v>
      </c>
      <c r="AG103" s="100">
        <v>6481.1999999999989</v>
      </c>
      <c r="AH103" s="100">
        <v>6.371681415929098</v>
      </c>
      <c r="AI103" s="100">
        <v>3754.194690265424</v>
      </c>
      <c r="AJ103" s="100">
        <v>10</v>
      </c>
      <c r="AK103" s="100">
        <v>5891.9999999999991</v>
      </c>
      <c r="AL103" s="100">
        <v>7</v>
      </c>
      <c r="AM103" s="100">
        <v>4124.3999999999996</v>
      </c>
      <c r="AN103" s="100">
        <v>10</v>
      </c>
      <c r="AO103" s="100">
        <v>5891.9999999999991</v>
      </c>
      <c r="AP103" s="100">
        <v>11</v>
      </c>
      <c r="AQ103" s="100">
        <v>6481.1999999999989</v>
      </c>
      <c r="AR103" s="100">
        <v>11</v>
      </c>
      <c r="AS103" s="100">
        <v>6481.1999999999989</v>
      </c>
      <c r="AT103" s="100">
        <v>7</v>
      </c>
      <c r="AU103" s="100">
        <v>4124.3999999999996</v>
      </c>
      <c r="AV103" s="100">
        <v>11.625509621401779</v>
      </c>
      <c r="AW103" s="100">
        <v>6849.7502689299272</v>
      </c>
      <c r="AX103" s="100">
        <v>7</v>
      </c>
      <c r="AY103" s="100">
        <v>4124.3999999999996</v>
      </c>
      <c r="AZ103" s="100">
        <v>9</v>
      </c>
      <c r="BA103" s="100">
        <v>5302.7999999999993</v>
      </c>
      <c r="BB103" s="100">
        <v>13</v>
      </c>
      <c r="BC103" s="100">
        <v>7659.5999999999995</v>
      </c>
      <c r="BD103" s="100">
        <v>8</v>
      </c>
      <c r="BE103" s="100">
        <v>4713.5999999999995</v>
      </c>
      <c r="BF103" s="100">
        <v>7</v>
      </c>
      <c r="BG103" s="100">
        <v>4124.3999999999996</v>
      </c>
      <c r="BH103" s="100">
        <v>11</v>
      </c>
      <c r="BI103" s="100">
        <v>6481.1999999999989</v>
      </c>
      <c r="BJ103" s="100">
        <v>5.1015206521084231</v>
      </c>
      <c r="BK103" s="100">
        <v>3005.8159682222827</v>
      </c>
      <c r="BL103" s="100">
        <v>13</v>
      </c>
      <c r="BM103" s="100">
        <v>7659.5999999999995</v>
      </c>
      <c r="BN103" s="100">
        <v>8</v>
      </c>
      <c r="BO103" s="100">
        <v>4713.5999999999995</v>
      </c>
      <c r="BP103" s="100">
        <v>12</v>
      </c>
      <c r="BQ103" s="100">
        <v>7070.4</v>
      </c>
      <c r="BR103" s="100">
        <v>10</v>
      </c>
      <c r="BS103" s="100">
        <v>5891.9999999999991</v>
      </c>
      <c r="BT103" s="100">
        <v>7.3567951471202848</v>
      </c>
      <c r="BU103" s="100">
        <v>4334.6237006832716</v>
      </c>
      <c r="BV103" s="100">
        <v>3.8030955965312723</v>
      </c>
      <c r="BW103" s="100">
        <v>2240.7839254762252</v>
      </c>
      <c r="BX103" s="100">
        <v>10</v>
      </c>
      <c r="BY103" s="100">
        <v>5891.9999999999991</v>
      </c>
      <c r="BZ103" s="100">
        <v>9</v>
      </c>
      <c r="CA103" s="100">
        <v>5302.7999999999993</v>
      </c>
      <c r="CB103" s="100">
        <v>8</v>
      </c>
      <c r="CC103" s="100">
        <v>4713.5999999999995</v>
      </c>
      <c r="CD103" s="100">
        <v>8.5493562231757601</v>
      </c>
      <c r="CE103" s="100">
        <v>5037.2806866951569</v>
      </c>
      <c r="CF103" s="100">
        <v>11</v>
      </c>
      <c r="CG103" s="100">
        <v>6481.1999999999989</v>
      </c>
      <c r="CH103" s="100">
        <v>6.146341463414525</v>
      </c>
      <c r="CI103" s="100">
        <v>3621.4243902438379</v>
      </c>
      <c r="CJ103" s="100">
        <v>7.5719670349987078</v>
      </c>
      <c r="CK103" s="100">
        <v>4461.4029770212383</v>
      </c>
      <c r="CL103" s="100">
        <v>6.5168410935907053</v>
      </c>
      <c r="CM103" s="100">
        <v>3839.7227723436431</v>
      </c>
      <c r="CN103" s="100">
        <v>9.6045197740112425</v>
      </c>
      <c r="CO103" s="100">
        <v>5658.9830508474233</v>
      </c>
      <c r="CP103" s="100">
        <v>0.70292440091741049</v>
      </c>
      <c r="CQ103" s="100">
        <v>414.16305702053819</v>
      </c>
      <c r="CR103" s="100">
        <v>8.3606557377048674</v>
      </c>
      <c r="CS103" s="100">
        <v>4926.0983606557074</v>
      </c>
      <c r="CT103" s="100">
        <v>7</v>
      </c>
      <c r="CU103" s="100">
        <v>4124.3999999999996</v>
      </c>
    </row>
    <row r="104" spans="2:99">
      <c r="C104" s="99" t="s">
        <v>270</v>
      </c>
      <c r="D104" s="100">
        <v>8</v>
      </c>
      <c r="E104" s="100">
        <v>5059.2</v>
      </c>
      <c r="F104" s="100">
        <v>6.8352479786594573</v>
      </c>
      <c r="G104" s="100">
        <v>4322.6108217042411</v>
      </c>
      <c r="H104" s="100">
        <v>10.307217768319962</v>
      </c>
      <c r="I104" s="100">
        <v>6518.2845166855441</v>
      </c>
      <c r="J104" s="100">
        <v>8.9073307344317278</v>
      </c>
      <c r="K104" s="100">
        <v>5632.9959564546243</v>
      </c>
      <c r="L104" s="100">
        <v>9</v>
      </c>
      <c r="M104" s="100">
        <v>5691.5999999999995</v>
      </c>
      <c r="N104" s="100">
        <v>8</v>
      </c>
      <c r="O104" s="100">
        <v>5059.2</v>
      </c>
      <c r="P104" s="100">
        <v>9.7189627810250272</v>
      </c>
      <c r="Q104" s="100">
        <v>6146.272062720227</v>
      </c>
      <c r="R104" s="100">
        <v>6.5745856353590773</v>
      </c>
      <c r="S104" s="100">
        <v>4157.7679558010805</v>
      </c>
      <c r="T104" s="100">
        <v>10.473933649289037</v>
      </c>
      <c r="U104" s="100">
        <v>6623.7156398103871</v>
      </c>
      <c r="V104" s="100">
        <v>9</v>
      </c>
      <c r="W104" s="100">
        <v>5691.5999999999995</v>
      </c>
      <c r="X104" s="100">
        <v>8.652056146296939</v>
      </c>
      <c r="Y104" s="100">
        <v>5471.5603069181843</v>
      </c>
      <c r="Z104" s="100">
        <v>3.1786412693781672</v>
      </c>
      <c r="AA104" s="100">
        <v>2010.1727387547528</v>
      </c>
      <c r="AB104" s="100">
        <v>7.3118279569892053</v>
      </c>
      <c r="AC104" s="100">
        <v>4623.9999999999736</v>
      </c>
      <c r="AD104" s="100">
        <v>8.7383177570092947</v>
      </c>
      <c r="AE104" s="100">
        <v>5526.1121495326779</v>
      </c>
      <c r="AF104" s="100">
        <v>12</v>
      </c>
      <c r="AG104" s="100">
        <v>7588.7999999999993</v>
      </c>
      <c r="AH104" s="100">
        <v>7.4336283185839473</v>
      </c>
      <c r="AI104" s="100">
        <v>4701.0265486724884</v>
      </c>
      <c r="AJ104" s="100">
        <v>9</v>
      </c>
      <c r="AK104" s="100">
        <v>5691.5999999999995</v>
      </c>
      <c r="AL104" s="100">
        <v>8</v>
      </c>
      <c r="AM104" s="100">
        <v>5059.2</v>
      </c>
      <c r="AN104" s="100">
        <v>12</v>
      </c>
      <c r="AO104" s="100">
        <v>7588.7999999999993</v>
      </c>
      <c r="AP104" s="100">
        <v>11</v>
      </c>
      <c r="AQ104" s="100">
        <v>6956.4</v>
      </c>
      <c r="AR104" s="100">
        <v>10</v>
      </c>
      <c r="AS104" s="100">
        <v>6324</v>
      </c>
      <c r="AT104" s="100">
        <v>8</v>
      </c>
      <c r="AU104" s="100">
        <v>5059.2</v>
      </c>
      <c r="AV104" s="100">
        <v>10.075441671881542</v>
      </c>
      <c r="AW104" s="100">
        <v>6371.7093132978871</v>
      </c>
      <c r="AX104" s="100">
        <v>8</v>
      </c>
      <c r="AY104" s="100">
        <v>5059.2</v>
      </c>
      <c r="AZ104" s="100">
        <v>8</v>
      </c>
      <c r="BA104" s="100">
        <v>5059.2</v>
      </c>
      <c r="BB104" s="100">
        <v>11</v>
      </c>
      <c r="BC104" s="100">
        <v>6956.4</v>
      </c>
      <c r="BD104" s="100">
        <v>9</v>
      </c>
      <c r="BE104" s="100">
        <v>5691.5999999999995</v>
      </c>
      <c r="BF104" s="100">
        <v>6</v>
      </c>
      <c r="BG104" s="100">
        <v>3794.3999999999996</v>
      </c>
      <c r="BH104" s="100">
        <v>12</v>
      </c>
      <c r="BI104" s="100">
        <v>7588.7999999999993</v>
      </c>
      <c r="BJ104" s="100">
        <v>5.7392107336219764</v>
      </c>
      <c r="BK104" s="100">
        <v>3629.4768679425379</v>
      </c>
      <c r="BL104" s="100">
        <v>11</v>
      </c>
      <c r="BM104" s="100">
        <v>6956.4</v>
      </c>
      <c r="BN104" s="100">
        <v>7</v>
      </c>
      <c r="BO104" s="100">
        <v>4426.8</v>
      </c>
      <c r="BP104" s="100">
        <v>10</v>
      </c>
      <c r="BQ104" s="100">
        <v>6324</v>
      </c>
      <c r="BR104" s="100">
        <v>9</v>
      </c>
      <c r="BS104" s="100">
        <v>5691.5999999999995</v>
      </c>
      <c r="BT104" s="100">
        <v>7.3567951471202848</v>
      </c>
      <c r="BU104" s="100">
        <v>4652.4372510388675</v>
      </c>
      <c r="BV104" s="100">
        <v>3.8030955965312723</v>
      </c>
      <c r="BW104" s="100">
        <v>2405.0776552463767</v>
      </c>
      <c r="BX104" s="100">
        <v>10</v>
      </c>
      <c r="BY104" s="100">
        <v>6324</v>
      </c>
      <c r="BZ104" s="100">
        <v>9</v>
      </c>
      <c r="CA104" s="100">
        <v>5691.5999999999995</v>
      </c>
      <c r="CB104" s="100">
        <v>8</v>
      </c>
      <c r="CC104" s="100">
        <v>5059.2</v>
      </c>
      <c r="CD104" s="100">
        <v>8.5493562231757601</v>
      </c>
      <c r="CE104" s="100">
        <v>5406.6128755363507</v>
      </c>
      <c r="CF104" s="100">
        <v>12</v>
      </c>
      <c r="CG104" s="100">
        <v>7588.7999999999993</v>
      </c>
      <c r="CH104" s="100">
        <v>5.4634146341462442</v>
      </c>
      <c r="CI104" s="100">
        <v>3455.0634146340849</v>
      </c>
      <c r="CJ104" s="100">
        <v>8.2603276745440439</v>
      </c>
      <c r="CK104" s="100">
        <v>5223.8312213816534</v>
      </c>
      <c r="CL104" s="100">
        <v>6.5168410935907053</v>
      </c>
      <c r="CM104" s="100">
        <v>4121.2503075867617</v>
      </c>
      <c r="CN104" s="100">
        <v>9.6045197740112425</v>
      </c>
      <c r="CO104" s="100">
        <v>6073.8983050847091</v>
      </c>
      <c r="CP104" s="100">
        <v>0.70292440091741049</v>
      </c>
      <c r="CQ104" s="100">
        <v>444.52939114017039</v>
      </c>
      <c r="CR104" s="100">
        <v>8.3606557377048674</v>
      </c>
      <c r="CS104" s="100">
        <v>5287.2786885245578</v>
      </c>
      <c r="CT104" s="100">
        <v>7</v>
      </c>
      <c r="CU104" s="100">
        <v>4426.8</v>
      </c>
    </row>
    <row r="105" spans="2:99">
      <c r="C105" s="99" t="s">
        <v>271</v>
      </c>
      <c r="D105" s="100">
        <v>9</v>
      </c>
      <c r="E105" s="100">
        <v>5011.2</v>
      </c>
      <c r="F105" s="100">
        <v>7.811711975610808</v>
      </c>
      <c r="G105" s="100">
        <v>4349.5612280200976</v>
      </c>
      <c r="H105" s="100">
        <v>9.5143548630645807</v>
      </c>
      <c r="I105" s="100">
        <v>5297.5927877543581</v>
      </c>
      <c r="J105" s="100">
        <v>9.8970341493685865</v>
      </c>
      <c r="K105" s="100">
        <v>5510.6686143684283</v>
      </c>
      <c r="L105" s="100">
        <v>9</v>
      </c>
      <c r="M105" s="100">
        <v>5011.2</v>
      </c>
      <c r="N105" s="100">
        <v>7</v>
      </c>
      <c r="O105" s="100">
        <v>3897.5999999999995</v>
      </c>
      <c r="P105" s="100">
        <v>10.690859059127529</v>
      </c>
      <c r="Q105" s="100">
        <v>5952.6703241222076</v>
      </c>
      <c r="R105" s="100">
        <v>7.5138121546960885</v>
      </c>
      <c r="S105" s="100">
        <v>4183.6906077347821</v>
      </c>
      <c r="T105" s="100">
        <v>10.473933649289037</v>
      </c>
      <c r="U105" s="100">
        <v>5831.8862559241352</v>
      </c>
      <c r="V105" s="100">
        <v>10</v>
      </c>
      <c r="W105" s="100">
        <v>5568</v>
      </c>
      <c r="X105" s="100">
        <v>6.7293770026753963</v>
      </c>
      <c r="Y105" s="100">
        <v>3746.9171150896605</v>
      </c>
      <c r="Z105" s="100">
        <v>3.1786412693781672</v>
      </c>
      <c r="AA105" s="100">
        <v>1769.8674587897633</v>
      </c>
      <c r="AB105" s="100">
        <v>7.3118279569892053</v>
      </c>
      <c r="AC105" s="100">
        <v>4071.2258064515891</v>
      </c>
      <c r="AD105" s="100">
        <v>7.943925233644813</v>
      </c>
      <c r="AE105" s="100">
        <v>4423.1775700934313</v>
      </c>
      <c r="AF105" s="100">
        <v>11</v>
      </c>
      <c r="AG105" s="100">
        <v>6124.7999999999993</v>
      </c>
      <c r="AH105" s="100">
        <v>6.371681415929098</v>
      </c>
      <c r="AI105" s="100">
        <v>3547.7522123893214</v>
      </c>
      <c r="AJ105" s="100">
        <v>9</v>
      </c>
      <c r="AK105" s="100">
        <v>5011.2</v>
      </c>
      <c r="AL105" s="100">
        <v>7</v>
      </c>
      <c r="AM105" s="100">
        <v>3897.5999999999995</v>
      </c>
      <c r="AN105" s="100">
        <v>11</v>
      </c>
      <c r="AO105" s="100">
        <v>6124.7999999999993</v>
      </c>
      <c r="AP105" s="100">
        <v>10</v>
      </c>
      <c r="AQ105" s="100">
        <v>5568</v>
      </c>
      <c r="AR105" s="100">
        <v>12</v>
      </c>
      <c r="AS105" s="100">
        <v>6681.5999999999995</v>
      </c>
      <c r="AT105" s="100">
        <v>7</v>
      </c>
      <c r="AU105" s="100">
        <v>3897.5999999999995</v>
      </c>
      <c r="AV105" s="100">
        <v>10.075441671881542</v>
      </c>
      <c r="AW105" s="100">
        <v>5610.0059229036424</v>
      </c>
      <c r="AX105" s="100">
        <v>8</v>
      </c>
      <c r="AY105" s="100">
        <v>4454.3999999999996</v>
      </c>
      <c r="AZ105" s="100">
        <v>9</v>
      </c>
      <c r="BA105" s="100">
        <v>5011.2</v>
      </c>
      <c r="BB105" s="100">
        <v>12</v>
      </c>
      <c r="BC105" s="100">
        <v>6681.5999999999995</v>
      </c>
      <c r="BD105" s="100">
        <v>8</v>
      </c>
      <c r="BE105" s="100">
        <v>4454.3999999999996</v>
      </c>
      <c r="BF105" s="100">
        <v>7</v>
      </c>
      <c r="BG105" s="100">
        <v>3897.5999999999995</v>
      </c>
      <c r="BH105" s="100">
        <v>11</v>
      </c>
      <c r="BI105" s="100">
        <v>6124.7999999999993</v>
      </c>
      <c r="BJ105" s="100">
        <v>5.1015206521084231</v>
      </c>
      <c r="BK105" s="100">
        <v>2840.5266990939699</v>
      </c>
      <c r="BL105" s="100">
        <v>11</v>
      </c>
      <c r="BM105" s="100">
        <v>6124.7999999999993</v>
      </c>
      <c r="BN105" s="100">
        <v>8</v>
      </c>
      <c r="BO105" s="100">
        <v>4454.3999999999996</v>
      </c>
      <c r="BP105" s="100">
        <v>10</v>
      </c>
      <c r="BQ105" s="100">
        <v>5568</v>
      </c>
      <c r="BR105" s="100">
        <v>10</v>
      </c>
      <c r="BS105" s="100">
        <v>5568</v>
      </c>
      <c r="BT105" s="100">
        <v>7.3567951471202848</v>
      </c>
      <c r="BU105" s="100">
        <v>4096.263537916574</v>
      </c>
      <c r="BV105" s="100">
        <v>3.8030955965312723</v>
      </c>
      <c r="BW105" s="100">
        <v>2117.5636281486122</v>
      </c>
      <c r="BX105" s="100">
        <v>11</v>
      </c>
      <c r="BY105" s="100">
        <v>6124.7999999999993</v>
      </c>
      <c r="BZ105" s="100">
        <v>8</v>
      </c>
      <c r="CA105" s="100">
        <v>4454.3999999999996</v>
      </c>
      <c r="CB105" s="100">
        <v>9</v>
      </c>
      <c r="CC105" s="100">
        <v>5011.2</v>
      </c>
      <c r="CD105" s="100">
        <v>8.5493562231757601</v>
      </c>
      <c r="CE105" s="100">
        <v>4760.2815450642629</v>
      </c>
      <c r="CF105" s="100">
        <v>12</v>
      </c>
      <c r="CG105" s="100">
        <v>6681.5999999999995</v>
      </c>
      <c r="CH105" s="100">
        <v>5.4634146341462442</v>
      </c>
      <c r="CI105" s="100">
        <v>3042.0292682926283</v>
      </c>
      <c r="CJ105" s="100">
        <v>6.8836063954533708</v>
      </c>
      <c r="CK105" s="100">
        <v>3832.7920409884364</v>
      </c>
      <c r="CL105" s="100">
        <v>7.168525202949775</v>
      </c>
      <c r="CM105" s="100">
        <v>3991.4348330024345</v>
      </c>
      <c r="CN105" s="100">
        <v>10.564971751412367</v>
      </c>
      <c r="CO105" s="100">
        <v>5882.5762711864054</v>
      </c>
      <c r="CP105" s="100">
        <v>0.70292440091741049</v>
      </c>
      <c r="CQ105" s="100">
        <v>391.38830643081411</v>
      </c>
      <c r="CR105" s="100">
        <v>7.4316939890709932</v>
      </c>
      <c r="CS105" s="100">
        <v>4137.967213114729</v>
      </c>
      <c r="CT105" s="100">
        <v>7</v>
      </c>
      <c r="CU105" s="100">
        <v>3897.5999999999995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470.4404438297048</v>
      </c>
      <c r="E109" s="100">
        <f>SUM(L$6:L$19)+SUM(N$6:N$19)+SUM(P$6:P$19)+SUM(R$6:R$19)</f>
        <v>409.58988178138736</v>
      </c>
      <c r="F109" s="100">
        <f>SUM(T$6:T$19)+SUM(V$6:V$19)+SUM(X$6:X$19)+SUM(Z$6:Z$19)</f>
        <v>404.245882909253</v>
      </c>
      <c r="G109" s="100">
        <f>SUM(AB$6:AB$19)+SUM(AD$6:AD$19)+SUM(AF$6:AF$19)+SUM(AH$6:AH$19)</f>
        <v>482.68650241531634</v>
      </c>
      <c r="H109" s="100">
        <f>SUM(AJ$6:AJ$19)+SUM(AL$6:AL$19)+SUM(AN$6:AN$19)+SUM(AP$6:AP$19)</f>
        <v>374.03383701585489</v>
      </c>
      <c r="I109" s="100">
        <f>SUM(AR$6:AR$19)+SUM(AT$6:AT$19)+SUM(AV$6:AV$19)+SUM(AX$6:AX$19)</f>
        <v>474.55824163835791</v>
      </c>
      <c r="J109" s="100">
        <f>SUM(AZ$6:AZ$19)+SUM(BB$6:BB$19)+SUM(BD$6:BD$19)+SUM(BF$6:BF$19)</f>
        <v>482.68088251042855</v>
      </c>
      <c r="K109" s="100">
        <f>SUM(BH$6:BH$19)+SUM(BJ$6:BJ$19)+SUM(BL$6:BL$19)+SUM(BN$6:BN$19)</f>
        <v>420.39416331537416</v>
      </c>
      <c r="L109" s="100">
        <f>SUM(BP$6:BP$19)+SUM(BR$6:BR$19)+SUM(BT$6:BT$19)+SUM(BV$6:BV$19)</f>
        <v>390.94668869179253</v>
      </c>
      <c r="M109" s="100">
        <f>SUM(BX$6:BX$19)+SUM(BZ$6:BZ$19)+SUM(CB$6:CB$19)+SUM(CD$6:CD$19)</f>
        <v>331.1496098583138</v>
      </c>
      <c r="N109" s="100">
        <f>SUM(CF$6:CF$19)+SUM(CH$6:CH$19)+SUM(CJ$6:CJ$19)+SUM(CL$6:CL$19)</f>
        <v>550</v>
      </c>
      <c r="O109" s="100">
        <f>SUM(CN$6:CN$19)+SUM(CP$6:CP$19)+SUM(CR$6:CR$19)+SUM(CT$6:CT$19)</f>
        <v>474.47718835881039</v>
      </c>
    </row>
    <row r="110" spans="2:99">
      <c r="C110" s="99" t="s">
        <v>127</v>
      </c>
      <c r="D110" s="100">
        <f>SUM(D$20:D$36)+SUM(F$20:F$36)+SUM(H$20:H$36)+SUM(J$20:J$36)</f>
        <v>1092.7858190185257</v>
      </c>
      <c r="E110" s="100">
        <f>SUM(L$20:L$36)+SUM(N$20:N$36)+SUM(P$20:P$36)+SUM(R$20:R$36)</f>
        <v>1047.1399794694987</v>
      </c>
      <c r="F110" s="100">
        <f>SUM(T$20:T$36)+SUM(V$20:V$36)+SUM(X$20:X$36)+SUM(Z$20:Z$36)</f>
        <v>979.85313843096469</v>
      </c>
      <c r="G110" s="100">
        <f>SUM(AB$20:AB$36)+SUM(AD$20:AD$36)+SUM(AF$20:AF$36)+SUM(AH$20:AH$36)</f>
        <v>1042.0158893607354</v>
      </c>
      <c r="H110" s="100">
        <f>SUM(AJ$20:AJ$36)+SUM(AL$20:AL$36)+SUM(AN$20:AN$36)+SUM(AP$20:AP$36)</f>
        <v>842.46416118267484</v>
      </c>
      <c r="I110" s="100">
        <f>SUM(AR$20:AR$36)+SUM(AT$20:AT$36)+SUM(AV$20:AV$36)+SUM(AX$20:AX$36)</f>
        <v>1270.0323573282035</v>
      </c>
      <c r="J110" s="100">
        <f>SUM(AZ$20:AZ$36)+SUM(BB$20:BB$36)+SUM(BD$20:BD$36)+SUM(BF$20:BF$36)</f>
        <v>897.25730865469268</v>
      </c>
      <c r="K110" s="100">
        <f>SUM(BH$20:BH$36)+SUM(BJ$20:BJ$36)+SUM(BL$20:BL$36)+SUM(BN$20:BN$36)</f>
        <v>929.18248994612259</v>
      </c>
      <c r="L110" s="100">
        <f>SUM(BP$20:BP$36)+SUM(BR$20:BR$36)+SUM(BT$20:BT$36)+SUM(BV$20:BV$36)</f>
        <v>936.61830427200948</v>
      </c>
      <c r="M110" s="100">
        <f>SUM(BX$20:BX$36)+SUM(BZ$20:BZ$36)+SUM(CB$20:CB$36)+SUM(CD$20:CD$36)</f>
        <v>695.93979949993104</v>
      </c>
      <c r="N110" s="100">
        <f>SUM(CF$20:CF$36)+SUM(CH$20:CH$36)+SUM(CJ$20:CJ$36)+SUM(CL$20:CL$36)</f>
        <v>1072</v>
      </c>
      <c r="O110" s="100">
        <f>SUM(CN$20:CN$36)+SUM(CP$20:CP$36)+SUM(CR$20:CR$36)+SUM(CT$20:CT$36)</f>
        <v>854.37969992799026</v>
      </c>
    </row>
    <row r="111" spans="2:99">
      <c r="C111" s="99" t="s">
        <v>128</v>
      </c>
      <c r="D111" s="100">
        <f>SUM(D$37:D$48)+SUM(F$37:F$48)+SUM(H$37:H$48)+SUM(J$37:J$48)</f>
        <v>500.11432760741025</v>
      </c>
      <c r="E111" s="100">
        <f>SUM(L$37:L$48)+SUM(N$37:N$48)+SUM(P$37:P$48)+SUM(R$37:R$48)</f>
        <v>401.55978590311838</v>
      </c>
      <c r="F111" s="100">
        <f>SUM(T$37:T$48)+SUM(V$37:V$48)+SUM(X$37:X$48)+SUM(Z$37:Z$48)</f>
        <v>396.27176532075333</v>
      </c>
      <c r="G111" s="100">
        <f>SUM(AB$37:AB$48)+SUM(AD$37:AD$48)+SUM(AF$37:AF$48)+SUM(AH$37:AH$48)</f>
        <v>524.60660019599777</v>
      </c>
      <c r="H111" s="100">
        <f>SUM(AJ$37:AJ$48)+SUM(AL$37:AL$48)+SUM(AN$37:AN$48)+SUM(AP$37:AP$48)</f>
        <v>388.8732618732385</v>
      </c>
      <c r="I111" s="100">
        <f>SUM(AR$37:AR$48)+SUM(AT$37:AT$48)+SUM(AV$37:AV$48)+SUM(AX$37:AX$48)</f>
        <v>579.21564559202704</v>
      </c>
      <c r="J111" s="100">
        <f>SUM(AZ$37:AZ$48)+SUM(BB$37:BB$48)+SUM(BD$37:BD$48)+SUM(BF$37:BF$48)</f>
        <v>478.1861053287368</v>
      </c>
      <c r="K111" s="100">
        <f>SUM(BH$37:BH$48)+SUM(BJ$37:BJ$48)+SUM(BL$37:BL$48)+SUM(BN$37:BN$48)</f>
        <v>512.22646908984291</v>
      </c>
      <c r="L111" s="100">
        <f>SUM(BP$37:BP$48)+SUM(BR$37:BR$48)+SUM(BT$37:BT$48)+SUM(BV$37:BV$48)</f>
        <v>378.99852174317397</v>
      </c>
      <c r="M111" s="100">
        <f>SUM(BX$37:BX$48)+SUM(BZ$37:BZ$48)+SUM(CB$37:CB$48)+SUM(CD$37:CD$48)</f>
        <v>404.78231147358446</v>
      </c>
      <c r="N111" s="100">
        <f>SUM(CF$37:CF$48)+SUM(CH$37:CH$48)+SUM(CJ$37:CJ$48)+SUM(CL$37:CL$48)</f>
        <v>564</v>
      </c>
      <c r="O111" s="100">
        <f>SUM(CN$37:CN$48)+SUM(CP$37:CP$48)+SUM(CR$37:CR$48)+SUM(CT$37:CT$48)</f>
        <v>534.19111315996258</v>
      </c>
    </row>
    <row r="112" spans="2:99">
      <c r="C112" s="99" t="s">
        <v>129</v>
      </c>
      <c r="D112" s="100">
        <f>SUM(D$49:D$70)+SUM(F$49:F$70)+SUM(H$49:H$70)+SUM(J$49:J$70)</f>
        <v>767.20197467255866</v>
      </c>
      <c r="E112" s="100">
        <f>SUM(L$49:L$70)+SUM(N$49:N$70)+SUM(P$49:P$70)+SUM(R$49:R$70)</f>
        <v>578.00411012788288</v>
      </c>
      <c r="F112" s="100">
        <f>SUM(T$49:T$70)+SUM(V$49:V$70)+SUM(X$49:X$70)+SUM(Z$49:Z$70)</f>
        <v>497.0063016513551</v>
      </c>
      <c r="G112" s="100">
        <f>SUM(AB$49:AB$70)+SUM(AD$49:AD$70)+SUM(AF$49:AF$70)+SUM(AH$49:AH$70)</f>
        <v>678.17172622007274</v>
      </c>
      <c r="H112" s="100">
        <f>SUM(AJ$49:AJ$70)+SUM(AL$49:AL$70)+SUM(AN$49:AN$70)+SUM(AP$49:AP$70)</f>
        <v>544.77722058933216</v>
      </c>
      <c r="I112" s="100">
        <f>SUM(AR$49:AR$70)+SUM(AT$49:AT$70)+SUM(AV$49:AV$70)+SUM(AX$49:AX$70)</f>
        <v>587.44658863011432</v>
      </c>
      <c r="J112" s="100">
        <f>SUM(AZ$49:AZ$70)+SUM(BB$49:BB$70)+SUM(BD$49:BD$70)+SUM(BF$49:BF$70)</f>
        <v>565.11077855416602</v>
      </c>
      <c r="K112" s="100">
        <f>SUM(BH$49:BH$70)+SUM(BJ$49:BJ$70)+SUM(BL$49:BL$70)+SUM(BN$49:BN$70)</f>
        <v>551.829282553746</v>
      </c>
      <c r="L112" s="100">
        <f>SUM(BP$49:BP$70)+SUM(BR$49:BR$70)+SUM(BT$49:BT$70)+SUM(BV$49:BV$70)</f>
        <v>648.38603315453042</v>
      </c>
      <c r="M112" s="100">
        <f>SUM(BX$49:BX$70)+SUM(BZ$49:BZ$70)+SUM(CB$49:CB$70)+SUM(CD$49:CD$70)</f>
        <v>542.08425295176517</v>
      </c>
      <c r="N112" s="100">
        <f>SUM(CF$49:CF$70)+SUM(CH$49:CH$70)+SUM(CJ$49:CJ$70)+SUM(CL$49:CL$70)</f>
        <v>721.52947944410198</v>
      </c>
      <c r="O112" s="100">
        <f>SUM(CN$49:CN$70)+SUM(CP$49:CP$70)+SUM(CR$49:CR$70)+SUM(CT$49:CT$70)</f>
        <v>737.8264342358068</v>
      </c>
    </row>
    <row r="113" spans="2:15">
      <c r="C113" s="99" t="s">
        <v>130</v>
      </c>
      <c r="D113" s="100">
        <f>SUM(D$71:D$86)+SUM(F$71:F$86)+SUM(H$71:H$86)+SUM(J$71:J$86)</f>
        <v>447.88286845236058</v>
      </c>
      <c r="E113" s="100">
        <f>SUM(L$71:L$86)+SUM(N$71:N$86)+SUM(P$71:P$86)+SUM(R$71:R$86)</f>
        <v>538</v>
      </c>
      <c r="F113" s="100">
        <f>SUM(T$71:T$86)+SUM(V$71:V$86)+SUM(X$71:X$86)+SUM(Z$71:Z$86)</f>
        <v>831</v>
      </c>
      <c r="G113" s="100">
        <f>SUM(AB$71:AB$86)+SUM(AD$71:AD$86)+SUM(AF$71:AF$86)+SUM(AH$71:AH$86)</f>
        <v>672</v>
      </c>
      <c r="H113" s="100">
        <f>SUM(AJ$71:AJ$86)+SUM(AL$71:AL$86)+SUM(AN$71:AN$86)+SUM(AP$71:AP$86)</f>
        <v>610.34352364243773</v>
      </c>
      <c r="I113" s="100">
        <f>SUM(AR$71:AR$86)+SUM(AT$71:AT$86)+SUM(AV$71:AV$86)+SUM(AX$71:AX$86)</f>
        <v>626.84014592692529</v>
      </c>
      <c r="J113" s="100">
        <f>SUM(AZ$71:AZ$86)+SUM(BB$71:BB$86)+SUM(BD$71:BD$86)+SUM(BF$71:BF$86)</f>
        <v>720.18845591336776</v>
      </c>
      <c r="K113" s="100">
        <f>SUM(BH$71:BH$86)+SUM(BJ$71:BJ$86)+SUM(BL$71:BL$86)+SUM(BN$71:BN$86)</f>
        <v>584.84174771207188</v>
      </c>
      <c r="L113" s="100">
        <f>SUM(BP$71:BP$86)+SUM(BR$71:BR$86)+SUM(BT$71:BT$86)+SUM(BV$71:BV$86)</f>
        <v>654.05928853754824</v>
      </c>
      <c r="M113" s="100">
        <f>SUM(BX$71:BX$86)+SUM(BZ$71:BZ$86)+SUM(CB$71:CB$86)+SUM(CD$71:CD$86)</f>
        <v>617</v>
      </c>
      <c r="N113" s="100">
        <f>SUM(CF$71:CF$86)+SUM(CH$71:CH$86)+SUM(CJ$71:CJ$86)+SUM(CL$71:CL$86)</f>
        <v>717.08154506436824</v>
      </c>
      <c r="O113" s="100">
        <f>SUM(CN$71:CN$86)+SUM(CP$71:CP$86)+SUM(CR$71:CR$86)+SUM(CT$71:CT$86)</f>
        <v>658.66346704125681</v>
      </c>
    </row>
    <row r="114" spans="2:15">
      <c r="C114" s="99" t="s">
        <v>131</v>
      </c>
      <c r="D114" s="100">
        <f>SUM(D$87:D$94)+SUM(F$87:F$94)+SUM(H$87:H$94)+SUM(J$87:J$94)</f>
        <v>235.41063024224221</v>
      </c>
      <c r="E114" s="100">
        <f>SUM(L$87:L$94)+SUM(N$87:N$94)+SUM(P$87:P$94)+SUM(R$87:R$94)</f>
        <v>227.2885494392836</v>
      </c>
      <c r="F114" s="100">
        <f>SUM(T$87:T$94)+SUM(V$87:V$94)+SUM(X$87:X$94)+SUM(Z$87:Z$94)</f>
        <v>233.90453626004111</v>
      </c>
      <c r="G114" s="100">
        <f>SUM(AB$87:AB$94)+SUM(AD$87:AD$94)+SUM(AF$87:AF$94)+SUM(AH$87:AH$94)</f>
        <v>265.63282028843838</v>
      </c>
      <c r="H114" s="100">
        <f>SUM(AJ$87:AJ$94)+SUM(AL$87:AL$94)+SUM(AN$87:AN$94)+SUM(AP$87:AP$94)</f>
        <v>261</v>
      </c>
      <c r="I114" s="100">
        <f>SUM(AR$87:AR$94)+SUM(AT$87:AT$94)+SUM(AV$87:AV$94)+SUM(AX$87:AX$94)</f>
        <v>234.65156283896545</v>
      </c>
      <c r="J114" s="100">
        <f>SUM(AZ$87:AZ$94)+SUM(BB$87:BB$94)+SUM(BD$87:BD$94)+SUM(BF$87:BF$94)</f>
        <v>216</v>
      </c>
      <c r="K114" s="100">
        <f>SUM(BH$87:BH$94)+SUM(BJ$87:BJ$94)+SUM(BL$87:BL$94)+SUM(BN$87:BN$94)</f>
        <v>226.07295448324541</v>
      </c>
      <c r="L114" s="100">
        <f>SUM(BP$87:BP$94)+SUM(BR$87:BR$94)+SUM(BT$87:BT$94)+SUM(BV$87:BV$94)</f>
        <v>244.74202471353556</v>
      </c>
      <c r="M114" s="100">
        <f>SUM(BX$87:BX$94)+SUM(BZ$87:BZ$94)+SUM(CB$87:CB$94)+SUM(CD$87:CD$94)</f>
        <v>234.83261802574953</v>
      </c>
      <c r="N114" s="100">
        <f>SUM(CF$87:CF$94)+SUM(CH$87:CH$94)+SUM(CJ$87:CJ$94)+SUM(CL$87:CL$94)</f>
        <v>224.33081582033273</v>
      </c>
      <c r="O114" s="100">
        <f>SUM(CN$87:CN$94)+SUM(CP$87:CP$94)+SUM(CR$87:CR$94)+SUM(CT$87:CT$94)</f>
        <v>176.75582222195709</v>
      </c>
    </row>
    <row r="115" spans="2:15">
      <c r="C115" s="99" t="s">
        <v>132</v>
      </c>
      <c r="D115" s="100">
        <f>SUM(D$95:D$105)+SUM(F$95:F$105)+SUM(H$95:H$105)+SUM(J$95:J$105)</f>
        <v>385.20164586741265</v>
      </c>
      <c r="E115" s="100">
        <f>SUM(L$95:L$105)+SUM(N$95:N$105)+SUM(P$95:P$105)+SUM(R$95:R$105)</f>
        <v>368.83628797434972</v>
      </c>
      <c r="F115" s="100">
        <f>SUM(T$95:T$105)+SUM(V$95:V$105)+SUM(X$95:X$105)+SUM(Z$95:Z$105)</f>
        <v>319.71295214070898</v>
      </c>
      <c r="G115" s="100">
        <f>SUM(AB$95:AB$105)+SUM(AD$95:AD$105)+SUM(AF$95:AF$105)+SUM(AH$95:AH$105)</f>
        <v>364.28391152043025</v>
      </c>
      <c r="H115" s="100">
        <f>SUM(AJ$95:AJ$105)+SUM(AL$95:AL$105)+SUM(AN$95:AN$105)+SUM(AP$95:AP$105)</f>
        <v>423</v>
      </c>
      <c r="I115" s="100">
        <f>SUM(AR$95:AR$105)+SUM(AT$95:AT$105)+SUM(AV$95:AV$105)+SUM(AX$95:AX$105)</f>
        <v>391.1549603149773</v>
      </c>
      <c r="J115" s="100">
        <f>SUM(AZ$95:AZ$105)+SUM(BB$95:BB$105)+SUM(BD$95:BD$105)+SUM(BF$95:BF$105)</f>
        <v>384</v>
      </c>
      <c r="K115" s="100">
        <f>SUM(BH$95:BH$105)+SUM(BJ$95:BJ$105)+SUM(BL$95:BL$105)+SUM(BN$95:BN$105)</f>
        <v>395.66748749924687</v>
      </c>
      <c r="L115" s="100">
        <f>SUM(BP$95:BP$105)+SUM(BR$95:BR$105)+SUM(BT$95:BT$105)+SUM(BV$95:BV$105)</f>
        <v>338.62369997754001</v>
      </c>
      <c r="M115" s="100">
        <f>SUM(BX$95:BX$105)+SUM(BZ$95:BZ$105)+SUM(CB$95:CB$105)+SUM(CD$95:CD$105)</f>
        <v>385.33047210300208</v>
      </c>
      <c r="N115" s="100">
        <f>SUM(CF$95:CF$105)+SUM(CH$95:CH$105)+SUM(CJ$95:CJ$105)+SUM(CL$95:CL$105)</f>
        <v>343.39251904524656</v>
      </c>
      <c r="O115" s="100">
        <f>SUM(CN$95:CN$105)+SUM(CP$95:CP$105)+SUM(CR$95:CR$105)+SUM(CT$95:CT$105)</f>
        <v>281.76013472023294</v>
      </c>
    </row>
    <row r="116" spans="2:15">
      <c r="C116" s="99" t="s">
        <v>278</v>
      </c>
      <c r="D116" s="100">
        <f t="shared" ref="D116:O116" si="0">SUM(D$109:D$115)</f>
        <v>3899.0377096902148</v>
      </c>
      <c r="E116" s="100">
        <f t="shared" si="0"/>
        <v>3570.4185946955204</v>
      </c>
      <c r="F116" s="100">
        <f t="shared" si="0"/>
        <v>3661.9945767130762</v>
      </c>
      <c r="G116" s="100">
        <f t="shared" si="0"/>
        <v>4029.3974500009908</v>
      </c>
      <c r="H116" s="100">
        <f t="shared" si="0"/>
        <v>3444.4920043035381</v>
      </c>
      <c r="I116" s="100">
        <f t="shared" si="0"/>
        <v>4163.8995022695699</v>
      </c>
      <c r="J116" s="100">
        <f t="shared" si="0"/>
        <v>3743.4235309613919</v>
      </c>
      <c r="K116" s="100">
        <f t="shared" si="0"/>
        <v>3620.2145945996494</v>
      </c>
      <c r="L116" s="100">
        <f t="shared" si="0"/>
        <v>3592.3745610901301</v>
      </c>
      <c r="M116" s="100">
        <f t="shared" si="0"/>
        <v>3211.1190639123461</v>
      </c>
      <c r="N116" s="100">
        <f t="shared" si="0"/>
        <v>4192.3343593740492</v>
      </c>
      <c r="O116" s="100">
        <f t="shared" si="0"/>
        <v>3718.0538596660172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D109*pricing!D15*2000</f>
        <v>3293083.1068079337</v>
      </c>
      <c r="E120" s="100">
        <f>E109*pricing!E15*2000</f>
        <v>2867129.1724697119</v>
      </c>
      <c r="F120" s="100">
        <f>F109*pricing!F15*2000</f>
        <v>2829721.1803647708</v>
      </c>
      <c r="G120" s="100">
        <f>G109*pricing!G15*2000</f>
        <v>3378805.5169072147</v>
      </c>
      <c r="H120" s="100">
        <f>H109*pricing!H15*2000</f>
        <v>2618236.8591109845</v>
      </c>
      <c r="I120" s="100">
        <f>I109*pricing!I15*2000</f>
        <v>3321907.6914685057</v>
      </c>
      <c r="J120" s="100">
        <f>J109*pricing!J15*2000</f>
        <v>3378766.1775729996</v>
      </c>
      <c r="K120" s="100">
        <f>K109*pricing!K15*2000</f>
        <v>2942759.1432076194</v>
      </c>
      <c r="L120" s="100">
        <f>L109*pricing!L15*2000</f>
        <v>2736626.8208425478</v>
      </c>
      <c r="M120" s="100">
        <f>M109*pricing!M15*2000</f>
        <v>2318047.2690081964</v>
      </c>
      <c r="N120" s="100">
        <f>N109*pricing!N15*2000</f>
        <v>3850000</v>
      </c>
      <c r="O120" s="100">
        <f>O109*pricing!O15*2000</f>
        <v>3321340.3185116728</v>
      </c>
    </row>
    <row r="121" spans="2:15">
      <c r="C121" s="99" t="s">
        <v>127</v>
      </c>
      <c r="D121" s="100">
        <f>D110*pricing!D16*2000</f>
        <v>7649500.7331296802</v>
      </c>
      <c r="E121" s="100">
        <f>E110*pricing!E16*2000</f>
        <v>7329979.8562864903</v>
      </c>
      <c r="F121" s="100">
        <f>F110*pricing!F16*2000</f>
        <v>6858971.9690167531</v>
      </c>
      <c r="G121" s="100">
        <f>G110*pricing!G16*2000</f>
        <v>7294111.2255251482</v>
      </c>
      <c r="H121" s="100">
        <f>H110*pricing!H16*2000</f>
        <v>5897249.1282787239</v>
      </c>
      <c r="I121" s="100">
        <f>I110*pricing!I16*2000</f>
        <v>8890226.5012974236</v>
      </c>
      <c r="J121" s="100">
        <f>J110*pricing!J16*2000</f>
        <v>6280801.1605828488</v>
      </c>
      <c r="K121" s="100">
        <f>K110*pricing!K16*2000</f>
        <v>6504277.4296228578</v>
      </c>
      <c r="L121" s="100">
        <f>L110*pricing!L16*2000</f>
        <v>6556328.1299040662</v>
      </c>
      <c r="M121" s="100">
        <f>M110*pricing!M16*2000</f>
        <v>4871578.5964995176</v>
      </c>
      <c r="N121" s="100">
        <f>N110*pricing!N16*2000</f>
        <v>7504000</v>
      </c>
      <c r="O121" s="100">
        <f>O110*pricing!O16*2000</f>
        <v>5980657.8994959323</v>
      </c>
    </row>
    <row r="122" spans="2:15">
      <c r="C122" s="99" t="s">
        <v>128</v>
      </c>
      <c r="D122" s="100">
        <f>D111*pricing!D17*2000</f>
        <v>3500800.2932518716</v>
      </c>
      <c r="E122" s="100">
        <f>E111*pricing!E17*2000</f>
        <v>2810918.5013218285</v>
      </c>
      <c r="F122" s="100">
        <f>F111*pricing!F17*2000</f>
        <v>2773902.3572452734</v>
      </c>
      <c r="G122" s="100">
        <f>G111*pricing!G17*2000</f>
        <v>3672246.2013719841</v>
      </c>
      <c r="H122" s="100">
        <f>H111*pricing!H17*2000</f>
        <v>2722112.8331126696</v>
      </c>
      <c r="I122" s="100">
        <f>I111*pricing!I17*2000</f>
        <v>4054509.5191441891</v>
      </c>
      <c r="J122" s="100">
        <f>J111*pricing!J17*2000</f>
        <v>3347302.7373011578</v>
      </c>
      <c r="K122" s="100">
        <f>K111*pricing!K17*2000</f>
        <v>3585585.2836289005</v>
      </c>
      <c r="L122" s="100">
        <f>L111*pricing!L17*2000</f>
        <v>2652989.6522022178</v>
      </c>
      <c r="M122" s="100">
        <f>M111*pricing!M17*2000</f>
        <v>2833476.1803150913</v>
      </c>
      <c r="N122" s="100">
        <f>N111*pricing!N17*2000</f>
        <v>3948000</v>
      </c>
      <c r="O122" s="100">
        <f>O111*pricing!O17*2000</f>
        <v>3739337.7921197382</v>
      </c>
    </row>
    <row r="123" spans="2:15">
      <c r="C123" s="99" t="s">
        <v>129</v>
      </c>
      <c r="D123" s="100">
        <f>D112*pricing!D18*2000</f>
        <v>5370413.822707911</v>
      </c>
      <c r="E123" s="100">
        <f>E112*pricing!E18*2000</f>
        <v>4046028.7708951803</v>
      </c>
      <c r="F123" s="100">
        <f>F112*pricing!F18*2000</f>
        <v>3479044.111559486</v>
      </c>
      <c r="G123" s="100">
        <f>G112*pricing!G18*2000</f>
        <v>4747202.0835405095</v>
      </c>
      <c r="H123" s="100">
        <f>H112*pricing!H18*2000</f>
        <v>3813440.544125325</v>
      </c>
      <c r="I123" s="100">
        <f>I112*pricing!I18*2000</f>
        <v>4112126.1204108004</v>
      </c>
      <c r="J123" s="100">
        <f>J112*pricing!J18*2000</f>
        <v>3955775.449879162</v>
      </c>
      <c r="K123" s="100">
        <f>K112*pricing!K18*2000</f>
        <v>3862804.9778762218</v>
      </c>
      <c r="L123" s="100">
        <f>L112*pricing!L18*2000</f>
        <v>4538702.2320817132</v>
      </c>
      <c r="M123" s="100">
        <f>M112*pricing!M18*2000</f>
        <v>3794589.7706623562</v>
      </c>
      <c r="N123" s="100">
        <f>N112*pricing!N18*2000</f>
        <v>5050706.3561087139</v>
      </c>
      <c r="O123" s="100">
        <f>O112*pricing!O18*2000</f>
        <v>5164785.039650647</v>
      </c>
    </row>
    <row r="124" spans="2:15">
      <c r="C124" s="99" t="s">
        <v>130</v>
      </c>
      <c r="D124" s="100">
        <f>D113*pricing!D19*2000</f>
        <v>3135180.0791665241</v>
      </c>
      <c r="E124" s="100">
        <f>E113*pricing!E19*2000</f>
        <v>3766000</v>
      </c>
      <c r="F124" s="100">
        <f>F113*pricing!F19*2000</f>
        <v>5817000</v>
      </c>
      <c r="G124" s="100">
        <f>G113*pricing!G19*2000</f>
        <v>4704000</v>
      </c>
      <c r="H124" s="100">
        <f>H113*pricing!H19*2000</f>
        <v>4272404.6654970646</v>
      </c>
      <c r="I124" s="100">
        <f>I113*pricing!I19*2000</f>
        <v>4387881.0214884775</v>
      </c>
      <c r="J124" s="100">
        <f>J113*pricing!J19*2000</f>
        <v>5041319.1913935747</v>
      </c>
      <c r="K124" s="100">
        <f>K113*pricing!K19*2000</f>
        <v>4093892.233984503</v>
      </c>
      <c r="L124" s="100">
        <f>L113*pricing!L19*2000</f>
        <v>4578415.0197628383</v>
      </c>
      <c r="M124" s="100">
        <f>M113*pricing!M19*2000</f>
        <v>4319000</v>
      </c>
      <c r="N124" s="100">
        <f>N113*pricing!N19*2000</f>
        <v>5019570.8154505771</v>
      </c>
      <c r="O124" s="100">
        <f>O113*pricing!O19*2000</f>
        <v>4610644.2692887979</v>
      </c>
    </row>
    <row r="125" spans="2:15">
      <c r="C125" s="99" t="s">
        <v>131</v>
      </c>
      <c r="D125" s="100">
        <f>D114*pricing!D20*2000</f>
        <v>1647874.4116956955</v>
      </c>
      <c r="E125" s="100">
        <f>E114*pricing!E20*2000</f>
        <v>1591019.8460749853</v>
      </c>
      <c r="F125" s="100">
        <f>F114*pricing!F20*2000</f>
        <v>1637331.7538202878</v>
      </c>
      <c r="G125" s="100">
        <f>G114*pricing!G20*2000</f>
        <v>1859429.7420190687</v>
      </c>
      <c r="H125" s="100">
        <f>H114*pricing!H20*2000</f>
        <v>1827000</v>
      </c>
      <c r="I125" s="100">
        <f>I114*pricing!I20*2000</f>
        <v>1642560.9398727582</v>
      </c>
      <c r="J125" s="100">
        <f>J114*pricing!J20*2000</f>
        <v>1512000</v>
      </c>
      <c r="K125" s="100">
        <f>K114*pricing!K20*2000</f>
        <v>1582510.6813827178</v>
      </c>
      <c r="L125" s="100">
        <f>L114*pricing!L20*2000</f>
        <v>1713194.1729947489</v>
      </c>
      <c r="M125" s="100">
        <f>M114*pricing!M20*2000</f>
        <v>1643828.3261802467</v>
      </c>
      <c r="N125" s="100">
        <f>N114*pricing!N20*2000</f>
        <v>1570315.7107423292</v>
      </c>
      <c r="O125" s="100">
        <f>O114*pricing!O20*2000</f>
        <v>1237290.7555536998</v>
      </c>
    </row>
    <row r="126" spans="2:15">
      <c r="C126" s="99" t="s">
        <v>132</v>
      </c>
      <c r="D126" s="100">
        <f>D115*pricing!D21*2000</f>
        <v>2696411.5210718885</v>
      </c>
      <c r="E126" s="100">
        <f>E115*pricing!E21*2000</f>
        <v>2581854.0158204478</v>
      </c>
      <c r="F126" s="100">
        <f>F115*pricing!F21*2000</f>
        <v>2237990.6649849629</v>
      </c>
      <c r="G126" s="100">
        <f>G115*pricing!G21*2000</f>
        <v>2549987.380643012</v>
      </c>
      <c r="H126" s="100">
        <f>H115*pricing!H21*2000</f>
        <v>2961000</v>
      </c>
      <c r="I126" s="100">
        <f>I115*pricing!I21*2000</f>
        <v>2738084.7222048412</v>
      </c>
      <c r="J126" s="100">
        <f>J115*pricing!J21*2000</f>
        <v>2688000</v>
      </c>
      <c r="K126" s="100">
        <f>K115*pricing!K21*2000</f>
        <v>2769672.4124947283</v>
      </c>
      <c r="L126" s="100">
        <f>L115*pricing!L21*2000</f>
        <v>2370365.8998427801</v>
      </c>
      <c r="M126" s="100">
        <f>M115*pricing!M21*2000</f>
        <v>2697313.3047210146</v>
      </c>
      <c r="N126" s="100">
        <f>N115*pricing!N21*2000</f>
        <v>2403747.633316726</v>
      </c>
      <c r="O126" s="100">
        <f>O115*pricing!O21*2000</f>
        <v>1972320.9430416306</v>
      </c>
    </row>
    <row r="127" spans="2:15">
      <c r="C127" s="99" t="s">
        <v>278</v>
      </c>
      <c r="D127" s="100">
        <f t="shared" ref="D127:O127" si="1">SUM(D$120:D$126)</f>
        <v>27293263.967831507</v>
      </c>
      <c r="E127" s="100">
        <f t="shared" si="1"/>
        <v>24992930.162868645</v>
      </c>
      <c r="F127" s="100">
        <f t="shared" si="1"/>
        <v>25633962.036991537</v>
      </c>
      <c r="G127" s="100">
        <f t="shared" si="1"/>
        <v>28205782.150006935</v>
      </c>
      <c r="H127" s="100">
        <f t="shared" si="1"/>
        <v>24111444.030124769</v>
      </c>
      <c r="I127" s="100">
        <f t="shared" si="1"/>
        <v>29147296.515886992</v>
      </c>
      <c r="J127" s="100">
        <f t="shared" si="1"/>
        <v>26203964.716729745</v>
      </c>
      <c r="K127" s="100">
        <f t="shared" si="1"/>
        <v>25341502.162197553</v>
      </c>
      <c r="L127" s="100">
        <f t="shared" si="1"/>
        <v>25146621.927630913</v>
      </c>
      <c r="M127" s="100">
        <f t="shared" si="1"/>
        <v>22477833.447386421</v>
      </c>
      <c r="N127" s="100">
        <f t="shared" si="1"/>
        <v>29346340.515618343</v>
      </c>
      <c r="O127" s="100">
        <f t="shared" si="1"/>
        <v>26026377.017662119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238373.99090328114</v>
      </c>
      <c r="E131" s="106">
        <f>SUM(M$6:M$19)+SUM(O$6:O$19)+SUM(Q$6:Q$19)+SUM(S$6:S$19)</f>
        <v>205920.9503082523</v>
      </c>
      <c r="F131" s="106">
        <f>SUM(U$6:U$19)+SUM(W$6:W$19)+SUM(Y$6:Y$19)+SUM(AA$6:AA$19)</f>
        <v>203886.68451829875</v>
      </c>
      <c r="G131" s="106">
        <f>SUM(AC$6:AC$19)+SUM(AE$6:AE$19)+SUM(AG$6:AG$19)+SUM(AI$6:AI$19)</f>
        <v>243673.8486576592</v>
      </c>
      <c r="H131" s="106">
        <f>SUM(AK$6:AK$19)+SUM(AM$6:AM$19)+SUM(AO$6:AO$19)+SUM(AQ$6:AQ$19)</f>
        <v>189849.50045292836</v>
      </c>
      <c r="I131" s="106">
        <f>SUM(AS$6:AS$19)+SUM(AU$6:AU$19)+SUM(AW$6:AW$19)+SUM(AY$6:AY$19)</f>
        <v>238093.10011173078</v>
      </c>
      <c r="J131" s="106">
        <f>SUM(BA$6:BA$19)+SUM(BC$6:BC$19)+SUM(BE$6:BE$19)+SUM(BG$6:BG$19)</f>
        <v>242725.15225049207</v>
      </c>
      <c r="K131" s="106">
        <f>SUM(BI$6:BI$19)+SUM(BK$6:BK$19)+SUM(BM$6:BM$19)+SUM(BO$6:BO$19)</f>
        <v>213107.10713739006</v>
      </c>
      <c r="L131" s="106">
        <f>SUM(BQ$6:BQ$19)+SUM(BS$6:BS$19)+SUM(BU$6:BU$19)+SUM(BW$6:BW$19)</f>
        <v>196534.50135353112</v>
      </c>
      <c r="M131" s="106">
        <f>SUM(BY$6:BY$19)+SUM(CA$6:CA$19)+SUM(CC$6:CC$19)+SUM(CE$6:CE$19)</f>
        <v>167142.00680234176</v>
      </c>
      <c r="N131" s="106">
        <f>SUM(CG$6:CG$19)+SUM(CI$6:CI$19)+SUM(CK$6:CK$19)+SUM(CM$6:CM$19)</f>
        <v>277663.2</v>
      </c>
      <c r="O131" s="106">
        <f>SUM(CO$6:CO$19)+SUM(CQ$6:CQ$19)+SUM(CS$6:CS$19)+SUM(CU$6:CU$19)</f>
        <v>238304.02500138679</v>
      </c>
    </row>
    <row r="132" spans="2:15">
      <c r="C132" s="105" t="s">
        <v>127</v>
      </c>
      <c r="D132" s="106">
        <f>SUM(E$20:E$36)+SUM(G$20:G$36)+SUM(I$20:I$36)+SUM(K$20:K$36)</f>
        <v>468327.39867002342</v>
      </c>
      <c r="E132" s="106">
        <f>SUM(M$20:M$36)+SUM(O$20:O$36)+SUM(Q$20:Q$36)+SUM(S$20:S$36)</f>
        <v>446722.53621340834</v>
      </c>
      <c r="F132" s="106">
        <f>SUM(U$20:U$36)+SUM(W$20:W$36)+SUM(Y$20:Y$36)+SUM(AA$20:AA$36)</f>
        <v>418496.71838444483</v>
      </c>
      <c r="G132" s="106">
        <f>SUM(AC$20:AC$36)+SUM(AE$20:AE$36)+SUM(AG$20:AG$36)+SUM(AI$20:AI$36)</f>
        <v>449279.69500475237</v>
      </c>
      <c r="H132" s="106">
        <f>SUM(AK$20:AK$36)+SUM(AM$20:AM$36)+SUM(AO$20:AO$36)+SUM(AQ$20:AQ$36)</f>
        <v>358209.03345165413</v>
      </c>
      <c r="I132" s="106">
        <f>SUM(AS$20:AS$36)+SUM(AU$20:AU$36)+SUM(AW$20:AW$36)+SUM(AY$20:AY$36)</f>
        <v>544248.81696146098</v>
      </c>
      <c r="J132" s="106">
        <f>SUM(BA$20:BA$36)+SUM(BC$20:BC$36)+SUM(BE$20:BE$36)+SUM(BG$20:BG$36)</f>
        <v>384553.02746693918</v>
      </c>
      <c r="K132" s="106">
        <f>SUM(BI$20:BI$36)+SUM(BK$20:BK$36)+SUM(BM$20:BM$36)+SUM(BO$20:BO$36)</f>
        <v>396594.68325460405</v>
      </c>
      <c r="L132" s="106">
        <f>SUM(BQ$20:BQ$36)+SUM(BS$20:BS$36)+SUM(BU$20:BU$36)+SUM(BW$20:BW$36)</f>
        <v>399141.9613580053</v>
      </c>
      <c r="M132" s="106">
        <f>SUM(BY$20:BY$36)+SUM(CA$20:CA$36)+SUM(CC$20:CC$36)+SUM(CE$20:CE$36)</f>
        <v>297836.87561320706</v>
      </c>
      <c r="N132" s="106">
        <f>SUM(CG$20:CG$36)+SUM(CI$20:CI$36)+SUM(CK$20:CK$36)+SUM(CM$20:CM$36)</f>
        <v>458914.8</v>
      </c>
      <c r="O132" s="106">
        <f>SUM(CO$20:CO$36)+SUM(CQ$20:CQ$36)+SUM(CS$20:CS$36)+SUM(CU$20:CU$36)</f>
        <v>368530.89528168942</v>
      </c>
    </row>
    <row r="133" spans="2:15">
      <c r="C133" s="105" t="s">
        <v>128</v>
      </c>
      <c r="D133" s="106">
        <f>SUM(E$37:E$48)+SUM(G$37:G$48)+SUM(I$37:I$48)+SUM(K$37:K$48)</f>
        <v>525353.75664673327</v>
      </c>
      <c r="E133" s="106">
        <f>SUM(M$37:M$48)+SUM(O$37:O$48)+SUM(Q$37:Q$48)+SUM(S$37:S$48)</f>
        <v>422525.02148588107</v>
      </c>
      <c r="F133" s="106">
        <f>SUM(U$37:U$48)+SUM(W$37:W$48)+SUM(Y$37:Y$48)+SUM(AA$37:AA$48)</f>
        <v>416308.29547308496</v>
      </c>
      <c r="G133" s="106">
        <f>SUM(AC$37:AC$48)+SUM(AE$37:AE$48)+SUM(AG$37:AG$48)+SUM(AI$37:AI$48)</f>
        <v>549827.91757099354</v>
      </c>
      <c r="H133" s="106">
        <f>SUM(AK$37:AK$48)+SUM(AM$37:AM$48)+SUM(AO$37:AO$48)+SUM(AQ$37:AQ$48)</f>
        <v>407263.49162063841</v>
      </c>
      <c r="I133" s="106">
        <f>SUM(AS$37:AS$48)+SUM(AU$37:AU$48)+SUM(AW$37:AW$48)+SUM(AY$37:AY$48)</f>
        <v>610171.78714055812</v>
      </c>
      <c r="J133" s="106">
        <f>SUM(BA$37:BA$48)+SUM(BC$37:BC$48)+SUM(BE$37:BE$48)+SUM(BG$37:BG$48)</f>
        <v>502225.836628219</v>
      </c>
      <c r="K133" s="106">
        <f>SUM(BI$37:BI$48)+SUM(BK$37:BK$48)+SUM(BM$37:BM$48)+SUM(BO$37:BO$48)</f>
        <v>536529.27417180792</v>
      </c>
      <c r="L133" s="106">
        <f>SUM(BQ$37:BQ$48)+SUM(BS$37:BS$48)+SUM(BU$37:BU$48)+SUM(BW$37:BW$48)</f>
        <v>397932.12388016866</v>
      </c>
      <c r="M133" s="106">
        <f>SUM(BY$37:BY$48)+SUM(CA$37:CA$48)+SUM(CC$37:CC$48)+SUM(CE$37:CE$48)</f>
        <v>423892.45438293694</v>
      </c>
      <c r="N133" s="106">
        <f>SUM(CG$37:CG$48)+SUM(CI$37:CI$48)+SUM(CK$37:CK$48)+SUM(CM$37:CM$48)</f>
        <v>591654</v>
      </c>
      <c r="O133" s="106">
        <f>SUM(CO$37:CO$48)+SUM(CQ$37:CQ$48)+SUM(CS$37:CS$48)+SUM(CU$37:CU$48)</f>
        <v>560716.62227305805</v>
      </c>
    </row>
    <row r="134" spans="2:15">
      <c r="C134" s="105" t="s">
        <v>129</v>
      </c>
      <c r="D134" s="106">
        <f>SUM(E$49:E$70)+SUM(G$49:G$70)+SUM(I$49:I$70)+SUM(K$49:K$70)</f>
        <v>638847.10738724098</v>
      </c>
      <c r="E134" s="106">
        <f>SUM(M$49:M$70)+SUM(O$49:O$70)+SUM(Q$49:Q$70)+SUM(S$49:S$70)</f>
        <v>496028.47455578129</v>
      </c>
      <c r="F134" s="106">
        <f>SUM(U$49:U$70)+SUM(W$49:W$70)+SUM(Y$49:Y$70)+SUM(AA$49:AA$70)</f>
        <v>420314.51035066403</v>
      </c>
      <c r="G134" s="106">
        <f>SUM(AC$49:AC$70)+SUM(AE$49:AE$70)+SUM(AG$49:AG$70)+SUM(AI$49:AI$70)</f>
        <v>567450.20355257322</v>
      </c>
      <c r="H134" s="106">
        <f>SUM(AK$49:AK$70)+SUM(AM$49:AM$70)+SUM(AO$49:AO$70)+SUM(AQ$49:AQ$70)</f>
        <v>465747.97377788299</v>
      </c>
      <c r="I134" s="106">
        <f>SUM(AS$49:AS$70)+SUM(AU$49:AU$70)+SUM(AW$49:AW$70)+SUM(AY$49:AY$70)</f>
        <v>491268.65584022668</v>
      </c>
      <c r="J134" s="106">
        <f>SUM(BA$49:BA$70)+SUM(BC$49:BC$70)+SUM(BE$49:BE$70)+SUM(BG$49:BG$70)</f>
        <v>484405.39479193883</v>
      </c>
      <c r="K134" s="106">
        <f>SUM(BI$49:BI$70)+SUM(BK$49:BK$70)+SUM(BM$49:BM$70)+SUM(BO$49:BO$70)</f>
        <v>463464.76216028025</v>
      </c>
      <c r="L134" s="106">
        <f>SUM(BQ$49:BQ$70)+SUM(BS$49:BS$70)+SUM(BU$49:BU$70)+SUM(BW$49:BW$70)</f>
        <v>554596.99834726041</v>
      </c>
      <c r="M134" s="106">
        <f>SUM(BY$49:BY$70)+SUM(CA$49:CA$70)+SUM(CC$49:CC$70)+SUM(CE$49:CE$70)</f>
        <v>465978.64431774861</v>
      </c>
      <c r="N134" s="106">
        <f>SUM(CG$49:CG$70)+SUM(CI$49:CI$70)+SUM(CK$49:CK$70)+SUM(CM$49:CM$70)</f>
        <v>601302.14374780969</v>
      </c>
      <c r="O134" s="106">
        <f>SUM(CO$49:CO$70)+SUM(CQ$49:CQ$70)+SUM(CS$49:CS$70)+SUM(CU$49:CU$70)</f>
        <v>612695.77457425417</v>
      </c>
    </row>
    <row r="135" spans="2:15">
      <c r="C135" s="105" t="s">
        <v>130</v>
      </c>
      <c r="D135" s="106">
        <f>SUM(E$71:E$86)+SUM(G$71:G$86)+SUM(I$71:I$86)+SUM(K$71:K$86)</f>
        <v>250416.02658791625</v>
      </c>
      <c r="E135" s="106">
        <f>SUM(M$71:M$86)+SUM(O$71:O$86)+SUM(Q$71:Q$86)+SUM(S$71:S$86)</f>
        <v>300469.2</v>
      </c>
      <c r="F135" s="106">
        <f>SUM(U$71:U$86)+SUM(W$71:W$86)+SUM(Y$71:Y$86)+SUM(AA$71:AA$86)</f>
        <v>465067.19999999995</v>
      </c>
      <c r="G135" s="106">
        <f>SUM(AC$71:AC$86)+SUM(AE$71:AE$86)+SUM(AG$71:AG$86)+SUM(AI$71:AI$86)</f>
        <v>375535.2</v>
      </c>
      <c r="H135" s="106">
        <f>SUM(AK$71:AK$86)+SUM(AM$71:AM$86)+SUM(AO$71:AO$86)+SUM(AQ$71:AQ$86)</f>
        <v>341386.50415265735</v>
      </c>
      <c r="I135" s="106">
        <f>SUM(AS$71:AS$86)+SUM(AU$71:AU$86)+SUM(AW$71:AW$86)+SUM(AY$71:AY$86)</f>
        <v>349810.22256318852</v>
      </c>
      <c r="J135" s="106">
        <f>SUM(BA$71:BA$86)+SUM(BC$71:BC$86)+SUM(BE$71:BE$86)+SUM(BG$71:BG$86)</f>
        <v>403311.20548229769</v>
      </c>
      <c r="K135" s="106">
        <f>SUM(BI$71:BI$86)+SUM(BK$71:BK$86)+SUM(BM$71:BM$86)+SUM(BO$71:BO$86)</f>
        <v>329415.78601813101</v>
      </c>
      <c r="L135" s="106">
        <f>SUM(BQ$71:BQ$86)+SUM(BS$71:BS$86)+SUM(BU$71:BU$86)+SUM(BW$71:BW$86)</f>
        <v>366741.95098814165</v>
      </c>
      <c r="M135" s="106">
        <f>SUM(BY$71:BY$86)+SUM(CA$71:CA$86)+SUM(CC$71:CC$86)+SUM(CE$71:CE$86)</f>
        <v>346146.00000000006</v>
      </c>
      <c r="N135" s="106">
        <f>SUM(CG$71:CG$86)+SUM(CI$71:CI$86)+SUM(CK$71:CK$86)+SUM(CM$71:CM$86)</f>
        <v>401420.35879827797</v>
      </c>
      <c r="O135" s="106">
        <f>SUM(CO$71:CO$86)+SUM(CQ$71:CQ$86)+SUM(CS$71:CS$86)+SUM(CU$71:CU$86)</f>
        <v>367144.41075966018</v>
      </c>
    </row>
    <row r="136" spans="2:15">
      <c r="C136" s="105" t="s">
        <v>131</v>
      </c>
      <c r="D136" s="106">
        <f>SUM(E$87:E$94)+SUM(G$87:G$94)+SUM(I$87:I$94)+SUM(K$87:K$94)</f>
        <v>235155.90131825116</v>
      </c>
      <c r="E136" s="106">
        <f>SUM(M$87:M$94)+SUM(O$87:O$94)+SUM(Q$87:Q$94)+SUM(S$87:S$94)</f>
        <v>228257.21810643125</v>
      </c>
      <c r="F136" s="106">
        <f>SUM(U$87:U$94)+SUM(W$87:W$94)+SUM(Y$87:Y$94)+SUM(AA$87:AA$94)</f>
        <v>235095.41005997875</v>
      </c>
      <c r="G136" s="106">
        <f>SUM(AC$87:AC$94)+SUM(AE$87:AE$94)+SUM(AG$87:AG$94)+SUM(AI$87:AI$94)</f>
        <v>266007.93021201959</v>
      </c>
      <c r="H136" s="106">
        <f>SUM(AK$87:AK$94)+SUM(AM$87:AM$94)+SUM(AO$87:AO$94)+SUM(AQ$87:AQ$94)</f>
        <v>262548</v>
      </c>
      <c r="I136" s="106">
        <f>SUM(AS$87:AS$94)+SUM(AU$87:AU$94)+SUM(AW$87:AW$94)+SUM(AY$87:AY$94)</f>
        <v>235127.91616849194</v>
      </c>
      <c r="J136" s="106">
        <f>SUM(BA$87:BA$94)+SUM(BC$87:BC$94)+SUM(BE$87:BE$94)+SUM(BG$87:BG$94)</f>
        <v>216232.8</v>
      </c>
      <c r="K136" s="106">
        <f>SUM(BI$87:BI$94)+SUM(BK$87:BK$94)+SUM(BM$87:BM$94)+SUM(BO$87:BO$94)</f>
        <v>227754.59558400579</v>
      </c>
      <c r="L136" s="106">
        <f>SUM(BQ$87:BQ$94)+SUM(BS$87:BS$94)+SUM(BU$87:BU$94)+SUM(BW$87:BW$94)</f>
        <v>246306.04831504484</v>
      </c>
      <c r="M136" s="106">
        <f>SUM(BY$87:BY$94)+SUM(CA$87:CA$94)+SUM(CC$87:CC$94)+SUM(CE$87:CE$94)</f>
        <v>235902.30386265938</v>
      </c>
      <c r="N136" s="106">
        <f>SUM(CG$87:CG$94)+SUM(CI$87:CI$94)+SUM(CK$87:CK$94)+SUM(CM$87:CM$94)</f>
        <v>225818.33779857875</v>
      </c>
      <c r="O136" s="106">
        <f>SUM(CO$87:CO$94)+SUM(CQ$87:CQ$94)+SUM(CS$87:CS$94)+SUM(CU$87:CU$94)</f>
        <v>177402.89442857396</v>
      </c>
    </row>
    <row r="137" spans="2:15">
      <c r="C137" s="105" t="s">
        <v>132</v>
      </c>
      <c r="D137" s="106">
        <f>SUM(E$95:E$105)+SUM(G$95:G$105)+SUM(I$95:I$105)+SUM(K$95:K$105)</f>
        <v>310373.6315387598</v>
      </c>
      <c r="E137" s="106">
        <f>SUM(M$95:M$105)+SUM(O$95:O$105)+SUM(Q$95:Q$105)+SUM(S$95:S$105)</f>
        <v>300141.65945660759</v>
      </c>
      <c r="F137" s="106">
        <f>SUM(U$95:U$105)+SUM(W$95:W$105)+SUM(Y$95:Y$105)+SUM(AA$95:AA$105)</f>
        <v>254444.27152821323</v>
      </c>
      <c r="G137" s="106">
        <f>SUM(AC$95:AC$105)+SUM(AE$95:AE$105)+SUM(AG$95:AG$105)+SUM(AI$95:AI$105)</f>
        <v>290738.71163355134</v>
      </c>
      <c r="H137" s="106">
        <f>SUM(AK$95:AK$105)+SUM(AM$95:AM$105)+SUM(AO$95:AO$105)+SUM(AQ$95:AQ$105)</f>
        <v>349377.6</v>
      </c>
      <c r="I137" s="106">
        <f>SUM(AS$95:AS$105)+SUM(AU$95:AU$105)+SUM(AW$95:AW$105)+SUM(AY$95:AY$105)</f>
        <v>322979.8475957762</v>
      </c>
      <c r="J137" s="106">
        <f>SUM(BA$95:BA$105)+SUM(BC$95:BC$105)+SUM(BE$95:BE$105)+SUM(BG$95:BG$105)</f>
        <v>302304</v>
      </c>
      <c r="K137" s="106">
        <f>SUM(BI$95:BI$105)+SUM(BK$95:BK$105)+SUM(BM$95:BM$105)+SUM(BO$95:BO$105)</f>
        <v>321623.11912536633</v>
      </c>
      <c r="L137" s="106">
        <f>SUM(BQ$95:BQ$105)+SUM(BS$95:BS$105)+SUM(BU$95:BU$105)+SUM(BW$95:BW$105)</f>
        <v>274522.81689212023</v>
      </c>
      <c r="M137" s="106">
        <f>SUM(BY$95:BY$105)+SUM(CA$95:CA$105)+SUM(CC$95:CC$105)+SUM(CE$95:CE$105)</f>
        <v>306584.5493562214</v>
      </c>
      <c r="N137" s="106">
        <f>SUM(CG$95:CG$105)+SUM(CI$95:CI$105)+SUM(CK$95:CK$105)+SUM(CM$95:CM$105)</f>
        <v>280587.74765678035</v>
      </c>
      <c r="O137" s="106">
        <f>SUM(CO$95:CO$105)+SUM(CQ$95:CQ$105)+SUM(CS$95:CS$105)+SUM(CU$95:CU$105)</f>
        <v>229420.40085551341</v>
      </c>
    </row>
    <row r="138" spans="2:15">
      <c r="C138" s="105" t="s">
        <v>278</v>
      </c>
      <c r="D138" s="100">
        <f t="shared" ref="D138:O138" si="2">SUM(D$131:D$137)</f>
        <v>2666847.8130522058</v>
      </c>
      <c r="E138" s="100">
        <f t="shared" si="2"/>
        <v>2400065.0601263619</v>
      </c>
      <c r="F138" s="100">
        <f t="shared" si="2"/>
        <v>2413613.0903146849</v>
      </c>
      <c r="G138" s="100">
        <f t="shared" si="2"/>
        <v>2742513.5066315494</v>
      </c>
      <c r="H138" s="100">
        <f t="shared" si="2"/>
        <v>2374382.1034557614</v>
      </c>
      <c r="I138" s="100">
        <f t="shared" si="2"/>
        <v>2791700.3463814333</v>
      </c>
      <c r="J138" s="100">
        <f t="shared" si="2"/>
        <v>2535757.4166198866</v>
      </c>
      <c r="K138" s="100">
        <f t="shared" si="2"/>
        <v>2488489.3274515853</v>
      </c>
      <c r="L138" s="100">
        <f t="shared" si="2"/>
        <v>2435776.4011342721</v>
      </c>
      <c r="M138" s="100">
        <f t="shared" si="2"/>
        <v>2243482.8343351148</v>
      </c>
      <c r="N138" s="100">
        <f t="shared" si="2"/>
        <v>2837360.5880014468</v>
      </c>
      <c r="O138" s="100">
        <f t="shared" si="2"/>
        <v>2554215.0231741359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281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3.8318977000016563</v>
      </c>
      <c r="E6" s="100">
        <v>2216.369629680958</v>
      </c>
      <c r="F6" s="100">
        <v>3.2010682798882084</v>
      </c>
      <c r="G6" s="100">
        <v>1851.4978930873397</v>
      </c>
      <c r="H6" s="100">
        <v>8</v>
      </c>
      <c r="I6" s="100">
        <v>4627.2</v>
      </c>
      <c r="J6" s="100">
        <v>5</v>
      </c>
      <c r="K6" s="100">
        <v>2892</v>
      </c>
      <c r="L6" s="100">
        <v>7</v>
      </c>
      <c r="M6" s="100">
        <v>4048.7999999999997</v>
      </c>
      <c r="N6" s="100">
        <v>6.3499442325743205</v>
      </c>
      <c r="O6" s="100">
        <v>3672.8077441209866</v>
      </c>
      <c r="P6" s="100">
        <v>3.2887500068960334</v>
      </c>
      <c r="Q6" s="100">
        <v>1902.2130039886656</v>
      </c>
      <c r="R6" s="100">
        <v>7.2740997112161869</v>
      </c>
      <c r="S6" s="100">
        <v>4207.3392729674424</v>
      </c>
      <c r="T6" s="100">
        <v>3.7365958207814725</v>
      </c>
      <c r="U6" s="100">
        <v>2161.2470227400036</v>
      </c>
      <c r="V6" s="100">
        <v>6</v>
      </c>
      <c r="W6" s="100">
        <v>3470.3999999999996</v>
      </c>
      <c r="X6" s="100">
        <v>9.3121111364269904</v>
      </c>
      <c r="Y6" s="100">
        <v>5386.1250813093711</v>
      </c>
      <c r="Z6" s="100">
        <v>1.9171333152689114</v>
      </c>
      <c r="AA6" s="100">
        <v>1108.8699095515383</v>
      </c>
      <c r="AB6" s="100">
        <v>5</v>
      </c>
      <c r="AC6" s="100">
        <v>2892</v>
      </c>
      <c r="AD6" s="100">
        <v>4.3046877206582606</v>
      </c>
      <c r="AE6" s="100">
        <v>2489.8313776287378</v>
      </c>
      <c r="AF6" s="100">
        <v>7.0690390332932829</v>
      </c>
      <c r="AG6" s="100">
        <v>4088.7321768568345</v>
      </c>
      <c r="AH6" s="100">
        <v>3.2646439198549895</v>
      </c>
      <c r="AI6" s="100">
        <v>1888.2700432441259</v>
      </c>
      <c r="AJ6" s="100">
        <v>9</v>
      </c>
      <c r="AK6" s="100">
        <v>5205.5999999999995</v>
      </c>
      <c r="AL6" s="100">
        <v>7.221203327593229</v>
      </c>
      <c r="AM6" s="100">
        <v>4176.7440046799238</v>
      </c>
      <c r="AN6" s="100">
        <v>4.2189607208601717E-4</v>
      </c>
      <c r="AO6" s="100">
        <v>0.24402468809455233</v>
      </c>
      <c r="AP6" s="100">
        <v>7</v>
      </c>
      <c r="AQ6" s="100">
        <v>4048.7999999999997</v>
      </c>
      <c r="AR6" s="100">
        <v>6</v>
      </c>
      <c r="AS6" s="100">
        <v>3470.3999999999996</v>
      </c>
      <c r="AT6" s="100">
        <v>8</v>
      </c>
      <c r="AU6" s="100">
        <v>4627.2</v>
      </c>
      <c r="AV6" s="100">
        <v>7.4007103393008737</v>
      </c>
      <c r="AW6" s="100">
        <v>4280.5708602516252</v>
      </c>
      <c r="AX6" s="100">
        <v>3.3838511311311641</v>
      </c>
      <c r="AY6" s="100">
        <v>1957.2194942462652</v>
      </c>
      <c r="AZ6" s="100">
        <v>4.9170644644423369</v>
      </c>
      <c r="BA6" s="100">
        <v>2844.0300862334475</v>
      </c>
      <c r="BB6" s="100">
        <v>1.8399025729976053</v>
      </c>
      <c r="BC6" s="100">
        <v>1064.1996482218149</v>
      </c>
      <c r="BD6" s="100">
        <v>7</v>
      </c>
      <c r="BE6" s="100">
        <v>4048.7999999999997</v>
      </c>
      <c r="BF6" s="100">
        <v>6</v>
      </c>
      <c r="BG6" s="100">
        <v>3470.3999999999996</v>
      </c>
      <c r="BH6" s="100">
        <v>10.391193766344536</v>
      </c>
      <c r="BI6" s="100">
        <v>6010.2664744536796</v>
      </c>
      <c r="BJ6" s="100">
        <v>2.1992379735607215</v>
      </c>
      <c r="BK6" s="100">
        <v>1272.0392439075213</v>
      </c>
      <c r="BL6" s="100">
        <v>6</v>
      </c>
      <c r="BM6" s="100">
        <v>3470.3999999999996</v>
      </c>
      <c r="BN6" s="100">
        <v>6</v>
      </c>
      <c r="BO6" s="100">
        <v>3470.3999999999996</v>
      </c>
      <c r="BP6" s="100">
        <v>7</v>
      </c>
      <c r="BQ6" s="100">
        <v>4048.7999999999997</v>
      </c>
      <c r="BR6" s="100">
        <v>7.2345299350395047</v>
      </c>
      <c r="BS6" s="100">
        <v>4184.4521144268492</v>
      </c>
      <c r="BT6" s="100">
        <v>0.87276109548956093</v>
      </c>
      <c r="BU6" s="100">
        <v>504.805017631162</v>
      </c>
      <c r="BV6" s="100">
        <v>4.8656028477710027</v>
      </c>
      <c r="BW6" s="100">
        <v>2814.2646871507477</v>
      </c>
      <c r="BX6" s="100">
        <v>7</v>
      </c>
      <c r="BY6" s="100">
        <v>4048.7999999999997</v>
      </c>
      <c r="BZ6" s="100">
        <v>7</v>
      </c>
      <c r="CA6" s="100">
        <v>4048.7999999999997</v>
      </c>
      <c r="CB6" s="100">
        <v>7.3230588194156585</v>
      </c>
      <c r="CC6" s="100">
        <v>4235.657221150017</v>
      </c>
      <c r="CD6" s="100">
        <v>3.6403266491268234</v>
      </c>
      <c r="CE6" s="100">
        <v>2105.5649338549547</v>
      </c>
      <c r="CF6" s="100">
        <v>4.4242511467411079E-4</v>
      </c>
      <c r="CG6" s="100">
        <v>0.25589868632750568</v>
      </c>
      <c r="CH6" s="100">
        <v>9</v>
      </c>
      <c r="CI6" s="100">
        <v>5205.5999999999995</v>
      </c>
      <c r="CJ6" s="100">
        <v>9</v>
      </c>
      <c r="CK6" s="100">
        <v>5205.5999999999995</v>
      </c>
      <c r="CL6" s="100">
        <v>7</v>
      </c>
      <c r="CM6" s="100">
        <v>4048.7999999999997</v>
      </c>
      <c r="CN6" s="100">
        <v>7</v>
      </c>
      <c r="CO6" s="100">
        <v>4048.7999999999997</v>
      </c>
      <c r="CP6" s="100">
        <v>10</v>
      </c>
      <c r="CQ6" s="100">
        <v>5784</v>
      </c>
      <c r="CR6" s="100">
        <v>7</v>
      </c>
      <c r="CS6" s="100">
        <v>4048.7999999999997</v>
      </c>
      <c r="CT6" s="100">
        <v>8.3406155086478044</v>
      </c>
      <c r="CU6" s="100">
        <v>4824.2120102018898</v>
      </c>
    </row>
    <row r="7" spans="1:99">
      <c r="C7" s="99" t="s">
        <v>173</v>
      </c>
      <c r="D7" s="100">
        <v>3.8416250646371677</v>
      </c>
      <c r="E7" s="100">
        <v>3028.737200959943</v>
      </c>
      <c r="F7" s="100">
        <v>3.2010682798882084</v>
      </c>
      <c r="G7" s="100">
        <v>2523.7222318638633</v>
      </c>
      <c r="H7" s="100">
        <v>9</v>
      </c>
      <c r="I7" s="100">
        <v>7095.5999999999995</v>
      </c>
      <c r="J7" s="100">
        <v>6</v>
      </c>
      <c r="K7" s="100">
        <v>4730.3999999999996</v>
      </c>
      <c r="L7" s="100">
        <v>7</v>
      </c>
      <c r="M7" s="100">
        <v>5518.8</v>
      </c>
      <c r="N7" s="100">
        <v>6.3499442325743205</v>
      </c>
      <c r="O7" s="100">
        <v>5006.2960329615944</v>
      </c>
      <c r="P7" s="100">
        <v>3.2887500068960334</v>
      </c>
      <c r="Q7" s="100">
        <v>2592.8505054368325</v>
      </c>
      <c r="R7" s="100">
        <v>8.2055747834121409</v>
      </c>
      <c r="S7" s="100">
        <v>6469.2751592421318</v>
      </c>
      <c r="T7" s="100">
        <v>3.1138298506512267</v>
      </c>
      <c r="U7" s="100">
        <v>2454.9434542534273</v>
      </c>
      <c r="V7" s="100">
        <v>7</v>
      </c>
      <c r="W7" s="100">
        <v>5518.8</v>
      </c>
      <c r="X7" s="100">
        <v>8.4012857468347022</v>
      </c>
      <c r="Y7" s="100">
        <v>6623.5736828044792</v>
      </c>
      <c r="Z7" s="100">
        <v>2.464885691060029</v>
      </c>
      <c r="AA7" s="100">
        <v>1943.3158788317269</v>
      </c>
      <c r="AB7" s="100">
        <v>5</v>
      </c>
      <c r="AC7" s="100">
        <v>3942</v>
      </c>
      <c r="AD7" s="100">
        <v>5.0221356741013041</v>
      </c>
      <c r="AE7" s="100">
        <v>3959.4517654614679</v>
      </c>
      <c r="AF7" s="100">
        <v>6.0613680295940293</v>
      </c>
      <c r="AG7" s="100">
        <v>4778.7825545319329</v>
      </c>
      <c r="AH7" s="100">
        <v>3.2646439198549895</v>
      </c>
      <c r="AI7" s="100">
        <v>2573.8452664136735</v>
      </c>
      <c r="AJ7" s="100">
        <v>8</v>
      </c>
      <c r="AK7" s="100">
        <v>6307.2</v>
      </c>
      <c r="AL7" s="100">
        <v>5.6451222260626839</v>
      </c>
      <c r="AM7" s="100">
        <v>4450.6143630278202</v>
      </c>
      <c r="AN7" s="100">
        <v>4.2189607208601717E-4</v>
      </c>
      <c r="AO7" s="100">
        <v>0.33262286323261592</v>
      </c>
      <c r="AP7" s="100">
        <v>7</v>
      </c>
      <c r="AQ7" s="100">
        <v>5518.8</v>
      </c>
      <c r="AR7" s="100">
        <v>7</v>
      </c>
      <c r="AS7" s="100">
        <v>5518.8</v>
      </c>
      <c r="AT7" s="100">
        <v>9</v>
      </c>
      <c r="AU7" s="100">
        <v>7095.5999999999995</v>
      </c>
      <c r="AV7" s="100">
        <v>7.4007103393008737</v>
      </c>
      <c r="AW7" s="100">
        <v>5834.7200315048085</v>
      </c>
      <c r="AX7" s="100">
        <v>3.3838511311311641</v>
      </c>
      <c r="AY7" s="100">
        <v>2667.8282317838098</v>
      </c>
      <c r="AZ7" s="100">
        <v>4.8921531086014358</v>
      </c>
      <c r="BA7" s="100">
        <v>3856.9735108213717</v>
      </c>
      <c r="BB7" s="100">
        <v>1.8399025729976053</v>
      </c>
      <c r="BC7" s="100">
        <v>1450.579188551312</v>
      </c>
      <c r="BD7" s="100">
        <v>7</v>
      </c>
      <c r="BE7" s="100">
        <v>5518.8</v>
      </c>
      <c r="BF7" s="100">
        <v>6</v>
      </c>
      <c r="BG7" s="100">
        <v>4730.3999999999996</v>
      </c>
      <c r="BH7" s="100">
        <v>9.4400929871376036</v>
      </c>
      <c r="BI7" s="100">
        <v>7442.5693110592865</v>
      </c>
      <c r="BJ7" s="100">
        <v>2.1992379735607215</v>
      </c>
      <c r="BK7" s="100">
        <v>1733.8792183552728</v>
      </c>
      <c r="BL7" s="100">
        <v>7</v>
      </c>
      <c r="BM7" s="100">
        <v>5518.8</v>
      </c>
      <c r="BN7" s="100">
        <v>6</v>
      </c>
      <c r="BO7" s="100">
        <v>4730.3999999999996</v>
      </c>
      <c r="BP7" s="100">
        <v>7</v>
      </c>
      <c r="BQ7" s="100">
        <v>5518.8</v>
      </c>
      <c r="BR7" s="100">
        <v>7.2579829285434556</v>
      </c>
      <c r="BS7" s="100">
        <v>5722.1937408636604</v>
      </c>
      <c r="BT7" s="100">
        <v>0.86752342682573202</v>
      </c>
      <c r="BU7" s="100">
        <v>683.95546970940711</v>
      </c>
      <c r="BV7" s="100">
        <v>5.6765366557328365</v>
      </c>
      <c r="BW7" s="100">
        <v>4475.3814993797678</v>
      </c>
      <c r="BX7" s="100">
        <v>7</v>
      </c>
      <c r="BY7" s="100">
        <v>5518.8</v>
      </c>
      <c r="BZ7" s="100">
        <v>7</v>
      </c>
      <c r="CA7" s="100">
        <v>5518.8</v>
      </c>
      <c r="CB7" s="100">
        <v>6.3230588194156585</v>
      </c>
      <c r="CC7" s="100">
        <v>4985.099573227305</v>
      </c>
      <c r="CD7" s="100">
        <v>3.6403266491268234</v>
      </c>
      <c r="CE7" s="100">
        <v>2870.0335301715872</v>
      </c>
      <c r="CF7" s="100">
        <v>5.0562870248469795E-4</v>
      </c>
      <c r="CG7" s="100">
        <v>0.39863766903893588</v>
      </c>
      <c r="CH7" s="100">
        <v>10</v>
      </c>
      <c r="CI7" s="100">
        <v>7884</v>
      </c>
      <c r="CJ7" s="100">
        <v>8</v>
      </c>
      <c r="CK7" s="100">
        <v>6307.2</v>
      </c>
      <c r="CL7" s="100">
        <v>7</v>
      </c>
      <c r="CM7" s="100">
        <v>5518.8</v>
      </c>
      <c r="CN7" s="100">
        <v>7</v>
      </c>
      <c r="CO7" s="100">
        <v>5518.8</v>
      </c>
      <c r="CP7" s="100">
        <v>12</v>
      </c>
      <c r="CQ7" s="100">
        <v>9460.7999999999993</v>
      </c>
      <c r="CR7" s="100">
        <v>8</v>
      </c>
      <c r="CS7" s="100">
        <v>6307.2</v>
      </c>
      <c r="CT7" s="100">
        <v>8.318957471812519</v>
      </c>
      <c r="CU7" s="100">
        <v>6558.6660707769897</v>
      </c>
    </row>
    <row r="8" spans="1:99">
      <c r="C8" s="99" t="s">
        <v>174</v>
      </c>
      <c r="D8" s="100">
        <v>4.4543350422760799</v>
      </c>
      <c r="E8" s="100">
        <v>1379.0621290886743</v>
      </c>
      <c r="F8" s="100">
        <v>4.00133534986026</v>
      </c>
      <c r="G8" s="100">
        <v>1238.8134243167362</v>
      </c>
      <c r="H8" s="100">
        <v>8</v>
      </c>
      <c r="I8" s="100">
        <v>2476.7999999999997</v>
      </c>
      <c r="J8" s="100">
        <v>6</v>
      </c>
      <c r="K8" s="100">
        <v>1857.6</v>
      </c>
      <c r="L8" s="100">
        <v>8</v>
      </c>
      <c r="M8" s="100">
        <v>2476.7999999999997</v>
      </c>
      <c r="N8" s="100">
        <v>6.3499442325743205</v>
      </c>
      <c r="O8" s="100">
        <v>1965.9427344050093</v>
      </c>
      <c r="P8" s="100">
        <v>3.2887500068960334</v>
      </c>
      <c r="Q8" s="100">
        <v>1018.1970021350119</v>
      </c>
      <c r="R8" s="100">
        <v>8.2055747834121409</v>
      </c>
      <c r="S8" s="100">
        <v>2540.4459529443984</v>
      </c>
      <c r="T8" s="100">
        <v>3.7365958207814725</v>
      </c>
      <c r="U8" s="100">
        <v>1156.8500661139437</v>
      </c>
      <c r="V8" s="100">
        <v>7</v>
      </c>
      <c r="W8" s="100">
        <v>2167.1999999999998</v>
      </c>
      <c r="X8" s="100">
        <v>10.31211113642699</v>
      </c>
      <c r="Y8" s="100">
        <v>3192.6296078377959</v>
      </c>
      <c r="Z8" s="100">
        <v>2.464885691060029</v>
      </c>
      <c r="AA8" s="100">
        <v>763.12860995218489</v>
      </c>
      <c r="AB8" s="100">
        <v>5</v>
      </c>
      <c r="AC8" s="100">
        <v>1547.9999999999998</v>
      </c>
      <c r="AD8" s="100">
        <v>5.0221356741013041</v>
      </c>
      <c r="AE8" s="100">
        <v>1554.8532047017636</v>
      </c>
      <c r="AF8" s="100">
        <v>6.0690390332932829</v>
      </c>
      <c r="AG8" s="100">
        <v>1878.9744847076001</v>
      </c>
      <c r="AH8" s="100">
        <v>3.2646439198549895</v>
      </c>
      <c r="AI8" s="100">
        <v>1010.7337575871046</v>
      </c>
      <c r="AJ8" s="100">
        <v>9</v>
      </c>
      <c r="AK8" s="100">
        <v>2786.3999999999996</v>
      </c>
      <c r="AL8" s="100">
        <v>6.4474781513508201</v>
      </c>
      <c r="AM8" s="100">
        <v>1996.1392356582137</v>
      </c>
      <c r="AN8" s="100">
        <v>5.062752865032206E-4</v>
      </c>
      <c r="AO8" s="100">
        <v>0.15674282870139708</v>
      </c>
      <c r="AP8" s="100">
        <v>6</v>
      </c>
      <c r="AQ8" s="100">
        <v>1857.6</v>
      </c>
      <c r="AR8" s="100">
        <v>7</v>
      </c>
      <c r="AS8" s="100">
        <v>2167.1999999999998</v>
      </c>
      <c r="AT8" s="100">
        <v>8</v>
      </c>
      <c r="AU8" s="100">
        <v>2476.7999999999997</v>
      </c>
      <c r="AV8" s="100">
        <v>6.5784091904896655</v>
      </c>
      <c r="AW8" s="100">
        <v>2036.6754853756001</v>
      </c>
      <c r="AX8" s="100">
        <v>4.0598625169194946</v>
      </c>
      <c r="AY8" s="100">
        <v>1256.9334352382755</v>
      </c>
      <c r="AZ8" s="100">
        <v>5.5767970636354116</v>
      </c>
      <c r="BA8" s="100">
        <v>1726.5763709015232</v>
      </c>
      <c r="BB8" s="100">
        <v>2.0698903946223055</v>
      </c>
      <c r="BC8" s="100">
        <v>640.83806617506571</v>
      </c>
      <c r="BD8" s="100">
        <v>7</v>
      </c>
      <c r="BE8" s="100">
        <v>2167.1999999999998</v>
      </c>
      <c r="BF8" s="100">
        <v>7</v>
      </c>
      <c r="BG8" s="100">
        <v>2167.1999999999998</v>
      </c>
      <c r="BH8" s="100">
        <v>10.391193766344536</v>
      </c>
      <c r="BI8" s="100">
        <v>3217.1135900602681</v>
      </c>
      <c r="BJ8" s="100">
        <v>1.9243332268656312</v>
      </c>
      <c r="BK8" s="100">
        <v>595.77356703759938</v>
      </c>
      <c r="BL8" s="100">
        <v>6</v>
      </c>
      <c r="BM8" s="100">
        <v>1857.6</v>
      </c>
      <c r="BN8" s="100">
        <v>6</v>
      </c>
      <c r="BO8" s="100">
        <v>1857.6</v>
      </c>
      <c r="BP8" s="100">
        <v>6</v>
      </c>
      <c r="BQ8" s="100">
        <v>1857.6</v>
      </c>
      <c r="BR8" s="100">
        <v>8.2345299350395056</v>
      </c>
      <c r="BS8" s="100">
        <v>2549.4104678882309</v>
      </c>
      <c r="BT8" s="100">
        <v>0.87276109548956093</v>
      </c>
      <c r="BU8" s="100">
        <v>270.20683516356803</v>
      </c>
      <c r="BV8" s="100">
        <v>5.6765366557328365</v>
      </c>
      <c r="BW8" s="100">
        <v>1757.455748614886</v>
      </c>
      <c r="BX8" s="100">
        <v>6</v>
      </c>
      <c r="BY8" s="100">
        <v>1857.6</v>
      </c>
      <c r="BZ8" s="100">
        <v>7</v>
      </c>
      <c r="CA8" s="100">
        <v>2167.1999999999998</v>
      </c>
      <c r="CB8" s="100">
        <v>6.3692100793321815</v>
      </c>
      <c r="CC8" s="100">
        <v>1971.9074405612432</v>
      </c>
      <c r="CD8" s="100">
        <v>4.3683919789521877</v>
      </c>
      <c r="CE8" s="100">
        <v>1352.4541566835971</v>
      </c>
      <c r="CF8" s="100">
        <v>4.4242511467411079E-4</v>
      </c>
      <c r="CG8" s="100">
        <v>0.1369748155031047</v>
      </c>
      <c r="CH8" s="100">
        <v>9</v>
      </c>
      <c r="CI8" s="100">
        <v>2786.3999999999996</v>
      </c>
      <c r="CJ8" s="100">
        <v>9</v>
      </c>
      <c r="CK8" s="100">
        <v>2786.3999999999996</v>
      </c>
      <c r="CL8" s="100">
        <v>8</v>
      </c>
      <c r="CM8" s="100">
        <v>2476.7999999999997</v>
      </c>
      <c r="CN8" s="100">
        <v>7</v>
      </c>
      <c r="CO8" s="100">
        <v>2167.1999999999998</v>
      </c>
      <c r="CP8" s="100">
        <v>11</v>
      </c>
      <c r="CQ8" s="100">
        <v>3405.5999999999995</v>
      </c>
      <c r="CR8" s="100">
        <v>8</v>
      </c>
      <c r="CS8" s="100">
        <v>2476.7999999999997</v>
      </c>
      <c r="CT8" s="100">
        <v>8.3406155086478044</v>
      </c>
      <c r="CU8" s="100">
        <v>2582.2545614773599</v>
      </c>
    </row>
    <row r="9" spans="1:99">
      <c r="C9" s="99" t="s">
        <v>175</v>
      </c>
      <c r="D9" s="100">
        <v>4.4543350422760799</v>
      </c>
      <c r="E9" s="100">
        <v>3126.943199677808</v>
      </c>
      <c r="F9" s="100">
        <v>3.2010682798882084</v>
      </c>
      <c r="G9" s="100">
        <v>2247.1499324815222</v>
      </c>
      <c r="H9" s="100">
        <v>8</v>
      </c>
      <c r="I9" s="100">
        <v>5616</v>
      </c>
      <c r="J9" s="100">
        <v>6</v>
      </c>
      <c r="K9" s="100">
        <v>4212</v>
      </c>
      <c r="L9" s="100">
        <v>7</v>
      </c>
      <c r="M9" s="100">
        <v>4914</v>
      </c>
      <c r="N9" s="100">
        <v>6.3499442325743205</v>
      </c>
      <c r="O9" s="100">
        <v>4457.6608512671728</v>
      </c>
      <c r="P9" s="100">
        <v>3.2887500068960334</v>
      </c>
      <c r="Q9" s="100">
        <v>2308.7025048410155</v>
      </c>
      <c r="R9" s="100">
        <v>7.2398372473141634</v>
      </c>
      <c r="S9" s="100">
        <v>5082.3657476145427</v>
      </c>
      <c r="T9" s="100">
        <v>3.7365958207814725</v>
      </c>
      <c r="U9" s="100">
        <v>2623.0902661885939</v>
      </c>
      <c r="V9" s="100">
        <v>7</v>
      </c>
      <c r="W9" s="100">
        <v>4914</v>
      </c>
      <c r="X9" s="100">
        <v>9.3121111364269904</v>
      </c>
      <c r="Y9" s="100">
        <v>6537.1020177717473</v>
      </c>
      <c r="Z9" s="100">
        <v>2.1910095031644703</v>
      </c>
      <c r="AA9" s="100">
        <v>1538.0886712214581</v>
      </c>
      <c r="AB9" s="100">
        <v>5</v>
      </c>
      <c r="AC9" s="100">
        <v>3510</v>
      </c>
      <c r="AD9" s="100">
        <v>4.3046877206582606</v>
      </c>
      <c r="AE9" s="100">
        <v>3021.890779902099</v>
      </c>
      <c r="AF9" s="100">
        <v>7.0767100369925364</v>
      </c>
      <c r="AG9" s="100">
        <v>4967.8504459687601</v>
      </c>
      <c r="AH9" s="100">
        <v>3.2646439198549895</v>
      </c>
      <c r="AI9" s="100">
        <v>2291.7800317382025</v>
      </c>
      <c r="AJ9" s="100">
        <v>9</v>
      </c>
      <c r="AK9" s="100">
        <v>6318</v>
      </c>
      <c r="AL9" s="100">
        <v>6.4331627768279569</v>
      </c>
      <c r="AM9" s="100">
        <v>4516.0802693332262</v>
      </c>
      <c r="AN9" s="100">
        <v>4.2189607208601717E-4</v>
      </c>
      <c r="AO9" s="100">
        <v>0.29617104260438404</v>
      </c>
      <c r="AP9" s="100">
        <v>6</v>
      </c>
      <c r="AQ9" s="100">
        <v>4212</v>
      </c>
      <c r="AR9" s="100">
        <v>7</v>
      </c>
      <c r="AS9" s="100">
        <v>4914</v>
      </c>
      <c r="AT9" s="100">
        <v>9</v>
      </c>
      <c r="AU9" s="100">
        <v>6318</v>
      </c>
      <c r="AV9" s="100">
        <v>6.5784091904896655</v>
      </c>
      <c r="AW9" s="100">
        <v>4618.043251723745</v>
      </c>
      <c r="AX9" s="100">
        <v>4.0598625169194946</v>
      </c>
      <c r="AY9" s="100">
        <v>2850.0234868774851</v>
      </c>
      <c r="AZ9" s="100">
        <v>4.8921531086014358</v>
      </c>
      <c r="BA9" s="100">
        <v>3434.2914822382081</v>
      </c>
      <c r="BB9" s="100">
        <v>2.2998782162470066</v>
      </c>
      <c r="BC9" s="100">
        <v>1614.5145078053986</v>
      </c>
      <c r="BD9" s="100">
        <v>7</v>
      </c>
      <c r="BE9" s="100">
        <v>4914</v>
      </c>
      <c r="BF9" s="100">
        <v>7</v>
      </c>
      <c r="BG9" s="100">
        <v>4914</v>
      </c>
      <c r="BH9" s="100">
        <v>9.4400929871376036</v>
      </c>
      <c r="BI9" s="100">
        <v>6626.9452769705977</v>
      </c>
      <c r="BJ9" s="100">
        <v>2.1992379735607215</v>
      </c>
      <c r="BK9" s="100">
        <v>1543.8650574396265</v>
      </c>
      <c r="BL9" s="100">
        <v>6</v>
      </c>
      <c r="BM9" s="100">
        <v>4212</v>
      </c>
      <c r="BN9" s="100">
        <v>6</v>
      </c>
      <c r="BO9" s="100">
        <v>4212</v>
      </c>
      <c r="BP9" s="100">
        <v>7</v>
      </c>
      <c r="BQ9" s="100">
        <v>4914</v>
      </c>
      <c r="BR9" s="100">
        <v>8.2579829285434556</v>
      </c>
      <c r="BS9" s="100">
        <v>5797.1040158375063</v>
      </c>
      <c r="BT9" s="100">
        <v>0.72991974723988184</v>
      </c>
      <c r="BU9" s="100">
        <v>512.40366256239702</v>
      </c>
      <c r="BV9" s="100">
        <v>5.6765366557328365</v>
      </c>
      <c r="BW9" s="100">
        <v>3984.9287323244512</v>
      </c>
      <c r="BX9" s="100">
        <v>6</v>
      </c>
      <c r="BY9" s="100">
        <v>4212</v>
      </c>
      <c r="BZ9" s="100">
        <v>8</v>
      </c>
      <c r="CA9" s="100">
        <v>5616</v>
      </c>
      <c r="CB9" s="100">
        <v>7.3230588194156585</v>
      </c>
      <c r="CC9" s="100">
        <v>5140.7872912297926</v>
      </c>
      <c r="CD9" s="100">
        <v>3.6403266491268234</v>
      </c>
      <c r="CE9" s="100">
        <v>2555.5093076870298</v>
      </c>
      <c r="CF9" s="100">
        <v>5.0562870248469795E-4</v>
      </c>
      <c r="CG9" s="100">
        <v>0.35495134914425797</v>
      </c>
      <c r="CH9" s="100">
        <v>10</v>
      </c>
      <c r="CI9" s="100">
        <v>7020</v>
      </c>
      <c r="CJ9" s="100">
        <v>9</v>
      </c>
      <c r="CK9" s="100">
        <v>6318</v>
      </c>
      <c r="CL9" s="100">
        <v>7</v>
      </c>
      <c r="CM9" s="100">
        <v>4914</v>
      </c>
      <c r="CN9" s="100">
        <v>7</v>
      </c>
      <c r="CO9" s="100">
        <v>4914</v>
      </c>
      <c r="CP9" s="100">
        <v>11</v>
      </c>
      <c r="CQ9" s="100">
        <v>7722</v>
      </c>
      <c r="CR9" s="100">
        <v>8</v>
      </c>
      <c r="CS9" s="100">
        <v>5616</v>
      </c>
      <c r="CT9" s="100">
        <v>7.6237248963653705</v>
      </c>
      <c r="CU9" s="100">
        <v>5351.8548772484901</v>
      </c>
    </row>
    <row r="10" spans="1:99">
      <c r="C10" s="99" t="s">
        <v>176</v>
      </c>
      <c r="D10" s="100">
        <v>4.4543350422760799</v>
      </c>
      <c r="E10" s="100">
        <v>2426.7217310320079</v>
      </c>
      <c r="F10" s="100">
        <v>3.2010682798882084</v>
      </c>
      <c r="G10" s="100">
        <v>1743.9419988830957</v>
      </c>
      <c r="H10" s="100">
        <v>9</v>
      </c>
      <c r="I10" s="100">
        <v>4903.2</v>
      </c>
      <c r="J10" s="100">
        <v>5</v>
      </c>
      <c r="K10" s="100">
        <v>2724</v>
      </c>
      <c r="L10" s="100">
        <v>7</v>
      </c>
      <c r="M10" s="100">
        <v>3813.5999999999995</v>
      </c>
      <c r="N10" s="100">
        <v>6.3499442325743205</v>
      </c>
      <c r="O10" s="100">
        <v>3459.4496179064895</v>
      </c>
      <c r="P10" s="100">
        <v>3.2887500068960334</v>
      </c>
      <c r="Q10" s="100">
        <v>1791.7110037569589</v>
      </c>
      <c r="R10" s="100">
        <v>7.2398372473141634</v>
      </c>
      <c r="S10" s="100">
        <v>3944.2633323367559</v>
      </c>
      <c r="T10" s="100">
        <v>3.7365958207814725</v>
      </c>
      <c r="U10" s="100">
        <v>2035.697403161746</v>
      </c>
      <c r="V10" s="100">
        <v>7</v>
      </c>
      <c r="W10" s="100">
        <v>3813.5999999999995</v>
      </c>
      <c r="X10" s="100">
        <v>9.4012857468347022</v>
      </c>
      <c r="Y10" s="100">
        <v>5121.8204748755452</v>
      </c>
      <c r="Z10" s="100">
        <v>2.464885691060029</v>
      </c>
      <c r="AA10" s="100">
        <v>1342.8697244895036</v>
      </c>
      <c r="AB10" s="100">
        <v>5</v>
      </c>
      <c r="AC10" s="100">
        <v>2724</v>
      </c>
      <c r="AD10" s="100">
        <v>5.0221356741013041</v>
      </c>
      <c r="AE10" s="100">
        <v>2736.0595152503902</v>
      </c>
      <c r="AF10" s="100">
        <v>7.0767100369925364</v>
      </c>
      <c r="AG10" s="100">
        <v>3855.3916281535335</v>
      </c>
      <c r="AH10" s="100">
        <v>3.2646439198549895</v>
      </c>
      <c r="AI10" s="100">
        <v>1778.578007536998</v>
      </c>
      <c r="AJ10" s="100">
        <v>9</v>
      </c>
      <c r="AK10" s="100">
        <v>4903.2</v>
      </c>
      <c r="AL10" s="100">
        <v>7.221203327593229</v>
      </c>
      <c r="AM10" s="100">
        <v>3934.1115728727909</v>
      </c>
      <c r="AN10" s="100">
        <v>4.2189607208601717E-4</v>
      </c>
      <c r="AO10" s="100">
        <v>0.22984898007246213</v>
      </c>
      <c r="AP10" s="100">
        <v>7</v>
      </c>
      <c r="AQ10" s="100">
        <v>3813.5999999999995</v>
      </c>
      <c r="AR10" s="100">
        <v>6</v>
      </c>
      <c r="AS10" s="100">
        <v>3268.7999999999997</v>
      </c>
      <c r="AT10" s="100">
        <v>8</v>
      </c>
      <c r="AU10" s="100">
        <v>4358.3999999999996</v>
      </c>
      <c r="AV10" s="100">
        <v>6.5784091904896655</v>
      </c>
      <c r="AW10" s="100">
        <v>3583.9173269787693</v>
      </c>
      <c r="AX10" s="100">
        <v>4.057965415824742</v>
      </c>
      <c r="AY10" s="100">
        <v>2210.7795585413191</v>
      </c>
      <c r="AZ10" s="100">
        <v>4.9170644644423369</v>
      </c>
      <c r="BA10" s="100">
        <v>2678.8167202281847</v>
      </c>
      <c r="BB10" s="100">
        <v>2.0698903946223055</v>
      </c>
      <c r="BC10" s="100">
        <v>1127.676286990232</v>
      </c>
      <c r="BD10" s="100">
        <v>7</v>
      </c>
      <c r="BE10" s="100">
        <v>3813.5999999999995</v>
      </c>
      <c r="BF10" s="100">
        <v>7</v>
      </c>
      <c r="BG10" s="100">
        <v>3813.5999999999995</v>
      </c>
      <c r="BH10" s="100">
        <v>9.3911937663445357</v>
      </c>
      <c r="BI10" s="100">
        <v>5116.3223639045027</v>
      </c>
      <c r="BJ10" s="100">
        <v>1.9243332268656312</v>
      </c>
      <c r="BK10" s="100">
        <v>1048.3767419963958</v>
      </c>
      <c r="BL10" s="100">
        <v>6</v>
      </c>
      <c r="BM10" s="100">
        <v>3268.7999999999997</v>
      </c>
      <c r="BN10" s="100">
        <v>7</v>
      </c>
      <c r="BO10" s="100">
        <v>3813.5999999999995</v>
      </c>
      <c r="BP10" s="100">
        <v>7</v>
      </c>
      <c r="BQ10" s="100">
        <v>3813.5999999999995</v>
      </c>
      <c r="BR10" s="100">
        <v>8.2579829285434556</v>
      </c>
      <c r="BS10" s="100">
        <v>4498.9490994704738</v>
      </c>
      <c r="BT10" s="100">
        <v>0.87799876415338984</v>
      </c>
      <c r="BU10" s="100">
        <v>478.33372671076677</v>
      </c>
      <c r="BV10" s="100">
        <v>4.8656028477710027</v>
      </c>
      <c r="BW10" s="100">
        <v>2650.7804314656419</v>
      </c>
      <c r="BX10" s="100">
        <v>6</v>
      </c>
      <c r="BY10" s="100">
        <v>3268.7999999999997</v>
      </c>
      <c r="BZ10" s="100">
        <v>7</v>
      </c>
      <c r="CA10" s="100">
        <v>3813.5999999999995</v>
      </c>
      <c r="CB10" s="100">
        <v>7.3692100793321815</v>
      </c>
      <c r="CC10" s="100">
        <v>4014.745651220172</v>
      </c>
      <c r="CD10" s="100">
        <v>3.6403266491268234</v>
      </c>
      <c r="CE10" s="100">
        <v>1983.2499584442933</v>
      </c>
      <c r="CF10" s="100">
        <v>5.0562870248469795E-4</v>
      </c>
      <c r="CG10" s="100">
        <v>0.27546651711366343</v>
      </c>
      <c r="CH10" s="100">
        <v>9</v>
      </c>
      <c r="CI10" s="100">
        <v>4903.2</v>
      </c>
      <c r="CJ10" s="100">
        <v>10</v>
      </c>
      <c r="CK10" s="100">
        <v>5448</v>
      </c>
      <c r="CL10" s="100">
        <v>6</v>
      </c>
      <c r="CM10" s="100">
        <v>3268.7999999999997</v>
      </c>
      <c r="CN10" s="100">
        <v>7</v>
      </c>
      <c r="CO10" s="100">
        <v>3813.5999999999995</v>
      </c>
      <c r="CP10" s="100">
        <v>12</v>
      </c>
      <c r="CQ10" s="100">
        <v>6537.5999999999995</v>
      </c>
      <c r="CR10" s="100">
        <v>8</v>
      </c>
      <c r="CS10" s="100">
        <v>4358.3999999999996</v>
      </c>
      <c r="CT10" s="100">
        <v>9.0791641577655255</v>
      </c>
      <c r="CU10" s="100">
        <v>4946.3286331506579</v>
      </c>
    </row>
    <row r="11" spans="1:99">
      <c r="C11" s="99" t="s">
        <v>177</v>
      </c>
      <c r="D11" s="100">
        <v>4.4640624069115908</v>
      </c>
      <c r="E11" s="100">
        <v>2378.4524504024953</v>
      </c>
      <c r="F11" s="100">
        <v>4.00133534986026</v>
      </c>
      <c r="G11" s="100">
        <v>2131.9114744055464</v>
      </c>
      <c r="H11" s="100">
        <v>8</v>
      </c>
      <c r="I11" s="100">
        <v>4262.3999999999996</v>
      </c>
      <c r="J11" s="100">
        <v>6</v>
      </c>
      <c r="K11" s="100">
        <v>3196.7999999999997</v>
      </c>
      <c r="L11" s="100">
        <v>7</v>
      </c>
      <c r="M11" s="100">
        <v>3729.5999999999995</v>
      </c>
      <c r="N11" s="100">
        <v>6.2999521993494172</v>
      </c>
      <c r="O11" s="100">
        <v>3356.614531813369</v>
      </c>
      <c r="P11" s="100">
        <v>3.2887500068960334</v>
      </c>
      <c r="Q11" s="100">
        <v>1752.2460036742063</v>
      </c>
      <c r="R11" s="100">
        <v>7.2398372473141634</v>
      </c>
      <c r="S11" s="100">
        <v>3857.3852853689859</v>
      </c>
      <c r="T11" s="100">
        <v>3.7365958207814725</v>
      </c>
      <c r="U11" s="100">
        <v>1990.8582533123683</v>
      </c>
      <c r="V11" s="100">
        <v>6</v>
      </c>
      <c r="W11" s="100">
        <v>3196.7999999999997</v>
      </c>
      <c r="X11" s="100">
        <v>9.4012857468347022</v>
      </c>
      <c r="Y11" s="100">
        <v>5009.0050459135291</v>
      </c>
      <c r="Z11" s="100">
        <v>2.1910095031644703</v>
      </c>
      <c r="AA11" s="100">
        <v>1167.3698632860296</v>
      </c>
      <c r="AB11" s="100">
        <v>5</v>
      </c>
      <c r="AC11" s="100">
        <v>2664</v>
      </c>
      <c r="AD11" s="100">
        <v>5.0221356741013041</v>
      </c>
      <c r="AE11" s="100">
        <v>2675.7938871611746</v>
      </c>
      <c r="AF11" s="100">
        <v>8.0690390332932829</v>
      </c>
      <c r="AG11" s="100">
        <v>4299.183996938661</v>
      </c>
      <c r="AH11" s="100">
        <v>3.2646439198549895</v>
      </c>
      <c r="AI11" s="100">
        <v>1739.4022804987383</v>
      </c>
      <c r="AJ11" s="100">
        <v>8</v>
      </c>
      <c r="AK11" s="100">
        <v>4262.3999999999996</v>
      </c>
      <c r="AL11" s="100">
        <v>6.4474781513508201</v>
      </c>
      <c r="AM11" s="100">
        <v>3435.2163590397167</v>
      </c>
      <c r="AN11" s="100">
        <v>4.2189607208601717E-4</v>
      </c>
      <c r="AO11" s="100">
        <v>0.22478622720742994</v>
      </c>
      <c r="AP11" s="100">
        <v>7</v>
      </c>
      <c r="AQ11" s="100">
        <v>3729.5999999999995</v>
      </c>
      <c r="AR11" s="100">
        <v>7</v>
      </c>
      <c r="AS11" s="100">
        <v>3729.5999999999995</v>
      </c>
      <c r="AT11" s="100">
        <v>8</v>
      </c>
      <c r="AU11" s="100">
        <v>4262.3999999999996</v>
      </c>
      <c r="AV11" s="100">
        <v>6.5784091904896655</v>
      </c>
      <c r="AW11" s="100">
        <v>3504.9764166928935</v>
      </c>
      <c r="AX11" s="100">
        <v>4.0560683147299885</v>
      </c>
      <c r="AY11" s="100">
        <v>2161.0731980881378</v>
      </c>
      <c r="AZ11" s="100">
        <v>4.9170644644423369</v>
      </c>
      <c r="BA11" s="100">
        <v>2619.8119466548769</v>
      </c>
      <c r="BB11" s="100">
        <v>2.0698903946223055</v>
      </c>
      <c r="BC11" s="100">
        <v>1102.8376022547643</v>
      </c>
      <c r="BD11" s="100">
        <v>7</v>
      </c>
      <c r="BE11" s="100">
        <v>3729.5999999999995</v>
      </c>
      <c r="BF11" s="100">
        <v>7</v>
      </c>
      <c r="BG11" s="100">
        <v>3729.5999999999995</v>
      </c>
      <c r="BH11" s="100">
        <v>10.440092987137604</v>
      </c>
      <c r="BI11" s="100">
        <v>5562.4815435469145</v>
      </c>
      <c r="BJ11" s="100">
        <v>2.1992379735607215</v>
      </c>
      <c r="BK11" s="100">
        <v>1171.7539923131524</v>
      </c>
      <c r="BL11" s="100">
        <v>6</v>
      </c>
      <c r="BM11" s="100">
        <v>3196.7999999999997</v>
      </c>
      <c r="BN11" s="100">
        <v>6</v>
      </c>
      <c r="BO11" s="100">
        <v>3196.7999999999997</v>
      </c>
      <c r="BP11" s="100">
        <v>7</v>
      </c>
      <c r="BQ11" s="100">
        <v>3729.5999999999995</v>
      </c>
      <c r="BR11" s="100">
        <v>8.2579829285434556</v>
      </c>
      <c r="BS11" s="100">
        <v>4399.8533043279531</v>
      </c>
      <c r="BT11" s="100">
        <v>0.87276109548956093</v>
      </c>
      <c r="BU11" s="100">
        <v>465.00711167683801</v>
      </c>
      <c r="BV11" s="100">
        <v>4.8656028477710027</v>
      </c>
      <c r="BW11" s="100">
        <v>2592.3931972923901</v>
      </c>
      <c r="BX11" s="100">
        <v>7</v>
      </c>
      <c r="BY11" s="100">
        <v>3729.5999999999995</v>
      </c>
      <c r="BZ11" s="100">
        <v>8</v>
      </c>
      <c r="CA11" s="100">
        <v>4262.3999999999996</v>
      </c>
      <c r="CB11" s="100">
        <v>6.3692100793321815</v>
      </c>
      <c r="CC11" s="100">
        <v>3393.5151302681861</v>
      </c>
      <c r="CD11" s="100">
        <v>3.6403266491268234</v>
      </c>
      <c r="CE11" s="100">
        <v>1939.5660386547713</v>
      </c>
      <c r="CF11" s="100">
        <v>5.0562870248469795E-4</v>
      </c>
      <c r="CG11" s="100">
        <v>0.26939897268384705</v>
      </c>
      <c r="CH11" s="100">
        <v>9</v>
      </c>
      <c r="CI11" s="100">
        <v>4795.2</v>
      </c>
      <c r="CJ11" s="100">
        <v>10</v>
      </c>
      <c r="CK11" s="100">
        <v>5328</v>
      </c>
      <c r="CL11" s="100">
        <v>7</v>
      </c>
      <c r="CM11" s="100">
        <v>3729.5999999999995</v>
      </c>
      <c r="CN11" s="100">
        <v>7</v>
      </c>
      <c r="CO11" s="100">
        <v>3729.5999999999995</v>
      </c>
      <c r="CP11" s="100">
        <v>11</v>
      </c>
      <c r="CQ11" s="100">
        <v>5860.7999999999993</v>
      </c>
      <c r="CR11" s="100">
        <v>8</v>
      </c>
      <c r="CS11" s="100">
        <v>4262.3999999999996</v>
      </c>
      <c r="CT11" s="100">
        <v>7.6020668595300833</v>
      </c>
      <c r="CU11" s="100">
        <v>4050.3812227576282</v>
      </c>
    </row>
    <row r="12" spans="1:99">
      <c r="C12" s="99" t="s">
        <v>178</v>
      </c>
      <c r="D12" s="100">
        <v>3.8318977000016563</v>
      </c>
      <c r="E12" s="100">
        <v>2156.5920255609321</v>
      </c>
      <c r="F12" s="100">
        <v>3.2010682798882084</v>
      </c>
      <c r="G12" s="100">
        <v>1801.5612279210836</v>
      </c>
      <c r="H12" s="100">
        <v>8</v>
      </c>
      <c r="I12" s="100">
        <v>4502.3999999999996</v>
      </c>
      <c r="J12" s="100">
        <v>5</v>
      </c>
      <c r="K12" s="100">
        <v>2814</v>
      </c>
      <c r="L12" s="100">
        <v>7</v>
      </c>
      <c r="M12" s="100">
        <v>3939.5999999999995</v>
      </c>
      <c r="N12" s="100">
        <v>6.3499442325743205</v>
      </c>
      <c r="O12" s="100">
        <v>3573.7486140928272</v>
      </c>
      <c r="P12" s="100">
        <v>3.2887500068960334</v>
      </c>
      <c r="Q12" s="100">
        <v>1850.9085038810874</v>
      </c>
      <c r="R12" s="100">
        <v>8.2398372473141634</v>
      </c>
      <c r="S12" s="100">
        <v>4637.3804027884107</v>
      </c>
      <c r="T12" s="100">
        <v>3.7365958207814725</v>
      </c>
      <c r="U12" s="100">
        <v>2102.9561279358127</v>
      </c>
      <c r="V12" s="100">
        <v>7</v>
      </c>
      <c r="W12" s="100">
        <v>3939.5999999999995</v>
      </c>
      <c r="X12" s="100">
        <v>9.4012857468347022</v>
      </c>
      <c r="Y12" s="100">
        <v>5291.0436183185702</v>
      </c>
      <c r="Z12" s="100">
        <v>2.1910095031644703</v>
      </c>
      <c r="AA12" s="100">
        <v>1233.1001483809637</v>
      </c>
      <c r="AB12" s="100">
        <v>5</v>
      </c>
      <c r="AC12" s="100">
        <v>2814</v>
      </c>
      <c r="AD12" s="100">
        <v>5.0221356741013041</v>
      </c>
      <c r="AE12" s="100">
        <v>2826.4579573842138</v>
      </c>
      <c r="AF12" s="100">
        <v>6.0767100369925364</v>
      </c>
      <c r="AG12" s="100">
        <v>3419.9724088193993</v>
      </c>
      <c r="AH12" s="100">
        <v>3.9175727038259871</v>
      </c>
      <c r="AI12" s="100">
        <v>2204.8099177132653</v>
      </c>
      <c r="AJ12" s="100">
        <v>8</v>
      </c>
      <c r="AK12" s="100">
        <v>4502.3999999999996</v>
      </c>
      <c r="AL12" s="100">
        <v>6.4331627768279569</v>
      </c>
      <c r="AM12" s="100">
        <v>3620.5840107987738</v>
      </c>
      <c r="AN12" s="100">
        <v>4.2189607208601717E-4</v>
      </c>
      <c r="AO12" s="100">
        <v>0.23744310937001045</v>
      </c>
      <c r="AP12" s="100">
        <v>6</v>
      </c>
      <c r="AQ12" s="100">
        <v>3376.7999999999997</v>
      </c>
      <c r="AR12" s="100">
        <v>8</v>
      </c>
      <c r="AS12" s="100">
        <v>4502.3999999999996</v>
      </c>
      <c r="AT12" s="100">
        <v>8</v>
      </c>
      <c r="AU12" s="100">
        <v>4502.3999999999996</v>
      </c>
      <c r="AV12" s="100">
        <v>6.5784091904896655</v>
      </c>
      <c r="AW12" s="100">
        <v>3702.3286924075833</v>
      </c>
      <c r="AX12" s="100">
        <v>4.057965415824742</v>
      </c>
      <c r="AY12" s="100">
        <v>2283.8229360261648</v>
      </c>
      <c r="AZ12" s="100">
        <v>5.5767970636354116</v>
      </c>
      <c r="BA12" s="100">
        <v>3138.6213874140094</v>
      </c>
      <c r="BB12" s="100">
        <v>1.8399025729976053</v>
      </c>
      <c r="BC12" s="100">
        <v>1035.4971680830522</v>
      </c>
      <c r="BD12" s="100">
        <v>8</v>
      </c>
      <c r="BE12" s="100">
        <v>4502.3999999999996</v>
      </c>
      <c r="BF12" s="100">
        <v>6</v>
      </c>
      <c r="BG12" s="100">
        <v>3376.7999999999997</v>
      </c>
      <c r="BH12" s="100">
        <v>10.440092987137604</v>
      </c>
      <c r="BI12" s="100">
        <v>5875.6843331610426</v>
      </c>
      <c r="BJ12" s="100">
        <v>1.9243332268656312</v>
      </c>
      <c r="BK12" s="100">
        <v>1083.0147400799772</v>
      </c>
      <c r="BL12" s="100">
        <v>6</v>
      </c>
      <c r="BM12" s="100">
        <v>3376.7999999999997</v>
      </c>
      <c r="BN12" s="100">
        <v>6</v>
      </c>
      <c r="BO12" s="100">
        <v>3376.7999999999997</v>
      </c>
      <c r="BP12" s="100">
        <v>7</v>
      </c>
      <c r="BQ12" s="100">
        <v>3939.5999999999995</v>
      </c>
      <c r="BR12" s="100">
        <v>8.2814359220474056</v>
      </c>
      <c r="BS12" s="100">
        <v>4660.7921369282794</v>
      </c>
      <c r="BT12" s="100">
        <v>0.86752342682573202</v>
      </c>
      <c r="BU12" s="100">
        <v>488.24218461752196</v>
      </c>
      <c r="BV12" s="100">
        <v>5.6765366557328365</v>
      </c>
      <c r="BW12" s="100">
        <v>3194.7548298464403</v>
      </c>
      <c r="BX12" s="100">
        <v>7</v>
      </c>
      <c r="BY12" s="100">
        <v>3939.5999999999995</v>
      </c>
      <c r="BZ12" s="100">
        <v>7</v>
      </c>
      <c r="CA12" s="100">
        <v>3939.5999999999995</v>
      </c>
      <c r="CB12" s="100">
        <v>6.3230588194156585</v>
      </c>
      <c r="CC12" s="100">
        <v>3558.6175035671322</v>
      </c>
      <c r="CD12" s="100">
        <v>4.3683919789521877</v>
      </c>
      <c r="CE12" s="100">
        <v>2458.5310057542911</v>
      </c>
      <c r="CF12" s="100">
        <v>5.0562870248469795E-4</v>
      </c>
      <c r="CG12" s="100">
        <v>0.28456783375838801</v>
      </c>
      <c r="CH12" s="100">
        <v>10</v>
      </c>
      <c r="CI12" s="100">
        <v>5628</v>
      </c>
      <c r="CJ12" s="100">
        <v>8</v>
      </c>
      <c r="CK12" s="100">
        <v>4502.3999999999996</v>
      </c>
      <c r="CL12" s="100">
        <v>7</v>
      </c>
      <c r="CM12" s="100">
        <v>3939.5999999999995</v>
      </c>
      <c r="CN12" s="100">
        <v>8</v>
      </c>
      <c r="CO12" s="100">
        <v>4502.3999999999996</v>
      </c>
      <c r="CP12" s="100">
        <v>10</v>
      </c>
      <c r="CQ12" s="100">
        <v>5628</v>
      </c>
      <c r="CR12" s="100">
        <v>7</v>
      </c>
      <c r="CS12" s="100">
        <v>3939.5999999999995</v>
      </c>
      <c r="CT12" s="100">
        <v>7.5804088226947961</v>
      </c>
      <c r="CU12" s="100">
        <v>4266.254085412631</v>
      </c>
    </row>
    <row r="13" spans="1:99">
      <c r="C13" s="99" t="s">
        <v>179</v>
      </c>
      <c r="D13" s="100">
        <v>4.4737897715471027</v>
      </c>
      <c r="E13" s="100">
        <v>381.16688853581314</v>
      </c>
      <c r="F13" s="100">
        <v>4.00133534986026</v>
      </c>
      <c r="G13" s="100">
        <v>340.91377180809417</v>
      </c>
      <c r="H13" s="100">
        <v>9</v>
      </c>
      <c r="I13" s="100">
        <v>766.80000000000007</v>
      </c>
      <c r="J13" s="100">
        <v>6</v>
      </c>
      <c r="K13" s="100">
        <v>511.20000000000005</v>
      </c>
      <c r="L13" s="100">
        <v>8</v>
      </c>
      <c r="M13" s="100">
        <v>681.6</v>
      </c>
      <c r="N13" s="100">
        <v>6.3499442325743205</v>
      </c>
      <c r="O13" s="100">
        <v>541.0152486153321</v>
      </c>
      <c r="P13" s="100">
        <v>3.2887500068960334</v>
      </c>
      <c r="Q13" s="100">
        <v>280.20150058754206</v>
      </c>
      <c r="R13" s="100">
        <v>8.2398372473141634</v>
      </c>
      <c r="S13" s="100">
        <v>702.0341334711668</v>
      </c>
      <c r="T13" s="100">
        <v>3.7365958207814725</v>
      </c>
      <c r="U13" s="100">
        <v>318.35796393058149</v>
      </c>
      <c r="V13" s="100">
        <v>7</v>
      </c>
      <c r="W13" s="100">
        <v>596.4</v>
      </c>
      <c r="X13" s="100">
        <v>9.4012857468347022</v>
      </c>
      <c r="Y13" s="100">
        <v>800.98954563031668</v>
      </c>
      <c r="Z13" s="100">
        <v>2.464885691060029</v>
      </c>
      <c r="AA13" s="100">
        <v>210.00826087831447</v>
      </c>
      <c r="AB13" s="100">
        <v>5</v>
      </c>
      <c r="AC13" s="100">
        <v>426</v>
      </c>
      <c r="AD13" s="100">
        <v>5.0221356741013041</v>
      </c>
      <c r="AE13" s="100">
        <v>427.88595943343114</v>
      </c>
      <c r="AF13" s="100">
        <v>8.0767100369925355</v>
      </c>
      <c r="AG13" s="100">
        <v>688.13569515176403</v>
      </c>
      <c r="AH13" s="100">
        <v>3.2646439198549895</v>
      </c>
      <c r="AI13" s="100">
        <v>278.14766197164511</v>
      </c>
      <c r="AJ13" s="100">
        <v>8</v>
      </c>
      <c r="AK13" s="100">
        <v>681.6</v>
      </c>
      <c r="AL13" s="100">
        <v>6.4331627768279569</v>
      </c>
      <c r="AM13" s="100">
        <v>548.10546858574196</v>
      </c>
      <c r="AN13" s="100">
        <v>5.062752865032206E-4</v>
      </c>
      <c r="AO13" s="100">
        <v>4.3134654410074399E-2</v>
      </c>
      <c r="AP13" s="100">
        <v>7</v>
      </c>
      <c r="AQ13" s="100">
        <v>596.4</v>
      </c>
      <c r="AR13" s="100">
        <v>7</v>
      </c>
      <c r="AS13" s="100">
        <v>596.4</v>
      </c>
      <c r="AT13" s="100">
        <v>8</v>
      </c>
      <c r="AU13" s="100">
        <v>681.6</v>
      </c>
      <c r="AV13" s="100">
        <v>6.5784091904896655</v>
      </c>
      <c r="AW13" s="100">
        <v>560.48046302971954</v>
      </c>
      <c r="AX13" s="100">
        <v>4.0598625169194946</v>
      </c>
      <c r="AY13" s="100">
        <v>345.90028644154097</v>
      </c>
      <c r="AZ13" s="100">
        <v>5.5518857077945123</v>
      </c>
      <c r="BA13" s="100">
        <v>473.02066230409247</v>
      </c>
      <c r="BB13" s="100">
        <v>2.0698903946223055</v>
      </c>
      <c r="BC13" s="100">
        <v>176.35466162182044</v>
      </c>
      <c r="BD13" s="100">
        <v>8</v>
      </c>
      <c r="BE13" s="100">
        <v>681.6</v>
      </c>
      <c r="BF13" s="100">
        <v>7</v>
      </c>
      <c r="BG13" s="100">
        <v>596.4</v>
      </c>
      <c r="BH13" s="100">
        <v>10.391193766344536</v>
      </c>
      <c r="BI13" s="100">
        <v>885.32970889255444</v>
      </c>
      <c r="BJ13" s="100">
        <v>1.9243332268656312</v>
      </c>
      <c r="BK13" s="100">
        <v>163.95319092895178</v>
      </c>
      <c r="BL13" s="100">
        <v>6</v>
      </c>
      <c r="BM13" s="100">
        <v>511.20000000000005</v>
      </c>
      <c r="BN13" s="100">
        <v>6</v>
      </c>
      <c r="BO13" s="100">
        <v>511.20000000000005</v>
      </c>
      <c r="BP13" s="100">
        <v>6</v>
      </c>
      <c r="BQ13" s="100">
        <v>511.20000000000005</v>
      </c>
      <c r="BR13" s="100">
        <v>8.2814359220474056</v>
      </c>
      <c r="BS13" s="100">
        <v>705.57834055843898</v>
      </c>
      <c r="BT13" s="100">
        <v>0.74039508456753966</v>
      </c>
      <c r="BU13" s="100">
        <v>63.081661205154383</v>
      </c>
      <c r="BV13" s="100">
        <v>5.6765366557328365</v>
      </c>
      <c r="BW13" s="100">
        <v>483.6409230684377</v>
      </c>
      <c r="BX13" s="100">
        <v>7</v>
      </c>
      <c r="BY13" s="100">
        <v>596.4</v>
      </c>
      <c r="BZ13" s="100">
        <v>7</v>
      </c>
      <c r="CA13" s="100">
        <v>596.4</v>
      </c>
      <c r="CB13" s="100">
        <v>6.3230588194156585</v>
      </c>
      <c r="CC13" s="100">
        <v>538.72461141421411</v>
      </c>
      <c r="CD13" s="100">
        <v>4.3683919789521877</v>
      </c>
      <c r="CE13" s="100">
        <v>372.18699660672638</v>
      </c>
      <c r="CF13" s="100">
        <v>5.6883229029528522E-4</v>
      </c>
      <c r="CG13" s="100">
        <v>4.8464511133158306E-2</v>
      </c>
      <c r="CH13" s="100">
        <v>9</v>
      </c>
      <c r="CI13" s="100">
        <v>766.80000000000007</v>
      </c>
      <c r="CJ13" s="100">
        <v>8</v>
      </c>
      <c r="CK13" s="100">
        <v>681.6</v>
      </c>
      <c r="CL13" s="100">
        <v>7</v>
      </c>
      <c r="CM13" s="100">
        <v>596.4</v>
      </c>
      <c r="CN13" s="100">
        <v>8</v>
      </c>
      <c r="CO13" s="100">
        <v>681.6</v>
      </c>
      <c r="CP13" s="100">
        <v>12</v>
      </c>
      <c r="CQ13" s="100">
        <v>1022.4000000000001</v>
      </c>
      <c r="CR13" s="100">
        <v>8</v>
      </c>
      <c r="CS13" s="100">
        <v>681.6</v>
      </c>
      <c r="CT13" s="100">
        <v>8.3622735454830917</v>
      </c>
      <c r="CU13" s="100">
        <v>712.46570607515946</v>
      </c>
    </row>
    <row r="14" spans="1:99">
      <c r="C14" s="99" t="s">
        <v>180</v>
      </c>
      <c r="D14" s="100">
        <v>4.4640624069115908</v>
      </c>
      <c r="E14" s="100">
        <v>2180.2480795356209</v>
      </c>
      <c r="F14" s="100">
        <v>4.00133534986026</v>
      </c>
      <c r="G14" s="100">
        <v>1954.2521848717508</v>
      </c>
      <c r="H14" s="100">
        <v>9</v>
      </c>
      <c r="I14" s="100">
        <v>4395.5999999999995</v>
      </c>
      <c r="J14" s="100">
        <v>5</v>
      </c>
      <c r="K14" s="100">
        <v>2442</v>
      </c>
      <c r="L14" s="100">
        <v>7</v>
      </c>
      <c r="M14" s="100">
        <v>3418.7999999999997</v>
      </c>
      <c r="N14" s="100">
        <v>6.2999521993494172</v>
      </c>
      <c r="O14" s="100">
        <v>3076.8966541622553</v>
      </c>
      <c r="P14" s="100">
        <v>3.2887500068960334</v>
      </c>
      <c r="Q14" s="100">
        <v>1606.2255033680226</v>
      </c>
      <c r="R14" s="100">
        <v>8.2398372473141634</v>
      </c>
      <c r="S14" s="100">
        <v>4024.336511588237</v>
      </c>
      <c r="T14" s="100">
        <v>3.7365958207814725</v>
      </c>
      <c r="U14" s="100">
        <v>1824.953398869671</v>
      </c>
      <c r="V14" s="100">
        <v>7</v>
      </c>
      <c r="W14" s="100">
        <v>3418.7999999999997</v>
      </c>
      <c r="X14" s="100">
        <v>10.31211113642699</v>
      </c>
      <c r="Y14" s="100">
        <v>5036.4350790309418</v>
      </c>
      <c r="Z14" s="100">
        <v>2.1910095031644703</v>
      </c>
      <c r="AA14" s="100">
        <v>1070.0890413455272</v>
      </c>
      <c r="AB14" s="100">
        <v>5</v>
      </c>
      <c r="AC14" s="100">
        <v>2442</v>
      </c>
      <c r="AD14" s="100">
        <v>4.3046877206582606</v>
      </c>
      <c r="AE14" s="100">
        <v>2102.4094827694944</v>
      </c>
      <c r="AF14" s="100">
        <v>7.0767100369925364</v>
      </c>
      <c r="AG14" s="100">
        <v>3456.2651820671545</v>
      </c>
      <c r="AH14" s="100">
        <v>3.2646439198549895</v>
      </c>
      <c r="AI14" s="100">
        <v>1594.4520904571768</v>
      </c>
      <c r="AJ14" s="100">
        <v>8</v>
      </c>
      <c r="AK14" s="100">
        <v>3907.2</v>
      </c>
      <c r="AL14" s="100">
        <v>7.221203327593229</v>
      </c>
      <c r="AM14" s="100">
        <v>3526.8357051965327</v>
      </c>
      <c r="AN14" s="100">
        <v>4.2189607208601717E-4</v>
      </c>
      <c r="AO14" s="100">
        <v>0.20605404160681079</v>
      </c>
      <c r="AP14" s="100">
        <v>7</v>
      </c>
      <c r="AQ14" s="100">
        <v>3418.7999999999997</v>
      </c>
      <c r="AR14" s="100">
        <v>7</v>
      </c>
      <c r="AS14" s="100">
        <v>3418.7999999999997</v>
      </c>
      <c r="AT14" s="100">
        <v>8</v>
      </c>
      <c r="AU14" s="100">
        <v>3907.2</v>
      </c>
      <c r="AV14" s="100">
        <v>6.5784091904896655</v>
      </c>
      <c r="AW14" s="100">
        <v>3212.8950486351523</v>
      </c>
      <c r="AX14" s="100">
        <v>4.057965415824742</v>
      </c>
      <c r="AY14" s="100">
        <v>1981.9103090888038</v>
      </c>
      <c r="AZ14" s="100">
        <v>5.5518857077945123</v>
      </c>
      <c r="BA14" s="100">
        <v>2711.5409796868398</v>
      </c>
      <c r="BB14" s="100">
        <v>2.0698903946223055</v>
      </c>
      <c r="BC14" s="100">
        <v>1010.934468733534</v>
      </c>
      <c r="BD14" s="100">
        <v>8</v>
      </c>
      <c r="BE14" s="100">
        <v>3907.2</v>
      </c>
      <c r="BF14" s="100">
        <v>6</v>
      </c>
      <c r="BG14" s="100">
        <v>2930.3999999999996</v>
      </c>
      <c r="BH14" s="100">
        <v>9.3911937663445357</v>
      </c>
      <c r="BI14" s="100">
        <v>4586.6590354826712</v>
      </c>
      <c r="BJ14" s="100">
        <v>2.1992379735607215</v>
      </c>
      <c r="BK14" s="100">
        <v>1074.1078262870562</v>
      </c>
      <c r="BL14" s="100">
        <v>6</v>
      </c>
      <c r="BM14" s="100">
        <v>2930.3999999999996</v>
      </c>
      <c r="BN14" s="100">
        <v>6</v>
      </c>
      <c r="BO14" s="100">
        <v>2930.3999999999996</v>
      </c>
      <c r="BP14" s="100">
        <v>7</v>
      </c>
      <c r="BQ14" s="100">
        <v>3418.7999999999997</v>
      </c>
      <c r="BR14" s="100">
        <v>8.2579829285434556</v>
      </c>
      <c r="BS14" s="100">
        <v>4033.1988623006237</v>
      </c>
      <c r="BT14" s="100">
        <v>0.87799876415338984</v>
      </c>
      <c r="BU14" s="100">
        <v>428.81459641251558</v>
      </c>
      <c r="BV14" s="100">
        <v>4.8656028477710027</v>
      </c>
      <c r="BW14" s="100">
        <v>2376.3604308513577</v>
      </c>
      <c r="BX14" s="100">
        <v>7</v>
      </c>
      <c r="BY14" s="100">
        <v>3418.7999999999997</v>
      </c>
      <c r="BZ14" s="100">
        <v>8</v>
      </c>
      <c r="CA14" s="100">
        <v>3907.2</v>
      </c>
      <c r="CB14" s="100">
        <v>7.3692100793321815</v>
      </c>
      <c r="CC14" s="100">
        <v>3599.1222027458375</v>
      </c>
      <c r="CD14" s="100">
        <v>4.3683919789521877</v>
      </c>
      <c r="CE14" s="100">
        <v>2133.5226425202482</v>
      </c>
      <c r="CF14" s="100">
        <v>5.0562870248469795E-4</v>
      </c>
      <c r="CG14" s="100">
        <v>0.24694905829352648</v>
      </c>
      <c r="CH14" s="100">
        <v>10</v>
      </c>
      <c r="CI14" s="100">
        <v>4884</v>
      </c>
      <c r="CJ14" s="100">
        <v>10</v>
      </c>
      <c r="CK14" s="100">
        <v>4884</v>
      </c>
      <c r="CL14" s="100">
        <v>7</v>
      </c>
      <c r="CM14" s="100">
        <v>3418.7999999999997</v>
      </c>
      <c r="CN14" s="100">
        <v>8</v>
      </c>
      <c r="CO14" s="100">
        <v>3907.2</v>
      </c>
      <c r="CP14" s="100">
        <v>10</v>
      </c>
      <c r="CQ14" s="100">
        <v>4884</v>
      </c>
      <c r="CR14" s="100">
        <v>7</v>
      </c>
      <c r="CS14" s="100">
        <v>3418.7999999999997</v>
      </c>
      <c r="CT14" s="100">
        <v>7.6237248963653705</v>
      </c>
      <c r="CU14" s="100">
        <v>3723.4272393848469</v>
      </c>
    </row>
    <row r="15" spans="1:99">
      <c r="C15" s="99" t="s">
        <v>181</v>
      </c>
      <c r="D15" s="100">
        <v>3.8318977000016563</v>
      </c>
      <c r="E15" s="100">
        <v>2924.5043246412638</v>
      </c>
      <c r="F15" s="100">
        <v>4.00133534986026</v>
      </c>
      <c r="G15" s="100">
        <v>3053.8191390133502</v>
      </c>
      <c r="H15" s="100">
        <v>8</v>
      </c>
      <c r="I15" s="100">
        <v>6105.5999999999995</v>
      </c>
      <c r="J15" s="100">
        <v>5</v>
      </c>
      <c r="K15" s="100">
        <v>3815.9999999999995</v>
      </c>
      <c r="L15" s="100">
        <v>8</v>
      </c>
      <c r="M15" s="100">
        <v>6105.5999999999995</v>
      </c>
      <c r="N15" s="100">
        <v>6.2999521993494172</v>
      </c>
      <c r="O15" s="100">
        <v>4808.1235185434743</v>
      </c>
      <c r="P15" s="100">
        <v>3.2887500068960334</v>
      </c>
      <c r="Q15" s="100">
        <v>2509.9740052630523</v>
      </c>
      <c r="R15" s="100">
        <v>8.2398372473141634</v>
      </c>
      <c r="S15" s="100">
        <v>6288.6437871501694</v>
      </c>
      <c r="T15" s="100">
        <v>3.7365958207814725</v>
      </c>
      <c r="U15" s="100">
        <v>2851.7699304204193</v>
      </c>
      <c r="V15" s="100">
        <v>7</v>
      </c>
      <c r="W15" s="100">
        <v>5342.4</v>
      </c>
      <c r="X15" s="100">
        <v>9.3566984416308472</v>
      </c>
      <c r="Y15" s="100">
        <v>7141.0322506526618</v>
      </c>
      <c r="Z15" s="100">
        <v>2.464885691060029</v>
      </c>
      <c r="AA15" s="100">
        <v>1881.2007594170138</v>
      </c>
      <c r="AB15" s="100">
        <v>5</v>
      </c>
      <c r="AC15" s="100">
        <v>3815.9999999999995</v>
      </c>
      <c r="AD15" s="100">
        <v>4.3046877206582606</v>
      </c>
      <c r="AE15" s="100">
        <v>3285.3376684063842</v>
      </c>
      <c r="AF15" s="100">
        <v>7.0767100369925364</v>
      </c>
      <c r="AG15" s="100">
        <v>5400.9451002327032</v>
      </c>
      <c r="AH15" s="100">
        <v>3.9175727038259871</v>
      </c>
      <c r="AI15" s="100">
        <v>2989.891487559993</v>
      </c>
      <c r="AJ15" s="100">
        <v>9</v>
      </c>
      <c r="AK15" s="100">
        <v>6868.7999999999993</v>
      </c>
      <c r="AL15" s="100">
        <v>6.4474781513508201</v>
      </c>
      <c r="AM15" s="100">
        <v>4920.7153251109457</v>
      </c>
      <c r="AN15" s="100">
        <v>5.062752865032206E-4</v>
      </c>
      <c r="AO15" s="100">
        <v>0.38638929865925792</v>
      </c>
      <c r="AP15" s="100">
        <v>6</v>
      </c>
      <c r="AQ15" s="100">
        <v>4579.2</v>
      </c>
      <c r="AR15" s="100">
        <v>7</v>
      </c>
      <c r="AS15" s="100">
        <v>5342.4</v>
      </c>
      <c r="AT15" s="100">
        <v>8</v>
      </c>
      <c r="AU15" s="100">
        <v>6105.5999999999995</v>
      </c>
      <c r="AV15" s="100">
        <v>6.5784091904896655</v>
      </c>
      <c r="AW15" s="100">
        <v>5020.6418941817119</v>
      </c>
      <c r="AX15" s="100">
        <v>3.3838511311311641</v>
      </c>
      <c r="AY15" s="100">
        <v>2582.5551832793044</v>
      </c>
      <c r="AZ15" s="100">
        <v>5.5518857077945123</v>
      </c>
      <c r="BA15" s="100">
        <v>4237.1991721887716</v>
      </c>
      <c r="BB15" s="100">
        <v>2.0698903946223055</v>
      </c>
      <c r="BC15" s="100">
        <v>1579.7403491757434</v>
      </c>
      <c r="BD15" s="100">
        <v>8</v>
      </c>
      <c r="BE15" s="100">
        <v>6105.5999999999995</v>
      </c>
      <c r="BF15" s="100">
        <v>6</v>
      </c>
      <c r="BG15" s="100">
        <v>4579.2</v>
      </c>
      <c r="BH15" s="100">
        <v>10.391193766344536</v>
      </c>
      <c r="BI15" s="100">
        <v>7930.5590824741494</v>
      </c>
      <c r="BJ15" s="100">
        <v>1.9243332268656312</v>
      </c>
      <c r="BK15" s="100">
        <v>1468.6511187438496</v>
      </c>
      <c r="BL15" s="100">
        <v>6</v>
      </c>
      <c r="BM15" s="100">
        <v>4579.2</v>
      </c>
      <c r="BN15" s="100">
        <v>7</v>
      </c>
      <c r="BO15" s="100">
        <v>5342.4</v>
      </c>
      <c r="BP15" s="100">
        <v>7</v>
      </c>
      <c r="BQ15" s="100">
        <v>5342.4</v>
      </c>
      <c r="BR15" s="100">
        <v>8.2579829285434556</v>
      </c>
      <c r="BS15" s="100">
        <v>6302.4925710643647</v>
      </c>
      <c r="BT15" s="100">
        <v>0.72991974723988184</v>
      </c>
      <c r="BU15" s="100">
        <v>557.07475109347774</v>
      </c>
      <c r="BV15" s="100">
        <v>5.6765366557328365</v>
      </c>
      <c r="BW15" s="100">
        <v>4332.3327756553008</v>
      </c>
      <c r="BX15" s="100">
        <v>7</v>
      </c>
      <c r="BY15" s="100">
        <v>5342.4</v>
      </c>
      <c r="BZ15" s="100">
        <v>8</v>
      </c>
      <c r="CA15" s="100">
        <v>6105.5999999999995</v>
      </c>
      <c r="CB15" s="100">
        <v>6.3230588194156585</v>
      </c>
      <c r="CC15" s="100">
        <v>4825.7584909780298</v>
      </c>
      <c r="CD15" s="100">
        <v>3.6403266491268234</v>
      </c>
      <c r="CE15" s="100">
        <v>2778.2972986135915</v>
      </c>
      <c r="CF15" s="100">
        <v>5.0562870248469795E-4</v>
      </c>
      <c r="CG15" s="100">
        <v>0.38589582573632142</v>
      </c>
      <c r="CH15" s="100">
        <v>9</v>
      </c>
      <c r="CI15" s="100">
        <v>6868.7999999999993</v>
      </c>
      <c r="CJ15" s="100">
        <v>10</v>
      </c>
      <c r="CK15" s="100">
        <v>7631.9999999999991</v>
      </c>
      <c r="CL15" s="100">
        <v>7</v>
      </c>
      <c r="CM15" s="100">
        <v>5342.4</v>
      </c>
      <c r="CN15" s="100">
        <v>8</v>
      </c>
      <c r="CO15" s="100">
        <v>6105.5999999999995</v>
      </c>
      <c r="CP15" s="100">
        <v>11</v>
      </c>
      <c r="CQ15" s="100">
        <v>8395.1999999999989</v>
      </c>
      <c r="CR15" s="100">
        <v>8</v>
      </c>
      <c r="CS15" s="100">
        <v>6105.5999999999995</v>
      </c>
      <c r="CT15" s="100">
        <v>7.6020668595300833</v>
      </c>
      <c r="CU15" s="100">
        <v>5801.8974271933594</v>
      </c>
    </row>
    <row r="16" spans="1:99">
      <c r="C16" s="99" t="s">
        <v>182</v>
      </c>
      <c r="D16" s="100">
        <v>4.4640624069115908</v>
      </c>
      <c r="E16" s="100">
        <v>1521.3524682754703</v>
      </c>
      <c r="F16" s="100">
        <v>4.00133534986026</v>
      </c>
      <c r="G16" s="100">
        <v>1363.6550872323767</v>
      </c>
      <c r="H16" s="100">
        <v>10</v>
      </c>
      <c r="I16" s="100">
        <v>3408</v>
      </c>
      <c r="J16" s="100">
        <v>6</v>
      </c>
      <c r="K16" s="100">
        <v>2044.8000000000002</v>
      </c>
      <c r="L16" s="100">
        <v>8</v>
      </c>
      <c r="M16" s="100">
        <v>2726.4</v>
      </c>
      <c r="N16" s="100">
        <v>6.3499442325743205</v>
      </c>
      <c r="O16" s="100">
        <v>2164.0609944613284</v>
      </c>
      <c r="P16" s="100">
        <v>3.9465000082752404</v>
      </c>
      <c r="Q16" s="100">
        <v>1344.9672028202019</v>
      </c>
      <c r="R16" s="100">
        <v>7.2398372473141634</v>
      </c>
      <c r="S16" s="100">
        <v>2467.336533884667</v>
      </c>
      <c r="T16" s="100">
        <v>3.7365958207814725</v>
      </c>
      <c r="U16" s="100">
        <v>1273.431855722326</v>
      </c>
      <c r="V16" s="100">
        <v>7</v>
      </c>
      <c r="W16" s="100">
        <v>2385.6</v>
      </c>
      <c r="X16" s="100">
        <v>10.356698441630847</v>
      </c>
      <c r="Y16" s="100">
        <v>3529.5628289077927</v>
      </c>
      <c r="Z16" s="100">
        <v>2.1910095031644703</v>
      </c>
      <c r="AA16" s="100">
        <v>746.69603867845149</v>
      </c>
      <c r="AB16" s="100">
        <v>5</v>
      </c>
      <c r="AC16" s="100">
        <v>1704</v>
      </c>
      <c r="AD16" s="100">
        <v>5.0221356741013041</v>
      </c>
      <c r="AE16" s="100">
        <v>1711.5438377337246</v>
      </c>
      <c r="AF16" s="100">
        <v>6.0767100369925364</v>
      </c>
      <c r="AG16" s="100">
        <v>2070.9427806070566</v>
      </c>
      <c r="AH16" s="100">
        <v>3.2646439198549895</v>
      </c>
      <c r="AI16" s="100">
        <v>1112.5906478865804</v>
      </c>
      <c r="AJ16" s="100">
        <v>9</v>
      </c>
      <c r="AK16" s="100">
        <v>3067.2000000000003</v>
      </c>
      <c r="AL16" s="100">
        <v>6.4188474023050928</v>
      </c>
      <c r="AM16" s="100">
        <v>2187.5431947055758</v>
      </c>
      <c r="AN16" s="100">
        <v>5.062752865032206E-4</v>
      </c>
      <c r="AO16" s="100">
        <v>0.1725386176402976</v>
      </c>
      <c r="AP16" s="100">
        <v>7</v>
      </c>
      <c r="AQ16" s="100">
        <v>2385.6</v>
      </c>
      <c r="AR16" s="100">
        <v>7</v>
      </c>
      <c r="AS16" s="100">
        <v>2385.6</v>
      </c>
      <c r="AT16" s="100">
        <v>8</v>
      </c>
      <c r="AU16" s="100">
        <v>2726.4</v>
      </c>
      <c r="AV16" s="100">
        <v>6.5784091904896655</v>
      </c>
      <c r="AW16" s="100">
        <v>2241.9218521188782</v>
      </c>
      <c r="AX16" s="100">
        <v>3.3838511311311641</v>
      </c>
      <c r="AY16" s="100">
        <v>1153.2164654895007</v>
      </c>
      <c r="AZ16" s="100">
        <v>5.6017084194763127</v>
      </c>
      <c r="BA16" s="100">
        <v>1909.0622293575275</v>
      </c>
      <c r="BB16" s="100">
        <v>1.8399025729976053</v>
      </c>
      <c r="BC16" s="100">
        <v>627.03879687758388</v>
      </c>
      <c r="BD16" s="100">
        <v>7</v>
      </c>
      <c r="BE16" s="100">
        <v>2385.6</v>
      </c>
      <c r="BF16" s="100">
        <v>6</v>
      </c>
      <c r="BG16" s="100">
        <v>2044.8000000000002</v>
      </c>
      <c r="BH16" s="100">
        <v>10.391193766344536</v>
      </c>
      <c r="BI16" s="100">
        <v>3541.3188355702177</v>
      </c>
      <c r="BJ16" s="100">
        <v>1.9243332268656312</v>
      </c>
      <c r="BK16" s="100">
        <v>655.81276371580714</v>
      </c>
      <c r="BL16" s="100">
        <v>7</v>
      </c>
      <c r="BM16" s="100">
        <v>2385.6</v>
      </c>
      <c r="BN16" s="100">
        <v>7</v>
      </c>
      <c r="BO16" s="100">
        <v>2385.6</v>
      </c>
      <c r="BP16" s="100">
        <v>7</v>
      </c>
      <c r="BQ16" s="100">
        <v>2385.6</v>
      </c>
      <c r="BR16" s="100">
        <v>8.2814359220474056</v>
      </c>
      <c r="BS16" s="100">
        <v>2822.3133622337559</v>
      </c>
      <c r="BT16" s="100">
        <v>0.87799876415338984</v>
      </c>
      <c r="BU16" s="100">
        <v>299.2219788234753</v>
      </c>
      <c r="BV16" s="100">
        <v>5.6765366557328365</v>
      </c>
      <c r="BW16" s="100">
        <v>1934.5636922737508</v>
      </c>
      <c r="BX16" s="100">
        <v>7</v>
      </c>
      <c r="BY16" s="100">
        <v>2385.6</v>
      </c>
      <c r="BZ16" s="100">
        <v>7</v>
      </c>
      <c r="CA16" s="100">
        <v>2385.6</v>
      </c>
      <c r="CB16" s="100">
        <v>6.3230588194156585</v>
      </c>
      <c r="CC16" s="100">
        <v>2154.8984456568564</v>
      </c>
      <c r="CD16" s="100">
        <v>3.6403266491268234</v>
      </c>
      <c r="CE16" s="100">
        <v>1240.6233220224215</v>
      </c>
      <c r="CF16" s="100">
        <v>5.6883229029528522E-4</v>
      </c>
      <c r="CG16" s="100">
        <v>0.19385804453263322</v>
      </c>
      <c r="CH16" s="100">
        <v>10</v>
      </c>
      <c r="CI16" s="100">
        <v>3408</v>
      </c>
      <c r="CJ16" s="100">
        <v>9</v>
      </c>
      <c r="CK16" s="100">
        <v>3067.2000000000003</v>
      </c>
      <c r="CL16" s="100">
        <v>7</v>
      </c>
      <c r="CM16" s="100">
        <v>2385.6</v>
      </c>
      <c r="CN16" s="100">
        <v>8</v>
      </c>
      <c r="CO16" s="100">
        <v>2726.4</v>
      </c>
      <c r="CP16" s="100">
        <v>11</v>
      </c>
      <c r="CQ16" s="100">
        <v>3748.8</v>
      </c>
      <c r="CR16" s="100">
        <v>8</v>
      </c>
      <c r="CS16" s="100">
        <v>2726.4</v>
      </c>
      <c r="CT16" s="100">
        <v>7.6237248963653705</v>
      </c>
      <c r="CU16" s="100">
        <v>2598.1654446813181</v>
      </c>
    </row>
    <row r="17" spans="2:99">
      <c r="C17" s="99" t="s">
        <v>183</v>
      </c>
      <c r="D17" s="100">
        <v>3.8318977000016563</v>
      </c>
      <c r="E17" s="100">
        <v>1618.5935884806995</v>
      </c>
      <c r="F17" s="100">
        <v>4.00133534986026</v>
      </c>
      <c r="G17" s="100">
        <v>1690.1640517809738</v>
      </c>
      <c r="H17" s="100">
        <v>9</v>
      </c>
      <c r="I17" s="100">
        <v>3801.6</v>
      </c>
      <c r="J17" s="100">
        <v>6</v>
      </c>
      <c r="K17" s="100">
        <v>2534.3999999999996</v>
      </c>
      <c r="L17" s="100">
        <v>7</v>
      </c>
      <c r="M17" s="100">
        <v>2956.7999999999997</v>
      </c>
      <c r="N17" s="100">
        <v>6.3499442325743205</v>
      </c>
      <c r="O17" s="100">
        <v>2682.2164438393929</v>
      </c>
      <c r="P17" s="100">
        <v>3.2887500068960334</v>
      </c>
      <c r="Q17" s="100">
        <v>1389.1680029128845</v>
      </c>
      <c r="R17" s="100">
        <v>8.2398372473141634</v>
      </c>
      <c r="S17" s="100">
        <v>3480.5072532655026</v>
      </c>
      <c r="T17" s="100">
        <v>3.1138298506512267</v>
      </c>
      <c r="U17" s="100">
        <v>1315.281728915078</v>
      </c>
      <c r="V17" s="100">
        <v>7</v>
      </c>
      <c r="W17" s="100">
        <v>2956.7999999999997</v>
      </c>
      <c r="X17" s="100">
        <v>10.401285746834702</v>
      </c>
      <c r="Y17" s="100">
        <v>4393.5030994629778</v>
      </c>
      <c r="Z17" s="100">
        <v>2.1910095031644703</v>
      </c>
      <c r="AA17" s="100">
        <v>925.48241413667222</v>
      </c>
      <c r="AB17" s="100">
        <v>5</v>
      </c>
      <c r="AC17" s="100">
        <v>2112</v>
      </c>
      <c r="AD17" s="100">
        <v>5.0221356741013041</v>
      </c>
      <c r="AE17" s="100">
        <v>2121.3501087403906</v>
      </c>
      <c r="AF17" s="100">
        <v>7.0690390332932829</v>
      </c>
      <c r="AG17" s="100">
        <v>2985.9620876630825</v>
      </c>
      <c r="AH17" s="100">
        <v>3.2646439198549895</v>
      </c>
      <c r="AI17" s="100">
        <v>1378.9855917467476</v>
      </c>
      <c r="AJ17" s="100">
        <v>8</v>
      </c>
      <c r="AK17" s="100">
        <v>3379.2</v>
      </c>
      <c r="AL17" s="100">
        <v>6.4331627768279569</v>
      </c>
      <c r="AM17" s="100">
        <v>2717.3679569321289</v>
      </c>
      <c r="AN17" s="100">
        <v>5.062752865032206E-4</v>
      </c>
      <c r="AO17" s="100">
        <v>0.21385068101896038</v>
      </c>
      <c r="AP17" s="100">
        <v>7</v>
      </c>
      <c r="AQ17" s="100">
        <v>2956.7999999999997</v>
      </c>
      <c r="AR17" s="100">
        <v>6</v>
      </c>
      <c r="AS17" s="100">
        <v>2534.3999999999996</v>
      </c>
      <c r="AT17" s="100">
        <v>9</v>
      </c>
      <c r="AU17" s="100">
        <v>3801.6</v>
      </c>
      <c r="AV17" s="100">
        <v>6.5784091904896655</v>
      </c>
      <c r="AW17" s="100">
        <v>2778.7200420628346</v>
      </c>
      <c r="AX17" s="100">
        <v>4.0598625169194946</v>
      </c>
      <c r="AY17" s="100">
        <v>1714.8859271467945</v>
      </c>
      <c r="AZ17" s="100">
        <v>5.6017084194763127</v>
      </c>
      <c r="BA17" s="100">
        <v>2366.1616363867943</v>
      </c>
      <c r="BB17" s="100">
        <v>1.8399025729976053</v>
      </c>
      <c r="BC17" s="100">
        <v>777.17484683418843</v>
      </c>
      <c r="BD17" s="100">
        <v>7</v>
      </c>
      <c r="BE17" s="100">
        <v>2956.7999999999997</v>
      </c>
      <c r="BF17" s="100">
        <v>6</v>
      </c>
      <c r="BG17" s="100">
        <v>2534.3999999999996</v>
      </c>
      <c r="BH17" s="100">
        <v>10.391193766344536</v>
      </c>
      <c r="BI17" s="100">
        <v>4389.2402469039316</v>
      </c>
      <c r="BJ17" s="100">
        <v>1.9243332268656312</v>
      </c>
      <c r="BK17" s="100">
        <v>812.83835502804254</v>
      </c>
      <c r="BL17" s="100">
        <v>6</v>
      </c>
      <c r="BM17" s="100">
        <v>2534.3999999999996</v>
      </c>
      <c r="BN17" s="100">
        <v>7</v>
      </c>
      <c r="BO17" s="100">
        <v>2956.7999999999997</v>
      </c>
      <c r="BP17" s="100">
        <v>7</v>
      </c>
      <c r="BQ17" s="100">
        <v>2956.7999999999997</v>
      </c>
      <c r="BR17" s="100">
        <v>7.2814359220474056</v>
      </c>
      <c r="BS17" s="100">
        <v>3075.6785334728238</v>
      </c>
      <c r="BT17" s="100">
        <v>0.87276109548956093</v>
      </c>
      <c r="BU17" s="100">
        <v>368.6542867347905</v>
      </c>
      <c r="BV17" s="100">
        <v>5.6765366557328365</v>
      </c>
      <c r="BW17" s="100">
        <v>2397.76908338155</v>
      </c>
      <c r="BX17" s="100">
        <v>7</v>
      </c>
      <c r="BY17" s="100">
        <v>2956.7999999999997</v>
      </c>
      <c r="BZ17" s="100">
        <v>8</v>
      </c>
      <c r="CA17" s="100">
        <v>3379.2</v>
      </c>
      <c r="CB17" s="100">
        <v>6.3230588194156585</v>
      </c>
      <c r="CC17" s="100">
        <v>2670.8600453211739</v>
      </c>
      <c r="CD17" s="100">
        <v>3.6403266491268234</v>
      </c>
      <c r="CE17" s="100">
        <v>1537.67397659117</v>
      </c>
      <c r="CF17" s="100">
        <v>5.0562870248469795E-4</v>
      </c>
      <c r="CG17" s="100">
        <v>0.21357756392953639</v>
      </c>
      <c r="CH17" s="100">
        <v>9</v>
      </c>
      <c r="CI17" s="100">
        <v>3801.6</v>
      </c>
      <c r="CJ17" s="100">
        <v>9</v>
      </c>
      <c r="CK17" s="100">
        <v>3801.6</v>
      </c>
      <c r="CL17" s="100">
        <v>7</v>
      </c>
      <c r="CM17" s="100">
        <v>2956.7999999999997</v>
      </c>
      <c r="CN17" s="100">
        <v>8</v>
      </c>
      <c r="CO17" s="100">
        <v>3379.2</v>
      </c>
      <c r="CP17" s="100">
        <v>11</v>
      </c>
      <c r="CQ17" s="100">
        <v>4646.3999999999996</v>
      </c>
      <c r="CR17" s="100">
        <v>8</v>
      </c>
      <c r="CS17" s="100">
        <v>3379.2</v>
      </c>
      <c r="CT17" s="100">
        <v>7.5804088226947961</v>
      </c>
      <c r="CU17" s="100">
        <v>3201.9646867062816</v>
      </c>
    </row>
    <row r="18" spans="2:99">
      <c r="C18" s="99" t="s">
        <v>184</v>
      </c>
      <c r="D18" s="100">
        <v>4.4640624069115908</v>
      </c>
      <c r="E18" s="100">
        <v>2914.1399392318863</v>
      </c>
      <c r="F18" s="100">
        <v>3.2010682798882084</v>
      </c>
      <c r="G18" s="100">
        <v>2089.6573731110225</v>
      </c>
      <c r="H18" s="100">
        <v>9</v>
      </c>
      <c r="I18" s="100">
        <v>5875.2</v>
      </c>
      <c r="J18" s="100">
        <v>5</v>
      </c>
      <c r="K18" s="100">
        <v>3264</v>
      </c>
      <c r="L18" s="100">
        <v>7</v>
      </c>
      <c r="M18" s="100">
        <v>4569.5999999999995</v>
      </c>
      <c r="N18" s="100">
        <v>6.3499442325743205</v>
      </c>
      <c r="O18" s="100">
        <v>4145.2435950245163</v>
      </c>
      <c r="P18" s="100">
        <v>3.2887500068960334</v>
      </c>
      <c r="Q18" s="100">
        <v>2146.8960045017302</v>
      </c>
      <c r="R18" s="100">
        <v>7.2398372473141634</v>
      </c>
      <c r="S18" s="100">
        <v>4726.1657550466853</v>
      </c>
      <c r="T18" s="100">
        <v>3.7365958207814725</v>
      </c>
      <c r="U18" s="100">
        <v>2439.249751806145</v>
      </c>
      <c r="V18" s="100">
        <v>7</v>
      </c>
      <c r="W18" s="100">
        <v>4569.5999999999995</v>
      </c>
      <c r="X18" s="100">
        <v>9.4012857468347022</v>
      </c>
      <c r="Y18" s="100">
        <v>6137.1593355336936</v>
      </c>
      <c r="Z18" s="100">
        <v>2.1910095031644703</v>
      </c>
      <c r="AA18" s="100">
        <v>1430.2910036657661</v>
      </c>
      <c r="AB18" s="100">
        <v>5</v>
      </c>
      <c r="AC18" s="100">
        <v>3264</v>
      </c>
      <c r="AD18" s="100">
        <v>5.0221356741013041</v>
      </c>
      <c r="AE18" s="100">
        <v>3278.4501680533313</v>
      </c>
      <c r="AF18" s="100">
        <v>7.0767100369925364</v>
      </c>
      <c r="AG18" s="100">
        <v>4619.6763121487274</v>
      </c>
      <c r="AH18" s="100">
        <v>3.2646439198549895</v>
      </c>
      <c r="AI18" s="100">
        <v>2131.1595508813371</v>
      </c>
      <c r="AJ18" s="100">
        <v>8</v>
      </c>
      <c r="AK18" s="100">
        <v>5222.3999999999996</v>
      </c>
      <c r="AL18" s="100">
        <v>6.4474781513508201</v>
      </c>
      <c r="AM18" s="100">
        <v>4208.9137372018149</v>
      </c>
      <c r="AN18" s="100">
        <v>4.2189607208601717E-4</v>
      </c>
      <c r="AO18" s="100">
        <v>0.27541375585775196</v>
      </c>
      <c r="AP18" s="100">
        <v>7</v>
      </c>
      <c r="AQ18" s="100">
        <v>4569.5999999999995</v>
      </c>
      <c r="AR18" s="100">
        <v>7</v>
      </c>
      <c r="AS18" s="100">
        <v>4569.5999999999995</v>
      </c>
      <c r="AT18" s="100">
        <v>9</v>
      </c>
      <c r="AU18" s="100">
        <v>5875.2</v>
      </c>
      <c r="AV18" s="100">
        <v>6.5784091904896655</v>
      </c>
      <c r="AW18" s="100">
        <v>4294.3855195516535</v>
      </c>
      <c r="AX18" s="100">
        <v>4.057965415824742</v>
      </c>
      <c r="AY18" s="100">
        <v>2649.0398234503914</v>
      </c>
      <c r="AZ18" s="100">
        <v>5.5767970636354116</v>
      </c>
      <c r="BA18" s="100">
        <v>3640.5331231411965</v>
      </c>
      <c r="BB18" s="100">
        <v>1.8399025729976053</v>
      </c>
      <c r="BC18" s="100">
        <v>1201.0883996528366</v>
      </c>
      <c r="BD18" s="100">
        <v>8</v>
      </c>
      <c r="BE18" s="100">
        <v>5222.3999999999996</v>
      </c>
      <c r="BF18" s="100">
        <v>6</v>
      </c>
      <c r="BG18" s="100">
        <v>3916.7999999999997</v>
      </c>
      <c r="BH18" s="100">
        <v>10.391193766344536</v>
      </c>
      <c r="BI18" s="100">
        <v>6783.3712906697128</v>
      </c>
      <c r="BJ18" s="100">
        <v>2.1992379735607215</v>
      </c>
      <c r="BK18" s="100">
        <v>1435.6625491404388</v>
      </c>
      <c r="BL18" s="100">
        <v>6</v>
      </c>
      <c r="BM18" s="100">
        <v>3916.7999999999997</v>
      </c>
      <c r="BN18" s="100">
        <v>7</v>
      </c>
      <c r="BO18" s="100">
        <v>4569.5999999999995</v>
      </c>
      <c r="BP18" s="100">
        <v>6</v>
      </c>
      <c r="BQ18" s="100">
        <v>3916.7999999999997</v>
      </c>
      <c r="BR18" s="100">
        <v>7.2814359220474056</v>
      </c>
      <c r="BS18" s="100">
        <v>4753.3213699125463</v>
      </c>
      <c r="BT18" s="100">
        <v>0.73515741590371075</v>
      </c>
      <c r="BU18" s="100">
        <v>479.91076110194234</v>
      </c>
      <c r="BV18" s="100">
        <v>5.6765366557328365</v>
      </c>
      <c r="BW18" s="100">
        <v>3705.6431288623953</v>
      </c>
      <c r="BX18" s="100">
        <v>7</v>
      </c>
      <c r="BY18" s="100">
        <v>4569.5999999999995</v>
      </c>
      <c r="BZ18" s="100">
        <v>7</v>
      </c>
      <c r="CA18" s="100">
        <v>4569.5999999999995</v>
      </c>
      <c r="CB18" s="100">
        <v>7.3230588194156585</v>
      </c>
      <c r="CC18" s="100">
        <v>4780.4927973145413</v>
      </c>
      <c r="CD18" s="100">
        <v>4.3683919789521877</v>
      </c>
      <c r="CE18" s="100">
        <v>2851.6862838599877</v>
      </c>
      <c r="CF18" s="100">
        <v>5.0562870248469795E-4</v>
      </c>
      <c r="CG18" s="100">
        <v>0.33007441698201079</v>
      </c>
      <c r="CH18" s="100">
        <v>9</v>
      </c>
      <c r="CI18" s="100">
        <v>5875.2</v>
      </c>
      <c r="CJ18" s="100">
        <v>8</v>
      </c>
      <c r="CK18" s="100">
        <v>5222.3999999999996</v>
      </c>
      <c r="CL18" s="100">
        <v>7</v>
      </c>
      <c r="CM18" s="100">
        <v>4569.5999999999995</v>
      </c>
      <c r="CN18" s="100">
        <v>7</v>
      </c>
      <c r="CO18" s="100">
        <v>4569.5999999999995</v>
      </c>
      <c r="CP18" s="100">
        <v>10</v>
      </c>
      <c r="CQ18" s="100">
        <v>6528</v>
      </c>
      <c r="CR18" s="100">
        <v>7</v>
      </c>
      <c r="CS18" s="100">
        <v>4569.5999999999995</v>
      </c>
      <c r="CT18" s="100">
        <v>8.3622735454830917</v>
      </c>
      <c r="CU18" s="100">
        <v>5458.8921704913619</v>
      </c>
    </row>
    <row r="19" spans="2:99">
      <c r="C19" s="99" t="s">
        <v>185</v>
      </c>
      <c r="D19" s="100">
        <v>4.4543350422760799</v>
      </c>
      <c r="E19" s="100">
        <v>1469.9305639511065</v>
      </c>
      <c r="F19" s="100">
        <v>4.00133534986026</v>
      </c>
      <c r="G19" s="100">
        <v>1320.4406654538857</v>
      </c>
      <c r="H19" s="100">
        <v>8</v>
      </c>
      <c r="I19" s="100">
        <v>2640</v>
      </c>
      <c r="J19" s="100">
        <v>5</v>
      </c>
      <c r="K19" s="100">
        <v>1650</v>
      </c>
      <c r="L19" s="100">
        <v>8</v>
      </c>
      <c r="M19" s="100">
        <v>2640</v>
      </c>
      <c r="N19" s="100">
        <v>5.3499442325743205</v>
      </c>
      <c r="O19" s="100">
        <v>1765.4815967495258</v>
      </c>
      <c r="P19" s="100">
        <v>3.2887500068960334</v>
      </c>
      <c r="Q19" s="100">
        <v>1085.2875022756909</v>
      </c>
      <c r="R19" s="100">
        <v>7.2740997112161869</v>
      </c>
      <c r="S19" s="100">
        <v>2400.4529047013416</v>
      </c>
      <c r="T19" s="100">
        <v>3.1138298506512267</v>
      </c>
      <c r="U19" s="100">
        <v>1027.5638507149049</v>
      </c>
      <c r="V19" s="100">
        <v>6</v>
      </c>
      <c r="W19" s="100">
        <v>1980</v>
      </c>
      <c r="X19" s="100">
        <v>10.31211113642699</v>
      </c>
      <c r="Y19" s="100">
        <v>3402.9966750209069</v>
      </c>
      <c r="Z19" s="100">
        <v>2.464885691060029</v>
      </c>
      <c r="AA19" s="100">
        <v>813.41227804980952</v>
      </c>
      <c r="AB19" s="100">
        <v>5</v>
      </c>
      <c r="AC19" s="100">
        <v>1650</v>
      </c>
      <c r="AD19" s="100">
        <v>5.0221356741013041</v>
      </c>
      <c r="AE19" s="100">
        <v>1657.3047724534304</v>
      </c>
      <c r="AF19" s="100">
        <v>7.0690390332932829</v>
      </c>
      <c r="AG19" s="100">
        <v>2332.7828809867833</v>
      </c>
      <c r="AH19" s="100">
        <v>3.2646439198549895</v>
      </c>
      <c r="AI19" s="100">
        <v>1077.3324935521466</v>
      </c>
      <c r="AJ19" s="100">
        <v>9</v>
      </c>
      <c r="AK19" s="100">
        <v>2970</v>
      </c>
      <c r="AL19" s="100">
        <v>6.4331627768279569</v>
      </c>
      <c r="AM19" s="100">
        <v>2122.9437163532257</v>
      </c>
      <c r="AN19" s="100">
        <v>4.2189607208601717E-4</v>
      </c>
      <c r="AO19" s="100">
        <v>0.13922570378838567</v>
      </c>
      <c r="AP19" s="100">
        <v>7</v>
      </c>
      <c r="AQ19" s="100">
        <v>2310</v>
      </c>
      <c r="AR19" s="100">
        <v>6</v>
      </c>
      <c r="AS19" s="100">
        <v>1980</v>
      </c>
      <c r="AT19" s="100">
        <v>9</v>
      </c>
      <c r="AU19" s="100">
        <v>2970</v>
      </c>
      <c r="AV19" s="100">
        <v>6.5784091904896655</v>
      </c>
      <c r="AW19" s="100">
        <v>2170.8750328615897</v>
      </c>
      <c r="AX19" s="100">
        <v>4.057965415824742</v>
      </c>
      <c r="AY19" s="100">
        <v>1339.1285872221649</v>
      </c>
      <c r="AZ19" s="100">
        <v>5.5767970636354116</v>
      </c>
      <c r="BA19" s="100">
        <v>1840.3430309996859</v>
      </c>
      <c r="BB19" s="100">
        <v>2.0698903946223055</v>
      </c>
      <c r="BC19" s="100">
        <v>683.06383022536079</v>
      </c>
      <c r="BD19" s="100">
        <v>8</v>
      </c>
      <c r="BE19" s="100">
        <v>2640</v>
      </c>
      <c r="BF19" s="100">
        <v>7</v>
      </c>
      <c r="BG19" s="100">
        <v>2310</v>
      </c>
      <c r="BH19" s="100">
        <v>9.3911937663445357</v>
      </c>
      <c r="BI19" s="100">
        <v>3099.0939428936967</v>
      </c>
      <c r="BJ19" s="100">
        <v>1.9243332268656312</v>
      </c>
      <c r="BK19" s="100">
        <v>635.02996486565826</v>
      </c>
      <c r="BL19" s="100">
        <v>6</v>
      </c>
      <c r="BM19" s="100">
        <v>1980</v>
      </c>
      <c r="BN19" s="100">
        <v>7</v>
      </c>
      <c r="BO19" s="100">
        <v>2310</v>
      </c>
      <c r="BP19" s="100">
        <v>7</v>
      </c>
      <c r="BQ19" s="100">
        <v>2310</v>
      </c>
      <c r="BR19" s="100">
        <v>8.2345299350395056</v>
      </c>
      <c r="BS19" s="100">
        <v>2717.3948785630369</v>
      </c>
      <c r="BT19" s="100">
        <v>0.87276109548956093</v>
      </c>
      <c r="BU19" s="100">
        <v>288.01116151155509</v>
      </c>
      <c r="BV19" s="100">
        <v>5.6765366557328365</v>
      </c>
      <c r="BW19" s="100">
        <v>1873.2570963918361</v>
      </c>
      <c r="BX19" s="100">
        <v>7</v>
      </c>
      <c r="BY19" s="100">
        <v>2310</v>
      </c>
      <c r="BZ19" s="100">
        <v>8</v>
      </c>
      <c r="CA19" s="100">
        <v>2640</v>
      </c>
      <c r="CB19" s="100">
        <v>7.3230588194156585</v>
      </c>
      <c r="CC19" s="100">
        <v>2416.6094104071672</v>
      </c>
      <c r="CD19" s="100">
        <v>4.3683919789521877</v>
      </c>
      <c r="CE19" s="100">
        <v>1441.5693530542219</v>
      </c>
      <c r="CF19" s="100">
        <v>5.0562870248469795E-4</v>
      </c>
      <c r="CG19" s="100">
        <v>0.16685747181995034</v>
      </c>
      <c r="CH19" s="100">
        <v>10</v>
      </c>
      <c r="CI19" s="100">
        <v>3300</v>
      </c>
      <c r="CJ19" s="100">
        <v>9</v>
      </c>
      <c r="CK19" s="100">
        <v>2970</v>
      </c>
      <c r="CL19" s="100">
        <v>7</v>
      </c>
      <c r="CM19" s="100">
        <v>2310</v>
      </c>
      <c r="CN19" s="100">
        <v>7</v>
      </c>
      <c r="CO19" s="100">
        <v>2310</v>
      </c>
      <c r="CP19" s="100">
        <v>10</v>
      </c>
      <c r="CQ19" s="100">
        <v>3300</v>
      </c>
      <c r="CR19" s="100">
        <v>7</v>
      </c>
      <c r="CS19" s="100">
        <v>2310</v>
      </c>
      <c r="CT19" s="100">
        <v>9.1008221946008128</v>
      </c>
      <c r="CU19" s="100">
        <v>3003.2713242182681</v>
      </c>
    </row>
    <row r="20" spans="2:99">
      <c r="B20" s="99" t="s">
        <v>127</v>
      </c>
      <c r="C20" s="99" t="s">
        <v>186</v>
      </c>
      <c r="D20" s="100">
        <v>4.5029718654536373</v>
      </c>
      <c r="E20" s="100">
        <v>1291.4523310121033</v>
      </c>
      <c r="F20" s="100">
        <v>9.6032048396646257</v>
      </c>
      <c r="G20" s="100">
        <v>2754.1991480158149</v>
      </c>
      <c r="H20" s="100">
        <v>10</v>
      </c>
      <c r="I20" s="100">
        <v>2868</v>
      </c>
      <c r="J20" s="100">
        <v>8</v>
      </c>
      <c r="K20" s="100">
        <v>2294.4</v>
      </c>
      <c r="L20" s="100">
        <v>12</v>
      </c>
      <c r="M20" s="100">
        <v>3441.6000000000004</v>
      </c>
      <c r="N20" s="100">
        <v>10.949848631273156</v>
      </c>
      <c r="O20" s="100">
        <v>3140.4165874491414</v>
      </c>
      <c r="P20" s="100">
        <v>6.5775000137920667</v>
      </c>
      <c r="Q20" s="100">
        <v>1886.4270039555647</v>
      </c>
      <c r="R20" s="100">
        <v>13.616724350236421</v>
      </c>
      <c r="S20" s="100">
        <v>3905.2765436478057</v>
      </c>
      <c r="T20" s="100">
        <v>7.4731916415629449</v>
      </c>
      <c r="U20" s="100">
        <v>2143.3113628002525</v>
      </c>
      <c r="V20" s="100">
        <v>9</v>
      </c>
      <c r="W20" s="100">
        <v>2581.2000000000003</v>
      </c>
      <c r="X20" s="100">
        <v>9.6688095780578376</v>
      </c>
      <c r="Y20" s="100">
        <v>2773.014586986988</v>
      </c>
      <c r="Z20" s="100">
        <v>3.2865142547467054</v>
      </c>
      <c r="AA20" s="100">
        <v>942.5722882613552</v>
      </c>
      <c r="AB20" s="100">
        <v>9</v>
      </c>
      <c r="AC20" s="100">
        <v>2581.2000000000003</v>
      </c>
      <c r="AD20" s="100">
        <v>9.3268233947595647</v>
      </c>
      <c r="AE20" s="100">
        <v>2674.9329496170431</v>
      </c>
      <c r="AF20" s="100">
        <v>11</v>
      </c>
      <c r="AG20" s="100">
        <v>3154.8</v>
      </c>
      <c r="AH20" s="100">
        <v>6.5292878397099789</v>
      </c>
      <c r="AI20" s="100">
        <v>1872.5997524288221</v>
      </c>
      <c r="AJ20" s="100">
        <v>12</v>
      </c>
      <c r="AK20" s="100">
        <v>3441.6000000000004</v>
      </c>
      <c r="AL20" s="100">
        <v>10.530834650405824</v>
      </c>
      <c r="AM20" s="100">
        <v>3020.2433777363904</v>
      </c>
      <c r="AN20" s="100">
        <v>5.9065450092042409E-4</v>
      </c>
      <c r="AO20" s="100">
        <v>0.16939971086397765</v>
      </c>
      <c r="AP20" s="100">
        <v>13</v>
      </c>
      <c r="AQ20" s="100">
        <v>3728.4</v>
      </c>
      <c r="AR20" s="100">
        <v>13</v>
      </c>
      <c r="AS20" s="100">
        <v>3728.4</v>
      </c>
      <c r="AT20" s="100">
        <v>14</v>
      </c>
      <c r="AU20" s="100">
        <v>4015.2000000000003</v>
      </c>
      <c r="AV20" s="100">
        <v>8.2230114881120819</v>
      </c>
      <c r="AW20" s="100">
        <v>2358.3596947905453</v>
      </c>
      <c r="AX20" s="100">
        <v>10.15155339339349</v>
      </c>
      <c r="AY20" s="100">
        <v>2911.4655132252533</v>
      </c>
      <c r="AZ20" s="100">
        <v>9.6846607938392708</v>
      </c>
      <c r="BA20" s="100">
        <v>2777.560715673103</v>
      </c>
      <c r="BB20" s="100">
        <v>3.2198295027458093</v>
      </c>
      <c r="BC20" s="100">
        <v>923.44710138749815</v>
      </c>
      <c r="BD20" s="100">
        <v>15</v>
      </c>
      <c r="BE20" s="100">
        <v>4302</v>
      </c>
      <c r="BF20" s="100">
        <v>10</v>
      </c>
      <c r="BG20" s="100">
        <v>2868</v>
      </c>
      <c r="BH20" s="100">
        <v>11.075782857447475</v>
      </c>
      <c r="BI20" s="100">
        <v>3176.5345235159361</v>
      </c>
      <c r="BJ20" s="100">
        <v>3.8486664537312625</v>
      </c>
      <c r="BK20" s="100">
        <v>1103.7975389301262</v>
      </c>
      <c r="BL20" s="100">
        <v>8</v>
      </c>
      <c r="BM20" s="100">
        <v>2294.4</v>
      </c>
      <c r="BN20" s="100">
        <v>10</v>
      </c>
      <c r="BO20" s="100">
        <v>2868</v>
      </c>
      <c r="BP20" s="100">
        <v>9</v>
      </c>
      <c r="BQ20" s="100">
        <v>2581.2000000000003</v>
      </c>
      <c r="BR20" s="100">
        <v>11.375247896063208</v>
      </c>
      <c r="BS20" s="100">
        <v>3262.4210965909278</v>
      </c>
      <c r="BT20" s="100">
        <v>1.2384331162726507</v>
      </c>
      <c r="BU20" s="100">
        <v>355.18261774699624</v>
      </c>
      <c r="BV20" s="100">
        <v>8.9202718875801725</v>
      </c>
      <c r="BW20" s="100">
        <v>2558.3339773579937</v>
      </c>
      <c r="BX20" s="100">
        <v>12</v>
      </c>
      <c r="BY20" s="100">
        <v>3441.6000000000004</v>
      </c>
      <c r="BZ20" s="100">
        <v>13</v>
      </c>
      <c r="CA20" s="100">
        <v>3728.4</v>
      </c>
      <c r="CB20" s="100">
        <v>9.9691764582469755</v>
      </c>
      <c r="CC20" s="100">
        <v>2859.1598082252326</v>
      </c>
      <c r="CD20" s="100">
        <v>10.92097994738047</v>
      </c>
      <c r="CE20" s="100">
        <v>3132.137048908719</v>
      </c>
      <c r="CF20" s="100">
        <v>8.8485022934822158E-4</v>
      </c>
      <c r="CG20" s="100">
        <v>0.25377504577706994</v>
      </c>
      <c r="CH20" s="100">
        <v>13</v>
      </c>
      <c r="CI20" s="100">
        <v>3728.4</v>
      </c>
      <c r="CJ20" s="100">
        <v>9</v>
      </c>
      <c r="CK20" s="100">
        <v>2581.2000000000003</v>
      </c>
      <c r="CL20" s="100">
        <v>11</v>
      </c>
      <c r="CM20" s="100">
        <v>3154.8</v>
      </c>
      <c r="CN20" s="100">
        <v>9</v>
      </c>
      <c r="CO20" s="100">
        <v>2581.2000000000003</v>
      </c>
      <c r="CP20" s="100">
        <v>8</v>
      </c>
      <c r="CQ20" s="100">
        <v>2294.4</v>
      </c>
      <c r="CR20" s="100">
        <v>13</v>
      </c>
      <c r="CS20" s="100">
        <v>3728.4</v>
      </c>
      <c r="CT20" s="100">
        <v>6.9501503577535093</v>
      </c>
      <c r="CU20" s="100">
        <v>1993.3031226037065</v>
      </c>
    </row>
    <row r="21" spans="2:99">
      <c r="C21" s="99" t="s">
        <v>187</v>
      </c>
      <c r="D21" s="100">
        <v>5.1156818430925499</v>
      </c>
      <c r="E21" s="100">
        <v>319.21854700897512</v>
      </c>
      <c r="F21" s="100">
        <v>9.6032048396646257</v>
      </c>
      <c r="G21" s="100">
        <v>599.23998199507264</v>
      </c>
      <c r="H21" s="100">
        <v>11</v>
      </c>
      <c r="I21" s="100">
        <v>686.4</v>
      </c>
      <c r="J21" s="100">
        <v>7</v>
      </c>
      <c r="K21" s="100">
        <v>436.8</v>
      </c>
      <c r="L21" s="100">
        <v>12</v>
      </c>
      <c r="M21" s="100">
        <v>748.8</v>
      </c>
      <c r="N21" s="100">
        <v>10.949848631273156</v>
      </c>
      <c r="O21" s="100">
        <v>683.27055459144492</v>
      </c>
      <c r="P21" s="100">
        <v>5.9197500124128606</v>
      </c>
      <c r="Q21" s="100">
        <v>369.39240077456247</v>
      </c>
      <c r="R21" s="100">
        <v>12.582461886334398</v>
      </c>
      <c r="S21" s="100">
        <v>785.1456217072664</v>
      </c>
      <c r="T21" s="100">
        <v>8.0959576116931888</v>
      </c>
      <c r="U21" s="100">
        <v>505.18775496965497</v>
      </c>
      <c r="V21" s="100">
        <v>9</v>
      </c>
      <c r="W21" s="100">
        <v>561.6</v>
      </c>
      <c r="X21" s="100">
        <v>10.624222272853981</v>
      </c>
      <c r="Y21" s="100">
        <v>662.95146982608844</v>
      </c>
      <c r="Z21" s="100">
        <v>3.0126380668511463</v>
      </c>
      <c r="AA21" s="100">
        <v>187.98861537151151</v>
      </c>
      <c r="AB21" s="100">
        <v>10</v>
      </c>
      <c r="AC21" s="100">
        <v>624</v>
      </c>
      <c r="AD21" s="100">
        <v>10.044271348202608</v>
      </c>
      <c r="AE21" s="100">
        <v>626.76253212784275</v>
      </c>
      <c r="AF21" s="100">
        <v>13.138078066586566</v>
      </c>
      <c r="AG21" s="100">
        <v>819.81607135500167</v>
      </c>
      <c r="AH21" s="100">
        <v>7.1822166236809766</v>
      </c>
      <c r="AI21" s="100">
        <v>448.17031731769293</v>
      </c>
      <c r="AJ21" s="100">
        <v>13</v>
      </c>
      <c r="AK21" s="100">
        <v>811.19999999999993</v>
      </c>
      <c r="AL21" s="100">
        <v>9.7714248486862783</v>
      </c>
      <c r="AM21" s="100">
        <v>609.73691055802374</v>
      </c>
      <c r="AN21" s="100">
        <v>6.7503371533762758E-4</v>
      </c>
      <c r="AO21" s="100">
        <v>4.2122103837067958E-2</v>
      </c>
      <c r="AP21" s="100">
        <v>13</v>
      </c>
      <c r="AQ21" s="100">
        <v>811.19999999999993</v>
      </c>
      <c r="AR21" s="100">
        <v>13</v>
      </c>
      <c r="AS21" s="100">
        <v>811.19999999999993</v>
      </c>
      <c r="AT21" s="100">
        <v>15</v>
      </c>
      <c r="AU21" s="100">
        <v>936</v>
      </c>
      <c r="AV21" s="100">
        <v>9.0453126369232901</v>
      </c>
      <c r="AW21" s="100">
        <v>564.42750854401334</v>
      </c>
      <c r="AX21" s="100">
        <v>9.4774391086999135</v>
      </c>
      <c r="AY21" s="100">
        <v>591.39220038287453</v>
      </c>
      <c r="AZ21" s="100">
        <v>9.6597494379983697</v>
      </c>
      <c r="BA21" s="100">
        <v>602.76836493109829</v>
      </c>
      <c r="BB21" s="100">
        <v>3.4498173243705095</v>
      </c>
      <c r="BC21" s="100">
        <v>215.26860104071977</v>
      </c>
      <c r="BD21" s="100">
        <v>16</v>
      </c>
      <c r="BE21" s="100">
        <v>998.4</v>
      </c>
      <c r="BF21" s="100">
        <v>10</v>
      </c>
      <c r="BG21" s="100">
        <v>624</v>
      </c>
      <c r="BH21" s="100">
        <v>11.026883636654407</v>
      </c>
      <c r="BI21" s="100">
        <v>688.07753892723497</v>
      </c>
      <c r="BJ21" s="100">
        <v>4.1235712004263529</v>
      </c>
      <c r="BK21" s="100">
        <v>257.31084290660442</v>
      </c>
      <c r="BL21" s="100">
        <v>9</v>
      </c>
      <c r="BM21" s="100">
        <v>561.6</v>
      </c>
      <c r="BN21" s="100">
        <v>8</v>
      </c>
      <c r="BO21" s="100">
        <v>499.2</v>
      </c>
      <c r="BP21" s="100">
        <v>9</v>
      </c>
      <c r="BQ21" s="100">
        <v>561.6</v>
      </c>
      <c r="BR21" s="100">
        <v>11.375247896063208</v>
      </c>
      <c r="BS21" s="100">
        <v>709.81546871434409</v>
      </c>
      <c r="BT21" s="100">
        <v>1.3760367958585009</v>
      </c>
      <c r="BU21" s="100">
        <v>85.864696061570456</v>
      </c>
      <c r="BV21" s="100">
        <v>8.9202718875801725</v>
      </c>
      <c r="BW21" s="100">
        <v>556.6249657850027</v>
      </c>
      <c r="BX21" s="100">
        <v>15</v>
      </c>
      <c r="BY21" s="100">
        <v>936</v>
      </c>
      <c r="BZ21" s="100">
        <v>14</v>
      </c>
      <c r="CA21" s="100">
        <v>873.6</v>
      </c>
      <c r="CB21" s="100">
        <v>10.015327718163499</v>
      </c>
      <c r="CC21" s="100">
        <v>624.95644961340236</v>
      </c>
      <c r="CD21" s="100">
        <v>11.649045277205834</v>
      </c>
      <c r="CE21" s="100">
        <v>726.90042529764401</v>
      </c>
      <c r="CF21" s="100">
        <v>8.216466415376342E-4</v>
      </c>
      <c r="CG21" s="100">
        <v>5.127075043194837E-2</v>
      </c>
      <c r="CH21" s="100">
        <v>11</v>
      </c>
      <c r="CI21" s="100">
        <v>686.4</v>
      </c>
      <c r="CJ21" s="100">
        <v>10</v>
      </c>
      <c r="CK21" s="100">
        <v>624</v>
      </c>
      <c r="CL21" s="100">
        <v>12</v>
      </c>
      <c r="CM21" s="100">
        <v>748.8</v>
      </c>
      <c r="CN21" s="100">
        <v>8</v>
      </c>
      <c r="CO21" s="100">
        <v>499.2</v>
      </c>
      <c r="CP21" s="100">
        <v>9</v>
      </c>
      <c r="CQ21" s="100">
        <v>561.6</v>
      </c>
      <c r="CR21" s="100">
        <v>13</v>
      </c>
      <c r="CS21" s="100">
        <v>811.19999999999993</v>
      </c>
      <c r="CT21" s="100">
        <v>7.7320150805418049</v>
      </c>
      <c r="CU21" s="100">
        <v>482.4777410258086</v>
      </c>
    </row>
    <row r="22" spans="2:99">
      <c r="C22" s="99" t="s">
        <v>188</v>
      </c>
      <c r="D22" s="100">
        <v>4.4932445008181254</v>
      </c>
      <c r="E22" s="100">
        <v>841.13537055315305</v>
      </c>
      <c r="F22" s="100">
        <v>11.20373897960873</v>
      </c>
      <c r="G22" s="100">
        <v>2097.3399369827539</v>
      </c>
      <c r="H22" s="100">
        <v>11</v>
      </c>
      <c r="I22" s="100">
        <v>2059.1999999999998</v>
      </c>
      <c r="J22" s="100">
        <v>8</v>
      </c>
      <c r="K22" s="100">
        <v>1497.6</v>
      </c>
      <c r="L22" s="100">
        <v>12</v>
      </c>
      <c r="M22" s="100">
        <v>2246.3999999999996</v>
      </c>
      <c r="N22" s="100">
        <v>10.799872531598446</v>
      </c>
      <c r="O22" s="100">
        <v>2021.7361379152289</v>
      </c>
      <c r="P22" s="100">
        <v>6.5775000137920667</v>
      </c>
      <c r="Q22" s="100">
        <v>1231.3080025818749</v>
      </c>
      <c r="R22" s="100">
        <v>14.582461886334398</v>
      </c>
      <c r="S22" s="100">
        <v>2729.8368651217993</v>
      </c>
      <c r="T22" s="100">
        <v>8.0959576116931888</v>
      </c>
      <c r="U22" s="100">
        <v>1515.5632649089648</v>
      </c>
      <c r="V22" s="100">
        <v>9</v>
      </c>
      <c r="W22" s="100">
        <v>1684.8</v>
      </c>
      <c r="X22" s="100">
        <v>9.5796349676501258</v>
      </c>
      <c r="Y22" s="100">
        <v>1793.3076659441035</v>
      </c>
      <c r="Z22" s="100">
        <v>3.0126380668511463</v>
      </c>
      <c r="AA22" s="100">
        <v>563.96584611453454</v>
      </c>
      <c r="AB22" s="100">
        <v>9</v>
      </c>
      <c r="AC22" s="100">
        <v>1684.8</v>
      </c>
      <c r="AD22" s="100">
        <v>9.3268233947595647</v>
      </c>
      <c r="AE22" s="100">
        <v>1745.9813394989903</v>
      </c>
      <c r="AF22" s="100">
        <v>13</v>
      </c>
      <c r="AG22" s="100">
        <v>2433.6</v>
      </c>
      <c r="AH22" s="100">
        <v>7.1822166236809766</v>
      </c>
      <c r="AI22" s="100">
        <v>1344.5109519530788</v>
      </c>
      <c r="AJ22" s="100">
        <v>13</v>
      </c>
      <c r="AK22" s="100">
        <v>2433.6</v>
      </c>
      <c r="AL22" s="100">
        <v>10.530834650405824</v>
      </c>
      <c r="AM22" s="100">
        <v>1971.3722465559702</v>
      </c>
      <c r="AN22" s="100">
        <v>6.7503371533762758E-4</v>
      </c>
      <c r="AO22" s="100">
        <v>0.12636631151120387</v>
      </c>
      <c r="AP22" s="100">
        <v>13</v>
      </c>
      <c r="AQ22" s="100">
        <v>2433.6</v>
      </c>
      <c r="AR22" s="100">
        <v>13</v>
      </c>
      <c r="AS22" s="100">
        <v>2433.6</v>
      </c>
      <c r="AT22" s="100">
        <v>14</v>
      </c>
      <c r="AU22" s="100">
        <v>2620.7999999999997</v>
      </c>
      <c r="AV22" s="100">
        <v>8.2230114881120819</v>
      </c>
      <c r="AW22" s="100">
        <v>1539.3477505745816</v>
      </c>
      <c r="AX22" s="100">
        <v>9.4755420076051617</v>
      </c>
      <c r="AY22" s="100">
        <v>1773.8214638236861</v>
      </c>
      <c r="AZ22" s="100">
        <v>10.979214636384523</v>
      </c>
      <c r="BA22" s="100">
        <v>2055.3089799311824</v>
      </c>
      <c r="BB22" s="100">
        <v>3.6798051459952106</v>
      </c>
      <c r="BC22" s="100">
        <v>688.85952333030343</v>
      </c>
      <c r="BD22" s="100">
        <v>15</v>
      </c>
      <c r="BE22" s="100">
        <v>2808</v>
      </c>
      <c r="BF22" s="100">
        <v>11</v>
      </c>
      <c r="BG22" s="100">
        <v>2059.1999999999998</v>
      </c>
      <c r="BH22" s="100">
        <v>10.977984415861339</v>
      </c>
      <c r="BI22" s="100">
        <v>2055.0786826492426</v>
      </c>
      <c r="BJ22" s="100">
        <v>4.1235712004263529</v>
      </c>
      <c r="BK22" s="100">
        <v>771.93252871981326</v>
      </c>
      <c r="BL22" s="100">
        <v>9</v>
      </c>
      <c r="BM22" s="100">
        <v>1684.8</v>
      </c>
      <c r="BN22" s="100">
        <v>8</v>
      </c>
      <c r="BO22" s="100">
        <v>1497.6</v>
      </c>
      <c r="BP22" s="100">
        <v>9</v>
      </c>
      <c r="BQ22" s="100">
        <v>1684.8</v>
      </c>
      <c r="BR22" s="100">
        <v>12.422153883071109</v>
      </c>
      <c r="BS22" s="100">
        <v>2325.4272069109115</v>
      </c>
      <c r="BT22" s="100">
        <v>1.2384331162726507</v>
      </c>
      <c r="BU22" s="100">
        <v>231.83467936624021</v>
      </c>
      <c r="BV22" s="100">
        <v>8.9202718875801725</v>
      </c>
      <c r="BW22" s="100">
        <v>1669.8748973550082</v>
      </c>
      <c r="BX22" s="100">
        <v>14</v>
      </c>
      <c r="BY22" s="100">
        <v>2620.7999999999997</v>
      </c>
      <c r="BZ22" s="100">
        <v>13</v>
      </c>
      <c r="CA22" s="100">
        <v>2433.6</v>
      </c>
      <c r="CB22" s="100">
        <v>11.061478978080022</v>
      </c>
      <c r="CC22" s="100">
        <v>2070.7088646965799</v>
      </c>
      <c r="CD22" s="100">
        <v>11.649045277205834</v>
      </c>
      <c r="CE22" s="100">
        <v>2180.7012758929322</v>
      </c>
      <c r="CF22" s="100">
        <v>9.4805381715880874E-4</v>
      </c>
      <c r="CG22" s="100">
        <v>0.17747567457212898</v>
      </c>
      <c r="CH22" s="100">
        <v>13</v>
      </c>
      <c r="CI22" s="100">
        <v>2433.6</v>
      </c>
      <c r="CJ22" s="100">
        <v>8</v>
      </c>
      <c r="CK22" s="100">
        <v>1497.6</v>
      </c>
      <c r="CL22" s="100">
        <v>11</v>
      </c>
      <c r="CM22" s="100">
        <v>2059.1999999999998</v>
      </c>
      <c r="CN22" s="100">
        <v>9</v>
      </c>
      <c r="CO22" s="100">
        <v>1684.8</v>
      </c>
      <c r="CP22" s="100">
        <v>8</v>
      </c>
      <c r="CQ22" s="100">
        <v>1497.6</v>
      </c>
      <c r="CR22" s="100">
        <v>12</v>
      </c>
      <c r="CS22" s="100">
        <v>2246.3999999999996</v>
      </c>
      <c r="CT22" s="100">
        <v>7.7103570437065176</v>
      </c>
      <c r="CU22" s="100">
        <v>1443.37883858186</v>
      </c>
    </row>
    <row r="23" spans="2:99">
      <c r="C23" s="99" t="s">
        <v>189</v>
      </c>
      <c r="D23" s="100">
        <v>4.52242659472466</v>
      </c>
      <c r="E23" s="100">
        <v>1329.5934188490501</v>
      </c>
      <c r="F23" s="100">
        <v>8.8029377696925728</v>
      </c>
      <c r="G23" s="100">
        <v>2588.0637042896165</v>
      </c>
      <c r="H23" s="100">
        <v>11</v>
      </c>
      <c r="I23" s="100">
        <v>3234</v>
      </c>
      <c r="J23" s="100">
        <v>8</v>
      </c>
      <c r="K23" s="100">
        <v>2352</v>
      </c>
      <c r="L23" s="100">
        <v>13</v>
      </c>
      <c r="M23" s="100">
        <v>3822</v>
      </c>
      <c r="N23" s="100">
        <v>10.949848631273156</v>
      </c>
      <c r="O23" s="100">
        <v>3219.2554975943076</v>
      </c>
      <c r="P23" s="100">
        <v>6.5775000137920667</v>
      </c>
      <c r="Q23" s="100">
        <v>1933.7850040548676</v>
      </c>
      <c r="R23" s="100">
        <v>11.616724350236421</v>
      </c>
      <c r="S23" s="100">
        <v>3415.3169589695076</v>
      </c>
      <c r="T23" s="100">
        <v>7.4731916415629449</v>
      </c>
      <c r="U23" s="100">
        <v>2197.1183426195057</v>
      </c>
      <c r="V23" s="100">
        <v>9</v>
      </c>
      <c r="W23" s="100">
        <v>2646</v>
      </c>
      <c r="X23" s="100">
        <v>11.579634967650126</v>
      </c>
      <c r="Y23" s="100">
        <v>3404.4126804891371</v>
      </c>
      <c r="Z23" s="100">
        <v>3.0126380668511463</v>
      </c>
      <c r="AA23" s="100">
        <v>885.71559165423707</v>
      </c>
      <c r="AB23" s="100">
        <v>9</v>
      </c>
      <c r="AC23" s="100">
        <v>2646</v>
      </c>
      <c r="AD23" s="100">
        <v>9.3268233947595647</v>
      </c>
      <c r="AE23" s="100">
        <v>2742.0860780593121</v>
      </c>
      <c r="AF23" s="100">
        <v>12</v>
      </c>
      <c r="AG23" s="100">
        <v>3528</v>
      </c>
      <c r="AH23" s="100">
        <v>7.1822166236809766</v>
      </c>
      <c r="AI23" s="100">
        <v>2111.5716873622073</v>
      </c>
      <c r="AJ23" s="100">
        <v>12</v>
      </c>
      <c r="AK23" s="100">
        <v>3528</v>
      </c>
      <c r="AL23" s="100">
        <v>9.74279409964055</v>
      </c>
      <c r="AM23" s="100">
        <v>2864.3814652943215</v>
      </c>
      <c r="AN23" s="100">
        <v>5.9065450092042409E-4</v>
      </c>
      <c r="AO23" s="100">
        <v>0.17365242327060468</v>
      </c>
      <c r="AP23" s="100">
        <v>12</v>
      </c>
      <c r="AQ23" s="100">
        <v>3528</v>
      </c>
      <c r="AR23" s="100">
        <v>14</v>
      </c>
      <c r="AS23" s="100">
        <v>4116</v>
      </c>
      <c r="AT23" s="100">
        <v>15</v>
      </c>
      <c r="AU23" s="100">
        <v>4410</v>
      </c>
      <c r="AV23" s="100">
        <v>9.0453126369232901</v>
      </c>
      <c r="AW23" s="100">
        <v>2659.3219152554475</v>
      </c>
      <c r="AX23" s="100">
        <v>9.4375999857100883</v>
      </c>
      <c r="AY23" s="100">
        <v>2774.654395798766</v>
      </c>
      <c r="AZ23" s="100">
        <v>8.9751054829643948</v>
      </c>
      <c r="BA23" s="100">
        <v>2638.6810119915322</v>
      </c>
      <c r="BB23" s="100">
        <v>3.2198295027458093</v>
      </c>
      <c r="BC23" s="100">
        <v>946.62987380726793</v>
      </c>
      <c r="BD23" s="100">
        <v>15</v>
      </c>
      <c r="BE23" s="100">
        <v>4410</v>
      </c>
      <c r="BF23" s="100">
        <v>10</v>
      </c>
      <c r="BG23" s="100">
        <v>2940</v>
      </c>
      <c r="BH23" s="100">
        <v>11.075782857447475</v>
      </c>
      <c r="BI23" s="100">
        <v>3256.2801600895577</v>
      </c>
      <c r="BJ23" s="100">
        <v>4.1235712004263529</v>
      </c>
      <c r="BK23" s="100">
        <v>1212.3299329253477</v>
      </c>
      <c r="BL23" s="100">
        <v>9</v>
      </c>
      <c r="BM23" s="100">
        <v>2646</v>
      </c>
      <c r="BN23" s="100">
        <v>10</v>
      </c>
      <c r="BO23" s="100">
        <v>2940</v>
      </c>
      <c r="BP23" s="100">
        <v>9</v>
      </c>
      <c r="BQ23" s="100">
        <v>2646</v>
      </c>
      <c r="BR23" s="100">
        <v>13.422153883071109</v>
      </c>
      <c r="BS23" s="100">
        <v>3946.1132416229061</v>
      </c>
      <c r="BT23" s="100">
        <v>1.100829436686801</v>
      </c>
      <c r="BU23" s="100">
        <v>323.6438543859195</v>
      </c>
      <c r="BV23" s="100">
        <v>9.7312056955420054</v>
      </c>
      <c r="BW23" s="100">
        <v>2860.9744744893496</v>
      </c>
      <c r="BX23" s="100">
        <v>15</v>
      </c>
      <c r="BY23" s="100">
        <v>4410</v>
      </c>
      <c r="BZ23" s="100">
        <v>14</v>
      </c>
      <c r="CA23" s="100">
        <v>4116</v>
      </c>
      <c r="CB23" s="100">
        <v>10.923025198330453</v>
      </c>
      <c r="CC23" s="100">
        <v>3211.3694083091532</v>
      </c>
      <c r="CD23" s="100">
        <v>10.92097994738047</v>
      </c>
      <c r="CE23" s="100">
        <v>3210.7681045298582</v>
      </c>
      <c r="CF23" s="100">
        <v>8.8485022934822158E-4</v>
      </c>
      <c r="CG23" s="100">
        <v>0.26014596742837715</v>
      </c>
      <c r="CH23" s="100">
        <v>12</v>
      </c>
      <c r="CI23" s="100">
        <v>3528</v>
      </c>
      <c r="CJ23" s="100">
        <v>9</v>
      </c>
      <c r="CK23" s="100">
        <v>2646</v>
      </c>
      <c r="CL23" s="100">
        <v>11</v>
      </c>
      <c r="CM23" s="100">
        <v>3234</v>
      </c>
      <c r="CN23" s="100">
        <v>9</v>
      </c>
      <c r="CO23" s="100">
        <v>2646</v>
      </c>
      <c r="CP23" s="100">
        <v>9</v>
      </c>
      <c r="CQ23" s="100">
        <v>2646</v>
      </c>
      <c r="CR23" s="100">
        <v>13</v>
      </c>
      <c r="CS23" s="100">
        <v>3822</v>
      </c>
      <c r="CT23" s="100">
        <v>7.6886990068712313</v>
      </c>
      <c r="CU23" s="100">
        <v>2260.4775080201421</v>
      </c>
    </row>
    <row r="24" spans="2:99">
      <c r="C24" s="99" t="s">
        <v>190</v>
      </c>
      <c r="D24" s="100">
        <v>5.1351365723635718</v>
      </c>
      <c r="E24" s="100">
        <v>1885.6221493719036</v>
      </c>
      <c r="F24" s="100">
        <v>9.6032048396646257</v>
      </c>
      <c r="G24" s="100">
        <v>3526.2968171248503</v>
      </c>
      <c r="H24" s="100">
        <v>10</v>
      </c>
      <c r="I24" s="100">
        <v>3672</v>
      </c>
      <c r="J24" s="100">
        <v>7</v>
      </c>
      <c r="K24" s="100">
        <v>2570.4</v>
      </c>
      <c r="L24" s="100">
        <v>11</v>
      </c>
      <c r="M24" s="100">
        <v>4039.2</v>
      </c>
      <c r="N24" s="100">
        <v>9.8998565980482525</v>
      </c>
      <c r="O24" s="100">
        <v>3635.2273428033182</v>
      </c>
      <c r="P24" s="100">
        <v>5.9197500124128606</v>
      </c>
      <c r="Q24" s="100">
        <v>2173.7322045580022</v>
      </c>
      <c r="R24" s="100">
        <v>11.616724350236421</v>
      </c>
      <c r="S24" s="100">
        <v>4265.6611814068137</v>
      </c>
      <c r="T24" s="100">
        <v>7.4731916415629449</v>
      </c>
      <c r="U24" s="100">
        <v>2744.1559707819133</v>
      </c>
      <c r="V24" s="100">
        <v>9</v>
      </c>
      <c r="W24" s="100">
        <v>3304.7999999999997</v>
      </c>
      <c r="X24" s="100">
        <v>11.624222272853981</v>
      </c>
      <c r="Y24" s="100">
        <v>4268.4144185919813</v>
      </c>
      <c r="Z24" s="100">
        <v>3.0126380668511463</v>
      </c>
      <c r="AA24" s="100">
        <v>1106.2406981477409</v>
      </c>
      <c r="AB24" s="100">
        <v>9</v>
      </c>
      <c r="AC24" s="100">
        <v>3304.7999999999997</v>
      </c>
      <c r="AD24" s="100">
        <v>10.044271348202608</v>
      </c>
      <c r="AE24" s="100">
        <v>3688.2564390599978</v>
      </c>
      <c r="AF24" s="100">
        <v>12</v>
      </c>
      <c r="AG24" s="100">
        <v>4406.3999999999996</v>
      </c>
      <c r="AH24" s="100">
        <v>6.5292878397099789</v>
      </c>
      <c r="AI24" s="100">
        <v>2397.5544947415042</v>
      </c>
      <c r="AJ24" s="100">
        <v>13</v>
      </c>
      <c r="AK24" s="100">
        <v>4773.5999999999995</v>
      </c>
      <c r="AL24" s="100">
        <v>10.559465399451552</v>
      </c>
      <c r="AM24" s="100">
        <v>3877.4356946786097</v>
      </c>
      <c r="AN24" s="100">
        <v>5.9065450092042409E-4</v>
      </c>
      <c r="AO24" s="100">
        <v>0.21688833273797972</v>
      </c>
      <c r="AP24" s="100">
        <v>12</v>
      </c>
      <c r="AQ24" s="100">
        <v>4406.3999999999996</v>
      </c>
      <c r="AR24" s="100">
        <v>13</v>
      </c>
      <c r="AS24" s="100">
        <v>4773.5999999999995</v>
      </c>
      <c r="AT24" s="100">
        <v>14</v>
      </c>
      <c r="AU24" s="100">
        <v>5140.8</v>
      </c>
      <c r="AV24" s="100">
        <v>9.0453126369232901</v>
      </c>
      <c r="AW24" s="100">
        <v>3321.4388002782321</v>
      </c>
      <c r="AX24" s="100">
        <v>10.147759191203985</v>
      </c>
      <c r="AY24" s="100">
        <v>3726.2571750101033</v>
      </c>
      <c r="AZ24" s="100">
        <v>9.0249281946461952</v>
      </c>
      <c r="BA24" s="100">
        <v>3313.953633074083</v>
      </c>
      <c r="BB24" s="100">
        <v>3.2198295027458093</v>
      </c>
      <c r="BC24" s="100">
        <v>1182.3213934082612</v>
      </c>
      <c r="BD24" s="100">
        <v>15</v>
      </c>
      <c r="BE24" s="100">
        <v>5508</v>
      </c>
      <c r="BF24" s="100">
        <v>11</v>
      </c>
      <c r="BG24" s="100">
        <v>4039.2</v>
      </c>
      <c r="BH24" s="100">
        <v>10.026883636654407</v>
      </c>
      <c r="BI24" s="100">
        <v>3681.8716713794984</v>
      </c>
      <c r="BJ24" s="100">
        <v>3.8486664537312625</v>
      </c>
      <c r="BK24" s="100">
        <v>1413.2303218101194</v>
      </c>
      <c r="BL24" s="100">
        <v>9</v>
      </c>
      <c r="BM24" s="100">
        <v>3304.7999999999997</v>
      </c>
      <c r="BN24" s="100">
        <v>8</v>
      </c>
      <c r="BO24" s="100">
        <v>2937.6</v>
      </c>
      <c r="BP24" s="100">
        <v>8</v>
      </c>
      <c r="BQ24" s="100">
        <v>2937.6</v>
      </c>
      <c r="BR24" s="100">
        <v>12.398700889567158</v>
      </c>
      <c r="BS24" s="100">
        <v>4552.8029666490602</v>
      </c>
      <c r="BT24" s="100">
        <v>1.3588994955407159</v>
      </c>
      <c r="BU24" s="100">
        <v>498.98789476255087</v>
      </c>
      <c r="BV24" s="100">
        <v>8.9202718875801725</v>
      </c>
      <c r="BW24" s="100">
        <v>3275.5238371194391</v>
      </c>
      <c r="BX24" s="100">
        <v>13</v>
      </c>
      <c r="BY24" s="100">
        <v>4773.5999999999995</v>
      </c>
      <c r="BZ24" s="100">
        <v>14</v>
      </c>
      <c r="CA24" s="100">
        <v>5140.8</v>
      </c>
      <c r="CB24" s="100">
        <v>9.9230251983304534</v>
      </c>
      <c r="CC24" s="100">
        <v>3643.7348528269422</v>
      </c>
      <c r="CD24" s="100">
        <v>11.649045277205834</v>
      </c>
      <c r="CE24" s="100">
        <v>4277.5294257899823</v>
      </c>
      <c r="CF24" s="100">
        <v>8.216466415376342E-4</v>
      </c>
      <c r="CG24" s="100">
        <v>0.30170864677261927</v>
      </c>
      <c r="CH24" s="100">
        <v>12</v>
      </c>
      <c r="CI24" s="100">
        <v>4406.3999999999996</v>
      </c>
      <c r="CJ24" s="100">
        <v>10</v>
      </c>
      <c r="CK24" s="100">
        <v>3672</v>
      </c>
      <c r="CL24" s="100">
        <v>12</v>
      </c>
      <c r="CM24" s="100">
        <v>4406.3999999999996</v>
      </c>
      <c r="CN24" s="100">
        <v>8</v>
      </c>
      <c r="CO24" s="100">
        <v>2937.6</v>
      </c>
      <c r="CP24" s="100">
        <v>9</v>
      </c>
      <c r="CQ24" s="100">
        <v>3304.7999999999997</v>
      </c>
      <c r="CR24" s="100">
        <v>13</v>
      </c>
      <c r="CS24" s="100">
        <v>4773.5999999999995</v>
      </c>
      <c r="CT24" s="100">
        <v>7.7103570437065176</v>
      </c>
      <c r="CU24" s="100">
        <v>2831.2431064490333</v>
      </c>
    </row>
    <row r="25" spans="2:99">
      <c r="C25" s="99" t="s">
        <v>191</v>
      </c>
      <c r="D25" s="100">
        <v>5.1351365723635718</v>
      </c>
      <c r="E25" s="100">
        <v>2723.6764379816382</v>
      </c>
      <c r="F25" s="100">
        <v>8.8029377696925728</v>
      </c>
      <c r="G25" s="100">
        <v>4669.0781930449402</v>
      </c>
      <c r="H25" s="100">
        <v>10</v>
      </c>
      <c r="I25" s="100">
        <v>5304</v>
      </c>
      <c r="J25" s="100">
        <v>7</v>
      </c>
      <c r="K25" s="100">
        <v>3712.7999999999997</v>
      </c>
      <c r="L25" s="100">
        <v>11</v>
      </c>
      <c r="M25" s="100">
        <v>5834.4</v>
      </c>
      <c r="N25" s="100">
        <v>10.949848631273156</v>
      </c>
      <c r="O25" s="100">
        <v>5807.7997140272819</v>
      </c>
      <c r="P25" s="100">
        <v>6.5775000137920667</v>
      </c>
      <c r="Q25" s="100">
        <v>3488.706007315312</v>
      </c>
      <c r="R25" s="100">
        <v>13.650986814138445</v>
      </c>
      <c r="S25" s="100">
        <v>7240.4834062190312</v>
      </c>
      <c r="T25" s="100">
        <v>7.4731916415629449</v>
      </c>
      <c r="U25" s="100">
        <v>3963.7808466849856</v>
      </c>
      <c r="V25" s="100">
        <v>10</v>
      </c>
      <c r="W25" s="100">
        <v>5304</v>
      </c>
      <c r="X25" s="100">
        <v>10.579634967650126</v>
      </c>
      <c r="Y25" s="100">
        <v>5611.4383868416262</v>
      </c>
      <c r="Z25" s="100">
        <v>3.0126380668511463</v>
      </c>
      <c r="AA25" s="100">
        <v>1597.9032306578479</v>
      </c>
      <c r="AB25" s="100">
        <v>10</v>
      </c>
      <c r="AC25" s="100">
        <v>5304</v>
      </c>
      <c r="AD25" s="100">
        <v>10.044271348202608</v>
      </c>
      <c r="AE25" s="100">
        <v>5327.4815230866634</v>
      </c>
      <c r="AF25" s="100">
        <v>11</v>
      </c>
      <c r="AG25" s="100">
        <v>5834.4</v>
      </c>
      <c r="AH25" s="100">
        <v>6.5292878397099789</v>
      </c>
      <c r="AI25" s="100">
        <v>3463.1342701821727</v>
      </c>
      <c r="AJ25" s="100">
        <v>13</v>
      </c>
      <c r="AK25" s="100">
        <v>6895.2</v>
      </c>
      <c r="AL25" s="100">
        <v>8.969068923398142</v>
      </c>
      <c r="AM25" s="100">
        <v>4757.194156970374</v>
      </c>
      <c r="AN25" s="100">
        <v>7.5941292975483096E-4</v>
      </c>
      <c r="AO25" s="100">
        <v>0.40279261794196231</v>
      </c>
      <c r="AP25" s="100">
        <v>13</v>
      </c>
      <c r="AQ25" s="100">
        <v>6895.2</v>
      </c>
      <c r="AR25" s="100">
        <v>12</v>
      </c>
      <c r="AS25" s="100">
        <v>6364.7999999999993</v>
      </c>
      <c r="AT25" s="100">
        <v>15</v>
      </c>
      <c r="AU25" s="100">
        <v>7956</v>
      </c>
      <c r="AV25" s="100">
        <v>8.2230114881120819</v>
      </c>
      <c r="AW25" s="100">
        <v>4361.4852932946478</v>
      </c>
      <c r="AX25" s="100">
        <v>10.785828555097245</v>
      </c>
      <c r="AY25" s="100">
        <v>5720.8034656235786</v>
      </c>
      <c r="AZ25" s="100">
        <v>8.9751054829643948</v>
      </c>
      <c r="BA25" s="100">
        <v>4760.3959481643151</v>
      </c>
      <c r="BB25" s="100">
        <v>3.4498173243705095</v>
      </c>
      <c r="BC25" s="100">
        <v>1829.7831088461182</v>
      </c>
      <c r="BD25" s="100">
        <v>16</v>
      </c>
      <c r="BE25" s="100">
        <v>8486.4</v>
      </c>
      <c r="BF25" s="100">
        <v>11</v>
      </c>
      <c r="BG25" s="100">
        <v>5834.4</v>
      </c>
      <c r="BH25" s="100">
        <v>10.026883636654407</v>
      </c>
      <c r="BI25" s="100">
        <v>5318.2590808814975</v>
      </c>
      <c r="BJ25" s="100">
        <v>3.5737617070361725</v>
      </c>
      <c r="BK25" s="100">
        <v>1895.5232094119858</v>
      </c>
      <c r="BL25" s="100">
        <v>8</v>
      </c>
      <c r="BM25" s="100">
        <v>4243.2</v>
      </c>
      <c r="BN25" s="100">
        <v>10</v>
      </c>
      <c r="BO25" s="100">
        <v>5304</v>
      </c>
      <c r="BP25" s="100">
        <v>9</v>
      </c>
      <c r="BQ25" s="100">
        <v>4773.5999999999995</v>
      </c>
      <c r="BR25" s="100">
        <v>12.398700889567158</v>
      </c>
      <c r="BS25" s="100">
        <v>6576.2709518264201</v>
      </c>
      <c r="BT25" s="100">
        <v>1.2384331162726507</v>
      </c>
      <c r="BU25" s="100">
        <v>656.86492487101395</v>
      </c>
      <c r="BV25" s="100">
        <v>8.9202718875801725</v>
      </c>
      <c r="BW25" s="100">
        <v>4731.3122091725236</v>
      </c>
      <c r="BX25" s="100">
        <v>14</v>
      </c>
      <c r="BY25" s="100">
        <v>7425.5999999999995</v>
      </c>
      <c r="BZ25" s="100">
        <v>12</v>
      </c>
      <c r="CA25" s="100">
        <v>6364.7999999999993</v>
      </c>
      <c r="CB25" s="100">
        <v>9.0153277181634994</v>
      </c>
      <c r="CC25" s="100">
        <v>4781.7298217139196</v>
      </c>
      <c r="CD25" s="100">
        <v>10.92097994738047</v>
      </c>
      <c r="CE25" s="100">
        <v>5792.4877640906006</v>
      </c>
      <c r="CF25" s="100">
        <v>8.8485022934822158E-4</v>
      </c>
      <c r="CG25" s="100">
        <v>0.46932456164629671</v>
      </c>
      <c r="CH25" s="100">
        <v>12</v>
      </c>
      <c r="CI25" s="100">
        <v>6364.7999999999993</v>
      </c>
      <c r="CJ25" s="100">
        <v>9</v>
      </c>
      <c r="CK25" s="100">
        <v>4773.5999999999995</v>
      </c>
      <c r="CL25" s="100">
        <v>11</v>
      </c>
      <c r="CM25" s="100">
        <v>5834.4</v>
      </c>
      <c r="CN25" s="100">
        <v>8</v>
      </c>
      <c r="CO25" s="100">
        <v>4243.2</v>
      </c>
      <c r="CP25" s="100">
        <v>10</v>
      </c>
      <c r="CQ25" s="100">
        <v>5304</v>
      </c>
      <c r="CR25" s="100">
        <v>13</v>
      </c>
      <c r="CS25" s="100">
        <v>6895.2</v>
      </c>
      <c r="CT25" s="100">
        <v>7.6886990068712313</v>
      </c>
      <c r="CU25" s="100">
        <v>4078.0859532445011</v>
      </c>
    </row>
    <row r="26" spans="2:99">
      <c r="C26" s="99" t="s">
        <v>192</v>
      </c>
      <c r="D26" s="100">
        <v>5.1156818430925499</v>
      </c>
      <c r="E26" s="100">
        <v>2486.221375742979</v>
      </c>
      <c r="F26" s="100">
        <v>10.403471909636677</v>
      </c>
      <c r="G26" s="100">
        <v>5056.0873480834252</v>
      </c>
      <c r="H26" s="100">
        <v>10</v>
      </c>
      <c r="I26" s="100">
        <v>4860</v>
      </c>
      <c r="J26" s="100">
        <v>8</v>
      </c>
      <c r="K26" s="100">
        <v>3888</v>
      </c>
      <c r="L26" s="100">
        <v>11</v>
      </c>
      <c r="M26" s="100">
        <v>5346</v>
      </c>
      <c r="N26" s="100">
        <v>10.949848631273156</v>
      </c>
      <c r="O26" s="100">
        <v>5321.6264347987535</v>
      </c>
      <c r="P26" s="100">
        <v>5.9197500124128606</v>
      </c>
      <c r="Q26" s="100">
        <v>2876.9985060326503</v>
      </c>
      <c r="R26" s="100">
        <v>12.616724350236421</v>
      </c>
      <c r="S26" s="100">
        <v>6131.7280342149006</v>
      </c>
      <c r="T26" s="100">
        <v>7.4731916415629449</v>
      </c>
      <c r="U26" s="100">
        <v>3631.9711377995914</v>
      </c>
      <c r="V26" s="100">
        <v>9</v>
      </c>
      <c r="W26" s="100">
        <v>4374</v>
      </c>
      <c r="X26" s="100">
        <v>11.668809578057838</v>
      </c>
      <c r="Y26" s="100">
        <v>5671.0414549361094</v>
      </c>
      <c r="Z26" s="100">
        <v>3.0126380668511463</v>
      </c>
      <c r="AA26" s="100">
        <v>1464.1421004896572</v>
      </c>
      <c r="AB26" s="100">
        <v>9</v>
      </c>
      <c r="AC26" s="100">
        <v>4374</v>
      </c>
      <c r="AD26" s="100">
        <v>10.044271348202608</v>
      </c>
      <c r="AE26" s="100">
        <v>4881.5158752264679</v>
      </c>
      <c r="AF26" s="100">
        <v>12</v>
      </c>
      <c r="AG26" s="100">
        <v>5832</v>
      </c>
      <c r="AH26" s="100">
        <v>7.1822166236809766</v>
      </c>
      <c r="AI26" s="100">
        <v>3490.5572791089544</v>
      </c>
      <c r="AJ26" s="100">
        <v>12</v>
      </c>
      <c r="AK26" s="100">
        <v>5832</v>
      </c>
      <c r="AL26" s="100">
        <v>9.7714248486862783</v>
      </c>
      <c r="AM26" s="100">
        <v>4748.9124764615308</v>
      </c>
      <c r="AN26" s="100">
        <v>6.7503371533762758E-4</v>
      </c>
      <c r="AO26" s="100">
        <v>0.32806638565408702</v>
      </c>
      <c r="AP26" s="100">
        <v>13</v>
      </c>
      <c r="AQ26" s="100">
        <v>6318</v>
      </c>
      <c r="AR26" s="100">
        <v>14</v>
      </c>
      <c r="AS26" s="100">
        <v>6804</v>
      </c>
      <c r="AT26" s="100">
        <v>15</v>
      </c>
      <c r="AU26" s="100">
        <v>7290</v>
      </c>
      <c r="AV26" s="100">
        <v>9.0453126369232901</v>
      </c>
      <c r="AW26" s="100">
        <v>4396.0219415447191</v>
      </c>
      <c r="AX26" s="100">
        <v>10.147759191203985</v>
      </c>
      <c r="AY26" s="100">
        <v>4931.8109669251362</v>
      </c>
      <c r="AZ26" s="100">
        <v>10.344393393032348</v>
      </c>
      <c r="BA26" s="100">
        <v>5027.375189013721</v>
      </c>
      <c r="BB26" s="100">
        <v>3.2198295027458093</v>
      </c>
      <c r="BC26" s="100">
        <v>1564.8371383344634</v>
      </c>
      <c r="BD26" s="100">
        <v>14</v>
      </c>
      <c r="BE26" s="100">
        <v>6804</v>
      </c>
      <c r="BF26" s="100">
        <v>11</v>
      </c>
      <c r="BG26" s="100">
        <v>5346</v>
      </c>
      <c r="BH26" s="100">
        <v>11.075782857447475</v>
      </c>
      <c r="BI26" s="100">
        <v>5382.8304687194732</v>
      </c>
      <c r="BJ26" s="100">
        <v>4.1235712004263529</v>
      </c>
      <c r="BK26" s="100">
        <v>2004.0556034072076</v>
      </c>
      <c r="BL26" s="100">
        <v>8</v>
      </c>
      <c r="BM26" s="100">
        <v>3888</v>
      </c>
      <c r="BN26" s="100">
        <v>9</v>
      </c>
      <c r="BO26" s="100">
        <v>4374</v>
      </c>
      <c r="BP26" s="100">
        <v>9</v>
      </c>
      <c r="BQ26" s="100">
        <v>4374</v>
      </c>
      <c r="BR26" s="100">
        <v>12.398700889567158</v>
      </c>
      <c r="BS26" s="100">
        <v>6025.7686323296384</v>
      </c>
      <c r="BT26" s="100">
        <v>1.2384331162726507</v>
      </c>
      <c r="BU26" s="100">
        <v>601.87849450850831</v>
      </c>
      <c r="BV26" s="100">
        <v>9.7312056955420054</v>
      </c>
      <c r="BW26" s="100">
        <v>4729.3659680334149</v>
      </c>
      <c r="BX26" s="100">
        <v>14</v>
      </c>
      <c r="BY26" s="100">
        <v>6804</v>
      </c>
      <c r="BZ26" s="100">
        <v>14</v>
      </c>
      <c r="CA26" s="100">
        <v>6804</v>
      </c>
      <c r="CB26" s="100">
        <v>9.9230251983304534</v>
      </c>
      <c r="CC26" s="100">
        <v>4822.5902463886005</v>
      </c>
      <c r="CD26" s="100">
        <v>10.192914617555106</v>
      </c>
      <c r="CE26" s="100">
        <v>4953.7565041317812</v>
      </c>
      <c r="CF26" s="100">
        <v>8.216466415376342E-4</v>
      </c>
      <c r="CG26" s="100">
        <v>0.39932026778729024</v>
      </c>
      <c r="CH26" s="100">
        <v>13</v>
      </c>
      <c r="CI26" s="100">
        <v>6318</v>
      </c>
      <c r="CJ26" s="100">
        <v>10</v>
      </c>
      <c r="CK26" s="100">
        <v>4860</v>
      </c>
      <c r="CL26" s="100">
        <v>10</v>
      </c>
      <c r="CM26" s="100">
        <v>4860</v>
      </c>
      <c r="CN26" s="100">
        <v>8</v>
      </c>
      <c r="CO26" s="100">
        <v>3888</v>
      </c>
      <c r="CP26" s="100">
        <v>9</v>
      </c>
      <c r="CQ26" s="100">
        <v>4374</v>
      </c>
      <c r="CR26" s="100">
        <v>13</v>
      </c>
      <c r="CS26" s="100">
        <v>6318</v>
      </c>
      <c r="CT26" s="100">
        <v>7.7103570437065176</v>
      </c>
      <c r="CU26" s="100">
        <v>3747.2335232413675</v>
      </c>
    </row>
    <row r="27" spans="2:99">
      <c r="C27" s="99" t="s">
        <v>193</v>
      </c>
      <c r="D27" s="100">
        <v>5.1351365723635718</v>
      </c>
      <c r="E27" s="100">
        <v>2193.730343713718</v>
      </c>
      <c r="F27" s="100">
        <v>9.6032048396646257</v>
      </c>
      <c r="G27" s="100">
        <v>4102.4891075047281</v>
      </c>
      <c r="H27" s="100">
        <v>12</v>
      </c>
      <c r="I27" s="100">
        <v>5126.3999999999996</v>
      </c>
      <c r="J27" s="100">
        <v>7</v>
      </c>
      <c r="K27" s="100">
        <v>2990.4</v>
      </c>
      <c r="L27" s="100">
        <v>11</v>
      </c>
      <c r="M27" s="100">
        <v>4699.2</v>
      </c>
      <c r="N27" s="100">
        <v>10.849864564823349</v>
      </c>
      <c r="O27" s="100">
        <v>4635.0621420925345</v>
      </c>
      <c r="P27" s="100">
        <v>6.5775000137920667</v>
      </c>
      <c r="Q27" s="100">
        <v>2809.9080058919708</v>
      </c>
      <c r="R27" s="100">
        <v>12.685249278040468</v>
      </c>
      <c r="S27" s="100">
        <v>5419.1384915788876</v>
      </c>
      <c r="T27" s="100">
        <v>8.0959576116931888</v>
      </c>
      <c r="U27" s="100">
        <v>3458.59309171533</v>
      </c>
      <c r="V27" s="100">
        <v>10</v>
      </c>
      <c r="W27" s="100">
        <v>4272</v>
      </c>
      <c r="X27" s="100">
        <v>11.713396883261693</v>
      </c>
      <c r="Y27" s="100">
        <v>5003.9631485293949</v>
      </c>
      <c r="Z27" s="100">
        <v>3.2865142547467054</v>
      </c>
      <c r="AA27" s="100">
        <v>1403.9988896277926</v>
      </c>
      <c r="AB27" s="100">
        <v>10</v>
      </c>
      <c r="AC27" s="100">
        <v>4272</v>
      </c>
      <c r="AD27" s="100">
        <v>9.3268233947595647</v>
      </c>
      <c r="AE27" s="100">
        <v>3984.418954241286</v>
      </c>
      <c r="AF27" s="100">
        <v>11</v>
      </c>
      <c r="AG27" s="100">
        <v>4699.2</v>
      </c>
      <c r="AH27" s="100">
        <v>6.5292878397099789</v>
      </c>
      <c r="AI27" s="100">
        <v>2789.3117651241027</v>
      </c>
      <c r="AJ27" s="100">
        <v>13</v>
      </c>
      <c r="AK27" s="100">
        <v>5553.5999999999995</v>
      </c>
      <c r="AL27" s="100">
        <v>10.51651927588296</v>
      </c>
      <c r="AM27" s="100">
        <v>4492.6570346572007</v>
      </c>
      <c r="AN27" s="100">
        <v>6.7503371533762758E-4</v>
      </c>
      <c r="AO27" s="100">
        <v>0.28837440319223451</v>
      </c>
      <c r="AP27" s="100">
        <v>13</v>
      </c>
      <c r="AQ27" s="100">
        <v>5553.5999999999995</v>
      </c>
      <c r="AR27" s="100">
        <v>13</v>
      </c>
      <c r="AS27" s="100">
        <v>5553.5999999999995</v>
      </c>
      <c r="AT27" s="100">
        <v>14</v>
      </c>
      <c r="AU27" s="100">
        <v>5980.8</v>
      </c>
      <c r="AV27" s="100">
        <v>8.2230114881120819</v>
      </c>
      <c r="AW27" s="100">
        <v>3512.8705077214813</v>
      </c>
      <c r="AX27" s="100">
        <v>9.4375999857100883</v>
      </c>
      <c r="AY27" s="100">
        <v>4031.7427138953494</v>
      </c>
      <c r="AZ27" s="100">
        <v>9.6099267263165693</v>
      </c>
      <c r="BA27" s="100">
        <v>4105.3606974824379</v>
      </c>
      <c r="BB27" s="100">
        <v>3.2198295027458093</v>
      </c>
      <c r="BC27" s="100">
        <v>1375.5111635730098</v>
      </c>
      <c r="BD27" s="100">
        <v>14</v>
      </c>
      <c r="BE27" s="100">
        <v>5980.8</v>
      </c>
      <c r="BF27" s="100">
        <v>10</v>
      </c>
      <c r="BG27" s="100">
        <v>4272</v>
      </c>
      <c r="BH27" s="100">
        <v>9.9779844158613393</v>
      </c>
      <c r="BI27" s="100">
        <v>4262.594942455964</v>
      </c>
      <c r="BJ27" s="100">
        <v>4.1235712004263529</v>
      </c>
      <c r="BK27" s="100">
        <v>1761.5896168221379</v>
      </c>
      <c r="BL27" s="100">
        <v>9</v>
      </c>
      <c r="BM27" s="100">
        <v>3844.7999999999997</v>
      </c>
      <c r="BN27" s="100">
        <v>8</v>
      </c>
      <c r="BO27" s="100">
        <v>3417.6</v>
      </c>
      <c r="BP27" s="100">
        <v>8</v>
      </c>
      <c r="BQ27" s="100">
        <v>3417.6</v>
      </c>
      <c r="BR27" s="100">
        <v>13.398700889567158</v>
      </c>
      <c r="BS27" s="100">
        <v>5723.9250200230899</v>
      </c>
      <c r="BT27" s="100">
        <v>1.2160581472910368</v>
      </c>
      <c r="BU27" s="100">
        <v>519.50004052273096</v>
      </c>
      <c r="BV27" s="100">
        <v>9.7312056955420054</v>
      </c>
      <c r="BW27" s="100">
        <v>4157.1710731355442</v>
      </c>
      <c r="BX27" s="100">
        <v>13</v>
      </c>
      <c r="BY27" s="100">
        <v>5553.5999999999995</v>
      </c>
      <c r="BZ27" s="100">
        <v>12</v>
      </c>
      <c r="CA27" s="100">
        <v>5126.3999999999996</v>
      </c>
      <c r="CB27" s="100">
        <v>9.9230251983304534</v>
      </c>
      <c r="CC27" s="100">
        <v>4239.1163647267695</v>
      </c>
      <c r="CD27" s="100">
        <v>10.192914617555106</v>
      </c>
      <c r="CE27" s="100">
        <v>4354.4131246195411</v>
      </c>
      <c r="CF27" s="100">
        <v>8.8485022934822158E-4</v>
      </c>
      <c r="CG27" s="100">
        <v>0.37800801797756023</v>
      </c>
      <c r="CH27" s="100">
        <v>12</v>
      </c>
      <c r="CI27" s="100">
        <v>5126.3999999999996</v>
      </c>
      <c r="CJ27" s="100">
        <v>9</v>
      </c>
      <c r="CK27" s="100">
        <v>3844.7999999999997</v>
      </c>
      <c r="CL27" s="100">
        <v>11</v>
      </c>
      <c r="CM27" s="100">
        <v>4699.2</v>
      </c>
      <c r="CN27" s="100">
        <v>8</v>
      </c>
      <c r="CO27" s="100">
        <v>3417.6</v>
      </c>
      <c r="CP27" s="100">
        <v>9</v>
      </c>
      <c r="CQ27" s="100">
        <v>3844.7999999999997</v>
      </c>
      <c r="CR27" s="100">
        <v>13</v>
      </c>
      <c r="CS27" s="100">
        <v>5553.5999999999995</v>
      </c>
      <c r="CT27" s="100">
        <v>7.6886990068712313</v>
      </c>
      <c r="CU27" s="100">
        <v>3284.6122157353898</v>
      </c>
    </row>
    <row r="28" spans="2:99">
      <c r="C28" s="99" t="s">
        <v>194</v>
      </c>
      <c r="D28" s="100">
        <v>4.5029718654536373</v>
      </c>
      <c r="E28" s="100">
        <v>3323.1932367047843</v>
      </c>
      <c r="F28" s="100">
        <v>9.6032048396646257</v>
      </c>
      <c r="G28" s="100">
        <v>7087.1651716724937</v>
      </c>
      <c r="H28" s="100">
        <v>11</v>
      </c>
      <c r="I28" s="100">
        <v>8118</v>
      </c>
      <c r="J28" s="100">
        <v>7</v>
      </c>
      <c r="K28" s="100">
        <v>5166</v>
      </c>
      <c r="L28" s="100">
        <v>13</v>
      </c>
      <c r="M28" s="100">
        <v>9594</v>
      </c>
      <c r="N28" s="100">
        <v>10.849864564823349</v>
      </c>
      <c r="O28" s="100">
        <v>8007.2000488396316</v>
      </c>
      <c r="P28" s="100">
        <v>5.9197500124128606</v>
      </c>
      <c r="Q28" s="100">
        <v>4368.7755091606914</v>
      </c>
      <c r="R28" s="100">
        <v>13.582461886334398</v>
      </c>
      <c r="S28" s="100">
        <v>10023.856872114786</v>
      </c>
      <c r="T28" s="100">
        <v>7.4731916415629449</v>
      </c>
      <c r="U28" s="100">
        <v>5515.2154314734535</v>
      </c>
      <c r="V28" s="100">
        <v>9</v>
      </c>
      <c r="W28" s="100">
        <v>6642</v>
      </c>
      <c r="X28" s="100">
        <v>10.579634967650126</v>
      </c>
      <c r="Y28" s="100">
        <v>7807.7706061257932</v>
      </c>
      <c r="Z28" s="100">
        <v>2.7387618789555876</v>
      </c>
      <c r="AA28" s="100">
        <v>2021.2062666692236</v>
      </c>
      <c r="AB28" s="100">
        <v>9</v>
      </c>
      <c r="AC28" s="100">
        <v>6642</v>
      </c>
      <c r="AD28" s="100">
        <v>10.044271348202608</v>
      </c>
      <c r="AE28" s="100">
        <v>7412.672254973525</v>
      </c>
      <c r="AF28" s="100">
        <v>11</v>
      </c>
      <c r="AG28" s="100">
        <v>8118</v>
      </c>
      <c r="AH28" s="100">
        <v>7.1822166236809766</v>
      </c>
      <c r="AI28" s="100">
        <v>5300.4758682765605</v>
      </c>
      <c r="AJ28" s="100">
        <v>11</v>
      </c>
      <c r="AK28" s="100">
        <v>8118</v>
      </c>
      <c r="AL28" s="100">
        <v>9.7714248486862783</v>
      </c>
      <c r="AM28" s="100">
        <v>7211.311538330473</v>
      </c>
      <c r="AN28" s="100">
        <v>6.7503371533762758E-4</v>
      </c>
      <c r="AO28" s="100">
        <v>0.49817488191916914</v>
      </c>
      <c r="AP28" s="100">
        <v>13</v>
      </c>
      <c r="AQ28" s="100">
        <v>9594</v>
      </c>
      <c r="AR28" s="100">
        <v>13</v>
      </c>
      <c r="AS28" s="100">
        <v>9594</v>
      </c>
      <c r="AT28" s="100">
        <v>16</v>
      </c>
      <c r="AU28" s="100">
        <v>11808</v>
      </c>
      <c r="AV28" s="100">
        <v>8.2230114881120819</v>
      </c>
      <c r="AW28" s="100">
        <v>6068.5824782267164</v>
      </c>
      <c r="AX28" s="100">
        <v>10.147759191203985</v>
      </c>
      <c r="AY28" s="100">
        <v>7489.0462831085406</v>
      </c>
      <c r="AZ28" s="100">
        <v>10.294570681350548</v>
      </c>
      <c r="BA28" s="100">
        <v>7597.3931628367045</v>
      </c>
      <c r="BB28" s="100">
        <v>3.2198295027458093</v>
      </c>
      <c r="BC28" s="100">
        <v>2376.234173026407</v>
      </c>
      <c r="BD28" s="100">
        <v>14</v>
      </c>
      <c r="BE28" s="100">
        <v>10332</v>
      </c>
      <c r="BF28" s="100">
        <v>10</v>
      </c>
      <c r="BG28" s="100">
        <v>7380</v>
      </c>
      <c r="BH28" s="100">
        <v>10.929085195068273</v>
      </c>
      <c r="BI28" s="100">
        <v>8065.6648739603861</v>
      </c>
      <c r="BJ28" s="100">
        <v>4.398475947121443</v>
      </c>
      <c r="BK28" s="100">
        <v>3246.0752489756251</v>
      </c>
      <c r="BL28" s="100">
        <v>9</v>
      </c>
      <c r="BM28" s="100">
        <v>6642</v>
      </c>
      <c r="BN28" s="100">
        <v>9</v>
      </c>
      <c r="BO28" s="100">
        <v>6642</v>
      </c>
      <c r="BP28" s="100">
        <v>9</v>
      </c>
      <c r="BQ28" s="100">
        <v>6642</v>
      </c>
      <c r="BR28" s="100">
        <v>12.351794902559257</v>
      </c>
      <c r="BS28" s="100">
        <v>9115.6246380887314</v>
      </c>
      <c r="BT28" s="100">
        <v>1.2108204786272079</v>
      </c>
      <c r="BU28" s="100">
        <v>893.58551322687936</v>
      </c>
      <c r="BV28" s="100">
        <v>8.1093380796183379</v>
      </c>
      <c r="BW28" s="100">
        <v>5984.6915027583336</v>
      </c>
      <c r="BX28" s="100">
        <v>14</v>
      </c>
      <c r="BY28" s="100">
        <v>10332</v>
      </c>
      <c r="BZ28" s="100">
        <v>14</v>
      </c>
      <c r="CA28" s="100">
        <v>10332</v>
      </c>
      <c r="CB28" s="100">
        <v>9.9230251983304534</v>
      </c>
      <c r="CC28" s="100">
        <v>7323.192596367875</v>
      </c>
      <c r="CD28" s="100">
        <v>10.192914617555106</v>
      </c>
      <c r="CE28" s="100">
        <v>7522.3709877556685</v>
      </c>
      <c r="CF28" s="100">
        <v>8.216466415376342E-4</v>
      </c>
      <c r="CG28" s="100">
        <v>0.60637522145477407</v>
      </c>
      <c r="CH28" s="100">
        <v>13</v>
      </c>
      <c r="CI28" s="100">
        <v>9594</v>
      </c>
      <c r="CJ28" s="100">
        <v>10</v>
      </c>
      <c r="CK28" s="100">
        <v>7380</v>
      </c>
      <c r="CL28" s="100">
        <v>10</v>
      </c>
      <c r="CM28" s="100">
        <v>7380</v>
      </c>
      <c r="CN28" s="100">
        <v>9</v>
      </c>
      <c r="CO28" s="100">
        <v>6642</v>
      </c>
      <c r="CP28" s="100">
        <v>8</v>
      </c>
      <c r="CQ28" s="100">
        <v>5904</v>
      </c>
      <c r="CR28" s="100">
        <v>13</v>
      </c>
      <c r="CS28" s="100">
        <v>9594</v>
      </c>
      <c r="CT28" s="100">
        <v>7.7320150805418049</v>
      </c>
      <c r="CU28" s="100">
        <v>5706.2271294398524</v>
      </c>
    </row>
    <row r="29" spans="2:99">
      <c r="C29" s="99" t="s">
        <v>195</v>
      </c>
      <c r="D29" s="100">
        <v>4.5126992300891482</v>
      </c>
      <c r="E29" s="100">
        <v>1527.0974194621676</v>
      </c>
      <c r="F29" s="100">
        <v>10.403471909636677</v>
      </c>
      <c r="G29" s="100">
        <v>3520.5348942210512</v>
      </c>
      <c r="H29" s="100">
        <v>11</v>
      </c>
      <c r="I29" s="100">
        <v>3722.3999999999996</v>
      </c>
      <c r="J29" s="100">
        <v>7</v>
      </c>
      <c r="K29" s="100">
        <v>2368.7999999999997</v>
      </c>
      <c r="L29" s="100">
        <v>13</v>
      </c>
      <c r="M29" s="100">
        <v>4399.2</v>
      </c>
      <c r="N29" s="100">
        <v>10.849864564823349</v>
      </c>
      <c r="O29" s="100">
        <v>3671.594168736221</v>
      </c>
      <c r="P29" s="100">
        <v>6.5775000137920667</v>
      </c>
      <c r="Q29" s="100">
        <v>2225.8260046672353</v>
      </c>
      <c r="R29" s="100">
        <v>13.582461886334398</v>
      </c>
      <c r="S29" s="100">
        <v>4596.3051023355602</v>
      </c>
      <c r="T29" s="100">
        <v>7.4731916415629449</v>
      </c>
      <c r="U29" s="100">
        <v>2528.9280515049004</v>
      </c>
      <c r="V29" s="100">
        <v>9</v>
      </c>
      <c r="W29" s="100">
        <v>3045.6</v>
      </c>
      <c r="X29" s="100">
        <v>10.668809578057838</v>
      </c>
      <c r="Y29" s="100">
        <v>3610.3251612147719</v>
      </c>
      <c r="Z29" s="100">
        <v>3.0126380668511463</v>
      </c>
      <c r="AA29" s="100">
        <v>1019.4767218224279</v>
      </c>
      <c r="AB29" s="100">
        <v>9</v>
      </c>
      <c r="AC29" s="100">
        <v>3045.6</v>
      </c>
      <c r="AD29" s="100">
        <v>10.761719301645652</v>
      </c>
      <c r="AE29" s="100">
        <v>3641.7658116768885</v>
      </c>
      <c r="AF29" s="100">
        <v>12.130407062887311</v>
      </c>
      <c r="AG29" s="100">
        <v>4104.9297500810662</v>
      </c>
      <c r="AH29" s="100">
        <v>6.5292878397099789</v>
      </c>
      <c r="AI29" s="100">
        <v>2209.5110049578566</v>
      </c>
      <c r="AJ29" s="100">
        <v>13</v>
      </c>
      <c r="AK29" s="100">
        <v>4399.2</v>
      </c>
      <c r="AL29" s="100">
        <v>11.318875201171096</v>
      </c>
      <c r="AM29" s="100">
        <v>3830.3073680762986</v>
      </c>
      <c r="AN29" s="100">
        <v>7.5941292975483096E-4</v>
      </c>
      <c r="AO29" s="100">
        <v>0.25698533542903479</v>
      </c>
      <c r="AP29" s="100">
        <v>13</v>
      </c>
      <c r="AQ29" s="100">
        <v>4399.2</v>
      </c>
      <c r="AR29" s="100">
        <v>12</v>
      </c>
      <c r="AS29" s="100">
        <v>4060.7999999999997</v>
      </c>
      <c r="AT29" s="100">
        <v>14</v>
      </c>
      <c r="AU29" s="100">
        <v>4737.5999999999995</v>
      </c>
      <c r="AV29" s="100">
        <v>8.2230114881120819</v>
      </c>
      <c r="AW29" s="100">
        <v>2782.6670875771283</v>
      </c>
      <c r="AX29" s="100">
        <v>10.147759191203985</v>
      </c>
      <c r="AY29" s="100">
        <v>3434.0017103034284</v>
      </c>
      <c r="AZ29" s="100">
        <v>11.004125992225422</v>
      </c>
      <c r="BA29" s="100">
        <v>3723.7962357690826</v>
      </c>
      <c r="BB29" s="100">
        <v>3.6798051459952106</v>
      </c>
      <c r="BC29" s="100">
        <v>1245.2460614047791</v>
      </c>
      <c r="BD29" s="100">
        <v>15</v>
      </c>
      <c r="BE29" s="100">
        <v>5076</v>
      </c>
      <c r="BF29" s="100">
        <v>10</v>
      </c>
      <c r="BG29" s="100">
        <v>3384</v>
      </c>
      <c r="BH29" s="100">
        <v>9.9290851950682733</v>
      </c>
      <c r="BI29" s="100">
        <v>3360.0024300111036</v>
      </c>
      <c r="BJ29" s="100">
        <v>4.398475947121443</v>
      </c>
      <c r="BK29" s="100">
        <v>1488.4442605058962</v>
      </c>
      <c r="BL29" s="100">
        <v>9</v>
      </c>
      <c r="BM29" s="100">
        <v>3045.6</v>
      </c>
      <c r="BN29" s="100">
        <v>10</v>
      </c>
      <c r="BO29" s="100">
        <v>3384</v>
      </c>
      <c r="BP29" s="100">
        <v>9</v>
      </c>
      <c r="BQ29" s="100">
        <v>3045.6</v>
      </c>
      <c r="BR29" s="100">
        <v>11.375247896063208</v>
      </c>
      <c r="BS29" s="100">
        <v>3849.383888027789</v>
      </c>
      <c r="BT29" s="100">
        <v>1.3484241582130581</v>
      </c>
      <c r="BU29" s="100">
        <v>456.30673513929884</v>
      </c>
      <c r="BV29" s="100">
        <v>9.7312056955420054</v>
      </c>
      <c r="BW29" s="100">
        <v>3293.0400073714145</v>
      </c>
      <c r="BX29" s="100">
        <v>14</v>
      </c>
      <c r="BY29" s="100">
        <v>4737.5999999999995</v>
      </c>
      <c r="BZ29" s="100">
        <v>13</v>
      </c>
      <c r="CA29" s="100">
        <v>4399.2</v>
      </c>
      <c r="CB29" s="100">
        <v>10.061478978080022</v>
      </c>
      <c r="CC29" s="100">
        <v>3404.8044861822791</v>
      </c>
      <c r="CD29" s="100">
        <v>11.649045277205834</v>
      </c>
      <c r="CE29" s="100">
        <v>3942.0369218064543</v>
      </c>
      <c r="CF29" s="100">
        <v>8.216466415376342E-4</v>
      </c>
      <c r="CG29" s="100">
        <v>0.27804522349633537</v>
      </c>
      <c r="CH29" s="100">
        <v>13</v>
      </c>
      <c r="CI29" s="100">
        <v>4399.2</v>
      </c>
      <c r="CJ29" s="100">
        <v>9</v>
      </c>
      <c r="CK29" s="100">
        <v>3045.6</v>
      </c>
      <c r="CL29" s="100">
        <v>11</v>
      </c>
      <c r="CM29" s="100">
        <v>3722.3999999999996</v>
      </c>
      <c r="CN29" s="100">
        <v>8</v>
      </c>
      <c r="CO29" s="100">
        <v>2707.2</v>
      </c>
      <c r="CP29" s="100">
        <v>8</v>
      </c>
      <c r="CQ29" s="100">
        <v>2707.2</v>
      </c>
      <c r="CR29" s="100">
        <v>13</v>
      </c>
      <c r="CS29" s="100">
        <v>4399.2</v>
      </c>
      <c r="CT29" s="100">
        <v>7.6886990068712313</v>
      </c>
      <c r="CU29" s="100">
        <v>2601.8557439252245</v>
      </c>
    </row>
    <row r="30" spans="2:99">
      <c r="C30" s="99" t="s">
        <v>196</v>
      </c>
      <c r="D30" s="100">
        <v>4.52242659472466</v>
      </c>
      <c r="E30" s="100">
        <v>629.52178198567265</v>
      </c>
      <c r="F30" s="100">
        <v>9.6032048396646257</v>
      </c>
      <c r="G30" s="100">
        <v>1336.7661136813158</v>
      </c>
      <c r="H30" s="100">
        <v>10</v>
      </c>
      <c r="I30" s="100">
        <v>1392</v>
      </c>
      <c r="J30" s="100">
        <v>7</v>
      </c>
      <c r="K30" s="100">
        <v>974.39999999999986</v>
      </c>
      <c r="L30" s="100">
        <v>13</v>
      </c>
      <c r="M30" s="100">
        <v>1809.6</v>
      </c>
      <c r="N30" s="100">
        <v>9.8998565980482525</v>
      </c>
      <c r="O30" s="100">
        <v>1378.0600384483166</v>
      </c>
      <c r="P30" s="100">
        <v>6.5775000137920667</v>
      </c>
      <c r="Q30" s="100">
        <v>915.58800191985563</v>
      </c>
      <c r="R30" s="100">
        <v>12.582461886334398</v>
      </c>
      <c r="S30" s="100">
        <v>1751.478694577748</v>
      </c>
      <c r="T30" s="100">
        <v>8.0959576116931888</v>
      </c>
      <c r="U30" s="100">
        <v>1126.9572995476917</v>
      </c>
      <c r="V30" s="100">
        <v>9</v>
      </c>
      <c r="W30" s="100">
        <v>1252.8</v>
      </c>
      <c r="X30" s="100">
        <v>10.668809578057838</v>
      </c>
      <c r="Y30" s="100">
        <v>1485.0982932656509</v>
      </c>
      <c r="Z30" s="100">
        <v>3.0126380668511463</v>
      </c>
      <c r="AA30" s="100">
        <v>419.35921890567954</v>
      </c>
      <c r="AB30" s="100">
        <v>9</v>
      </c>
      <c r="AC30" s="100">
        <v>1252.8</v>
      </c>
      <c r="AD30" s="100">
        <v>10.044271348202608</v>
      </c>
      <c r="AE30" s="100">
        <v>1398.1625716698029</v>
      </c>
      <c r="AF30" s="100">
        <v>11.145749070285818</v>
      </c>
      <c r="AG30" s="100">
        <v>1551.4882705837858</v>
      </c>
      <c r="AH30" s="100">
        <v>6.5292878397099789</v>
      </c>
      <c r="AI30" s="100">
        <v>908.87686728762901</v>
      </c>
      <c r="AJ30" s="100">
        <v>13</v>
      </c>
      <c r="AK30" s="100">
        <v>1809.6</v>
      </c>
      <c r="AL30" s="100">
        <v>10.51651927588296</v>
      </c>
      <c r="AM30" s="100">
        <v>1463.899483202908</v>
      </c>
      <c r="AN30" s="100">
        <v>6.7503371533762758E-4</v>
      </c>
      <c r="AO30" s="100">
        <v>9.3964693174997754E-2</v>
      </c>
      <c r="AP30" s="100">
        <v>12</v>
      </c>
      <c r="AQ30" s="100">
        <v>1670.3999999999999</v>
      </c>
      <c r="AR30" s="100">
        <v>13</v>
      </c>
      <c r="AS30" s="100">
        <v>1809.6</v>
      </c>
      <c r="AT30" s="100">
        <v>15</v>
      </c>
      <c r="AU30" s="100">
        <v>2088</v>
      </c>
      <c r="AV30" s="100">
        <v>9.0453126369232901</v>
      </c>
      <c r="AW30" s="100">
        <v>1259.1075190597219</v>
      </c>
      <c r="AX30" s="100">
        <v>9.4375999857100883</v>
      </c>
      <c r="AY30" s="100">
        <v>1313.7139180108443</v>
      </c>
      <c r="AZ30" s="100">
        <v>10.319482037191447</v>
      </c>
      <c r="BA30" s="100">
        <v>1436.4718995770493</v>
      </c>
      <c r="BB30" s="100">
        <v>3.2198295027458093</v>
      </c>
      <c r="BC30" s="100">
        <v>448.2002667822166</v>
      </c>
      <c r="BD30" s="100">
        <v>16</v>
      </c>
      <c r="BE30" s="100">
        <v>2227.1999999999998</v>
      </c>
      <c r="BF30" s="100">
        <v>12</v>
      </c>
      <c r="BG30" s="100">
        <v>1670.3999999999999</v>
      </c>
      <c r="BH30" s="100">
        <v>9.9290851950682733</v>
      </c>
      <c r="BI30" s="100">
        <v>1382.1286591535036</v>
      </c>
      <c r="BJ30" s="100">
        <v>3.8486664537312625</v>
      </c>
      <c r="BK30" s="100">
        <v>535.73437035939173</v>
      </c>
      <c r="BL30" s="100">
        <v>8</v>
      </c>
      <c r="BM30" s="100">
        <v>1113.5999999999999</v>
      </c>
      <c r="BN30" s="100">
        <v>9</v>
      </c>
      <c r="BO30" s="100">
        <v>1252.8</v>
      </c>
      <c r="BP30" s="100">
        <v>9</v>
      </c>
      <c r="BQ30" s="100">
        <v>1252.8</v>
      </c>
      <c r="BR30" s="100">
        <v>12.398700889567158</v>
      </c>
      <c r="BS30" s="100">
        <v>1725.8991638277482</v>
      </c>
      <c r="BT30" s="100">
        <v>1.100829436686801</v>
      </c>
      <c r="BU30" s="100">
        <v>153.23545758680268</v>
      </c>
      <c r="BV30" s="100">
        <v>8.9202718875801725</v>
      </c>
      <c r="BW30" s="100">
        <v>1241.70184675116</v>
      </c>
      <c r="BX30" s="100">
        <v>14</v>
      </c>
      <c r="BY30" s="100">
        <v>1948.7999999999997</v>
      </c>
      <c r="BZ30" s="100">
        <v>12</v>
      </c>
      <c r="CA30" s="100">
        <v>1670.3999999999999</v>
      </c>
      <c r="CB30" s="100">
        <v>11.015327718163499</v>
      </c>
      <c r="CC30" s="100">
        <v>1533.3336183683589</v>
      </c>
      <c r="CD30" s="100">
        <v>11.649045277205834</v>
      </c>
      <c r="CE30" s="100">
        <v>1621.547102587052</v>
      </c>
      <c r="CF30" s="100">
        <v>1.0112574049693959E-3</v>
      </c>
      <c r="CG30" s="100">
        <v>0.14076703077173991</v>
      </c>
      <c r="CH30" s="100">
        <v>13</v>
      </c>
      <c r="CI30" s="100">
        <v>1809.6</v>
      </c>
      <c r="CJ30" s="100">
        <v>9</v>
      </c>
      <c r="CK30" s="100">
        <v>1252.8</v>
      </c>
      <c r="CL30" s="100">
        <v>12</v>
      </c>
      <c r="CM30" s="100">
        <v>1670.3999999999999</v>
      </c>
      <c r="CN30" s="100">
        <v>9</v>
      </c>
      <c r="CO30" s="100">
        <v>1252.8</v>
      </c>
      <c r="CP30" s="100">
        <v>9</v>
      </c>
      <c r="CQ30" s="100">
        <v>1252.8</v>
      </c>
      <c r="CR30" s="100">
        <v>14</v>
      </c>
      <c r="CS30" s="100">
        <v>1948.7999999999997</v>
      </c>
      <c r="CT30" s="100">
        <v>7.6886990068712313</v>
      </c>
      <c r="CU30" s="100">
        <v>1070.2669017564754</v>
      </c>
    </row>
    <row r="31" spans="2:99">
      <c r="C31" s="99" t="s">
        <v>197</v>
      </c>
      <c r="D31" s="100">
        <v>5.1351365723635718</v>
      </c>
      <c r="E31" s="100">
        <v>1750.0545438615054</v>
      </c>
      <c r="F31" s="100">
        <v>8.8029377696925728</v>
      </c>
      <c r="G31" s="100">
        <v>3000.0411919112289</v>
      </c>
      <c r="H31" s="100">
        <v>12</v>
      </c>
      <c r="I31" s="100">
        <v>4089.6000000000004</v>
      </c>
      <c r="J31" s="100">
        <v>8</v>
      </c>
      <c r="K31" s="100">
        <v>2726.4</v>
      </c>
      <c r="L31" s="100">
        <v>12</v>
      </c>
      <c r="M31" s="100">
        <v>4089.6000000000004</v>
      </c>
      <c r="N31" s="100">
        <v>9.8998565980482525</v>
      </c>
      <c r="O31" s="100">
        <v>3373.8711286148446</v>
      </c>
      <c r="P31" s="100">
        <v>5.9197500124128606</v>
      </c>
      <c r="Q31" s="100">
        <v>2017.450804230303</v>
      </c>
      <c r="R31" s="100">
        <v>12.616724350236421</v>
      </c>
      <c r="S31" s="100">
        <v>4299.779658560572</v>
      </c>
      <c r="T31" s="100">
        <v>7.4731916415629449</v>
      </c>
      <c r="U31" s="100">
        <v>2546.8637114446519</v>
      </c>
      <c r="V31" s="100">
        <v>10</v>
      </c>
      <c r="W31" s="100">
        <v>3408</v>
      </c>
      <c r="X31" s="100">
        <v>10.668809578057838</v>
      </c>
      <c r="Y31" s="100">
        <v>3635.9303042021111</v>
      </c>
      <c r="Z31" s="100">
        <v>3.0126380668511463</v>
      </c>
      <c r="AA31" s="100">
        <v>1026.7070531828706</v>
      </c>
      <c r="AB31" s="100">
        <v>9</v>
      </c>
      <c r="AC31" s="100">
        <v>3067.2000000000003</v>
      </c>
      <c r="AD31" s="100">
        <v>10.761719301645652</v>
      </c>
      <c r="AE31" s="100">
        <v>3667.5939380008381</v>
      </c>
      <c r="AF31" s="100">
        <v>12</v>
      </c>
      <c r="AG31" s="100">
        <v>4089.6000000000004</v>
      </c>
      <c r="AH31" s="100">
        <v>6.5292878397099789</v>
      </c>
      <c r="AI31" s="100">
        <v>2225.1812957731609</v>
      </c>
      <c r="AJ31" s="100">
        <v>13</v>
      </c>
      <c r="AK31" s="100">
        <v>4430.4000000000005</v>
      </c>
      <c r="AL31" s="100">
        <v>10.559465399451552</v>
      </c>
      <c r="AM31" s="100">
        <v>3598.6658081330893</v>
      </c>
      <c r="AN31" s="100">
        <v>6.7503371533762758E-4</v>
      </c>
      <c r="AO31" s="100">
        <v>0.23005149018706347</v>
      </c>
      <c r="AP31" s="100">
        <v>12</v>
      </c>
      <c r="AQ31" s="100">
        <v>4089.6000000000004</v>
      </c>
      <c r="AR31" s="100">
        <v>13</v>
      </c>
      <c r="AS31" s="100">
        <v>4430.4000000000005</v>
      </c>
      <c r="AT31" s="100">
        <v>14</v>
      </c>
      <c r="AU31" s="100">
        <v>4771.2</v>
      </c>
      <c r="AV31" s="100">
        <v>8.2230114881120819</v>
      </c>
      <c r="AW31" s="100">
        <v>2802.4023151485976</v>
      </c>
      <c r="AX31" s="100">
        <v>9.4375999857100883</v>
      </c>
      <c r="AY31" s="100">
        <v>3216.3340751299984</v>
      </c>
      <c r="AZ31" s="100">
        <v>10.294570681350548</v>
      </c>
      <c r="BA31" s="100">
        <v>3508.3896882042668</v>
      </c>
      <c r="BB31" s="100">
        <v>2.9898416811211082</v>
      </c>
      <c r="BC31" s="100">
        <v>1018.9380449260736</v>
      </c>
      <c r="BD31" s="100">
        <v>16</v>
      </c>
      <c r="BE31" s="100">
        <v>5452.8</v>
      </c>
      <c r="BF31" s="100">
        <v>10</v>
      </c>
      <c r="BG31" s="100">
        <v>3408</v>
      </c>
      <c r="BH31" s="100">
        <v>10.929085195068273</v>
      </c>
      <c r="BI31" s="100">
        <v>3724.6322344792675</v>
      </c>
      <c r="BJ31" s="100">
        <v>3.8486664537312625</v>
      </c>
      <c r="BK31" s="100">
        <v>1311.6255274316143</v>
      </c>
      <c r="BL31" s="100">
        <v>9</v>
      </c>
      <c r="BM31" s="100">
        <v>3067.2000000000003</v>
      </c>
      <c r="BN31" s="100">
        <v>9</v>
      </c>
      <c r="BO31" s="100">
        <v>3067.2000000000003</v>
      </c>
      <c r="BP31" s="100">
        <v>8</v>
      </c>
      <c r="BQ31" s="100">
        <v>2726.4</v>
      </c>
      <c r="BR31" s="100">
        <v>12.375247896063208</v>
      </c>
      <c r="BS31" s="100">
        <v>4217.4844829783415</v>
      </c>
      <c r="BT31" s="100">
        <v>1.100829436686801</v>
      </c>
      <c r="BU31" s="100">
        <v>375.16267202286178</v>
      </c>
      <c r="BV31" s="100">
        <v>8.9202718875801725</v>
      </c>
      <c r="BW31" s="100">
        <v>3040.0286592873231</v>
      </c>
      <c r="BX31" s="100">
        <v>13</v>
      </c>
      <c r="BY31" s="100">
        <v>4430.4000000000005</v>
      </c>
      <c r="BZ31" s="100">
        <v>14</v>
      </c>
      <c r="CA31" s="100">
        <v>4771.2</v>
      </c>
      <c r="CB31" s="100">
        <v>8.9230251983304534</v>
      </c>
      <c r="CC31" s="100">
        <v>3040.9669875910186</v>
      </c>
      <c r="CD31" s="100">
        <v>11.649045277205834</v>
      </c>
      <c r="CE31" s="100">
        <v>3969.9946304717487</v>
      </c>
      <c r="CF31" s="100">
        <v>8.8485022934822158E-4</v>
      </c>
      <c r="CG31" s="100">
        <v>0.30155695816187394</v>
      </c>
      <c r="CH31" s="100">
        <v>12</v>
      </c>
      <c r="CI31" s="100">
        <v>4089.6000000000004</v>
      </c>
      <c r="CJ31" s="100">
        <v>10</v>
      </c>
      <c r="CK31" s="100">
        <v>3408</v>
      </c>
      <c r="CL31" s="100">
        <v>11</v>
      </c>
      <c r="CM31" s="100">
        <v>3748.8</v>
      </c>
      <c r="CN31" s="100">
        <v>9</v>
      </c>
      <c r="CO31" s="100">
        <v>3067.2000000000003</v>
      </c>
      <c r="CP31" s="100">
        <v>9</v>
      </c>
      <c r="CQ31" s="100">
        <v>3067.2000000000003</v>
      </c>
      <c r="CR31" s="100">
        <v>12</v>
      </c>
      <c r="CS31" s="100">
        <v>4089.6000000000004</v>
      </c>
      <c r="CT31" s="100">
        <v>7.7320150805418049</v>
      </c>
      <c r="CU31" s="100">
        <v>2635.0707394486471</v>
      </c>
    </row>
    <row r="32" spans="2:99">
      <c r="C32" s="99" t="s">
        <v>198</v>
      </c>
      <c r="D32" s="100">
        <v>4.5126992300891482</v>
      </c>
      <c r="E32" s="100">
        <v>3790.6673532748846</v>
      </c>
      <c r="F32" s="100">
        <v>9.6032048396646257</v>
      </c>
      <c r="G32" s="100">
        <v>8066.6920653182851</v>
      </c>
      <c r="H32" s="100">
        <v>10</v>
      </c>
      <c r="I32" s="100">
        <v>8400</v>
      </c>
      <c r="J32" s="100">
        <v>8</v>
      </c>
      <c r="K32" s="100">
        <v>6720</v>
      </c>
      <c r="L32" s="100">
        <v>11</v>
      </c>
      <c r="M32" s="100">
        <v>9240</v>
      </c>
      <c r="N32" s="100">
        <v>11.799872531598446</v>
      </c>
      <c r="O32" s="100">
        <v>9911.8929265426941</v>
      </c>
      <c r="P32" s="100">
        <v>6.5775000137920667</v>
      </c>
      <c r="Q32" s="100">
        <v>5525.1000115853358</v>
      </c>
      <c r="R32" s="100">
        <v>12.548199422432374</v>
      </c>
      <c r="S32" s="100">
        <v>10540.487514843195</v>
      </c>
      <c r="T32" s="100">
        <v>7.4731916415629449</v>
      </c>
      <c r="U32" s="100">
        <v>6277.480978912874</v>
      </c>
      <c r="V32" s="100">
        <v>9</v>
      </c>
      <c r="W32" s="100">
        <v>7560</v>
      </c>
      <c r="X32" s="100">
        <v>11.579634967650126</v>
      </c>
      <c r="Y32" s="100">
        <v>9726.8933728261054</v>
      </c>
      <c r="Z32" s="100">
        <v>3.0126380668511463</v>
      </c>
      <c r="AA32" s="100">
        <v>2530.6159761549629</v>
      </c>
      <c r="AB32" s="100">
        <v>8</v>
      </c>
      <c r="AC32" s="100">
        <v>6720</v>
      </c>
      <c r="AD32" s="100">
        <v>9.3268233947595647</v>
      </c>
      <c r="AE32" s="100">
        <v>7834.5316515980339</v>
      </c>
      <c r="AF32" s="100">
        <v>11</v>
      </c>
      <c r="AG32" s="100">
        <v>9240</v>
      </c>
      <c r="AH32" s="100">
        <v>6.5292878397099789</v>
      </c>
      <c r="AI32" s="100">
        <v>5484.6017853563826</v>
      </c>
      <c r="AJ32" s="100">
        <v>11</v>
      </c>
      <c r="AK32" s="100">
        <v>9240</v>
      </c>
      <c r="AL32" s="100">
        <v>8.969068923398142</v>
      </c>
      <c r="AM32" s="100">
        <v>7534.0178956544396</v>
      </c>
      <c r="AN32" s="100">
        <v>6.7503371533762758E-4</v>
      </c>
      <c r="AO32" s="100">
        <v>0.56702832088360722</v>
      </c>
      <c r="AP32" s="100">
        <v>14</v>
      </c>
      <c r="AQ32" s="100">
        <v>11760</v>
      </c>
      <c r="AR32" s="100">
        <v>14</v>
      </c>
      <c r="AS32" s="100">
        <v>11760</v>
      </c>
      <c r="AT32" s="100">
        <v>14</v>
      </c>
      <c r="AU32" s="100">
        <v>11760</v>
      </c>
      <c r="AV32" s="100">
        <v>9.0453126369232901</v>
      </c>
      <c r="AW32" s="100">
        <v>7598.062615015564</v>
      </c>
      <c r="AX32" s="100">
        <v>9.4755420076051617</v>
      </c>
      <c r="AY32" s="100">
        <v>7959.4552863883355</v>
      </c>
      <c r="AZ32" s="100">
        <v>10.344393393032348</v>
      </c>
      <c r="BA32" s="100">
        <v>8689.290450147173</v>
      </c>
      <c r="BB32" s="100">
        <v>3.2198295027458093</v>
      </c>
      <c r="BC32" s="100">
        <v>2704.6567823064797</v>
      </c>
      <c r="BD32" s="100">
        <v>15</v>
      </c>
      <c r="BE32" s="100">
        <v>12600</v>
      </c>
      <c r="BF32" s="100">
        <v>10</v>
      </c>
      <c r="BG32" s="100">
        <v>8400</v>
      </c>
      <c r="BH32" s="100">
        <v>9.9290851950682733</v>
      </c>
      <c r="BI32" s="100">
        <v>8340.4315638573498</v>
      </c>
      <c r="BJ32" s="100">
        <v>4.1235712004263529</v>
      </c>
      <c r="BK32" s="100">
        <v>3463.7998083581365</v>
      </c>
      <c r="BL32" s="100">
        <v>9</v>
      </c>
      <c r="BM32" s="100">
        <v>7560</v>
      </c>
      <c r="BN32" s="100">
        <v>9</v>
      </c>
      <c r="BO32" s="100">
        <v>7560</v>
      </c>
      <c r="BP32" s="100">
        <v>9</v>
      </c>
      <c r="BQ32" s="100">
        <v>7560</v>
      </c>
      <c r="BR32" s="100">
        <v>10.351794902559257</v>
      </c>
      <c r="BS32" s="100">
        <v>8695.5077181497763</v>
      </c>
      <c r="BT32" s="100">
        <v>1.2384331162726507</v>
      </c>
      <c r="BU32" s="100">
        <v>1040.2838176690266</v>
      </c>
      <c r="BV32" s="100">
        <v>8.9202718875801725</v>
      </c>
      <c r="BW32" s="100">
        <v>7493.0283855673451</v>
      </c>
      <c r="BX32" s="100">
        <v>14</v>
      </c>
      <c r="BY32" s="100">
        <v>11760</v>
      </c>
      <c r="BZ32" s="100">
        <v>13</v>
      </c>
      <c r="CA32" s="100">
        <v>10920</v>
      </c>
      <c r="CB32" s="100">
        <v>10.015327718163499</v>
      </c>
      <c r="CC32" s="100">
        <v>8412.8752832573391</v>
      </c>
      <c r="CD32" s="100">
        <v>10.92097994738047</v>
      </c>
      <c r="CE32" s="100">
        <v>9173.6231557995943</v>
      </c>
      <c r="CF32" s="100">
        <v>8.216466415376342E-4</v>
      </c>
      <c r="CG32" s="100">
        <v>0.69018317889161274</v>
      </c>
      <c r="CH32" s="100">
        <v>12</v>
      </c>
      <c r="CI32" s="100">
        <v>10080</v>
      </c>
      <c r="CJ32" s="100">
        <v>9</v>
      </c>
      <c r="CK32" s="100">
        <v>7560</v>
      </c>
      <c r="CL32" s="100">
        <v>11</v>
      </c>
      <c r="CM32" s="100">
        <v>9240</v>
      </c>
      <c r="CN32" s="100">
        <v>9</v>
      </c>
      <c r="CO32" s="100">
        <v>7560</v>
      </c>
      <c r="CP32" s="100">
        <v>10</v>
      </c>
      <c r="CQ32" s="100">
        <v>8400</v>
      </c>
      <c r="CR32" s="100">
        <v>13</v>
      </c>
      <c r="CS32" s="100">
        <v>10920</v>
      </c>
      <c r="CT32" s="100">
        <v>7.6886990068712313</v>
      </c>
      <c r="CU32" s="100">
        <v>6458.5071657718345</v>
      </c>
    </row>
    <row r="33" spans="2:99">
      <c r="C33" s="99" t="s">
        <v>199</v>
      </c>
      <c r="D33" s="100">
        <v>5.1156818430925499</v>
      </c>
      <c r="E33" s="100">
        <v>2424.8331936258687</v>
      </c>
      <c r="F33" s="100">
        <v>9.6032048396646257</v>
      </c>
      <c r="G33" s="100">
        <v>4551.9190940010321</v>
      </c>
      <c r="H33" s="100">
        <v>10</v>
      </c>
      <c r="I33" s="100">
        <v>4740</v>
      </c>
      <c r="J33" s="100">
        <v>7</v>
      </c>
      <c r="K33" s="100">
        <v>3318</v>
      </c>
      <c r="L33" s="100">
        <v>13</v>
      </c>
      <c r="M33" s="100">
        <v>6162</v>
      </c>
      <c r="N33" s="100">
        <v>10.899856598048252</v>
      </c>
      <c r="O33" s="100">
        <v>5166.5320274748719</v>
      </c>
      <c r="P33" s="100">
        <v>5.9197500124128606</v>
      </c>
      <c r="Q33" s="100">
        <v>2805.9615058836957</v>
      </c>
      <c r="R33" s="100">
        <v>12.650986814138445</v>
      </c>
      <c r="S33" s="100">
        <v>5996.5677499016228</v>
      </c>
      <c r="T33" s="100">
        <v>7.4731916415629449</v>
      </c>
      <c r="U33" s="100">
        <v>3542.292838100836</v>
      </c>
      <c r="V33" s="100">
        <v>9</v>
      </c>
      <c r="W33" s="100">
        <v>4266</v>
      </c>
      <c r="X33" s="100">
        <v>11.624222272853981</v>
      </c>
      <c r="Y33" s="100">
        <v>5509.881357332787</v>
      </c>
      <c r="Z33" s="100">
        <v>3.0126380668511463</v>
      </c>
      <c r="AA33" s="100">
        <v>1427.9904436874433</v>
      </c>
      <c r="AB33" s="100">
        <v>9</v>
      </c>
      <c r="AC33" s="100">
        <v>4266</v>
      </c>
      <c r="AD33" s="100">
        <v>9.3268233947595647</v>
      </c>
      <c r="AE33" s="100">
        <v>4420.9142891160336</v>
      </c>
      <c r="AF33" s="100">
        <v>13</v>
      </c>
      <c r="AG33" s="100">
        <v>6162</v>
      </c>
      <c r="AH33" s="100">
        <v>6.5292878397099789</v>
      </c>
      <c r="AI33" s="100">
        <v>3094.8824360225299</v>
      </c>
      <c r="AJ33" s="100">
        <v>14</v>
      </c>
      <c r="AK33" s="100">
        <v>6636</v>
      </c>
      <c r="AL33" s="100">
        <v>9.7571094741634159</v>
      </c>
      <c r="AM33" s="100">
        <v>4624.869890753459</v>
      </c>
      <c r="AN33" s="100">
        <v>5.9065450092042409E-4</v>
      </c>
      <c r="AO33" s="100">
        <v>0.27997023343628102</v>
      </c>
      <c r="AP33" s="100">
        <v>13</v>
      </c>
      <c r="AQ33" s="100">
        <v>6162</v>
      </c>
      <c r="AR33" s="100">
        <v>13</v>
      </c>
      <c r="AS33" s="100">
        <v>6162</v>
      </c>
      <c r="AT33" s="100">
        <v>14</v>
      </c>
      <c r="AU33" s="100">
        <v>6636</v>
      </c>
      <c r="AV33" s="100">
        <v>7.4007103393008737</v>
      </c>
      <c r="AW33" s="100">
        <v>3507.936700828614</v>
      </c>
      <c r="AX33" s="100">
        <v>9.4736449065104065</v>
      </c>
      <c r="AY33" s="100">
        <v>4490.5076856859323</v>
      </c>
      <c r="AZ33" s="100">
        <v>9.0249281946461952</v>
      </c>
      <c r="BA33" s="100">
        <v>4277.8159642622968</v>
      </c>
      <c r="BB33" s="100">
        <v>3.2198295027458093</v>
      </c>
      <c r="BC33" s="100">
        <v>1526.1991843015137</v>
      </c>
      <c r="BD33" s="100">
        <v>14</v>
      </c>
      <c r="BE33" s="100">
        <v>6636</v>
      </c>
      <c r="BF33" s="100">
        <v>11</v>
      </c>
      <c r="BG33" s="100">
        <v>5214</v>
      </c>
      <c r="BH33" s="100">
        <v>10.075782857447475</v>
      </c>
      <c r="BI33" s="100">
        <v>4775.9210744301035</v>
      </c>
      <c r="BJ33" s="100">
        <v>4.398475947121443</v>
      </c>
      <c r="BK33" s="100">
        <v>2084.877598935564</v>
      </c>
      <c r="BL33" s="100">
        <v>8</v>
      </c>
      <c r="BM33" s="100">
        <v>3792</v>
      </c>
      <c r="BN33" s="100">
        <v>9</v>
      </c>
      <c r="BO33" s="100">
        <v>4266</v>
      </c>
      <c r="BP33" s="100">
        <v>9</v>
      </c>
      <c r="BQ33" s="100">
        <v>4266</v>
      </c>
      <c r="BR33" s="100">
        <v>11.351794902559257</v>
      </c>
      <c r="BS33" s="100">
        <v>5380.7507838130878</v>
      </c>
      <c r="BT33" s="100">
        <v>1.2108204786272079</v>
      </c>
      <c r="BU33" s="100">
        <v>573.9289068692965</v>
      </c>
      <c r="BV33" s="100">
        <v>9.7312056955420054</v>
      </c>
      <c r="BW33" s="100">
        <v>4612.5914996869105</v>
      </c>
      <c r="BX33" s="100">
        <v>12</v>
      </c>
      <c r="BY33" s="100">
        <v>5688</v>
      </c>
      <c r="BZ33" s="100">
        <v>13</v>
      </c>
      <c r="CA33" s="100">
        <v>6162</v>
      </c>
      <c r="CB33" s="100">
        <v>8.8768739384139312</v>
      </c>
      <c r="CC33" s="100">
        <v>4207.6382468082038</v>
      </c>
      <c r="CD33" s="100">
        <v>9.4648492877297414</v>
      </c>
      <c r="CE33" s="100">
        <v>4486.3385623838976</v>
      </c>
      <c r="CF33" s="100">
        <v>9.4805381715880874E-4</v>
      </c>
      <c r="CG33" s="100">
        <v>0.44937750933327536</v>
      </c>
      <c r="CH33" s="100">
        <v>11</v>
      </c>
      <c r="CI33" s="100">
        <v>5214</v>
      </c>
      <c r="CJ33" s="100">
        <v>9</v>
      </c>
      <c r="CK33" s="100">
        <v>4266</v>
      </c>
      <c r="CL33" s="100">
        <v>12</v>
      </c>
      <c r="CM33" s="100">
        <v>5688</v>
      </c>
      <c r="CN33" s="100">
        <v>9</v>
      </c>
      <c r="CO33" s="100">
        <v>4266</v>
      </c>
      <c r="CP33" s="100">
        <v>9</v>
      </c>
      <c r="CQ33" s="100">
        <v>4266</v>
      </c>
      <c r="CR33" s="100">
        <v>14</v>
      </c>
      <c r="CS33" s="100">
        <v>6636</v>
      </c>
      <c r="CT33" s="100">
        <v>7.6886990068712313</v>
      </c>
      <c r="CU33" s="100">
        <v>3644.4433292569638</v>
      </c>
    </row>
    <row r="34" spans="2:99">
      <c r="C34" s="99" t="s">
        <v>200</v>
      </c>
      <c r="D34" s="100">
        <v>5.1156818430925499</v>
      </c>
      <c r="E34" s="100">
        <v>2805.4399227519543</v>
      </c>
      <c r="F34" s="100">
        <v>9.6032048396646257</v>
      </c>
      <c r="G34" s="100">
        <v>5266.3975340720808</v>
      </c>
      <c r="H34" s="100">
        <v>10</v>
      </c>
      <c r="I34" s="100">
        <v>5484</v>
      </c>
      <c r="J34" s="100">
        <v>8</v>
      </c>
      <c r="K34" s="100">
        <v>4387.2</v>
      </c>
      <c r="L34" s="100">
        <v>11</v>
      </c>
      <c r="M34" s="100">
        <v>6032.4</v>
      </c>
      <c r="N34" s="100">
        <v>11.899856598048252</v>
      </c>
      <c r="O34" s="100">
        <v>6525.881358369661</v>
      </c>
      <c r="P34" s="100">
        <v>6.5775000137920667</v>
      </c>
      <c r="Q34" s="100">
        <v>3607.1010075635691</v>
      </c>
      <c r="R34" s="100">
        <v>13.582461886334398</v>
      </c>
      <c r="S34" s="100">
        <v>7448.6220984657839</v>
      </c>
      <c r="T34" s="100">
        <v>8.0959576116931888</v>
      </c>
      <c r="U34" s="100">
        <v>4439.8231542525446</v>
      </c>
      <c r="V34" s="100">
        <v>9</v>
      </c>
      <c r="W34" s="100">
        <v>4935.5999999999995</v>
      </c>
      <c r="X34" s="100">
        <v>9.6242222728539808</v>
      </c>
      <c r="Y34" s="100">
        <v>5277.9234944331229</v>
      </c>
      <c r="Z34" s="100">
        <v>3.0126380668511463</v>
      </c>
      <c r="AA34" s="100">
        <v>1652.1307158611685</v>
      </c>
      <c r="AB34" s="100">
        <v>9</v>
      </c>
      <c r="AC34" s="100">
        <v>4935.5999999999995</v>
      </c>
      <c r="AD34" s="100">
        <v>10.044271348202608</v>
      </c>
      <c r="AE34" s="100">
        <v>5508.2784073543098</v>
      </c>
      <c r="AF34" s="100">
        <v>11</v>
      </c>
      <c r="AG34" s="100">
        <v>6032.4</v>
      </c>
      <c r="AH34" s="100">
        <v>6.5292878397099789</v>
      </c>
      <c r="AI34" s="100">
        <v>3580.6614512969522</v>
      </c>
      <c r="AJ34" s="100">
        <v>14</v>
      </c>
      <c r="AK34" s="100">
        <v>7677.5999999999995</v>
      </c>
      <c r="AL34" s="100">
        <v>9.7284787251176876</v>
      </c>
      <c r="AM34" s="100">
        <v>5335.0977328545396</v>
      </c>
      <c r="AN34" s="100">
        <v>5.9065450092042409E-4</v>
      </c>
      <c r="AO34" s="100">
        <v>0.32391492830476054</v>
      </c>
      <c r="AP34" s="100">
        <v>14</v>
      </c>
      <c r="AQ34" s="100">
        <v>7677.5999999999995</v>
      </c>
      <c r="AR34" s="100">
        <v>13</v>
      </c>
      <c r="AS34" s="100">
        <v>7129.2</v>
      </c>
      <c r="AT34" s="100">
        <v>13</v>
      </c>
      <c r="AU34" s="100">
        <v>7129.2</v>
      </c>
      <c r="AV34" s="100">
        <v>8.2230114881120819</v>
      </c>
      <c r="AW34" s="100">
        <v>4509.4995000806657</v>
      </c>
      <c r="AX34" s="100">
        <v>10.149656292298738</v>
      </c>
      <c r="AY34" s="100">
        <v>5566.0715106966281</v>
      </c>
      <c r="AZ34" s="100">
        <v>9.6597494379983697</v>
      </c>
      <c r="BA34" s="100">
        <v>5297.4065917983062</v>
      </c>
      <c r="BB34" s="100">
        <v>3.2198295027458093</v>
      </c>
      <c r="BC34" s="100">
        <v>1765.7544993058018</v>
      </c>
      <c r="BD34" s="100">
        <v>15</v>
      </c>
      <c r="BE34" s="100">
        <v>8226</v>
      </c>
      <c r="BF34" s="100">
        <v>10</v>
      </c>
      <c r="BG34" s="100">
        <v>5484</v>
      </c>
      <c r="BH34" s="100">
        <v>9.9290851950682733</v>
      </c>
      <c r="BI34" s="100">
        <v>5445.110320975441</v>
      </c>
      <c r="BJ34" s="100">
        <v>3.8486664537312625</v>
      </c>
      <c r="BK34" s="100">
        <v>2110.6086832262245</v>
      </c>
      <c r="BL34" s="100">
        <v>9</v>
      </c>
      <c r="BM34" s="100">
        <v>4935.5999999999995</v>
      </c>
      <c r="BN34" s="100">
        <v>10</v>
      </c>
      <c r="BO34" s="100">
        <v>5484</v>
      </c>
      <c r="BP34" s="100">
        <v>9</v>
      </c>
      <c r="BQ34" s="100">
        <v>4935.5999999999995</v>
      </c>
      <c r="BR34" s="100">
        <v>12.398700889567158</v>
      </c>
      <c r="BS34" s="100">
        <v>6799.4475678386289</v>
      </c>
      <c r="BT34" s="100">
        <v>1.353661826876887</v>
      </c>
      <c r="BU34" s="100">
        <v>742.34814585928473</v>
      </c>
      <c r="BV34" s="100">
        <v>8.1093380796183379</v>
      </c>
      <c r="BW34" s="100">
        <v>4447.1610028626965</v>
      </c>
      <c r="BX34" s="100">
        <v>14</v>
      </c>
      <c r="BY34" s="100">
        <v>7677.5999999999995</v>
      </c>
      <c r="BZ34" s="100">
        <v>14</v>
      </c>
      <c r="CA34" s="100">
        <v>7677.5999999999995</v>
      </c>
      <c r="CB34" s="100">
        <v>11.015327718163499</v>
      </c>
      <c r="CC34" s="100">
        <v>6040.805720640863</v>
      </c>
      <c r="CD34" s="100">
        <v>10.192914617555106</v>
      </c>
      <c r="CE34" s="100">
        <v>5589.7943762672194</v>
      </c>
      <c r="CF34" s="100">
        <v>9.4805381715880874E-4</v>
      </c>
      <c r="CG34" s="100">
        <v>0.51991271332989064</v>
      </c>
      <c r="CH34" s="100">
        <v>12</v>
      </c>
      <c r="CI34" s="100">
        <v>6580.7999999999993</v>
      </c>
      <c r="CJ34" s="100">
        <v>8</v>
      </c>
      <c r="CK34" s="100">
        <v>4387.2</v>
      </c>
      <c r="CL34" s="100">
        <v>11</v>
      </c>
      <c r="CM34" s="100">
        <v>6032.4</v>
      </c>
      <c r="CN34" s="100">
        <v>9</v>
      </c>
      <c r="CO34" s="100">
        <v>4935.5999999999995</v>
      </c>
      <c r="CP34" s="100">
        <v>8</v>
      </c>
      <c r="CQ34" s="100">
        <v>4387.2</v>
      </c>
      <c r="CR34" s="100">
        <v>12</v>
      </c>
      <c r="CS34" s="100">
        <v>6580.7999999999993</v>
      </c>
      <c r="CT34" s="100">
        <v>8.470563729659526</v>
      </c>
      <c r="CU34" s="100">
        <v>4645.2571493452842</v>
      </c>
    </row>
    <row r="35" spans="2:99">
      <c r="C35" s="99" t="s">
        <v>201</v>
      </c>
      <c r="D35" s="100">
        <v>5.1351365723635718</v>
      </c>
      <c r="E35" s="100">
        <v>2581.9466685844036</v>
      </c>
      <c r="F35" s="100">
        <v>10.403471909636677</v>
      </c>
      <c r="G35" s="100">
        <v>5230.8656761653201</v>
      </c>
      <c r="H35" s="100">
        <v>10</v>
      </c>
      <c r="I35" s="100">
        <v>5027.9999999999991</v>
      </c>
      <c r="J35" s="100">
        <v>8</v>
      </c>
      <c r="K35" s="100">
        <v>4022.3999999999992</v>
      </c>
      <c r="L35" s="100">
        <v>13</v>
      </c>
      <c r="M35" s="100">
        <v>6536.3999999999987</v>
      </c>
      <c r="N35" s="100">
        <v>10.949848631273156</v>
      </c>
      <c r="O35" s="100">
        <v>5505.5838918041418</v>
      </c>
      <c r="P35" s="100">
        <v>6.5775000137920667</v>
      </c>
      <c r="Q35" s="100">
        <v>3307.1670069346505</v>
      </c>
      <c r="R35" s="100">
        <v>13.650986814138445</v>
      </c>
      <c r="S35" s="100">
        <v>6863.7161701488085</v>
      </c>
      <c r="T35" s="100">
        <v>8.0959576116931888</v>
      </c>
      <c r="U35" s="100">
        <v>4070.6474871593346</v>
      </c>
      <c r="V35" s="100">
        <v>9</v>
      </c>
      <c r="W35" s="100">
        <v>4525.1999999999989</v>
      </c>
      <c r="X35" s="100">
        <v>10.668809578057838</v>
      </c>
      <c r="Y35" s="100">
        <v>5364.2774558474794</v>
      </c>
      <c r="Z35" s="100">
        <v>3.2865142547467054</v>
      </c>
      <c r="AA35" s="100">
        <v>1652.4593672866431</v>
      </c>
      <c r="AB35" s="100">
        <v>9</v>
      </c>
      <c r="AC35" s="100">
        <v>4525.1999999999989</v>
      </c>
      <c r="AD35" s="100">
        <v>10.044271348202608</v>
      </c>
      <c r="AE35" s="100">
        <v>5050.2596338762705</v>
      </c>
      <c r="AF35" s="100">
        <v>12</v>
      </c>
      <c r="AG35" s="100">
        <v>6033.5999999999985</v>
      </c>
      <c r="AH35" s="100">
        <v>6.5292878397099789</v>
      </c>
      <c r="AI35" s="100">
        <v>3282.9259258061766</v>
      </c>
      <c r="AJ35" s="100">
        <v>14</v>
      </c>
      <c r="AK35" s="100">
        <v>7039.1999999999989</v>
      </c>
      <c r="AL35" s="100">
        <v>9.7714248486862783</v>
      </c>
      <c r="AM35" s="100">
        <v>4913.0724139194599</v>
      </c>
      <c r="AN35" s="100">
        <v>5.9065450092042409E-4</v>
      </c>
      <c r="AO35" s="100">
        <v>0.2969810830627892</v>
      </c>
      <c r="AP35" s="100">
        <v>13</v>
      </c>
      <c r="AQ35" s="100">
        <v>6536.3999999999987</v>
      </c>
      <c r="AR35" s="100">
        <v>12</v>
      </c>
      <c r="AS35" s="100">
        <v>6033.5999999999985</v>
      </c>
      <c r="AT35" s="100">
        <v>16</v>
      </c>
      <c r="AU35" s="100">
        <v>8044.7999999999984</v>
      </c>
      <c r="AV35" s="100">
        <v>9.0453126369232901</v>
      </c>
      <c r="AW35" s="100">
        <v>4547.9831938450297</v>
      </c>
      <c r="AX35" s="100">
        <v>9.4375999857100883</v>
      </c>
      <c r="AY35" s="100">
        <v>4745.2252728150315</v>
      </c>
      <c r="AZ35" s="100">
        <v>9.6846607938392708</v>
      </c>
      <c r="BA35" s="100">
        <v>4869.4474471423846</v>
      </c>
      <c r="BB35" s="100">
        <v>2.9898416811211082</v>
      </c>
      <c r="BC35" s="100">
        <v>1503.2923972676929</v>
      </c>
      <c r="BD35" s="100">
        <v>14</v>
      </c>
      <c r="BE35" s="100">
        <v>7039.1999999999989</v>
      </c>
      <c r="BF35" s="100">
        <v>11</v>
      </c>
      <c r="BG35" s="100">
        <v>5530.7999999999993</v>
      </c>
      <c r="BH35" s="100">
        <v>10.075782857447475</v>
      </c>
      <c r="BI35" s="100">
        <v>5066.1036207245897</v>
      </c>
      <c r="BJ35" s="100">
        <v>3.8486664537312625</v>
      </c>
      <c r="BK35" s="100">
        <v>1935.1094929360784</v>
      </c>
      <c r="BL35" s="100">
        <v>9</v>
      </c>
      <c r="BM35" s="100">
        <v>4525.1999999999989</v>
      </c>
      <c r="BN35" s="100">
        <v>9</v>
      </c>
      <c r="BO35" s="100">
        <v>4525.1999999999989</v>
      </c>
      <c r="BP35" s="100">
        <v>9</v>
      </c>
      <c r="BQ35" s="100">
        <v>4525.1999999999989</v>
      </c>
      <c r="BR35" s="100">
        <v>11.375247896063208</v>
      </c>
      <c r="BS35" s="100">
        <v>5719.4746421405798</v>
      </c>
      <c r="BT35" s="100">
        <v>1.100829436686801</v>
      </c>
      <c r="BU35" s="100">
        <v>553.4970407661234</v>
      </c>
      <c r="BV35" s="100">
        <v>8.9202718875801725</v>
      </c>
      <c r="BW35" s="100">
        <v>4485.1127050753103</v>
      </c>
      <c r="BX35" s="100">
        <v>12</v>
      </c>
      <c r="BY35" s="100">
        <v>6033.5999999999985</v>
      </c>
      <c r="BZ35" s="100">
        <v>14</v>
      </c>
      <c r="CA35" s="100">
        <v>7039.1999999999989</v>
      </c>
      <c r="CB35" s="100">
        <v>10.015327718163499</v>
      </c>
      <c r="CC35" s="100">
        <v>5035.7067766926066</v>
      </c>
      <c r="CD35" s="100">
        <v>10.92097994738047</v>
      </c>
      <c r="CE35" s="100">
        <v>5491.0687175428993</v>
      </c>
      <c r="CF35" s="100">
        <v>9.4805381715880874E-4</v>
      </c>
      <c r="CG35" s="100">
        <v>0.47668145926744893</v>
      </c>
      <c r="CH35" s="100">
        <v>11</v>
      </c>
      <c r="CI35" s="100">
        <v>5530.7999999999993</v>
      </c>
      <c r="CJ35" s="100">
        <v>8</v>
      </c>
      <c r="CK35" s="100">
        <v>4022.3999999999992</v>
      </c>
      <c r="CL35" s="100">
        <v>12</v>
      </c>
      <c r="CM35" s="100">
        <v>6033.5999999999985</v>
      </c>
      <c r="CN35" s="100">
        <v>9</v>
      </c>
      <c r="CO35" s="100">
        <v>4525.1999999999989</v>
      </c>
      <c r="CP35" s="100">
        <v>8</v>
      </c>
      <c r="CQ35" s="100">
        <v>4022.3999999999992</v>
      </c>
      <c r="CR35" s="100">
        <v>12</v>
      </c>
      <c r="CS35" s="100">
        <v>6033.5999999999985</v>
      </c>
      <c r="CT35" s="100">
        <v>7.7103570437065176</v>
      </c>
      <c r="CU35" s="100">
        <v>3876.7675215756362</v>
      </c>
    </row>
    <row r="36" spans="2:99">
      <c r="C36" s="99" t="s">
        <v>202</v>
      </c>
      <c r="D36" s="100">
        <v>5.1156818430925499</v>
      </c>
      <c r="E36" s="100">
        <v>3892.0107462248116</v>
      </c>
      <c r="F36" s="100">
        <v>9.6032048396646257</v>
      </c>
      <c r="G36" s="100">
        <v>7306.118242016847</v>
      </c>
      <c r="H36" s="100">
        <v>10</v>
      </c>
      <c r="I36" s="100">
        <v>7608</v>
      </c>
      <c r="J36" s="100">
        <v>7</v>
      </c>
      <c r="K36" s="100">
        <v>5325.5999999999995</v>
      </c>
      <c r="L36" s="100">
        <v>12</v>
      </c>
      <c r="M36" s="100">
        <v>9129.5999999999985</v>
      </c>
      <c r="N36" s="100">
        <v>10.899856598048252</v>
      </c>
      <c r="O36" s="100">
        <v>8292.6108997951105</v>
      </c>
      <c r="P36" s="100">
        <v>5.9197500124128606</v>
      </c>
      <c r="Q36" s="100">
        <v>4503.7458094437043</v>
      </c>
      <c r="R36" s="100">
        <v>12.582461886334398</v>
      </c>
      <c r="S36" s="100">
        <v>9572.7370031232094</v>
      </c>
      <c r="T36" s="100">
        <v>7.4731916415629449</v>
      </c>
      <c r="U36" s="100">
        <v>5685.604200901088</v>
      </c>
      <c r="V36" s="100">
        <v>8</v>
      </c>
      <c r="W36" s="100">
        <v>6086.4</v>
      </c>
      <c r="X36" s="100">
        <v>10.624222272853981</v>
      </c>
      <c r="Y36" s="100">
        <v>8082.9083051873085</v>
      </c>
      <c r="Z36" s="100">
        <v>2.7387618789555876</v>
      </c>
      <c r="AA36" s="100">
        <v>2083.650037509411</v>
      </c>
      <c r="AB36" s="100">
        <v>10</v>
      </c>
      <c r="AC36" s="100">
        <v>7608</v>
      </c>
      <c r="AD36" s="100">
        <v>8.6093754413165211</v>
      </c>
      <c r="AE36" s="100">
        <v>6550.0128357536087</v>
      </c>
      <c r="AF36" s="100">
        <v>13</v>
      </c>
      <c r="AG36" s="100">
        <v>9890.4</v>
      </c>
      <c r="AH36" s="100">
        <v>5.8763590557389813</v>
      </c>
      <c r="AI36" s="100">
        <v>4470.7339696062163</v>
      </c>
      <c r="AJ36" s="100">
        <v>12</v>
      </c>
      <c r="AK36" s="100">
        <v>9129.5999999999985</v>
      </c>
      <c r="AL36" s="100">
        <v>10.51651927588296</v>
      </c>
      <c r="AM36" s="100">
        <v>8000.9678650917549</v>
      </c>
      <c r="AN36" s="100">
        <v>7.5941292975483096E-4</v>
      </c>
      <c r="AO36" s="100">
        <v>0.57776135695747532</v>
      </c>
      <c r="AP36" s="100">
        <v>13</v>
      </c>
      <c r="AQ36" s="100">
        <v>9890.4</v>
      </c>
      <c r="AR36" s="100">
        <v>13</v>
      </c>
      <c r="AS36" s="100">
        <v>9890.4</v>
      </c>
      <c r="AT36" s="100">
        <v>15</v>
      </c>
      <c r="AU36" s="100">
        <v>11412</v>
      </c>
      <c r="AV36" s="100">
        <v>8.2230114881120819</v>
      </c>
      <c r="AW36" s="100">
        <v>6256.067140155672</v>
      </c>
      <c r="AX36" s="100">
        <v>8.7634857010165117</v>
      </c>
      <c r="AY36" s="100">
        <v>6667.2599213333615</v>
      </c>
      <c r="AZ36" s="100">
        <v>9.6597494379983697</v>
      </c>
      <c r="BA36" s="100">
        <v>7349.1373724291589</v>
      </c>
      <c r="BB36" s="100">
        <v>3.2198295027458093</v>
      </c>
      <c r="BC36" s="100">
        <v>2449.6462856890116</v>
      </c>
      <c r="BD36" s="100">
        <v>14</v>
      </c>
      <c r="BE36" s="100">
        <v>10651.199999999999</v>
      </c>
      <c r="BF36" s="100">
        <v>10</v>
      </c>
      <c r="BG36" s="100">
        <v>7608</v>
      </c>
      <c r="BH36" s="100">
        <v>10.026883636654407</v>
      </c>
      <c r="BI36" s="100">
        <v>7628.4530707666727</v>
      </c>
      <c r="BJ36" s="100">
        <v>4.1235712004263529</v>
      </c>
      <c r="BK36" s="100">
        <v>3137.2129692843691</v>
      </c>
      <c r="BL36" s="100">
        <v>9</v>
      </c>
      <c r="BM36" s="100">
        <v>6847.2</v>
      </c>
      <c r="BN36" s="100">
        <v>8</v>
      </c>
      <c r="BO36" s="100">
        <v>6086.4</v>
      </c>
      <c r="BP36" s="100">
        <v>8</v>
      </c>
      <c r="BQ36" s="100">
        <v>6086.4</v>
      </c>
      <c r="BR36" s="100">
        <v>10.375247896063208</v>
      </c>
      <c r="BS36" s="100">
        <v>7893.4885993248881</v>
      </c>
      <c r="BT36" s="100">
        <v>1.2384331162726507</v>
      </c>
      <c r="BU36" s="100">
        <v>942.19991486023264</v>
      </c>
      <c r="BV36" s="100">
        <v>8.9202718875801725</v>
      </c>
      <c r="BW36" s="100">
        <v>6786.5428520709947</v>
      </c>
      <c r="BX36" s="100">
        <v>12</v>
      </c>
      <c r="BY36" s="100">
        <v>9129.5999999999985</v>
      </c>
      <c r="BZ36" s="100">
        <v>12</v>
      </c>
      <c r="CA36" s="100">
        <v>9129.5999999999985</v>
      </c>
      <c r="CB36" s="100">
        <v>9.0153277181634994</v>
      </c>
      <c r="CC36" s="100">
        <v>6858.8613279787896</v>
      </c>
      <c r="CD36" s="100">
        <v>10.192914617555106</v>
      </c>
      <c r="CE36" s="100">
        <v>7754.7694410359236</v>
      </c>
      <c r="CF36" s="100">
        <v>8.216466415376342E-4</v>
      </c>
      <c r="CG36" s="100">
        <v>0.62510876488183209</v>
      </c>
      <c r="CH36" s="100">
        <v>11</v>
      </c>
      <c r="CI36" s="100">
        <v>8368.7999999999993</v>
      </c>
      <c r="CJ36" s="100">
        <v>8</v>
      </c>
      <c r="CK36" s="100">
        <v>6086.4</v>
      </c>
      <c r="CL36" s="100">
        <v>11</v>
      </c>
      <c r="CM36" s="100">
        <v>8368.7999999999993</v>
      </c>
      <c r="CN36" s="100">
        <v>8</v>
      </c>
      <c r="CO36" s="100">
        <v>6086.4</v>
      </c>
      <c r="CP36" s="100">
        <v>10</v>
      </c>
      <c r="CQ36" s="100">
        <v>7608</v>
      </c>
      <c r="CR36" s="100">
        <v>12</v>
      </c>
      <c r="CS36" s="100">
        <v>9129.5999999999985</v>
      </c>
      <c r="CT36" s="100">
        <v>7.6886990068712313</v>
      </c>
      <c r="CU36" s="100">
        <v>5849.5622044276324</v>
      </c>
    </row>
    <row r="37" spans="2:99">
      <c r="B37" s="99" t="s">
        <v>128</v>
      </c>
      <c r="C37" s="99" t="s">
        <v>203</v>
      </c>
      <c r="D37" s="100">
        <v>4.4348803130050571</v>
      </c>
      <c r="E37" s="100">
        <v>3815.7710213095511</v>
      </c>
      <c r="F37" s="100">
        <v>7.2024036297484688</v>
      </c>
      <c r="G37" s="100">
        <v>6196.9480830355824</v>
      </c>
      <c r="H37" s="100">
        <v>6</v>
      </c>
      <c r="I37" s="100">
        <v>5162.3999999999996</v>
      </c>
      <c r="J37" s="100">
        <v>5</v>
      </c>
      <c r="K37" s="100">
        <v>4302</v>
      </c>
      <c r="L37" s="100">
        <v>6</v>
      </c>
      <c r="M37" s="100">
        <v>5162.3999999999996</v>
      </c>
      <c r="N37" s="100">
        <v>9.3999362657992229</v>
      </c>
      <c r="O37" s="100">
        <v>8087.7051630936512</v>
      </c>
      <c r="P37" s="100">
        <v>3.9465000082752404</v>
      </c>
      <c r="Q37" s="100">
        <v>3395.5686071200166</v>
      </c>
      <c r="R37" s="100">
        <v>8.3083621751182104</v>
      </c>
      <c r="S37" s="100">
        <v>7148.5148154717081</v>
      </c>
      <c r="T37" s="100">
        <v>3.7365958207814725</v>
      </c>
      <c r="U37" s="100">
        <v>3214.967044200379</v>
      </c>
      <c r="V37" s="100">
        <v>5</v>
      </c>
      <c r="W37" s="100">
        <v>4302</v>
      </c>
      <c r="X37" s="100">
        <v>8.490460357242414</v>
      </c>
      <c r="Y37" s="100">
        <v>7305.192091371373</v>
      </c>
      <c r="Z37" s="100">
        <v>1.3693809394777938</v>
      </c>
      <c r="AA37" s="100">
        <v>1178.2153603266938</v>
      </c>
      <c r="AB37" s="100">
        <v>8</v>
      </c>
      <c r="AC37" s="100">
        <v>6883.2</v>
      </c>
      <c r="AD37" s="100">
        <v>4.3046877206582606</v>
      </c>
      <c r="AE37" s="100">
        <v>3703.7533148543671</v>
      </c>
      <c r="AF37" s="100">
        <v>6</v>
      </c>
      <c r="AG37" s="100">
        <v>5162.3999999999996</v>
      </c>
      <c r="AH37" s="100">
        <v>3.9175727038259871</v>
      </c>
      <c r="AI37" s="100">
        <v>3370.679554371879</v>
      </c>
      <c r="AJ37" s="100">
        <v>6</v>
      </c>
      <c r="AK37" s="100">
        <v>5162.3999999999996</v>
      </c>
      <c r="AL37" s="100">
        <v>8.0808207509728209</v>
      </c>
      <c r="AM37" s="100">
        <v>6952.7381741370145</v>
      </c>
      <c r="AN37" s="100">
        <v>6.7503371533762758E-4</v>
      </c>
      <c r="AO37" s="100">
        <v>0.5807990086764947</v>
      </c>
      <c r="AP37" s="100">
        <v>7</v>
      </c>
      <c r="AQ37" s="100">
        <v>6022.8</v>
      </c>
      <c r="AR37" s="100">
        <v>6</v>
      </c>
      <c r="AS37" s="100">
        <v>5162.3999999999996</v>
      </c>
      <c r="AT37" s="100">
        <v>6</v>
      </c>
      <c r="AU37" s="100">
        <v>5162.3999999999996</v>
      </c>
      <c r="AV37" s="100">
        <v>5.7561080416784574</v>
      </c>
      <c r="AW37" s="100">
        <v>4952.5553590601448</v>
      </c>
      <c r="AX37" s="100">
        <v>5.4137823895909118</v>
      </c>
      <c r="AY37" s="100">
        <v>4658.0183680040209</v>
      </c>
      <c r="AZ37" s="100">
        <v>4.9668871761241373</v>
      </c>
      <c r="BA37" s="100">
        <v>4273.5097263372072</v>
      </c>
      <c r="BB37" s="100">
        <v>1.379926929748204</v>
      </c>
      <c r="BC37" s="100">
        <v>1187.2891303553547</v>
      </c>
      <c r="BD37" s="100">
        <v>5</v>
      </c>
      <c r="BE37" s="100">
        <v>4302</v>
      </c>
      <c r="BF37" s="100">
        <v>6</v>
      </c>
      <c r="BG37" s="100">
        <v>5162.3999999999996</v>
      </c>
      <c r="BH37" s="100">
        <v>7.4889922079306697</v>
      </c>
      <c r="BI37" s="100">
        <v>6443.5288957035482</v>
      </c>
      <c r="BJ37" s="100">
        <v>1.9243332268656312</v>
      </c>
      <c r="BK37" s="100">
        <v>1655.6963083951891</v>
      </c>
      <c r="BL37" s="100">
        <v>5</v>
      </c>
      <c r="BM37" s="100">
        <v>4302</v>
      </c>
      <c r="BN37" s="100">
        <v>6</v>
      </c>
      <c r="BO37" s="100">
        <v>5162.3999999999996</v>
      </c>
      <c r="BP37" s="100">
        <v>5</v>
      </c>
      <c r="BQ37" s="100">
        <v>4302</v>
      </c>
      <c r="BR37" s="100">
        <v>8.3517949025592575</v>
      </c>
      <c r="BS37" s="100">
        <v>7185.884334161985</v>
      </c>
      <c r="BT37" s="100">
        <v>1.147968454661261</v>
      </c>
      <c r="BU37" s="100">
        <v>987.71205839054892</v>
      </c>
      <c r="BV37" s="100">
        <v>7.2984042716565041</v>
      </c>
      <c r="BW37" s="100">
        <v>6279.5470353332557</v>
      </c>
      <c r="BX37" s="100">
        <v>5</v>
      </c>
      <c r="BY37" s="100">
        <v>4302</v>
      </c>
      <c r="BZ37" s="100">
        <v>7</v>
      </c>
      <c r="CA37" s="100">
        <v>6022.8</v>
      </c>
      <c r="CB37" s="100">
        <v>8.5076638590817488</v>
      </c>
      <c r="CC37" s="100">
        <v>7319.9939843539369</v>
      </c>
      <c r="CD37" s="100">
        <v>4.3683919789521877</v>
      </c>
      <c r="CE37" s="100">
        <v>3758.5644586904623</v>
      </c>
      <c r="CF37" s="100">
        <v>5.0562870248469795E-4</v>
      </c>
      <c r="CG37" s="100">
        <v>0.43504293561783408</v>
      </c>
      <c r="CH37" s="100">
        <v>9</v>
      </c>
      <c r="CI37" s="100">
        <v>7743.5999999999995</v>
      </c>
      <c r="CJ37" s="100">
        <v>8</v>
      </c>
      <c r="CK37" s="100">
        <v>6883.2</v>
      </c>
      <c r="CL37" s="100">
        <v>6</v>
      </c>
      <c r="CM37" s="100">
        <v>5162.3999999999996</v>
      </c>
      <c r="CN37" s="100">
        <v>6</v>
      </c>
      <c r="CO37" s="100">
        <v>5162.3999999999996</v>
      </c>
      <c r="CP37" s="100">
        <v>5</v>
      </c>
      <c r="CQ37" s="100">
        <v>4302</v>
      </c>
      <c r="CR37" s="100">
        <v>8</v>
      </c>
      <c r="CS37" s="100">
        <v>6883.2</v>
      </c>
      <c r="CT37" s="100">
        <v>3.9742977244473354</v>
      </c>
      <c r="CU37" s="100">
        <v>3419.4857621144874</v>
      </c>
    </row>
    <row r="38" spans="2:99">
      <c r="C38" s="99" t="s">
        <v>204</v>
      </c>
      <c r="D38" s="100">
        <v>4.4348803130050571</v>
      </c>
      <c r="E38" s="100">
        <v>5508.1213487522809</v>
      </c>
      <c r="F38" s="100">
        <v>6.4021365597764168</v>
      </c>
      <c r="G38" s="100">
        <v>7951.4536072423098</v>
      </c>
      <c r="H38" s="100">
        <v>5</v>
      </c>
      <c r="I38" s="100">
        <v>6210</v>
      </c>
      <c r="J38" s="100">
        <v>5</v>
      </c>
      <c r="K38" s="100">
        <v>6210</v>
      </c>
      <c r="L38" s="100">
        <v>7</v>
      </c>
      <c r="M38" s="100">
        <v>8694</v>
      </c>
      <c r="N38" s="100">
        <v>9.3999362657992229</v>
      </c>
      <c r="O38" s="100">
        <v>11674.720842122635</v>
      </c>
      <c r="P38" s="100">
        <v>3.9465000082752404</v>
      </c>
      <c r="Q38" s="100">
        <v>4901.5530102778484</v>
      </c>
      <c r="R38" s="100">
        <v>8.2740997112161878</v>
      </c>
      <c r="S38" s="100">
        <v>10276.431841330505</v>
      </c>
      <c r="T38" s="100">
        <v>3.1138298506512267</v>
      </c>
      <c r="U38" s="100">
        <v>3867.3766745088237</v>
      </c>
      <c r="V38" s="100">
        <v>5</v>
      </c>
      <c r="W38" s="100">
        <v>6210</v>
      </c>
      <c r="X38" s="100">
        <v>8.445873052038559</v>
      </c>
      <c r="Y38" s="100">
        <v>10489.77433063189</v>
      </c>
      <c r="Z38" s="100">
        <v>1.3693809394777938</v>
      </c>
      <c r="AA38" s="100">
        <v>1700.7711268314199</v>
      </c>
      <c r="AB38" s="100">
        <v>7</v>
      </c>
      <c r="AC38" s="100">
        <v>8694</v>
      </c>
      <c r="AD38" s="100">
        <v>4.3046877206582606</v>
      </c>
      <c r="AE38" s="100">
        <v>5346.4221490575592</v>
      </c>
      <c r="AF38" s="100">
        <v>6</v>
      </c>
      <c r="AG38" s="100">
        <v>7452</v>
      </c>
      <c r="AH38" s="100">
        <v>3.9175727038259871</v>
      </c>
      <c r="AI38" s="100">
        <v>4865.6252981518755</v>
      </c>
      <c r="AJ38" s="100">
        <v>6</v>
      </c>
      <c r="AK38" s="100">
        <v>7452</v>
      </c>
      <c r="AL38" s="100">
        <v>7.2927802002075488</v>
      </c>
      <c r="AM38" s="100">
        <v>9057.6330086577764</v>
      </c>
      <c r="AN38" s="100">
        <v>5.9065450092042409E-4</v>
      </c>
      <c r="AO38" s="100">
        <v>0.73359289014316675</v>
      </c>
      <c r="AP38" s="100">
        <v>7</v>
      </c>
      <c r="AQ38" s="100">
        <v>8694</v>
      </c>
      <c r="AR38" s="100">
        <v>6</v>
      </c>
      <c r="AS38" s="100">
        <v>7452</v>
      </c>
      <c r="AT38" s="100">
        <v>6</v>
      </c>
      <c r="AU38" s="100">
        <v>7452</v>
      </c>
      <c r="AV38" s="100">
        <v>5.7561080416784574</v>
      </c>
      <c r="AW38" s="100">
        <v>7149.0861877646439</v>
      </c>
      <c r="AX38" s="100">
        <v>5.4099881874014049</v>
      </c>
      <c r="AY38" s="100">
        <v>6719.205328752545</v>
      </c>
      <c r="AZ38" s="100">
        <v>4.3071545769310609</v>
      </c>
      <c r="BA38" s="100">
        <v>5349.4859845483779</v>
      </c>
      <c r="BB38" s="100">
        <v>1.379926929748204</v>
      </c>
      <c r="BC38" s="100">
        <v>1713.8692467472692</v>
      </c>
      <c r="BD38" s="100">
        <v>5</v>
      </c>
      <c r="BE38" s="100">
        <v>6210</v>
      </c>
      <c r="BF38" s="100">
        <v>6</v>
      </c>
      <c r="BG38" s="100">
        <v>7452</v>
      </c>
      <c r="BH38" s="100">
        <v>7.5378914287237375</v>
      </c>
      <c r="BI38" s="100">
        <v>9362.0611544748826</v>
      </c>
      <c r="BJ38" s="100">
        <v>1.649428480170541</v>
      </c>
      <c r="BK38" s="100">
        <v>2048.5901723718121</v>
      </c>
      <c r="BL38" s="100">
        <v>5</v>
      </c>
      <c r="BM38" s="100">
        <v>6210</v>
      </c>
      <c r="BN38" s="100">
        <v>5</v>
      </c>
      <c r="BO38" s="100">
        <v>6210</v>
      </c>
      <c r="BP38" s="100">
        <v>5</v>
      </c>
      <c r="BQ38" s="100">
        <v>6210</v>
      </c>
      <c r="BR38" s="100">
        <v>7.3048889155513566</v>
      </c>
      <c r="BS38" s="100">
        <v>9072.6720331147844</v>
      </c>
      <c r="BT38" s="100">
        <v>1.2855721342471109</v>
      </c>
      <c r="BU38" s="100">
        <v>1596.6805907349117</v>
      </c>
      <c r="BV38" s="100">
        <v>7.2984042716565041</v>
      </c>
      <c r="BW38" s="100">
        <v>9064.6181053973778</v>
      </c>
      <c r="BX38" s="100">
        <v>5</v>
      </c>
      <c r="BY38" s="100">
        <v>6210</v>
      </c>
      <c r="BZ38" s="100">
        <v>7</v>
      </c>
      <c r="CA38" s="100">
        <v>8694</v>
      </c>
      <c r="CB38" s="100">
        <v>7.5076638590817497</v>
      </c>
      <c r="CC38" s="100">
        <v>9324.5185129795336</v>
      </c>
      <c r="CD38" s="100">
        <v>4.3683919789521877</v>
      </c>
      <c r="CE38" s="100">
        <v>5425.5428378586175</v>
      </c>
      <c r="CF38" s="100">
        <v>5.0562870248469795E-4</v>
      </c>
      <c r="CG38" s="100">
        <v>0.62799084848599485</v>
      </c>
      <c r="CH38" s="100">
        <v>8</v>
      </c>
      <c r="CI38" s="100">
        <v>9936</v>
      </c>
      <c r="CJ38" s="100">
        <v>8</v>
      </c>
      <c r="CK38" s="100">
        <v>9936</v>
      </c>
      <c r="CL38" s="100">
        <v>6</v>
      </c>
      <c r="CM38" s="100">
        <v>7452</v>
      </c>
      <c r="CN38" s="100">
        <v>7</v>
      </c>
      <c r="CO38" s="100">
        <v>8694</v>
      </c>
      <c r="CP38" s="100">
        <v>6</v>
      </c>
      <c r="CQ38" s="100">
        <v>7452</v>
      </c>
      <c r="CR38" s="100">
        <v>8</v>
      </c>
      <c r="CS38" s="100">
        <v>9936</v>
      </c>
      <c r="CT38" s="100">
        <v>3.9526396876120491</v>
      </c>
      <c r="CU38" s="100">
        <v>4909.1784920141654</v>
      </c>
    </row>
    <row r="39" spans="2:99">
      <c r="C39" s="99" t="s">
        <v>205</v>
      </c>
      <c r="D39" s="100">
        <v>4.4446076776405681</v>
      </c>
      <c r="E39" s="100">
        <v>6325.5656468180568</v>
      </c>
      <c r="F39" s="100">
        <v>7.2024036297484688</v>
      </c>
      <c r="G39" s="100">
        <v>10250.460845858021</v>
      </c>
      <c r="H39" s="100">
        <v>6</v>
      </c>
      <c r="I39" s="100">
        <v>8539.2000000000007</v>
      </c>
      <c r="J39" s="100">
        <v>6</v>
      </c>
      <c r="K39" s="100">
        <v>8539.2000000000007</v>
      </c>
      <c r="L39" s="100">
        <v>6</v>
      </c>
      <c r="M39" s="100">
        <v>8539.2000000000007</v>
      </c>
      <c r="N39" s="100">
        <v>8.3999362657992229</v>
      </c>
      <c r="O39" s="100">
        <v>11954.789293485455</v>
      </c>
      <c r="P39" s="100">
        <v>3.9465000082752404</v>
      </c>
      <c r="Q39" s="100">
        <v>5616.6588117773226</v>
      </c>
      <c r="R39" s="100">
        <v>9.3083621751182104</v>
      </c>
      <c r="S39" s="100">
        <v>13247.661047628237</v>
      </c>
      <c r="T39" s="100">
        <v>3.7365958207814725</v>
      </c>
      <c r="U39" s="100">
        <v>5317.9231721361921</v>
      </c>
      <c r="V39" s="100">
        <v>5</v>
      </c>
      <c r="W39" s="100">
        <v>7116</v>
      </c>
      <c r="X39" s="100">
        <v>7.4458730520385581</v>
      </c>
      <c r="Y39" s="100">
        <v>10596.966527661276</v>
      </c>
      <c r="Z39" s="100">
        <v>1.3693809394777938</v>
      </c>
      <c r="AA39" s="100">
        <v>1948.9029530647963</v>
      </c>
      <c r="AB39" s="100">
        <v>8</v>
      </c>
      <c r="AC39" s="100">
        <v>11385.6</v>
      </c>
      <c r="AD39" s="100">
        <v>3.5872397672152174</v>
      </c>
      <c r="AE39" s="100">
        <v>5105.3596367006976</v>
      </c>
      <c r="AF39" s="100">
        <v>7</v>
      </c>
      <c r="AG39" s="100">
        <v>9962.4</v>
      </c>
      <c r="AH39" s="100">
        <v>3.9175727038259871</v>
      </c>
      <c r="AI39" s="100">
        <v>5575.4894720851453</v>
      </c>
      <c r="AJ39" s="100">
        <v>5</v>
      </c>
      <c r="AK39" s="100">
        <v>7116</v>
      </c>
      <c r="AL39" s="100">
        <v>7.2784648256846856</v>
      </c>
      <c r="AM39" s="100">
        <v>10358.711139914445</v>
      </c>
      <c r="AN39" s="100">
        <v>6.7503371533762758E-4</v>
      </c>
      <c r="AO39" s="100">
        <v>0.96070798366851162</v>
      </c>
      <c r="AP39" s="100">
        <v>7</v>
      </c>
      <c r="AQ39" s="100">
        <v>9962.4</v>
      </c>
      <c r="AR39" s="100">
        <v>6</v>
      </c>
      <c r="AS39" s="100">
        <v>8539.2000000000007</v>
      </c>
      <c r="AT39" s="100">
        <v>5</v>
      </c>
      <c r="AU39" s="100">
        <v>7116</v>
      </c>
      <c r="AV39" s="100">
        <v>6.5784091904896655</v>
      </c>
      <c r="AW39" s="100">
        <v>9362.3919599048932</v>
      </c>
      <c r="AX39" s="100">
        <v>5.4118852884961575</v>
      </c>
      <c r="AY39" s="100">
        <v>7702.1951425877314</v>
      </c>
      <c r="AZ39" s="100">
        <v>4.3320659327719611</v>
      </c>
      <c r="BA39" s="100">
        <v>6165.3962355210551</v>
      </c>
      <c r="BB39" s="100">
        <v>1.1499391081235033</v>
      </c>
      <c r="BC39" s="100">
        <v>1636.5933386813699</v>
      </c>
      <c r="BD39" s="100">
        <v>5</v>
      </c>
      <c r="BE39" s="100">
        <v>7116</v>
      </c>
      <c r="BF39" s="100">
        <v>5</v>
      </c>
      <c r="BG39" s="100">
        <v>7116</v>
      </c>
      <c r="BH39" s="100">
        <v>6.4889922079306697</v>
      </c>
      <c r="BI39" s="100">
        <v>9235.1337103269288</v>
      </c>
      <c r="BJ39" s="100">
        <v>1.649428480170541</v>
      </c>
      <c r="BK39" s="100">
        <v>2347.4666129787142</v>
      </c>
      <c r="BL39" s="100">
        <v>5</v>
      </c>
      <c r="BM39" s="100">
        <v>7116</v>
      </c>
      <c r="BN39" s="100">
        <v>5</v>
      </c>
      <c r="BO39" s="100">
        <v>7116</v>
      </c>
      <c r="BP39" s="100">
        <v>5</v>
      </c>
      <c r="BQ39" s="100">
        <v>7116</v>
      </c>
      <c r="BR39" s="100">
        <v>7.3517949025592575</v>
      </c>
      <c r="BS39" s="100">
        <v>10463.074505322336</v>
      </c>
      <c r="BT39" s="100">
        <v>1.2803344655832822</v>
      </c>
      <c r="BU39" s="100">
        <v>1822.1720114181273</v>
      </c>
      <c r="BV39" s="100">
        <v>6.4874704636946703</v>
      </c>
      <c r="BW39" s="100">
        <v>9232.9679639302558</v>
      </c>
      <c r="BX39" s="100">
        <v>5</v>
      </c>
      <c r="BY39" s="100">
        <v>7116</v>
      </c>
      <c r="BZ39" s="100">
        <v>6</v>
      </c>
      <c r="CA39" s="100">
        <v>8539.2000000000007</v>
      </c>
      <c r="CB39" s="100">
        <v>7.5538151189982718</v>
      </c>
      <c r="CC39" s="100">
        <v>10750.589677358341</v>
      </c>
      <c r="CD39" s="100">
        <v>4.3683919789521877</v>
      </c>
      <c r="CE39" s="100">
        <v>6217.0954644447538</v>
      </c>
      <c r="CF39" s="100">
        <v>5.0562870248469795E-4</v>
      </c>
      <c r="CG39" s="100">
        <v>0.71961076937622215</v>
      </c>
      <c r="CH39" s="100">
        <v>8</v>
      </c>
      <c r="CI39" s="100">
        <v>11385.6</v>
      </c>
      <c r="CJ39" s="100">
        <v>8</v>
      </c>
      <c r="CK39" s="100">
        <v>11385.6</v>
      </c>
      <c r="CL39" s="100">
        <v>6</v>
      </c>
      <c r="CM39" s="100">
        <v>8539.2000000000007</v>
      </c>
      <c r="CN39" s="100">
        <v>7</v>
      </c>
      <c r="CO39" s="100">
        <v>9962.4</v>
      </c>
      <c r="CP39" s="100">
        <v>5</v>
      </c>
      <c r="CQ39" s="100">
        <v>7116</v>
      </c>
      <c r="CR39" s="100">
        <v>9</v>
      </c>
      <c r="CS39" s="100">
        <v>12808.800000000001</v>
      </c>
      <c r="CT39" s="100">
        <v>3.9309816507767619</v>
      </c>
      <c r="CU39" s="100">
        <v>5594.5730853854875</v>
      </c>
    </row>
    <row r="40" spans="2:99">
      <c r="C40" s="99" t="s">
        <v>206</v>
      </c>
      <c r="D40" s="100">
        <v>4.4348803130050571</v>
      </c>
      <c r="E40" s="100">
        <v>3214.4012508660653</v>
      </c>
      <c r="F40" s="100">
        <v>7.2024036297484688</v>
      </c>
      <c r="G40" s="100">
        <v>5220.3021508416896</v>
      </c>
      <c r="H40" s="100">
        <v>6</v>
      </c>
      <c r="I40" s="100">
        <v>4348.7999999999993</v>
      </c>
      <c r="J40" s="100">
        <v>5</v>
      </c>
      <c r="K40" s="100">
        <v>3624</v>
      </c>
      <c r="L40" s="100">
        <v>7</v>
      </c>
      <c r="M40" s="100">
        <v>5073.5999999999995</v>
      </c>
      <c r="N40" s="100">
        <v>9.3999362657992229</v>
      </c>
      <c r="O40" s="100">
        <v>6813.0738054512767</v>
      </c>
      <c r="P40" s="100">
        <v>3.9465000082752404</v>
      </c>
      <c r="Q40" s="100">
        <v>2860.423205997894</v>
      </c>
      <c r="R40" s="100">
        <v>8.3426246390202348</v>
      </c>
      <c r="S40" s="100">
        <v>6046.7343383618654</v>
      </c>
      <c r="T40" s="100">
        <v>3.7365958207814725</v>
      </c>
      <c r="U40" s="100">
        <v>2708.2846509024112</v>
      </c>
      <c r="V40" s="100">
        <v>5</v>
      </c>
      <c r="W40" s="100">
        <v>3624</v>
      </c>
      <c r="X40" s="100">
        <v>9.445873052038559</v>
      </c>
      <c r="Y40" s="100">
        <v>6846.3687881175474</v>
      </c>
      <c r="Z40" s="100">
        <v>1.3693809394777938</v>
      </c>
      <c r="AA40" s="100">
        <v>992.52730493350487</v>
      </c>
      <c r="AB40" s="100">
        <v>7</v>
      </c>
      <c r="AC40" s="100">
        <v>5073.5999999999995</v>
      </c>
      <c r="AD40" s="100">
        <v>4.3046877206582606</v>
      </c>
      <c r="AE40" s="100">
        <v>3120.0376599331071</v>
      </c>
      <c r="AF40" s="100">
        <v>7</v>
      </c>
      <c r="AG40" s="100">
        <v>5073.5999999999995</v>
      </c>
      <c r="AH40" s="100">
        <v>3.9175727038259871</v>
      </c>
      <c r="AI40" s="100">
        <v>2839.4566957330753</v>
      </c>
      <c r="AJ40" s="100">
        <v>6</v>
      </c>
      <c r="AK40" s="100">
        <v>4348.7999999999993</v>
      </c>
      <c r="AL40" s="100">
        <v>6.5047396494422767</v>
      </c>
      <c r="AM40" s="100">
        <v>4714.6352979157618</v>
      </c>
      <c r="AN40" s="100">
        <v>5.9065450092042409E-4</v>
      </c>
      <c r="AO40" s="100">
        <v>0.42810638226712333</v>
      </c>
      <c r="AP40" s="100">
        <v>7</v>
      </c>
      <c r="AQ40" s="100">
        <v>5073.5999999999995</v>
      </c>
      <c r="AR40" s="100">
        <v>6</v>
      </c>
      <c r="AS40" s="100">
        <v>4348.7999999999993</v>
      </c>
      <c r="AT40" s="100">
        <v>6</v>
      </c>
      <c r="AU40" s="100">
        <v>4348.7999999999993</v>
      </c>
      <c r="AV40" s="100">
        <v>7.4007103393008737</v>
      </c>
      <c r="AW40" s="100">
        <v>5364.0348539252727</v>
      </c>
      <c r="AX40" s="100">
        <v>6.0878966742844884</v>
      </c>
      <c r="AY40" s="100">
        <v>4412.507509521397</v>
      </c>
      <c r="AZ40" s="100">
        <v>4.2822432210901606</v>
      </c>
      <c r="BA40" s="100">
        <v>3103.7698866461483</v>
      </c>
      <c r="BB40" s="100">
        <v>1.379926929748204</v>
      </c>
      <c r="BC40" s="100">
        <v>1000.1710386814982</v>
      </c>
      <c r="BD40" s="100">
        <v>5</v>
      </c>
      <c r="BE40" s="100">
        <v>3624</v>
      </c>
      <c r="BF40" s="100">
        <v>6</v>
      </c>
      <c r="BG40" s="100">
        <v>4348.7999999999993</v>
      </c>
      <c r="BH40" s="100">
        <v>7.5378914287237375</v>
      </c>
      <c r="BI40" s="100">
        <v>5463.4637075389646</v>
      </c>
      <c r="BJ40" s="100">
        <v>1.649428480170541</v>
      </c>
      <c r="BK40" s="100">
        <v>1195.505762427608</v>
      </c>
      <c r="BL40" s="100">
        <v>5</v>
      </c>
      <c r="BM40" s="100">
        <v>3624</v>
      </c>
      <c r="BN40" s="100">
        <v>5</v>
      </c>
      <c r="BO40" s="100">
        <v>3624</v>
      </c>
      <c r="BP40" s="100">
        <v>5</v>
      </c>
      <c r="BQ40" s="100">
        <v>3624</v>
      </c>
      <c r="BR40" s="100">
        <v>8.3283419090553075</v>
      </c>
      <c r="BS40" s="100">
        <v>6036.3822156832866</v>
      </c>
      <c r="BT40" s="100">
        <v>1.4179381451691324</v>
      </c>
      <c r="BU40" s="100">
        <v>1027.7215676185872</v>
      </c>
      <c r="BV40" s="100">
        <v>7.2984042716565041</v>
      </c>
      <c r="BW40" s="100">
        <v>5289.8834160966335</v>
      </c>
      <c r="BX40" s="100">
        <v>5</v>
      </c>
      <c r="BY40" s="100">
        <v>3624</v>
      </c>
      <c r="BZ40" s="100">
        <v>7</v>
      </c>
      <c r="CA40" s="100">
        <v>5073.5999999999995</v>
      </c>
      <c r="CB40" s="100">
        <v>7.5538151189982718</v>
      </c>
      <c r="CC40" s="100">
        <v>5475.0051982499472</v>
      </c>
      <c r="CD40" s="100">
        <v>4.3683919789521877</v>
      </c>
      <c r="CE40" s="100">
        <v>3166.2105063445456</v>
      </c>
      <c r="CF40" s="100">
        <v>5.0562870248469795E-4</v>
      </c>
      <c r="CG40" s="100">
        <v>0.36647968356090904</v>
      </c>
      <c r="CH40" s="100">
        <v>9</v>
      </c>
      <c r="CI40" s="100">
        <v>6523.2</v>
      </c>
      <c r="CJ40" s="100">
        <v>9</v>
      </c>
      <c r="CK40" s="100">
        <v>6523.2</v>
      </c>
      <c r="CL40" s="100">
        <v>6</v>
      </c>
      <c r="CM40" s="100">
        <v>4348.7999999999993</v>
      </c>
      <c r="CN40" s="100">
        <v>7</v>
      </c>
      <c r="CO40" s="100">
        <v>5073.5999999999995</v>
      </c>
      <c r="CP40" s="100">
        <v>5</v>
      </c>
      <c r="CQ40" s="100">
        <v>3624</v>
      </c>
      <c r="CR40" s="100">
        <v>9</v>
      </c>
      <c r="CS40" s="100">
        <v>6523.2</v>
      </c>
      <c r="CT40" s="100">
        <v>3.9309816507767619</v>
      </c>
      <c r="CU40" s="100">
        <v>2849.175500482997</v>
      </c>
    </row>
    <row r="41" spans="2:99">
      <c r="C41" s="99" t="s">
        <v>207</v>
      </c>
      <c r="D41" s="100">
        <v>4.4446076776405681</v>
      </c>
      <c r="E41" s="100">
        <v>2933.4410672427748</v>
      </c>
      <c r="F41" s="100">
        <v>6.4021365597764168</v>
      </c>
      <c r="G41" s="100">
        <v>4225.4101294524353</v>
      </c>
      <c r="H41" s="100">
        <v>6</v>
      </c>
      <c r="I41" s="100">
        <v>3960</v>
      </c>
      <c r="J41" s="100">
        <v>6</v>
      </c>
      <c r="K41" s="100">
        <v>3960</v>
      </c>
      <c r="L41" s="100">
        <v>7</v>
      </c>
      <c r="M41" s="100">
        <v>4620</v>
      </c>
      <c r="N41" s="100">
        <v>8.4499282990241262</v>
      </c>
      <c r="O41" s="100">
        <v>5576.9526773559237</v>
      </c>
      <c r="P41" s="100">
        <v>3.9465000082752404</v>
      </c>
      <c r="Q41" s="100">
        <v>2604.6900054616585</v>
      </c>
      <c r="R41" s="100">
        <v>9.3083621751182104</v>
      </c>
      <c r="S41" s="100">
        <v>6143.5190355780187</v>
      </c>
      <c r="T41" s="100">
        <v>3.1138298506512267</v>
      </c>
      <c r="U41" s="100">
        <v>2055.1277014298098</v>
      </c>
      <c r="V41" s="100">
        <v>6</v>
      </c>
      <c r="W41" s="100">
        <v>3960</v>
      </c>
      <c r="X41" s="100">
        <v>8.490460357242414</v>
      </c>
      <c r="Y41" s="100">
        <v>5603.7038357799929</v>
      </c>
      <c r="Z41" s="100">
        <v>1.3693809394777938</v>
      </c>
      <c r="AA41" s="100">
        <v>903.79142005534391</v>
      </c>
      <c r="AB41" s="100">
        <v>8</v>
      </c>
      <c r="AC41" s="100">
        <v>5280</v>
      </c>
      <c r="AD41" s="100">
        <v>4.3046877206582606</v>
      </c>
      <c r="AE41" s="100">
        <v>2841.0938956344521</v>
      </c>
      <c r="AF41" s="100">
        <v>6</v>
      </c>
      <c r="AG41" s="100">
        <v>3960</v>
      </c>
      <c r="AH41" s="100">
        <v>4.5705014877969852</v>
      </c>
      <c r="AI41" s="100">
        <v>3016.5309819460103</v>
      </c>
      <c r="AJ41" s="100">
        <v>6</v>
      </c>
      <c r="AK41" s="100">
        <v>3960</v>
      </c>
      <c r="AL41" s="100">
        <v>7.2927802002075488</v>
      </c>
      <c r="AM41" s="100">
        <v>4813.234932136982</v>
      </c>
      <c r="AN41" s="100">
        <v>5.9065450092042409E-4</v>
      </c>
      <c r="AO41" s="100">
        <v>0.38983197060747993</v>
      </c>
      <c r="AP41" s="100">
        <v>6</v>
      </c>
      <c r="AQ41" s="100">
        <v>3960</v>
      </c>
      <c r="AR41" s="100">
        <v>6</v>
      </c>
      <c r="AS41" s="100">
        <v>3960</v>
      </c>
      <c r="AT41" s="100">
        <v>6</v>
      </c>
      <c r="AU41" s="100">
        <v>3960</v>
      </c>
      <c r="AV41" s="100">
        <v>7.4007103393008737</v>
      </c>
      <c r="AW41" s="100">
        <v>4884.4688239385769</v>
      </c>
      <c r="AX41" s="100">
        <v>6.0859995731897358</v>
      </c>
      <c r="AY41" s="100">
        <v>4016.7597183052258</v>
      </c>
      <c r="AZ41" s="100">
        <v>4.3071545769310609</v>
      </c>
      <c r="BA41" s="100">
        <v>2842.7220207745004</v>
      </c>
      <c r="BB41" s="100">
        <v>1.379926929748204</v>
      </c>
      <c r="BC41" s="100">
        <v>910.75177363381465</v>
      </c>
      <c r="BD41" s="100">
        <v>5</v>
      </c>
      <c r="BE41" s="100">
        <v>3300</v>
      </c>
      <c r="BF41" s="100">
        <v>6</v>
      </c>
      <c r="BG41" s="100">
        <v>3960</v>
      </c>
      <c r="BH41" s="100">
        <v>7.5378914287237375</v>
      </c>
      <c r="BI41" s="100">
        <v>4975.0083429576671</v>
      </c>
      <c r="BJ41" s="100">
        <v>1.649428480170541</v>
      </c>
      <c r="BK41" s="100">
        <v>1088.6227969125571</v>
      </c>
      <c r="BL41" s="100">
        <v>5</v>
      </c>
      <c r="BM41" s="100">
        <v>3300</v>
      </c>
      <c r="BN41" s="100">
        <v>6</v>
      </c>
      <c r="BO41" s="100">
        <v>3960</v>
      </c>
      <c r="BP41" s="100">
        <v>5</v>
      </c>
      <c r="BQ41" s="100">
        <v>3300</v>
      </c>
      <c r="BR41" s="100">
        <v>8.3048889155513557</v>
      </c>
      <c r="BS41" s="100">
        <v>5481.2266842638946</v>
      </c>
      <c r="BT41" s="100">
        <v>1.2908098029109401</v>
      </c>
      <c r="BU41" s="100">
        <v>851.9344699212204</v>
      </c>
      <c r="BV41" s="100">
        <v>6.4874704636946703</v>
      </c>
      <c r="BW41" s="100">
        <v>4281.7305060384824</v>
      </c>
      <c r="BX41" s="100">
        <v>5</v>
      </c>
      <c r="BY41" s="100">
        <v>3300</v>
      </c>
      <c r="BZ41" s="100">
        <v>7</v>
      </c>
      <c r="CA41" s="100">
        <v>4620</v>
      </c>
      <c r="CB41" s="100">
        <v>7.5999663789147949</v>
      </c>
      <c r="CC41" s="100">
        <v>5015.9778100837648</v>
      </c>
      <c r="CD41" s="100">
        <v>4.3683919789521877</v>
      </c>
      <c r="CE41" s="100">
        <v>2883.1387061084438</v>
      </c>
      <c r="CF41" s="100">
        <v>5.0562870248469795E-4</v>
      </c>
      <c r="CG41" s="100">
        <v>0.33371494363990067</v>
      </c>
      <c r="CH41" s="100">
        <v>9</v>
      </c>
      <c r="CI41" s="100">
        <v>5940</v>
      </c>
      <c r="CJ41" s="100">
        <v>8</v>
      </c>
      <c r="CK41" s="100">
        <v>5280</v>
      </c>
      <c r="CL41" s="100">
        <v>6</v>
      </c>
      <c r="CM41" s="100">
        <v>3960</v>
      </c>
      <c r="CN41" s="100">
        <v>7</v>
      </c>
      <c r="CO41" s="100">
        <v>4620</v>
      </c>
      <c r="CP41" s="100">
        <v>6</v>
      </c>
      <c r="CQ41" s="100">
        <v>3960</v>
      </c>
      <c r="CR41" s="100">
        <v>9</v>
      </c>
      <c r="CS41" s="100">
        <v>5940</v>
      </c>
      <c r="CT41" s="100">
        <v>3.9742977244473354</v>
      </c>
      <c r="CU41" s="100">
        <v>2623.0364981352413</v>
      </c>
    </row>
    <row r="42" spans="2:99">
      <c r="C42" s="99" t="s">
        <v>208</v>
      </c>
      <c r="D42" s="100">
        <v>4.4446076776405681</v>
      </c>
      <c r="E42" s="100">
        <v>3760.1380952839204</v>
      </c>
      <c r="F42" s="100">
        <v>6.4021365597764168</v>
      </c>
      <c r="G42" s="100">
        <v>5416.2075295708482</v>
      </c>
      <c r="H42" s="100">
        <v>5</v>
      </c>
      <c r="I42" s="100">
        <v>4230</v>
      </c>
      <c r="J42" s="100">
        <v>5</v>
      </c>
      <c r="K42" s="100">
        <v>4230</v>
      </c>
      <c r="L42" s="100">
        <v>6</v>
      </c>
      <c r="M42" s="100">
        <v>5076</v>
      </c>
      <c r="N42" s="100">
        <v>8.3999362657992229</v>
      </c>
      <c r="O42" s="100">
        <v>7106.346080866143</v>
      </c>
      <c r="P42" s="100">
        <v>3.9465000082752404</v>
      </c>
      <c r="Q42" s="100">
        <v>3338.7390070008532</v>
      </c>
      <c r="R42" s="100">
        <v>10.274099711216188</v>
      </c>
      <c r="S42" s="100">
        <v>8691.8883556888941</v>
      </c>
      <c r="T42" s="100">
        <v>3.7365958207814725</v>
      </c>
      <c r="U42" s="100">
        <v>3161.1600643811257</v>
      </c>
      <c r="V42" s="100">
        <v>5</v>
      </c>
      <c r="W42" s="100">
        <v>4230</v>
      </c>
      <c r="X42" s="100">
        <v>8.445873052038559</v>
      </c>
      <c r="Y42" s="100">
        <v>7145.2086020246206</v>
      </c>
      <c r="Z42" s="100">
        <v>1.3693809394777938</v>
      </c>
      <c r="AA42" s="100">
        <v>1158.4962747982136</v>
      </c>
      <c r="AB42" s="100">
        <v>7</v>
      </c>
      <c r="AC42" s="100">
        <v>5922</v>
      </c>
      <c r="AD42" s="100">
        <v>4.3046877206582606</v>
      </c>
      <c r="AE42" s="100">
        <v>3641.7658116768885</v>
      </c>
      <c r="AF42" s="100">
        <v>7</v>
      </c>
      <c r="AG42" s="100">
        <v>5922</v>
      </c>
      <c r="AH42" s="100">
        <v>3.9175727038259871</v>
      </c>
      <c r="AI42" s="100">
        <v>3314.2665074367851</v>
      </c>
      <c r="AJ42" s="100">
        <v>6</v>
      </c>
      <c r="AK42" s="100">
        <v>5076</v>
      </c>
      <c r="AL42" s="100">
        <v>7.3214109492532771</v>
      </c>
      <c r="AM42" s="100">
        <v>6193.9136630682724</v>
      </c>
      <c r="AN42" s="100">
        <v>5.9065450092042409E-4</v>
      </c>
      <c r="AO42" s="100">
        <v>0.49969370777867878</v>
      </c>
      <c r="AP42" s="100">
        <v>7</v>
      </c>
      <c r="AQ42" s="100">
        <v>5922</v>
      </c>
      <c r="AR42" s="100">
        <v>7</v>
      </c>
      <c r="AS42" s="100">
        <v>5922</v>
      </c>
      <c r="AT42" s="100">
        <v>5</v>
      </c>
      <c r="AU42" s="100">
        <v>4230</v>
      </c>
      <c r="AV42" s="100">
        <v>6.5784091904896655</v>
      </c>
      <c r="AW42" s="100">
        <v>5565.3341751542566</v>
      </c>
      <c r="AX42" s="100">
        <v>6.0878966742844884</v>
      </c>
      <c r="AY42" s="100">
        <v>5150.3605864446772</v>
      </c>
      <c r="AZ42" s="100">
        <v>4.3320659327719611</v>
      </c>
      <c r="BA42" s="100">
        <v>3664.9277791250793</v>
      </c>
      <c r="BB42" s="100">
        <v>1.379926929748204</v>
      </c>
      <c r="BC42" s="100">
        <v>1167.4181825669805</v>
      </c>
      <c r="BD42" s="100">
        <v>5</v>
      </c>
      <c r="BE42" s="100">
        <v>4230</v>
      </c>
      <c r="BF42" s="100">
        <v>5</v>
      </c>
      <c r="BG42" s="100">
        <v>4230</v>
      </c>
      <c r="BH42" s="100">
        <v>7.4889922079306697</v>
      </c>
      <c r="BI42" s="100">
        <v>6335.6874079093468</v>
      </c>
      <c r="BJ42" s="100">
        <v>1.649428480170541</v>
      </c>
      <c r="BK42" s="100">
        <v>1395.4164942242776</v>
      </c>
      <c r="BL42" s="100">
        <v>5</v>
      </c>
      <c r="BM42" s="100">
        <v>4230</v>
      </c>
      <c r="BN42" s="100">
        <v>6</v>
      </c>
      <c r="BO42" s="100">
        <v>5076</v>
      </c>
      <c r="BP42" s="100">
        <v>5</v>
      </c>
      <c r="BQ42" s="100">
        <v>4230</v>
      </c>
      <c r="BR42" s="100">
        <v>8.3517949025592575</v>
      </c>
      <c r="BS42" s="100">
        <v>7065.6184875651315</v>
      </c>
      <c r="BT42" s="100">
        <v>1.4179381451691324</v>
      </c>
      <c r="BU42" s="100">
        <v>1199.5756708130859</v>
      </c>
      <c r="BV42" s="100">
        <v>7.2984042716565041</v>
      </c>
      <c r="BW42" s="100">
        <v>6174.4500138214025</v>
      </c>
      <c r="BX42" s="100">
        <v>5</v>
      </c>
      <c r="BY42" s="100">
        <v>4230</v>
      </c>
      <c r="BZ42" s="100">
        <v>7</v>
      </c>
      <c r="CA42" s="100">
        <v>5922</v>
      </c>
      <c r="CB42" s="100">
        <v>7.5076638590817497</v>
      </c>
      <c r="CC42" s="100">
        <v>6351.4836247831599</v>
      </c>
      <c r="CD42" s="100">
        <v>4.3683919789521877</v>
      </c>
      <c r="CE42" s="100">
        <v>3695.6596141935506</v>
      </c>
      <c r="CF42" s="100">
        <v>4.4242511467411079E-4</v>
      </c>
      <c r="CG42" s="100">
        <v>0.37429164701429773</v>
      </c>
      <c r="CH42" s="100">
        <v>9</v>
      </c>
      <c r="CI42" s="100">
        <v>7614</v>
      </c>
      <c r="CJ42" s="100">
        <v>9</v>
      </c>
      <c r="CK42" s="100">
        <v>7614</v>
      </c>
      <c r="CL42" s="100">
        <v>6</v>
      </c>
      <c r="CM42" s="100">
        <v>5076</v>
      </c>
      <c r="CN42" s="100">
        <v>7</v>
      </c>
      <c r="CO42" s="100">
        <v>5922</v>
      </c>
      <c r="CP42" s="100">
        <v>5</v>
      </c>
      <c r="CQ42" s="100">
        <v>4230</v>
      </c>
      <c r="CR42" s="100">
        <v>8</v>
      </c>
      <c r="CS42" s="100">
        <v>6768</v>
      </c>
      <c r="CT42" s="100">
        <v>3.9309816507767619</v>
      </c>
      <c r="CU42" s="100">
        <v>3325.6104765571404</v>
      </c>
    </row>
    <row r="43" spans="2:99">
      <c r="C43" s="99" t="s">
        <v>209</v>
      </c>
      <c r="D43" s="100">
        <v>4.4446076776405681</v>
      </c>
      <c r="E43" s="100">
        <v>4544.166889619717</v>
      </c>
      <c r="F43" s="100">
        <v>6.4021365597764168</v>
      </c>
      <c r="G43" s="100">
        <v>6545.544418715408</v>
      </c>
      <c r="H43" s="100">
        <v>5</v>
      </c>
      <c r="I43" s="100">
        <v>5112</v>
      </c>
      <c r="J43" s="100">
        <v>5</v>
      </c>
      <c r="K43" s="100">
        <v>5112</v>
      </c>
      <c r="L43" s="100">
        <v>6</v>
      </c>
      <c r="M43" s="100">
        <v>6134.4</v>
      </c>
      <c r="N43" s="100">
        <v>9.3999362657992229</v>
      </c>
      <c r="O43" s="100">
        <v>9610.4948381531249</v>
      </c>
      <c r="P43" s="100">
        <v>3.9465000082752404</v>
      </c>
      <c r="Q43" s="100">
        <v>4034.9016084606055</v>
      </c>
      <c r="R43" s="100">
        <v>8.3083621751182104</v>
      </c>
      <c r="S43" s="100">
        <v>8494.4694878408573</v>
      </c>
      <c r="T43" s="100">
        <v>3.7365958207814725</v>
      </c>
      <c r="U43" s="100">
        <v>3820.2955671669774</v>
      </c>
      <c r="V43" s="100">
        <v>5</v>
      </c>
      <c r="W43" s="100">
        <v>5112</v>
      </c>
      <c r="X43" s="100">
        <v>8.445873052038559</v>
      </c>
      <c r="Y43" s="100">
        <v>8635.0606084042229</v>
      </c>
      <c r="Z43" s="100">
        <v>1.3693809394777938</v>
      </c>
      <c r="AA43" s="100">
        <v>1400.0550725220965</v>
      </c>
      <c r="AB43" s="100">
        <v>8</v>
      </c>
      <c r="AC43" s="100">
        <v>8179.2</v>
      </c>
      <c r="AD43" s="100">
        <v>5.0221356741013041</v>
      </c>
      <c r="AE43" s="100">
        <v>5134.6315132011732</v>
      </c>
      <c r="AF43" s="100">
        <v>7</v>
      </c>
      <c r="AG43" s="100">
        <v>7156.8</v>
      </c>
      <c r="AH43" s="100">
        <v>3.9175727038259871</v>
      </c>
      <c r="AI43" s="100">
        <v>4005.326332391689</v>
      </c>
      <c r="AJ43" s="100">
        <v>6</v>
      </c>
      <c r="AK43" s="100">
        <v>6134.4</v>
      </c>
      <c r="AL43" s="100">
        <v>7.2927802002075488</v>
      </c>
      <c r="AM43" s="100">
        <v>7456.1384766921974</v>
      </c>
      <c r="AN43" s="100">
        <v>5.9065450092042409E-4</v>
      </c>
      <c r="AO43" s="100">
        <v>0.60388516174104157</v>
      </c>
      <c r="AP43" s="100">
        <v>6</v>
      </c>
      <c r="AQ43" s="100">
        <v>6134.4</v>
      </c>
      <c r="AR43" s="100">
        <v>6</v>
      </c>
      <c r="AS43" s="100">
        <v>6134.4</v>
      </c>
      <c r="AT43" s="100">
        <v>6</v>
      </c>
      <c r="AU43" s="100">
        <v>6134.4</v>
      </c>
      <c r="AV43" s="100">
        <v>7.4007103393008737</v>
      </c>
      <c r="AW43" s="100">
        <v>7566.4862509012128</v>
      </c>
      <c r="AX43" s="100">
        <v>6.0859995731897358</v>
      </c>
      <c r="AY43" s="100">
        <v>6222.3259636291859</v>
      </c>
      <c r="AZ43" s="100">
        <v>4.3071545769310609</v>
      </c>
      <c r="BA43" s="100">
        <v>4403.6348394543165</v>
      </c>
      <c r="BB43" s="100">
        <v>1.379926929748204</v>
      </c>
      <c r="BC43" s="100">
        <v>1410.8372929745638</v>
      </c>
      <c r="BD43" s="100">
        <v>5</v>
      </c>
      <c r="BE43" s="100">
        <v>5112</v>
      </c>
      <c r="BF43" s="100">
        <v>6</v>
      </c>
      <c r="BG43" s="100">
        <v>6134.4</v>
      </c>
      <c r="BH43" s="100">
        <v>6.5378914287237375</v>
      </c>
      <c r="BI43" s="100">
        <v>6684.3401967271493</v>
      </c>
      <c r="BJ43" s="100">
        <v>1.649428480170541</v>
      </c>
      <c r="BK43" s="100">
        <v>1686.375678126361</v>
      </c>
      <c r="BL43" s="100">
        <v>5</v>
      </c>
      <c r="BM43" s="100">
        <v>5112</v>
      </c>
      <c r="BN43" s="100">
        <v>6</v>
      </c>
      <c r="BO43" s="100">
        <v>6134.4</v>
      </c>
      <c r="BP43" s="100">
        <v>5</v>
      </c>
      <c r="BQ43" s="100">
        <v>5112</v>
      </c>
      <c r="BR43" s="100">
        <v>7.3283419090553066</v>
      </c>
      <c r="BS43" s="100">
        <v>7492.4967678181456</v>
      </c>
      <c r="BT43" s="100">
        <v>1.4231758138329611</v>
      </c>
      <c r="BU43" s="100">
        <v>1455.0549520628194</v>
      </c>
      <c r="BV43" s="100">
        <v>6.4874704636946703</v>
      </c>
      <c r="BW43" s="100">
        <v>6632.7898020814309</v>
      </c>
      <c r="BX43" s="100">
        <v>5</v>
      </c>
      <c r="BY43" s="100">
        <v>5112</v>
      </c>
      <c r="BZ43" s="100">
        <v>7</v>
      </c>
      <c r="CA43" s="100">
        <v>7156.8</v>
      </c>
      <c r="CB43" s="100">
        <v>8.5538151189982727</v>
      </c>
      <c r="CC43" s="100">
        <v>8745.4205776638337</v>
      </c>
      <c r="CD43" s="100">
        <v>5.0964573087775529</v>
      </c>
      <c r="CE43" s="100">
        <v>5210.6179524941699</v>
      </c>
      <c r="CF43" s="100">
        <v>4.4242511467411079E-4</v>
      </c>
      <c r="CG43" s="100">
        <v>0.45233543724281089</v>
      </c>
      <c r="CH43" s="100">
        <v>8</v>
      </c>
      <c r="CI43" s="100">
        <v>8179.2</v>
      </c>
      <c r="CJ43" s="100">
        <v>9</v>
      </c>
      <c r="CK43" s="100">
        <v>9201.6</v>
      </c>
      <c r="CL43" s="100">
        <v>6</v>
      </c>
      <c r="CM43" s="100">
        <v>6134.4</v>
      </c>
      <c r="CN43" s="100">
        <v>6</v>
      </c>
      <c r="CO43" s="100">
        <v>6134.4</v>
      </c>
      <c r="CP43" s="100">
        <v>5</v>
      </c>
      <c r="CQ43" s="100">
        <v>5112</v>
      </c>
      <c r="CR43" s="100">
        <v>9</v>
      </c>
      <c r="CS43" s="100">
        <v>9201.6</v>
      </c>
      <c r="CT43" s="100">
        <v>3.9526396876120491</v>
      </c>
      <c r="CU43" s="100">
        <v>4041.1788166145589</v>
      </c>
    </row>
    <row r="44" spans="2:99">
      <c r="C44" s="99" t="s">
        <v>210</v>
      </c>
      <c r="D44" s="100">
        <v>4.4446076776405681</v>
      </c>
      <c r="E44" s="100">
        <v>4544.166889619717</v>
      </c>
      <c r="F44" s="100">
        <v>6.4021365597764168</v>
      </c>
      <c r="G44" s="100">
        <v>6545.544418715408</v>
      </c>
      <c r="H44" s="100">
        <v>6</v>
      </c>
      <c r="I44" s="100">
        <v>6134.4</v>
      </c>
      <c r="J44" s="100">
        <v>5</v>
      </c>
      <c r="K44" s="100">
        <v>5112</v>
      </c>
      <c r="L44" s="100">
        <v>6</v>
      </c>
      <c r="M44" s="100">
        <v>6134.4</v>
      </c>
      <c r="N44" s="100">
        <v>8.3499442325743196</v>
      </c>
      <c r="O44" s="100">
        <v>8536.9829833839849</v>
      </c>
      <c r="P44" s="100">
        <v>3.9465000082752404</v>
      </c>
      <c r="Q44" s="100">
        <v>4034.9016084606055</v>
      </c>
      <c r="R44" s="100">
        <v>10.274099711216188</v>
      </c>
      <c r="S44" s="100">
        <v>10504.23954474743</v>
      </c>
      <c r="T44" s="100">
        <v>3.7365958207814725</v>
      </c>
      <c r="U44" s="100">
        <v>3820.2955671669774</v>
      </c>
      <c r="V44" s="100">
        <v>5</v>
      </c>
      <c r="W44" s="100">
        <v>5112</v>
      </c>
      <c r="X44" s="100">
        <v>9.490460357242414</v>
      </c>
      <c r="Y44" s="100">
        <v>9703.0466692446444</v>
      </c>
      <c r="Z44" s="100">
        <v>1.3693809394777938</v>
      </c>
      <c r="AA44" s="100">
        <v>1400.0550725220965</v>
      </c>
      <c r="AB44" s="100">
        <v>7</v>
      </c>
      <c r="AC44" s="100">
        <v>7156.8</v>
      </c>
      <c r="AD44" s="100">
        <v>4.3046877206582606</v>
      </c>
      <c r="AE44" s="100">
        <v>4401.1127256010059</v>
      </c>
      <c r="AF44" s="100">
        <v>6</v>
      </c>
      <c r="AG44" s="100">
        <v>6134.4</v>
      </c>
      <c r="AH44" s="100">
        <v>3.9175727038259871</v>
      </c>
      <c r="AI44" s="100">
        <v>4005.326332391689</v>
      </c>
      <c r="AJ44" s="100">
        <v>6</v>
      </c>
      <c r="AK44" s="100">
        <v>6134.4</v>
      </c>
      <c r="AL44" s="100">
        <v>7.2927802002075488</v>
      </c>
      <c r="AM44" s="100">
        <v>7456.1384766921974</v>
      </c>
      <c r="AN44" s="100">
        <v>5.9065450092042409E-4</v>
      </c>
      <c r="AO44" s="100">
        <v>0.60388516174104157</v>
      </c>
      <c r="AP44" s="100">
        <v>6</v>
      </c>
      <c r="AQ44" s="100">
        <v>6134.4</v>
      </c>
      <c r="AR44" s="100">
        <v>6</v>
      </c>
      <c r="AS44" s="100">
        <v>6134.4</v>
      </c>
      <c r="AT44" s="100">
        <v>6</v>
      </c>
      <c r="AU44" s="100">
        <v>6134.4</v>
      </c>
      <c r="AV44" s="100">
        <v>7.4007103393008737</v>
      </c>
      <c r="AW44" s="100">
        <v>7566.4862509012128</v>
      </c>
      <c r="AX44" s="100">
        <v>6.0878966742844884</v>
      </c>
      <c r="AY44" s="100">
        <v>6224.2655597884605</v>
      </c>
      <c r="AZ44" s="100">
        <v>4.9668871761241373</v>
      </c>
      <c r="BA44" s="100">
        <v>5078.145448869318</v>
      </c>
      <c r="BB44" s="100">
        <v>1.1499391081235033</v>
      </c>
      <c r="BC44" s="100">
        <v>1175.6977441454696</v>
      </c>
      <c r="BD44" s="100">
        <v>5</v>
      </c>
      <c r="BE44" s="100">
        <v>5112</v>
      </c>
      <c r="BF44" s="100">
        <v>6</v>
      </c>
      <c r="BG44" s="100">
        <v>6134.4</v>
      </c>
      <c r="BH44" s="100">
        <v>7.5378914287237375</v>
      </c>
      <c r="BI44" s="100">
        <v>7706.7401967271489</v>
      </c>
      <c r="BJ44" s="100">
        <v>1.649428480170541</v>
      </c>
      <c r="BK44" s="100">
        <v>1686.375678126361</v>
      </c>
      <c r="BL44" s="100">
        <v>5</v>
      </c>
      <c r="BM44" s="100">
        <v>5112</v>
      </c>
      <c r="BN44" s="100">
        <v>6</v>
      </c>
      <c r="BO44" s="100">
        <v>6134.4</v>
      </c>
      <c r="BP44" s="100">
        <v>4</v>
      </c>
      <c r="BQ44" s="100">
        <v>4089.6</v>
      </c>
      <c r="BR44" s="100">
        <v>8.3517949025592575</v>
      </c>
      <c r="BS44" s="100">
        <v>8538.8751083765856</v>
      </c>
      <c r="BT44" s="100">
        <v>1.4231758138329611</v>
      </c>
      <c r="BU44" s="100">
        <v>1455.0549520628194</v>
      </c>
      <c r="BV44" s="100">
        <v>6.4874704636946703</v>
      </c>
      <c r="BW44" s="100">
        <v>6632.7898020814309</v>
      </c>
      <c r="BX44" s="100">
        <v>5</v>
      </c>
      <c r="BY44" s="100">
        <v>5112</v>
      </c>
      <c r="BZ44" s="100">
        <v>7</v>
      </c>
      <c r="CA44" s="100">
        <v>7156.8</v>
      </c>
      <c r="CB44" s="100">
        <v>8.5076638590817488</v>
      </c>
      <c r="CC44" s="100">
        <v>8698.23552952518</v>
      </c>
      <c r="CD44" s="100">
        <v>4.3683919789521877</v>
      </c>
      <c r="CE44" s="100">
        <v>4466.2439592807168</v>
      </c>
      <c r="CF44" s="100">
        <v>5.0562870248469795E-4</v>
      </c>
      <c r="CG44" s="100">
        <v>0.51695478542035522</v>
      </c>
      <c r="CH44" s="100">
        <v>8</v>
      </c>
      <c r="CI44" s="100">
        <v>8179.2</v>
      </c>
      <c r="CJ44" s="100">
        <v>8</v>
      </c>
      <c r="CK44" s="100">
        <v>8179.2</v>
      </c>
      <c r="CL44" s="100">
        <v>5</v>
      </c>
      <c r="CM44" s="100">
        <v>5112</v>
      </c>
      <c r="CN44" s="100">
        <v>7</v>
      </c>
      <c r="CO44" s="100">
        <v>7156.8</v>
      </c>
      <c r="CP44" s="100">
        <v>5</v>
      </c>
      <c r="CQ44" s="100">
        <v>5112</v>
      </c>
      <c r="CR44" s="100">
        <v>8</v>
      </c>
      <c r="CS44" s="100">
        <v>8179.2</v>
      </c>
      <c r="CT44" s="100">
        <v>3.9309816507767619</v>
      </c>
      <c r="CU44" s="100">
        <v>4019.0356397541614</v>
      </c>
    </row>
    <row r="45" spans="2:99">
      <c r="C45" s="99" t="s">
        <v>211</v>
      </c>
      <c r="D45" s="100">
        <v>4.4348803130050571</v>
      </c>
      <c r="E45" s="100">
        <v>5540.052487005918</v>
      </c>
      <c r="F45" s="100">
        <v>6.4021365597764168</v>
      </c>
      <c r="G45" s="100">
        <v>7997.5489904727001</v>
      </c>
      <c r="H45" s="100">
        <v>5</v>
      </c>
      <c r="I45" s="100">
        <v>6246</v>
      </c>
      <c r="J45" s="100">
        <v>6</v>
      </c>
      <c r="K45" s="100">
        <v>7495.2000000000007</v>
      </c>
      <c r="L45" s="100">
        <v>6</v>
      </c>
      <c r="M45" s="100">
        <v>7495.2000000000007</v>
      </c>
      <c r="N45" s="100">
        <v>8.3999362657992229</v>
      </c>
      <c r="O45" s="100">
        <v>10493.20038323639</v>
      </c>
      <c r="P45" s="100">
        <v>3.9465000082752404</v>
      </c>
      <c r="Q45" s="100">
        <v>4929.9678103374308</v>
      </c>
      <c r="R45" s="100">
        <v>9.2740997112161878</v>
      </c>
      <c r="S45" s="100">
        <v>11585.205359251262</v>
      </c>
      <c r="T45" s="100">
        <v>3.7365958207814725</v>
      </c>
      <c r="U45" s="100">
        <v>4667.7554993202157</v>
      </c>
      <c r="V45" s="100">
        <v>5</v>
      </c>
      <c r="W45" s="100">
        <v>6246</v>
      </c>
      <c r="X45" s="100">
        <v>9.490460357242414</v>
      </c>
      <c r="Y45" s="100">
        <v>11855.483078267223</v>
      </c>
      <c r="Z45" s="100">
        <v>1.3693809394777938</v>
      </c>
      <c r="AA45" s="100">
        <v>1710.63066959566</v>
      </c>
      <c r="AB45" s="100">
        <v>8</v>
      </c>
      <c r="AC45" s="100">
        <v>9993.6</v>
      </c>
      <c r="AD45" s="100">
        <v>4.3046877206582606</v>
      </c>
      <c r="AE45" s="100">
        <v>5377.4159006462996</v>
      </c>
      <c r="AF45" s="100">
        <v>6</v>
      </c>
      <c r="AG45" s="100">
        <v>7495.2000000000007</v>
      </c>
      <c r="AH45" s="100">
        <v>3.9175727038259871</v>
      </c>
      <c r="AI45" s="100">
        <v>4893.831821619423</v>
      </c>
      <c r="AJ45" s="100">
        <v>6</v>
      </c>
      <c r="AK45" s="100">
        <v>7495.2000000000007</v>
      </c>
      <c r="AL45" s="100">
        <v>7.2784648256846856</v>
      </c>
      <c r="AM45" s="100">
        <v>9092.2582602453094</v>
      </c>
      <c r="AN45" s="100">
        <v>6.7503371533762758E-4</v>
      </c>
      <c r="AO45" s="100">
        <v>0.84325211719976445</v>
      </c>
      <c r="AP45" s="100">
        <v>6</v>
      </c>
      <c r="AQ45" s="100">
        <v>7495.2000000000007</v>
      </c>
      <c r="AR45" s="100">
        <v>6</v>
      </c>
      <c r="AS45" s="100">
        <v>7495.2000000000007</v>
      </c>
      <c r="AT45" s="100">
        <v>6</v>
      </c>
      <c r="AU45" s="100">
        <v>7495.2000000000007</v>
      </c>
      <c r="AV45" s="100">
        <v>6.5784091904896655</v>
      </c>
      <c r="AW45" s="100">
        <v>8217.7487607596904</v>
      </c>
      <c r="AX45" s="100">
        <v>6.0859995731897358</v>
      </c>
      <c r="AY45" s="100">
        <v>7602.6306668286179</v>
      </c>
      <c r="AZ45" s="100">
        <v>4.3071545769310609</v>
      </c>
      <c r="BA45" s="100">
        <v>5380.4974975022815</v>
      </c>
      <c r="BB45" s="100">
        <v>1.379926929748204</v>
      </c>
      <c r="BC45" s="100">
        <v>1723.8047206414565</v>
      </c>
      <c r="BD45" s="100">
        <v>5</v>
      </c>
      <c r="BE45" s="100">
        <v>6246</v>
      </c>
      <c r="BF45" s="100">
        <v>5</v>
      </c>
      <c r="BG45" s="100">
        <v>6246</v>
      </c>
      <c r="BH45" s="100">
        <v>7.5378914287237375</v>
      </c>
      <c r="BI45" s="100">
        <v>9416.3339727616931</v>
      </c>
      <c r="BJ45" s="100">
        <v>1.649428480170541</v>
      </c>
      <c r="BK45" s="100">
        <v>2060.4660574290401</v>
      </c>
      <c r="BL45" s="100">
        <v>5</v>
      </c>
      <c r="BM45" s="100">
        <v>6246</v>
      </c>
      <c r="BN45" s="100">
        <v>6</v>
      </c>
      <c r="BO45" s="100">
        <v>7495.2000000000007</v>
      </c>
      <c r="BP45" s="100">
        <v>5</v>
      </c>
      <c r="BQ45" s="100">
        <v>6246</v>
      </c>
      <c r="BR45" s="100">
        <v>7.3517949025592575</v>
      </c>
      <c r="BS45" s="100">
        <v>9183.8621922770253</v>
      </c>
      <c r="BT45" s="100">
        <v>1.2803344655832822</v>
      </c>
      <c r="BU45" s="100">
        <v>1599.3938144066362</v>
      </c>
      <c r="BV45" s="100">
        <v>6.4874704636946703</v>
      </c>
      <c r="BW45" s="100">
        <v>8104.1481032473821</v>
      </c>
      <c r="BX45" s="100">
        <v>5</v>
      </c>
      <c r="BY45" s="100">
        <v>6246</v>
      </c>
      <c r="BZ45" s="100">
        <v>6</v>
      </c>
      <c r="CA45" s="100">
        <v>7495.2000000000007</v>
      </c>
      <c r="CB45" s="100">
        <v>7.5538151189982718</v>
      </c>
      <c r="CC45" s="100">
        <v>9436.2258466526418</v>
      </c>
      <c r="CD45" s="100">
        <v>3.6403266491268234</v>
      </c>
      <c r="CE45" s="100">
        <v>4547.4960500892275</v>
      </c>
      <c r="CF45" s="100">
        <v>5.0562870248469795E-4</v>
      </c>
      <c r="CG45" s="100">
        <v>0.63163137514388468</v>
      </c>
      <c r="CH45" s="100">
        <v>8</v>
      </c>
      <c r="CI45" s="100">
        <v>9993.6</v>
      </c>
      <c r="CJ45" s="100">
        <v>8</v>
      </c>
      <c r="CK45" s="100">
        <v>9993.6</v>
      </c>
      <c r="CL45" s="100">
        <v>6</v>
      </c>
      <c r="CM45" s="100">
        <v>7495.2000000000007</v>
      </c>
      <c r="CN45" s="100">
        <v>6</v>
      </c>
      <c r="CO45" s="100">
        <v>7495.2000000000007</v>
      </c>
      <c r="CP45" s="100">
        <v>5</v>
      </c>
      <c r="CQ45" s="100">
        <v>6246</v>
      </c>
      <c r="CR45" s="100">
        <v>9</v>
      </c>
      <c r="CS45" s="100">
        <v>11242.800000000001</v>
      </c>
      <c r="CT45" s="100">
        <v>3.9309816507767619</v>
      </c>
      <c r="CU45" s="100">
        <v>4910.5822781503311</v>
      </c>
    </row>
    <row r="46" spans="2:99">
      <c r="C46" s="99" t="s">
        <v>212</v>
      </c>
      <c r="D46" s="100">
        <v>5.0767723845505035</v>
      </c>
      <c r="E46" s="100">
        <v>6153.0481300752099</v>
      </c>
      <c r="F46" s="100">
        <v>6.4021365597764168</v>
      </c>
      <c r="G46" s="100">
        <v>7759.3895104490175</v>
      </c>
      <c r="H46" s="100">
        <v>6</v>
      </c>
      <c r="I46" s="100">
        <v>7272</v>
      </c>
      <c r="J46" s="100">
        <v>6</v>
      </c>
      <c r="K46" s="100">
        <v>7272</v>
      </c>
      <c r="L46" s="100">
        <v>7</v>
      </c>
      <c r="M46" s="100">
        <v>8484</v>
      </c>
      <c r="N46" s="100">
        <v>9.3999362657992229</v>
      </c>
      <c r="O46" s="100">
        <v>11392.722754148659</v>
      </c>
      <c r="P46" s="100">
        <v>3.9465000082752404</v>
      </c>
      <c r="Q46" s="100">
        <v>4783.1580100295914</v>
      </c>
      <c r="R46" s="100">
        <v>10.30836217511821</v>
      </c>
      <c r="S46" s="100">
        <v>12493.734956243272</v>
      </c>
      <c r="T46" s="100">
        <v>3.1138298506512267</v>
      </c>
      <c r="U46" s="100">
        <v>3773.9617789892868</v>
      </c>
      <c r="V46" s="100">
        <v>5</v>
      </c>
      <c r="W46" s="100">
        <v>6060</v>
      </c>
      <c r="X46" s="100">
        <v>9.490460357242414</v>
      </c>
      <c r="Y46" s="100">
        <v>11502.437952977805</v>
      </c>
      <c r="Z46" s="100">
        <v>1.3693809394777938</v>
      </c>
      <c r="AA46" s="100">
        <v>1659.6896986470861</v>
      </c>
      <c r="AB46" s="100">
        <v>8</v>
      </c>
      <c r="AC46" s="100">
        <v>9696</v>
      </c>
      <c r="AD46" s="100">
        <v>4.3046877206582606</v>
      </c>
      <c r="AE46" s="100">
        <v>5217.281517437812</v>
      </c>
      <c r="AF46" s="100">
        <v>7</v>
      </c>
      <c r="AG46" s="100">
        <v>8484</v>
      </c>
      <c r="AH46" s="100">
        <v>3.2646439198549895</v>
      </c>
      <c r="AI46" s="100">
        <v>3956.7484308642474</v>
      </c>
      <c r="AJ46" s="100">
        <v>5</v>
      </c>
      <c r="AK46" s="100">
        <v>6060</v>
      </c>
      <c r="AL46" s="100">
        <v>6.4904242749194125</v>
      </c>
      <c r="AM46" s="100">
        <v>7866.3942212023276</v>
      </c>
      <c r="AN46" s="100">
        <v>6.7503371533762758E-4</v>
      </c>
      <c r="AO46" s="100">
        <v>0.81814086298920463</v>
      </c>
      <c r="AP46" s="100">
        <v>7</v>
      </c>
      <c r="AQ46" s="100">
        <v>8484</v>
      </c>
      <c r="AR46" s="100">
        <v>6</v>
      </c>
      <c r="AS46" s="100">
        <v>7272</v>
      </c>
      <c r="AT46" s="100">
        <v>6</v>
      </c>
      <c r="AU46" s="100">
        <v>7272</v>
      </c>
      <c r="AV46" s="100">
        <v>6.5784091904896655</v>
      </c>
      <c r="AW46" s="100">
        <v>7973.0319388734742</v>
      </c>
      <c r="AX46" s="100">
        <v>5.4118852884961575</v>
      </c>
      <c r="AY46" s="100">
        <v>6559.2049696573431</v>
      </c>
      <c r="AZ46" s="100">
        <v>4.9668871761241373</v>
      </c>
      <c r="BA46" s="100">
        <v>6019.8672574624543</v>
      </c>
      <c r="BB46" s="100">
        <v>1.1499391081235033</v>
      </c>
      <c r="BC46" s="100">
        <v>1393.7261990456859</v>
      </c>
      <c r="BD46" s="100">
        <v>5</v>
      </c>
      <c r="BE46" s="100">
        <v>6060</v>
      </c>
      <c r="BF46" s="100">
        <v>6</v>
      </c>
      <c r="BG46" s="100">
        <v>7272</v>
      </c>
      <c r="BH46" s="100">
        <v>7.5378914287237375</v>
      </c>
      <c r="BI46" s="100">
        <v>9135.9244116131704</v>
      </c>
      <c r="BJ46" s="100">
        <v>1.649428480170541</v>
      </c>
      <c r="BK46" s="100">
        <v>1999.1073179666957</v>
      </c>
      <c r="BL46" s="100">
        <v>5</v>
      </c>
      <c r="BM46" s="100">
        <v>6060</v>
      </c>
      <c r="BN46" s="100">
        <v>5</v>
      </c>
      <c r="BO46" s="100">
        <v>6060</v>
      </c>
      <c r="BP46" s="100">
        <v>5</v>
      </c>
      <c r="BQ46" s="100">
        <v>6060</v>
      </c>
      <c r="BR46" s="100">
        <v>8.3283419090553075</v>
      </c>
      <c r="BS46" s="100">
        <v>10093.950393775032</v>
      </c>
      <c r="BT46" s="100">
        <v>1.2855721342471109</v>
      </c>
      <c r="BU46" s="100">
        <v>1558.1134267074985</v>
      </c>
      <c r="BV46" s="100">
        <v>6.4874704636946703</v>
      </c>
      <c r="BW46" s="100">
        <v>7862.8142019979405</v>
      </c>
      <c r="BX46" s="100">
        <v>6</v>
      </c>
      <c r="BY46" s="100">
        <v>7272</v>
      </c>
      <c r="BZ46" s="100">
        <v>6</v>
      </c>
      <c r="CA46" s="100">
        <v>7272</v>
      </c>
      <c r="CB46" s="100">
        <v>7.5538151189982718</v>
      </c>
      <c r="CC46" s="100">
        <v>9155.2239242259056</v>
      </c>
      <c r="CD46" s="100">
        <v>4.3683919789521877</v>
      </c>
      <c r="CE46" s="100">
        <v>5294.4910784900512</v>
      </c>
      <c r="CF46" s="100">
        <v>4.4242511467411079E-4</v>
      </c>
      <c r="CG46" s="100">
        <v>0.53621923898502233</v>
      </c>
      <c r="CH46" s="100">
        <v>9</v>
      </c>
      <c r="CI46" s="100">
        <v>10908</v>
      </c>
      <c r="CJ46" s="100">
        <v>8</v>
      </c>
      <c r="CK46" s="100">
        <v>9696</v>
      </c>
      <c r="CL46" s="100">
        <v>5</v>
      </c>
      <c r="CM46" s="100">
        <v>6060</v>
      </c>
      <c r="CN46" s="100">
        <v>6</v>
      </c>
      <c r="CO46" s="100">
        <v>7272</v>
      </c>
      <c r="CP46" s="100">
        <v>5</v>
      </c>
      <c r="CQ46" s="100">
        <v>6060</v>
      </c>
      <c r="CR46" s="100">
        <v>8</v>
      </c>
      <c r="CS46" s="100">
        <v>9696</v>
      </c>
      <c r="CT46" s="100">
        <v>3.9526396876120491</v>
      </c>
      <c r="CU46" s="100">
        <v>4790.5993013858033</v>
      </c>
    </row>
    <row r="47" spans="2:99">
      <c r="C47" s="99" t="s">
        <v>213</v>
      </c>
      <c r="D47" s="100">
        <v>4.4348803130050571</v>
      </c>
      <c r="E47" s="100">
        <v>6774.7231661465248</v>
      </c>
      <c r="F47" s="100">
        <v>6.4021365597764168</v>
      </c>
      <c r="G47" s="100">
        <v>9779.9038087144545</v>
      </c>
      <c r="H47" s="100">
        <v>6</v>
      </c>
      <c r="I47" s="100">
        <v>9165.5999999999985</v>
      </c>
      <c r="J47" s="100">
        <v>6</v>
      </c>
      <c r="K47" s="100">
        <v>9165.5999999999985</v>
      </c>
      <c r="L47" s="100">
        <v>7</v>
      </c>
      <c r="M47" s="100">
        <v>10693.199999999999</v>
      </c>
      <c r="N47" s="100">
        <v>8.3999362657992229</v>
      </c>
      <c r="O47" s="100">
        <v>12831.742639634893</v>
      </c>
      <c r="P47" s="100">
        <v>3.9465000082752404</v>
      </c>
      <c r="Q47" s="100">
        <v>6028.6734126412566</v>
      </c>
      <c r="R47" s="100">
        <v>8.3083621751182104</v>
      </c>
      <c r="S47" s="100">
        <v>12691.854058710578</v>
      </c>
      <c r="T47" s="100">
        <v>3.1138298506512267</v>
      </c>
      <c r="U47" s="100">
        <v>4756.686479854814</v>
      </c>
      <c r="V47" s="100">
        <v>5</v>
      </c>
      <c r="W47" s="100">
        <v>7638</v>
      </c>
      <c r="X47" s="100">
        <v>8.490460357242414</v>
      </c>
      <c r="Y47" s="100">
        <v>12970.02724172351</v>
      </c>
      <c r="Z47" s="100">
        <v>1.0955047515822351</v>
      </c>
      <c r="AA47" s="100">
        <v>1673.4930585170223</v>
      </c>
      <c r="AB47" s="100">
        <v>8</v>
      </c>
      <c r="AC47" s="100">
        <v>12220.8</v>
      </c>
      <c r="AD47" s="100">
        <v>4.3046877206582606</v>
      </c>
      <c r="AE47" s="100">
        <v>6575.8409620775583</v>
      </c>
      <c r="AF47" s="100">
        <v>7</v>
      </c>
      <c r="AG47" s="100">
        <v>10693.199999999999</v>
      </c>
      <c r="AH47" s="100">
        <v>3.9175727038259871</v>
      </c>
      <c r="AI47" s="100">
        <v>5984.4840623645778</v>
      </c>
      <c r="AJ47" s="100">
        <v>6</v>
      </c>
      <c r="AK47" s="100">
        <v>9165.5999999999985</v>
      </c>
      <c r="AL47" s="100">
        <v>7.2784648256846856</v>
      </c>
      <c r="AM47" s="100">
        <v>11118.582867715924</v>
      </c>
      <c r="AN47" s="100">
        <v>6.7503371533762758E-4</v>
      </c>
      <c r="AO47" s="100">
        <v>1.0311815035497598</v>
      </c>
      <c r="AP47" s="100">
        <v>6</v>
      </c>
      <c r="AQ47" s="100">
        <v>9165.5999999999985</v>
      </c>
      <c r="AR47" s="100">
        <v>7</v>
      </c>
      <c r="AS47" s="100">
        <v>10693.199999999999</v>
      </c>
      <c r="AT47" s="100">
        <v>6</v>
      </c>
      <c r="AU47" s="100">
        <v>9165.5999999999985</v>
      </c>
      <c r="AV47" s="100">
        <v>5.7561080416784574</v>
      </c>
      <c r="AW47" s="100">
        <v>8793.0306444680118</v>
      </c>
      <c r="AX47" s="100">
        <v>5.4137823895909118</v>
      </c>
      <c r="AY47" s="100">
        <v>8270.0939783390768</v>
      </c>
      <c r="AZ47" s="100">
        <v>4.9419758202832371</v>
      </c>
      <c r="BA47" s="100">
        <v>7549.3622630646723</v>
      </c>
      <c r="BB47" s="100">
        <v>1.1499391081235033</v>
      </c>
      <c r="BC47" s="100">
        <v>1756.6469815694636</v>
      </c>
      <c r="BD47" s="100">
        <v>5</v>
      </c>
      <c r="BE47" s="100">
        <v>7638</v>
      </c>
      <c r="BF47" s="100">
        <v>6</v>
      </c>
      <c r="BG47" s="100">
        <v>9165.5999999999985</v>
      </c>
      <c r="BH47" s="100">
        <v>6.4400929871376036</v>
      </c>
      <c r="BI47" s="100">
        <v>9837.8860471514035</v>
      </c>
      <c r="BJ47" s="100">
        <v>1.649428480170541</v>
      </c>
      <c r="BK47" s="100">
        <v>2519.6669463085182</v>
      </c>
      <c r="BL47" s="100">
        <v>5</v>
      </c>
      <c r="BM47" s="100">
        <v>7638</v>
      </c>
      <c r="BN47" s="100">
        <v>6</v>
      </c>
      <c r="BO47" s="100">
        <v>9165.5999999999985</v>
      </c>
      <c r="BP47" s="100">
        <v>5</v>
      </c>
      <c r="BQ47" s="100">
        <v>7638</v>
      </c>
      <c r="BR47" s="100">
        <v>8.3517949025592575</v>
      </c>
      <c r="BS47" s="100">
        <v>12758.20189314952</v>
      </c>
      <c r="BT47" s="100">
        <v>1.1427307859974323</v>
      </c>
      <c r="BU47" s="100">
        <v>1745.6355486896775</v>
      </c>
      <c r="BV47" s="100">
        <v>7.2984042716565041</v>
      </c>
      <c r="BW47" s="100">
        <v>11149.042365382475</v>
      </c>
      <c r="BX47" s="100">
        <v>5</v>
      </c>
      <c r="BY47" s="100">
        <v>7638</v>
      </c>
      <c r="BZ47" s="100">
        <v>7</v>
      </c>
      <c r="CA47" s="100">
        <v>10693.199999999999</v>
      </c>
      <c r="CB47" s="100">
        <v>8.5076638590817488</v>
      </c>
      <c r="CC47" s="100">
        <v>12996.307311133278</v>
      </c>
      <c r="CD47" s="100">
        <v>4.3683919789521877</v>
      </c>
      <c r="CE47" s="100">
        <v>6673.1555870473612</v>
      </c>
      <c r="CF47" s="100">
        <v>4.4242511467411079E-4</v>
      </c>
      <c r="CG47" s="100">
        <v>0.67584860517617162</v>
      </c>
      <c r="CH47" s="100">
        <v>9</v>
      </c>
      <c r="CI47" s="100">
        <v>13748.4</v>
      </c>
      <c r="CJ47" s="100">
        <v>9</v>
      </c>
      <c r="CK47" s="100">
        <v>13748.4</v>
      </c>
      <c r="CL47" s="100">
        <v>5</v>
      </c>
      <c r="CM47" s="100">
        <v>7638</v>
      </c>
      <c r="CN47" s="100">
        <v>6</v>
      </c>
      <c r="CO47" s="100">
        <v>9165.5999999999985</v>
      </c>
      <c r="CP47" s="100">
        <v>5</v>
      </c>
      <c r="CQ47" s="100">
        <v>7638</v>
      </c>
      <c r="CR47" s="100">
        <v>9</v>
      </c>
      <c r="CS47" s="100">
        <v>13748.4</v>
      </c>
      <c r="CT47" s="100">
        <v>3.9309816507767619</v>
      </c>
      <c r="CU47" s="100">
        <v>6004.9675697265811</v>
      </c>
    </row>
    <row r="48" spans="2:99">
      <c r="C48" s="99" t="s">
        <v>214</v>
      </c>
      <c r="D48" s="100">
        <v>5.0670450199149926</v>
      </c>
      <c r="E48" s="100">
        <v>4396.1682592782481</v>
      </c>
      <c r="F48" s="100">
        <v>7.2024036297484688</v>
      </c>
      <c r="G48" s="100">
        <v>6248.8053891697718</v>
      </c>
      <c r="H48" s="100">
        <v>5</v>
      </c>
      <c r="I48" s="100">
        <v>4338</v>
      </c>
      <c r="J48" s="100">
        <v>6</v>
      </c>
      <c r="K48" s="100">
        <v>5205.6000000000004</v>
      </c>
      <c r="L48" s="100">
        <v>7</v>
      </c>
      <c r="M48" s="100">
        <v>6073.2</v>
      </c>
      <c r="N48" s="100">
        <v>8.3999362657992229</v>
      </c>
      <c r="O48" s="100">
        <v>7287.7847042074063</v>
      </c>
      <c r="P48" s="100">
        <v>3.9465000082752404</v>
      </c>
      <c r="Q48" s="100">
        <v>3423.9834071795985</v>
      </c>
      <c r="R48" s="100">
        <v>9.3083621751182104</v>
      </c>
      <c r="S48" s="100">
        <v>8075.9350231325598</v>
      </c>
      <c r="T48" s="100">
        <v>3.7365958207814725</v>
      </c>
      <c r="U48" s="100">
        <v>3241.8705341100058</v>
      </c>
      <c r="V48" s="100">
        <v>5</v>
      </c>
      <c r="W48" s="100">
        <v>4338</v>
      </c>
      <c r="X48" s="100">
        <v>8.445873052038559</v>
      </c>
      <c r="Y48" s="100">
        <v>7327.6394599486539</v>
      </c>
      <c r="Z48" s="100">
        <v>1.3693809394777938</v>
      </c>
      <c r="AA48" s="100">
        <v>1188.074903090934</v>
      </c>
      <c r="AB48" s="100">
        <v>7</v>
      </c>
      <c r="AC48" s="100">
        <v>6073.2</v>
      </c>
      <c r="AD48" s="100">
        <v>5.0221356741013041</v>
      </c>
      <c r="AE48" s="100">
        <v>4357.2049108502915</v>
      </c>
      <c r="AF48" s="100">
        <v>6</v>
      </c>
      <c r="AG48" s="100">
        <v>5205.6000000000004</v>
      </c>
      <c r="AH48" s="100">
        <v>3.9175727038259871</v>
      </c>
      <c r="AI48" s="100">
        <v>3398.8860778394264</v>
      </c>
      <c r="AJ48" s="100">
        <v>6</v>
      </c>
      <c r="AK48" s="100">
        <v>5205.6000000000004</v>
      </c>
      <c r="AL48" s="100">
        <v>7.3070955747304129</v>
      </c>
      <c r="AM48" s="100">
        <v>6339.6361206361062</v>
      </c>
      <c r="AN48" s="100">
        <v>7.5941292975483096E-4</v>
      </c>
      <c r="AO48" s="100">
        <v>0.6588666578552913</v>
      </c>
      <c r="AP48" s="100">
        <v>6</v>
      </c>
      <c r="AQ48" s="100">
        <v>5205.6000000000004</v>
      </c>
      <c r="AR48" s="100">
        <v>6</v>
      </c>
      <c r="AS48" s="100">
        <v>5205.6000000000004</v>
      </c>
      <c r="AT48" s="100">
        <v>6</v>
      </c>
      <c r="AU48" s="100">
        <v>5205.6000000000004</v>
      </c>
      <c r="AV48" s="100">
        <v>6.5784091904896655</v>
      </c>
      <c r="AW48" s="100">
        <v>5707.4278136688336</v>
      </c>
      <c r="AX48" s="100">
        <v>5.4137823895909118</v>
      </c>
      <c r="AY48" s="100">
        <v>4696.9976012090756</v>
      </c>
      <c r="AZ48" s="100">
        <v>4.2822432210901606</v>
      </c>
      <c r="BA48" s="100">
        <v>3715.2742186178234</v>
      </c>
      <c r="BB48" s="100">
        <v>1.1499391081235033</v>
      </c>
      <c r="BC48" s="100">
        <v>997.68717020795145</v>
      </c>
      <c r="BD48" s="100">
        <v>5</v>
      </c>
      <c r="BE48" s="100">
        <v>4338</v>
      </c>
      <c r="BF48" s="100">
        <v>5</v>
      </c>
      <c r="BG48" s="100">
        <v>4338</v>
      </c>
      <c r="BH48" s="100">
        <v>7.4400929871376036</v>
      </c>
      <c r="BI48" s="100">
        <v>6455.024675640585</v>
      </c>
      <c r="BJ48" s="100">
        <v>1.649428480170541</v>
      </c>
      <c r="BK48" s="100">
        <v>1431.0441493959613</v>
      </c>
      <c r="BL48" s="100">
        <v>5</v>
      </c>
      <c r="BM48" s="100">
        <v>4338</v>
      </c>
      <c r="BN48" s="100">
        <v>6</v>
      </c>
      <c r="BO48" s="100">
        <v>5205.6000000000004</v>
      </c>
      <c r="BP48" s="100">
        <v>5</v>
      </c>
      <c r="BQ48" s="100">
        <v>4338</v>
      </c>
      <c r="BR48" s="100">
        <v>8.3283419090553075</v>
      </c>
      <c r="BS48" s="100">
        <v>7225.6694402963849</v>
      </c>
      <c r="BT48" s="100">
        <v>1.2803344655832822</v>
      </c>
      <c r="BU48" s="100">
        <v>1110.8181823400557</v>
      </c>
      <c r="BV48" s="100">
        <v>7.2984042716565041</v>
      </c>
      <c r="BW48" s="100">
        <v>6332.0955460891828</v>
      </c>
      <c r="BX48" s="100">
        <v>5</v>
      </c>
      <c r="BY48" s="100">
        <v>4338</v>
      </c>
      <c r="BZ48" s="100">
        <v>8</v>
      </c>
      <c r="CA48" s="100">
        <v>6940.8</v>
      </c>
      <c r="CB48" s="100">
        <v>8.5076638590817488</v>
      </c>
      <c r="CC48" s="100">
        <v>7381.2491641393253</v>
      </c>
      <c r="CD48" s="100">
        <v>3.6403266491268234</v>
      </c>
      <c r="CE48" s="100">
        <v>3158.347400782432</v>
      </c>
      <c r="CF48" s="100">
        <v>4.4242511467411079E-4</v>
      </c>
      <c r="CG48" s="100">
        <v>0.38384802949125851</v>
      </c>
      <c r="CH48" s="100">
        <v>9</v>
      </c>
      <c r="CI48" s="100">
        <v>7808.4000000000005</v>
      </c>
      <c r="CJ48" s="100">
        <v>8</v>
      </c>
      <c r="CK48" s="100">
        <v>6940.8</v>
      </c>
      <c r="CL48" s="100">
        <v>5</v>
      </c>
      <c r="CM48" s="100">
        <v>4338</v>
      </c>
      <c r="CN48" s="100">
        <v>6</v>
      </c>
      <c r="CO48" s="100">
        <v>5205.6000000000004</v>
      </c>
      <c r="CP48" s="100">
        <v>5</v>
      </c>
      <c r="CQ48" s="100">
        <v>4338</v>
      </c>
      <c r="CR48" s="100">
        <v>10</v>
      </c>
      <c r="CS48" s="100">
        <v>8676</v>
      </c>
      <c r="CT48" s="100">
        <v>3.9309816507767619</v>
      </c>
      <c r="CU48" s="100">
        <v>3410.5196802139185</v>
      </c>
    </row>
    <row r="49" spans="2:99">
      <c r="B49" s="99" t="s">
        <v>129</v>
      </c>
      <c r="C49" s="99" t="s">
        <v>215</v>
      </c>
      <c r="D49" s="100">
        <v>5.1384049456585625</v>
      </c>
      <c r="E49" s="100">
        <v>5062.3565524628157</v>
      </c>
      <c r="F49" s="100">
        <v>1.2710561059575352</v>
      </c>
      <c r="G49" s="100">
        <v>1252.2444755893634</v>
      </c>
      <c r="H49" s="100">
        <v>3.2254357540823548</v>
      </c>
      <c r="I49" s="100">
        <v>3177.6993049219359</v>
      </c>
      <c r="J49" s="100">
        <v>3.735508054559586</v>
      </c>
      <c r="K49" s="100">
        <v>3680.2225353521039</v>
      </c>
      <c r="L49" s="100">
        <v>0.54236533100879536</v>
      </c>
      <c r="M49" s="100">
        <v>534.3383241098652</v>
      </c>
      <c r="N49" s="100">
        <v>5</v>
      </c>
      <c r="O49" s="100">
        <v>4926</v>
      </c>
      <c r="P49" s="100">
        <v>6</v>
      </c>
      <c r="Q49" s="100">
        <v>5911.2</v>
      </c>
      <c r="R49" s="100">
        <v>3</v>
      </c>
      <c r="S49" s="100">
        <v>2955.6</v>
      </c>
      <c r="T49" s="100">
        <v>6</v>
      </c>
      <c r="U49" s="100">
        <v>5911.2</v>
      </c>
      <c r="V49" s="100">
        <v>6</v>
      </c>
      <c r="W49" s="100">
        <v>5911.2</v>
      </c>
      <c r="X49" s="100">
        <v>5</v>
      </c>
      <c r="Y49" s="100">
        <v>4926</v>
      </c>
      <c r="Z49" s="100">
        <v>6</v>
      </c>
      <c r="AA49" s="100">
        <v>5911.2</v>
      </c>
      <c r="AB49" s="100">
        <v>4</v>
      </c>
      <c r="AC49" s="100">
        <v>3940.7999999999997</v>
      </c>
      <c r="AD49" s="100">
        <v>6</v>
      </c>
      <c r="AE49" s="100">
        <v>5911.2</v>
      </c>
      <c r="AF49" s="100">
        <v>6</v>
      </c>
      <c r="AG49" s="100">
        <v>5911.2</v>
      </c>
      <c r="AH49" s="100">
        <v>5</v>
      </c>
      <c r="AI49" s="100">
        <v>4926</v>
      </c>
      <c r="AJ49" s="100">
        <v>5.3568650976068506</v>
      </c>
      <c r="AK49" s="100">
        <v>5277.5834941622688</v>
      </c>
      <c r="AL49" s="100">
        <v>5.4459803480383577</v>
      </c>
      <c r="AM49" s="100">
        <v>5365.3798388873893</v>
      </c>
      <c r="AN49" s="100">
        <v>5</v>
      </c>
      <c r="AO49" s="100">
        <v>4926</v>
      </c>
      <c r="AP49" s="100">
        <v>6</v>
      </c>
      <c r="AQ49" s="100">
        <v>5911.2</v>
      </c>
      <c r="AR49" s="100">
        <v>7.1094954375881096</v>
      </c>
      <c r="AS49" s="100">
        <v>7004.2749051118053</v>
      </c>
      <c r="AT49" s="100">
        <v>5</v>
      </c>
      <c r="AU49" s="100">
        <v>4926</v>
      </c>
      <c r="AV49" s="100">
        <v>6</v>
      </c>
      <c r="AW49" s="100">
        <v>5911.2</v>
      </c>
      <c r="AX49" s="100">
        <v>7</v>
      </c>
      <c r="AY49" s="100">
        <v>6896.4</v>
      </c>
      <c r="AZ49" s="100">
        <v>5</v>
      </c>
      <c r="BA49" s="100">
        <v>4926</v>
      </c>
      <c r="BB49" s="100">
        <v>4</v>
      </c>
      <c r="BC49" s="100">
        <v>3940.7999999999997</v>
      </c>
      <c r="BD49" s="100">
        <v>4</v>
      </c>
      <c r="BE49" s="100">
        <v>3940.7999999999997</v>
      </c>
      <c r="BF49" s="100">
        <v>4.1302389047314785</v>
      </c>
      <c r="BG49" s="100">
        <v>4069.1113689414524</v>
      </c>
      <c r="BH49" s="100">
        <v>5</v>
      </c>
      <c r="BI49" s="100">
        <v>4926</v>
      </c>
      <c r="BJ49" s="100">
        <v>4</v>
      </c>
      <c r="BK49" s="100">
        <v>3940.7999999999997</v>
      </c>
      <c r="BL49" s="100">
        <v>4</v>
      </c>
      <c r="BM49" s="100">
        <v>3940.7999999999997</v>
      </c>
      <c r="BN49" s="100">
        <v>5.4473342114949119</v>
      </c>
      <c r="BO49" s="100">
        <v>5366.713665164787</v>
      </c>
      <c r="BP49" s="100">
        <v>3.4105672639785074</v>
      </c>
      <c r="BQ49" s="100">
        <v>3360.0908684716251</v>
      </c>
      <c r="BR49" s="100">
        <v>7</v>
      </c>
      <c r="BS49" s="100">
        <v>6896.4</v>
      </c>
      <c r="BT49" s="100">
        <v>4</v>
      </c>
      <c r="BU49" s="100">
        <v>3940.7999999999997</v>
      </c>
      <c r="BV49" s="100">
        <v>4</v>
      </c>
      <c r="BW49" s="100">
        <v>3940.7999999999997</v>
      </c>
      <c r="BX49" s="100">
        <v>3</v>
      </c>
      <c r="BY49" s="100">
        <v>2955.6</v>
      </c>
      <c r="BZ49" s="100">
        <v>3</v>
      </c>
      <c r="CA49" s="100">
        <v>2955.6</v>
      </c>
      <c r="CB49" s="100">
        <v>4</v>
      </c>
      <c r="CC49" s="100">
        <v>3940.7999999999997</v>
      </c>
      <c r="CD49" s="100">
        <v>5</v>
      </c>
      <c r="CE49" s="100">
        <v>4926</v>
      </c>
      <c r="CF49" s="100">
        <v>5.0997992226786781</v>
      </c>
      <c r="CG49" s="100">
        <v>5024.3221941830334</v>
      </c>
      <c r="CH49" s="100">
        <v>6</v>
      </c>
      <c r="CI49" s="100">
        <v>5911.2</v>
      </c>
      <c r="CJ49" s="100">
        <v>5</v>
      </c>
      <c r="CK49" s="100">
        <v>4926</v>
      </c>
      <c r="CL49" s="100">
        <v>4</v>
      </c>
      <c r="CM49" s="100">
        <v>3940.7999999999997</v>
      </c>
      <c r="CN49" s="100">
        <v>4</v>
      </c>
      <c r="CO49" s="100">
        <v>3940.7999999999997</v>
      </c>
      <c r="CP49" s="100">
        <v>7.2799093587207127</v>
      </c>
      <c r="CQ49" s="100">
        <v>7172.1667002116455</v>
      </c>
      <c r="CR49" s="100">
        <v>6</v>
      </c>
      <c r="CS49" s="100">
        <v>5911.2</v>
      </c>
      <c r="CT49" s="100">
        <v>5</v>
      </c>
      <c r="CU49" s="100">
        <v>4926</v>
      </c>
    </row>
    <row r="50" spans="2:99">
      <c r="C50" s="99" t="s">
        <v>216</v>
      </c>
      <c r="D50" s="100">
        <v>3.1121867113721184</v>
      </c>
      <c r="E50" s="100">
        <v>877.63665260693745</v>
      </c>
      <c r="F50" s="100">
        <v>4.00133534986026</v>
      </c>
      <c r="G50" s="100">
        <v>1128.3765686605934</v>
      </c>
      <c r="H50" s="100">
        <v>5</v>
      </c>
      <c r="I50" s="100">
        <v>1410</v>
      </c>
      <c r="J50" s="100">
        <v>5</v>
      </c>
      <c r="K50" s="100">
        <v>1410</v>
      </c>
      <c r="L50" s="100">
        <v>7</v>
      </c>
      <c r="M50" s="100">
        <v>1974</v>
      </c>
      <c r="N50" s="100">
        <v>5.4999203322490287</v>
      </c>
      <c r="O50" s="100">
        <v>1550.9775336942262</v>
      </c>
      <c r="P50" s="100">
        <v>4.6042500096544474</v>
      </c>
      <c r="Q50" s="100">
        <v>1298.3985027225542</v>
      </c>
      <c r="R50" s="100">
        <v>3.2055747834121404</v>
      </c>
      <c r="S50" s="100">
        <v>903.97208892222363</v>
      </c>
      <c r="T50" s="100">
        <v>4.3593617909117173</v>
      </c>
      <c r="U50" s="100">
        <v>1229.3400250371042</v>
      </c>
      <c r="V50" s="100">
        <v>7</v>
      </c>
      <c r="W50" s="100">
        <v>1974</v>
      </c>
      <c r="X50" s="100">
        <v>5.3121111364269904</v>
      </c>
      <c r="Y50" s="100">
        <v>1498.0153404724113</v>
      </c>
      <c r="Z50" s="100">
        <v>1.3693809394777938</v>
      </c>
      <c r="AA50" s="100">
        <v>386.16542493273784</v>
      </c>
      <c r="AB50" s="100">
        <v>4</v>
      </c>
      <c r="AC50" s="100">
        <v>1128</v>
      </c>
      <c r="AD50" s="100">
        <v>4.3046877206582606</v>
      </c>
      <c r="AE50" s="100">
        <v>1213.9219372256296</v>
      </c>
      <c r="AF50" s="100">
        <v>5.0690390332932829</v>
      </c>
      <c r="AG50" s="100">
        <v>1429.4690073887057</v>
      </c>
      <c r="AH50" s="100">
        <v>3.2646439198549895</v>
      </c>
      <c r="AI50" s="100">
        <v>920.62958539910699</v>
      </c>
      <c r="AJ50" s="100">
        <v>5</v>
      </c>
      <c r="AK50" s="100">
        <v>1410</v>
      </c>
      <c r="AL50" s="100">
        <v>4.097671873577867</v>
      </c>
      <c r="AM50" s="100">
        <v>1155.5434683489584</v>
      </c>
      <c r="AN50" s="100">
        <v>4.2189607208601717E-4</v>
      </c>
      <c r="AO50" s="100">
        <v>0.11897469232825685</v>
      </c>
      <c r="AP50" s="100">
        <v>6</v>
      </c>
      <c r="AQ50" s="100">
        <v>1692</v>
      </c>
      <c r="AR50" s="100">
        <v>7</v>
      </c>
      <c r="AS50" s="100">
        <v>1974</v>
      </c>
      <c r="AT50" s="100">
        <v>5</v>
      </c>
      <c r="AU50" s="100">
        <v>1410</v>
      </c>
      <c r="AV50" s="100">
        <v>5.7561080416784574</v>
      </c>
      <c r="AW50" s="100">
        <v>1623.222467753325</v>
      </c>
      <c r="AX50" s="100">
        <v>4.057965415824742</v>
      </c>
      <c r="AY50" s="100">
        <v>1144.3462472625772</v>
      </c>
      <c r="AZ50" s="100">
        <v>4.1327750860447585</v>
      </c>
      <c r="BA50" s="100">
        <v>1165.442574264622</v>
      </c>
      <c r="BB50" s="100">
        <v>0.91995128649880265</v>
      </c>
      <c r="BC50" s="100">
        <v>259.42626279266233</v>
      </c>
      <c r="BD50" s="100">
        <v>4</v>
      </c>
      <c r="BE50" s="100">
        <v>1128</v>
      </c>
      <c r="BF50" s="100">
        <v>4</v>
      </c>
      <c r="BG50" s="100">
        <v>1128</v>
      </c>
      <c r="BH50" s="100">
        <v>5.3911937663445357</v>
      </c>
      <c r="BI50" s="100">
        <v>1520.3166421091591</v>
      </c>
      <c r="BJ50" s="100">
        <v>1.0996189867803607</v>
      </c>
      <c r="BK50" s="100">
        <v>310.0925542720617</v>
      </c>
      <c r="BL50" s="100">
        <v>4</v>
      </c>
      <c r="BM50" s="100">
        <v>1128</v>
      </c>
      <c r="BN50" s="100">
        <v>5</v>
      </c>
      <c r="BO50" s="100">
        <v>1410</v>
      </c>
      <c r="BP50" s="100">
        <v>4</v>
      </c>
      <c r="BQ50" s="100">
        <v>1128</v>
      </c>
      <c r="BR50" s="100">
        <v>6.1876239480316038</v>
      </c>
      <c r="BS50" s="100">
        <v>1744.9099533449123</v>
      </c>
      <c r="BT50" s="100">
        <v>0.60802907364551839</v>
      </c>
      <c r="BU50" s="100">
        <v>171.4641987680362</v>
      </c>
      <c r="BV50" s="100">
        <v>3.2437352318473351</v>
      </c>
      <c r="BW50" s="100">
        <v>914.73333538094846</v>
      </c>
      <c r="BX50" s="100">
        <v>4</v>
      </c>
      <c r="BY50" s="100">
        <v>1128</v>
      </c>
      <c r="BZ50" s="100">
        <v>4</v>
      </c>
      <c r="CA50" s="100">
        <v>1128</v>
      </c>
      <c r="CB50" s="100">
        <v>5.5076638590817497</v>
      </c>
      <c r="CC50" s="100">
        <v>1553.1612082610534</v>
      </c>
      <c r="CD50" s="100">
        <v>4.3683919789521877</v>
      </c>
      <c r="CE50" s="100">
        <v>1231.886538064517</v>
      </c>
      <c r="CF50" s="100">
        <v>2.5281435124234898E-4</v>
      </c>
      <c r="CG50" s="100">
        <v>7.1293647050342412E-2</v>
      </c>
      <c r="CH50" s="100">
        <v>6</v>
      </c>
      <c r="CI50" s="100">
        <v>1692</v>
      </c>
      <c r="CJ50" s="100">
        <v>6</v>
      </c>
      <c r="CK50" s="100">
        <v>1692</v>
      </c>
      <c r="CL50" s="100">
        <v>4</v>
      </c>
      <c r="CM50" s="100">
        <v>1128</v>
      </c>
      <c r="CN50" s="100">
        <v>5</v>
      </c>
      <c r="CO50" s="100">
        <v>1410</v>
      </c>
      <c r="CP50" s="100">
        <v>6</v>
      </c>
      <c r="CQ50" s="100">
        <v>1692</v>
      </c>
      <c r="CR50" s="100">
        <v>6</v>
      </c>
      <c r="CS50" s="100">
        <v>1692</v>
      </c>
      <c r="CT50" s="100">
        <v>3.6927432455886082</v>
      </c>
      <c r="CU50" s="100">
        <v>1041.3535952559876</v>
      </c>
    </row>
    <row r="51" spans="2:99">
      <c r="C51" s="99" t="s">
        <v>217</v>
      </c>
      <c r="D51" s="100">
        <v>3.1121867113721184</v>
      </c>
      <c r="E51" s="100">
        <v>2659.0523261963381</v>
      </c>
      <c r="F51" s="100">
        <v>4.00133534986026</v>
      </c>
      <c r="G51" s="100">
        <v>3418.740922920606</v>
      </c>
      <c r="H51" s="100">
        <v>5</v>
      </c>
      <c r="I51" s="100">
        <v>4272</v>
      </c>
      <c r="J51" s="100">
        <v>5</v>
      </c>
      <c r="K51" s="100">
        <v>4272</v>
      </c>
      <c r="L51" s="100">
        <v>7</v>
      </c>
      <c r="M51" s="100">
        <v>5980.8</v>
      </c>
      <c r="N51" s="100">
        <v>5.4999203322490287</v>
      </c>
      <c r="O51" s="100">
        <v>4699.1319318735696</v>
      </c>
      <c r="P51" s="100">
        <v>3.9465000082752404</v>
      </c>
      <c r="Q51" s="100">
        <v>3371.8896070703654</v>
      </c>
      <c r="R51" s="100">
        <v>4.2055747834121409</v>
      </c>
      <c r="S51" s="100">
        <v>3593.2430949473332</v>
      </c>
      <c r="T51" s="100">
        <v>3.7365958207814725</v>
      </c>
      <c r="U51" s="100">
        <v>3192.5474692756898</v>
      </c>
      <c r="V51" s="100">
        <v>6</v>
      </c>
      <c r="W51" s="100">
        <v>5126.3999999999996</v>
      </c>
      <c r="X51" s="100">
        <v>6.3121111364269904</v>
      </c>
      <c r="Y51" s="100">
        <v>5393.0677549632201</v>
      </c>
      <c r="Z51" s="100">
        <v>1.3693809394777938</v>
      </c>
      <c r="AA51" s="100">
        <v>1169.999074689827</v>
      </c>
      <c r="AB51" s="100">
        <v>4</v>
      </c>
      <c r="AC51" s="100">
        <v>3417.6</v>
      </c>
      <c r="AD51" s="100">
        <v>4.3046877206582606</v>
      </c>
      <c r="AE51" s="100">
        <v>3677.9251885304179</v>
      </c>
      <c r="AF51" s="100">
        <v>6.0767100369925364</v>
      </c>
      <c r="AG51" s="100">
        <v>5191.9410556064231</v>
      </c>
      <c r="AH51" s="100">
        <v>3.2646439198549895</v>
      </c>
      <c r="AI51" s="100">
        <v>2789.3117651241027</v>
      </c>
      <c r="AJ51" s="100">
        <v>5</v>
      </c>
      <c r="AK51" s="100">
        <v>4272</v>
      </c>
      <c r="AL51" s="100">
        <v>4.871397049820275</v>
      </c>
      <c r="AM51" s="100">
        <v>4162.1216393664427</v>
      </c>
      <c r="AN51" s="100">
        <v>5.062752865032206E-4</v>
      </c>
      <c r="AO51" s="100">
        <v>0.43256160478835165</v>
      </c>
      <c r="AP51" s="100">
        <v>6</v>
      </c>
      <c r="AQ51" s="100">
        <v>5126.3999999999996</v>
      </c>
      <c r="AR51" s="100">
        <v>7</v>
      </c>
      <c r="AS51" s="100">
        <v>5980.8</v>
      </c>
      <c r="AT51" s="100">
        <v>6</v>
      </c>
      <c r="AU51" s="100">
        <v>5126.3999999999996</v>
      </c>
      <c r="AV51" s="100">
        <v>4.9338068928672492</v>
      </c>
      <c r="AW51" s="100">
        <v>4215.4446092657772</v>
      </c>
      <c r="AX51" s="100">
        <v>4.057965415824742</v>
      </c>
      <c r="AY51" s="100">
        <v>3467.1256512806594</v>
      </c>
      <c r="AZ51" s="100">
        <v>4.1327750860447585</v>
      </c>
      <c r="BA51" s="100">
        <v>3531.0430335166416</v>
      </c>
      <c r="BB51" s="100">
        <v>0.91995128649880265</v>
      </c>
      <c r="BC51" s="100">
        <v>786.00637918457699</v>
      </c>
      <c r="BD51" s="100">
        <v>4</v>
      </c>
      <c r="BE51" s="100">
        <v>3417.6</v>
      </c>
      <c r="BF51" s="100">
        <v>4</v>
      </c>
      <c r="BG51" s="100">
        <v>3417.6</v>
      </c>
      <c r="BH51" s="100">
        <v>4.3911937663445357</v>
      </c>
      <c r="BI51" s="100">
        <v>3751.8359539647713</v>
      </c>
      <c r="BJ51" s="100">
        <v>1.374523733475451</v>
      </c>
      <c r="BK51" s="100">
        <v>1174.3930778814254</v>
      </c>
      <c r="BL51" s="100">
        <v>4</v>
      </c>
      <c r="BM51" s="100">
        <v>3417.6</v>
      </c>
      <c r="BN51" s="100">
        <v>5</v>
      </c>
      <c r="BO51" s="100">
        <v>4272</v>
      </c>
      <c r="BP51" s="100">
        <v>4</v>
      </c>
      <c r="BQ51" s="100">
        <v>3417.6</v>
      </c>
      <c r="BR51" s="100">
        <v>6.1876239480316038</v>
      </c>
      <c r="BS51" s="100">
        <v>5286.7059011982019</v>
      </c>
      <c r="BT51" s="100">
        <v>0.60279140498168959</v>
      </c>
      <c r="BU51" s="100">
        <v>515.02497641635557</v>
      </c>
      <c r="BV51" s="100">
        <v>3.2437352318473351</v>
      </c>
      <c r="BW51" s="100">
        <v>2771.4473820903631</v>
      </c>
      <c r="BX51" s="100">
        <v>4</v>
      </c>
      <c r="BY51" s="100">
        <v>3417.6</v>
      </c>
      <c r="BZ51" s="100">
        <v>4</v>
      </c>
      <c r="CA51" s="100">
        <v>3417.6</v>
      </c>
      <c r="CB51" s="100">
        <v>4.4615125991652267</v>
      </c>
      <c r="CC51" s="100">
        <v>3811.9163647267696</v>
      </c>
      <c r="CD51" s="100">
        <v>3.6403266491268234</v>
      </c>
      <c r="CE51" s="100">
        <v>3110.2950890139577</v>
      </c>
      <c r="CF51" s="100">
        <v>2.5281435124234898E-4</v>
      </c>
      <c r="CG51" s="100">
        <v>0.21600458170146297</v>
      </c>
      <c r="CH51" s="100">
        <v>6</v>
      </c>
      <c r="CI51" s="100">
        <v>5126.3999999999996</v>
      </c>
      <c r="CJ51" s="100">
        <v>6</v>
      </c>
      <c r="CK51" s="100">
        <v>5126.3999999999996</v>
      </c>
      <c r="CL51" s="100">
        <v>4</v>
      </c>
      <c r="CM51" s="100">
        <v>3417.6</v>
      </c>
      <c r="CN51" s="100">
        <v>4</v>
      </c>
      <c r="CO51" s="100">
        <v>3417.6</v>
      </c>
      <c r="CP51" s="100">
        <v>6</v>
      </c>
      <c r="CQ51" s="100">
        <v>5126.3999999999996</v>
      </c>
      <c r="CR51" s="100">
        <v>6</v>
      </c>
      <c r="CS51" s="100">
        <v>5126.3999999999996</v>
      </c>
      <c r="CT51" s="100">
        <v>2.9541945964708867</v>
      </c>
      <c r="CU51" s="100">
        <v>2524.0638632247255</v>
      </c>
    </row>
    <row r="52" spans="2:99">
      <c r="C52" s="99" t="s">
        <v>218</v>
      </c>
      <c r="D52" s="100">
        <v>3.1121867113721184</v>
      </c>
      <c r="E52" s="100">
        <v>1680.5808241409441</v>
      </c>
      <c r="F52" s="100">
        <v>4.8016024198323128</v>
      </c>
      <c r="G52" s="100">
        <v>2592.8653067094488</v>
      </c>
      <c r="H52" s="100">
        <v>5</v>
      </c>
      <c r="I52" s="100">
        <v>2700</v>
      </c>
      <c r="J52" s="100">
        <v>5</v>
      </c>
      <c r="K52" s="100">
        <v>2700</v>
      </c>
      <c r="L52" s="100">
        <v>7</v>
      </c>
      <c r="M52" s="100">
        <v>3780</v>
      </c>
      <c r="N52" s="100">
        <v>5.4999203322490287</v>
      </c>
      <c r="O52" s="100">
        <v>2969.9569794144754</v>
      </c>
      <c r="P52" s="100">
        <v>4.6042500096544474</v>
      </c>
      <c r="Q52" s="100">
        <v>2486.2950052134015</v>
      </c>
      <c r="R52" s="100">
        <v>4.2055747834121409</v>
      </c>
      <c r="S52" s="100">
        <v>2271.010383042556</v>
      </c>
      <c r="T52" s="100">
        <v>3.7365958207814725</v>
      </c>
      <c r="U52" s="100">
        <v>2017.7617432219952</v>
      </c>
      <c r="V52" s="100">
        <v>7</v>
      </c>
      <c r="W52" s="100">
        <v>3780</v>
      </c>
      <c r="X52" s="100">
        <v>6.3121111364269904</v>
      </c>
      <c r="Y52" s="100">
        <v>3408.5400136705748</v>
      </c>
      <c r="Z52" s="100">
        <v>1.6432571273733527</v>
      </c>
      <c r="AA52" s="100">
        <v>887.3588487816105</v>
      </c>
      <c r="AB52" s="100">
        <v>3</v>
      </c>
      <c r="AC52" s="100">
        <v>1620</v>
      </c>
      <c r="AD52" s="100">
        <v>3.5872397672152174</v>
      </c>
      <c r="AE52" s="100">
        <v>1937.1094742962175</v>
      </c>
      <c r="AF52" s="100">
        <v>5.0767100369925364</v>
      </c>
      <c r="AG52" s="100">
        <v>2741.4234199759699</v>
      </c>
      <c r="AH52" s="100">
        <v>3.2646439198549895</v>
      </c>
      <c r="AI52" s="100">
        <v>1762.9077167216942</v>
      </c>
      <c r="AJ52" s="100">
        <v>5</v>
      </c>
      <c r="AK52" s="100">
        <v>2700</v>
      </c>
      <c r="AL52" s="100">
        <v>4.0690411245321387</v>
      </c>
      <c r="AM52" s="100">
        <v>2197.282207247355</v>
      </c>
      <c r="AN52" s="100">
        <v>4.2189607208601717E-4</v>
      </c>
      <c r="AO52" s="100">
        <v>0.22782387892644926</v>
      </c>
      <c r="AP52" s="100">
        <v>6</v>
      </c>
      <c r="AQ52" s="100">
        <v>3240</v>
      </c>
      <c r="AR52" s="100">
        <v>6</v>
      </c>
      <c r="AS52" s="100">
        <v>3240</v>
      </c>
      <c r="AT52" s="100">
        <v>5</v>
      </c>
      <c r="AU52" s="100">
        <v>2700</v>
      </c>
      <c r="AV52" s="100">
        <v>5.7561080416784574</v>
      </c>
      <c r="AW52" s="100">
        <v>3108.2983425063671</v>
      </c>
      <c r="AX52" s="100">
        <v>4.7320797005183195</v>
      </c>
      <c r="AY52" s="100">
        <v>2555.3230382798924</v>
      </c>
      <c r="AZ52" s="100">
        <v>4.1576864418856587</v>
      </c>
      <c r="BA52" s="100">
        <v>2245.1506786182558</v>
      </c>
      <c r="BB52" s="100">
        <v>0.91995128649880265</v>
      </c>
      <c r="BC52" s="100">
        <v>496.77369470935344</v>
      </c>
      <c r="BD52" s="100">
        <v>4</v>
      </c>
      <c r="BE52" s="100">
        <v>2160</v>
      </c>
      <c r="BF52" s="100">
        <v>5</v>
      </c>
      <c r="BG52" s="100">
        <v>2700</v>
      </c>
      <c r="BH52" s="100">
        <v>5.3911937663445357</v>
      </c>
      <c r="BI52" s="100">
        <v>2911.2446338260493</v>
      </c>
      <c r="BJ52" s="100">
        <v>1.0996189867803607</v>
      </c>
      <c r="BK52" s="100">
        <v>593.79425286139485</v>
      </c>
      <c r="BL52" s="100">
        <v>4</v>
      </c>
      <c r="BM52" s="100">
        <v>2160</v>
      </c>
      <c r="BN52" s="100">
        <v>5</v>
      </c>
      <c r="BO52" s="100">
        <v>2700</v>
      </c>
      <c r="BP52" s="100">
        <v>4</v>
      </c>
      <c r="BQ52" s="100">
        <v>2160</v>
      </c>
      <c r="BR52" s="100">
        <v>7.2110769415355547</v>
      </c>
      <c r="BS52" s="100">
        <v>3893.9815484291994</v>
      </c>
      <c r="BT52" s="100">
        <v>0.60802907364551839</v>
      </c>
      <c r="BU52" s="100">
        <v>328.33569976857996</v>
      </c>
      <c r="BV52" s="100">
        <v>3.2437352318473351</v>
      </c>
      <c r="BW52" s="100">
        <v>1751.6170251975609</v>
      </c>
      <c r="BX52" s="100">
        <v>4</v>
      </c>
      <c r="BY52" s="100">
        <v>2160</v>
      </c>
      <c r="BZ52" s="100">
        <v>3</v>
      </c>
      <c r="CA52" s="100">
        <v>1620</v>
      </c>
      <c r="CB52" s="100">
        <v>4.4615125991652267</v>
      </c>
      <c r="CC52" s="100">
        <v>2409.2168035492223</v>
      </c>
      <c r="CD52" s="100">
        <v>4.3683919789521877</v>
      </c>
      <c r="CE52" s="100">
        <v>2358.9316686341813</v>
      </c>
      <c r="CF52" s="100">
        <v>2.5281435124234898E-4</v>
      </c>
      <c r="CG52" s="100">
        <v>0.13651974967086844</v>
      </c>
      <c r="CH52" s="100">
        <v>6</v>
      </c>
      <c r="CI52" s="100">
        <v>3240</v>
      </c>
      <c r="CJ52" s="100">
        <v>7</v>
      </c>
      <c r="CK52" s="100">
        <v>3780</v>
      </c>
      <c r="CL52" s="100">
        <v>4</v>
      </c>
      <c r="CM52" s="100">
        <v>2160</v>
      </c>
      <c r="CN52" s="100">
        <v>5</v>
      </c>
      <c r="CO52" s="100">
        <v>2700</v>
      </c>
      <c r="CP52" s="100">
        <v>7</v>
      </c>
      <c r="CQ52" s="100">
        <v>3780</v>
      </c>
      <c r="CR52" s="100">
        <v>6</v>
      </c>
      <c r="CS52" s="100">
        <v>3240</v>
      </c>
      <c r="CT52" s="100">
        <v>3.9093236139414751</v>
      </c>
      <c r="CU52" s="100">
        <v>2111.0347515283966</v>
      </c>
    </row>
    <row r="53" spans="2:99">
      <c r="C53" s="99" t="s">
        <v>219</v>
      </c>
      <c r="D53" s="100">
        <v>3.1997329930917213</v>
      </c>
      <c r="E53" s="100">
        <v>1301.6513815897122</v>
      </c>
      <c r="F53" s="100">
        <v>4.00133534986026</v>
      </c>
      <c r="G53" s="100">
        <v>1627.7432203231538</v>
      </c>
      <c r="H53" s="100">
        <v>5</v>
      </c>
      <c r="I53" s="100">
        <v>2034</v>
      </c>
      <c r="J53" s="100">
        <v>5</v>
      </c>
      <c r="K53" s="100">
        <v>2034</v>
      </c>
      <c r="L53" s="100">
        <v>7</v>
      </c>
      <c r="M53" s="100">
        <v>2847.6</v>
      </c>
      <c r="N53" s="100">
        <v>5.4999203322490287</v>
      </c>
      <c r="O53" s="100">
        <v>2237.3675911589048</v>
      </c>
      <c r="P53" s="100">
        <v>3.9465000082752404</v>
      </c>
      <c r="Q53" s="100">
        <v>1605.4362033663679</v>
      </c>
      <c r="R53" s="100">
        <v>4.2055747834121409</v>
      </c>
      <c r="S53" s="100">
        <v>1710.8278218920589</v>
      </c>
      <c r="T53" s="100">
        <v>4.3593617909117173</v>
      </c>
      <c r="U53" s="100">
        <v>1773.3883765428866</v>
      </c>
      <c r="V53" s="100">
        <v>7</v>
      </c>
      <c r="W53" s="100">
        <v>2847.6</v>
      </c>
      <c r="X53" s="100">
        <v>5.3566984416308463</v>
      </c>
      <c r="Y53" s="100">
        <v>2179.1049260554282</v>
      </c>
      <c r="Z53" s="100">
        <v>1.3693809394777938</v>
      </c>
      <c r="AA53" s="100">
        <v>557.06416617956654</v>
      </c>
      <c r="AB53" s="100">
        <v>3</v>
      </c>
      <c r="AC53" s="100">
        <v>1220.4000000000001</v>
      </c>
      <c r="AD53" s="100">
        <v>4.3046877206582606</v>
      </c>
      <c r="AE53" s="100">
        <v>1751.1469647637805</v>
      </c>
      <c r="AF53" s="100">
        <v>5.0767100369925364</v>
      </c>
      <c r="AG53" s="100">
        <v>2065.2056430485641</v>
      </c>
      <c r="AH53" s="100">
        <v>3.2646439198549895</v>
      </c>
      <c r="AI53" s="100">
        <v>1328.0571465970097</v>
      </c>
      <c r="AJ53" s="100">
        <v>5</v>
      </c>
      <c r="AK53" s="100">
        <v>2034</v>
      </c>
      <c r="AL53" s="100">
        <v>4.871397049820275</v>
      </c>
      <c r="AM53" s="100">
        <v>1981.684319866888</v>
      </c>
      <c r="AN53" s="100">
        <v>4.2189607208601717E-4</v>
      </c>
      <c r="AO53" s="100">
        <v>0.17162732212459178</v>
      </c>
      <c r="AP53" s="100">
        <v>6</v>
      </c>
      <c r="AQ53" s="100">
        <v>2440.8000000000002</v>
      </c>
      <c r="AR53" s="100">
        <v>6</v>
      </c>
      <c r="AS53" s="100">
        <v>2440.8000000000002</v>
      </c>
      <c r="AT53" s="100">
        <v>6</v>
      </c>
      <c r="AU53" s="100">
        <v>2440.8000000000002</v>
      </c>
      <c r="AV53" s="100">
        <v>4.9338068928672492</v>
      </c>
      <c r="AW53" s="100">
        <v>2007.0726440183971</v>
      </c>
      <c r="AX53" s="100">
        <v>4.7320797005183195</v>
      </c>
      <c r="AY53" s="100">
        <v>1925.0100221708524</v>
      </c>
      <c r="AZ53" s="100">
        <v>4.1327750860447585</v>
      </c>
      <c r="BA53" s="100">
        <v>1681.2129050030078</v>
      </c>
      <c r="BB53" s="100">
        <v>0.91995128649880265</v>
      </c>
      <c r="BC53" s="100">
        <v>374.23618334771294</v>
      </c>
      <c r="BD53" s="100">
        <v>4</v>
      </c>
      <c r="BE53" s="100">
        <v>1627.2</v>
      </c>
      <c r="BF53" s="100">
        <v>4</v>
      </c>
      <c r="BG53" s="100">
        <v>1627.2</v>
      </c>
      <c r="BH53" s="100">
        <v>5.3911937663445357</v>
      </c>
      <c r="BI53" s="100">
        <v>2193.137624148957</v>
      </c>
      <c r="BJ53" s="100">
        <v>1.374523733475451</v>
      </c>
      <c r="BK53" s="100">
        <v>559.1562547778135</v>
      </c>
      <c r="BL53" s="100">
        <v>4</v>
      </c>
      <c r="BM53" s="100">
        <v>1627.2</v>
      </c>
      <c r="BN53" s="100">
        <v>5</v>
      </c>
      <c r="BO53" s="100">
        <v>2034</v>
      </c>
      <c r="BP53" s="100">
        <v>3</v>
      </c>
      <c r="BQ53" s="100">
        <v>1220.4000000000001</v>
      </c>
      <c r="BR53" s="100">
        <v>6.1876239480316038</v>
      </c>
      <c r="BS53" s="100">
        <v>2517.1254220592564</v>
      </c>
      <c r="BT53" s="100">
        <v>0.60802907364551839</v>
      </c>
      <c r="BU53" s="100">
        <v>247.3462271589969</v>
      </c>
      <c r="BV53" s="100">
        <v>3.2437352318473351</v>
      </c>
      <c r="BW53" s="100">
        <v>1319.551492315496</v>
      </c>
      <c r="BX53" s="100">
        <v>4</v>
      </c>
      <c r="BY53" s="100">
        <v>1627.2</v>
      </c>
      <c r="BZ53" s="100">
        <v>4</v>
      </c>
      <c r="CA53" s="100">
        <v>1627.2</v>
      </c>
      <c r="CB53" s="100">
        <v>4.4615125991652267</v>
      </c>
      <c r="CC53" s="100">
        <v>1814.9433253404143</v>
      </c>
      <c r="CD53" s="100">
        <v>4.3683919789521877</v>
      </c>
      <c r="CE53" s="100">
        <v>1777.0618570377501</v>
      </c>
      <c r="CF53" s="100">
        <v>2.5281435124234898E-4</v>
      </c>
      <c r="CG53" s="100">
        <v>0.10284487808538757</v>
      </c>
      <c r="CH53" s="100">
        <v>6</v>
      </c>
      <c r="CI53" s="100">
        <v>2440.8000000000002</v>
      </c>
      <c r="CJ53" s="100">
        <v>7</v>
      </c>
      <c r="CK53" s="100">
        <v>2847.6</v>
      </c>
      <c r="CL53" s="100">
        <v>4</v>
      </c>
      <c r="CM53" s="100">
        <v>1627.2</v>
      </c>
      <c r="CN53" s="100">
        <v>4</v>
      </c>
      <c r="CO53" s="100">
        <v>1627.2</v>
      </c>
      <c r="CP53" s="100">
        <v>6</v>
      </c>
      <c r="CQ53" s="100">
        <v>2440.8000000000002</v>
      </c>
      <c r="CR53" s="100">
        <v>6</v>
      </c>
      <c r="CS53" s="100">
        <v>2440.8000000000002</v>
      </c>
      <c r="CT53" s="100">
        <v>3.6927432455886082</v>
      </c>
      <c r="CU53" s="100">
        <v>1502.2079523054458</v>
      </c>
    </row>
    <row r="54" spans="2:99">
      <c r="C54" s="99" t="s">
        <v>220</v>
      </c>
      <c r="D54" s="100">
        <v>3.1900056284562095</v>
      </c>
      <c r="E54" s="100">
        <v>1068.0138844071389</v>
      </c>
      <c r="F54" s="100">
        <v>4.8016024198323128</v>
      </c>
      <c r="G54" s="100">
        <v>1607.5764901598584</v>
      </c>
      <c r="H54" s="100">
        <v>5</v>
      </c>
      <c r="I54" s="100">
        <v>1674</v>
      </c>
      <c r="J54" s="100">
        <v>5</v>
      </c>
      <c r="K54" s="100">
        <v>1674</v>
      </c>
      <c r="L54" s="100">
        <v>6</v>
      </c>
      <c r="M54" s="100">
        <v>2008.8000000000002</v>
      </c>
      <c r="N54" s="100">
        <v>5.4499282990241262</v>
      </c>
      <c r="O54" s="100">
        <v>1824.6359945132776</v>
      </c>
      <c r="P54" s="100">
        <v>3.9465000082752404</v>
      </c>
      <c r="Q54" s="100">
        <v>1321.2882027705505</v>
      </c>
      <c r="R54" s="100">
        <v>4.2398372473141634</v>
      </c>
      <c r="S54" s="100">
        <v>1419.4975104007819</v>
      </c>
      <c r="T54" s="100">
        <v>3.7365958207814725</v>
      </c>
      <c r="U54" s="100">
        <v>1251.012280797637</v>
      </c>
      <c r="V54" s="100">
        <v>6</v>
      </c>
      <c r="W54" s="100">
        <v>2008.8000000000002</v>
      </c>
      <c r="X54" s="100">
        <v>6.3566984416308463</v>
      </c>
      <c r="Y54" s="100">
        <v>2128.2226382580075</v>
      </c>
      <c r="Z54" s="100">
        <v>1.3693809394777938</v>
      </c>
      <c r="AA54" s="100">
        <v>458.46873853716539</v>
      </c>
      <c r="AB54" s="100">
        <v>3</v>
      </c>
      <c r="AC54" s="100">
        <v>1004.4000000000001</v>
      </c>
      <c r="AD54" s="100">
        <v>3.5872397672152174</v>
      </c>
      <c r="AE54" s="100">
        <v>1201.0078740636548</v>
      </c>
      <c r="AF54" s="100">
        <v>6.0767100369925364</v>
      </c>
      <c r="AG54" s="100">
        <v>2034.4825203851012</v>
      </c>
      <c r="AH54" s="100">
        <v>3.2646439198549895</v>
      </c>
      <c r="AI54" s="100">
        <v>1093.0027843674504</v>
      </c>
      <c r="AJ54" s="100">
        <v>5</v>
      </c>
      <c r="AK54" s="100">
        <v>1674</v>
      </c>
      <c r="AL54" s="100">
        <v>4.0690411245321387</v>
      </c>
      <c r="AM54" s="100">
        <v>1362.3149684933601</v>
      </c>
      <c r="AN54" s="100">
        <v>4.2189607208601717E-4</v>
      </c>
      <c r="AO54" s="100">
        <v>0.14125080493439857</v>
      </c>
      <c r="AP54" s="100">
        <v>6</v>
      </c>
      <c r="AQ54" s="100">
        <v>2008.8000000000002</v>
      </c>
      <c r="AR54" s="100">
        <v>6</v>
      </c>
      <c r="AS54" s="100">
        <v>2008.8000000000002</v>
      </c>
      <c r="AT54" s="100">
        <v>6</v>
      </c>
      <c r="AU54" s="100">
        <v>2008.8000000000002</v>
      </c>
      <c r="AV54" s="100">
        <v>4.9338068928672492</v>
      </c>
      <c r="AW54" s="100">
        <v>1651.838547731955</v>
      </c>
      <c r="AX54" s="100">
        <v>4.7320797005183195</v>
      </c>
      <c r="AY54" s="100">
        <v>1584.3002837335334</v>
      </c>
      <c r="AZ54" s="100">
        <v>4.1327750860447585</v>
      </c>
      <c r="BA54" s="100">
        <v>1383.6530988077852</v>
      </c>
      <c r="BB54" s="100">
        <v>0.91995128649880265</v>
      </c>
      <c r="BC54" s="100">
        <v>307.99969071979916</v>
      </c>
      <c r="BD54" s="100">
        <v>4</v>
      </c>
      <c r="BE54" s="100">
        <v>1339.2</v>
      </c>
      <c r="BF54" s="100">
        <v>4</v>
      </c>
      <c r="BG54" s="100">
        <v>1339.2</v>
      </c>
      <c r="BH54" s="100">
        <v>5.4400929871376036</v>
      </c>
      <c r="BI54" s="100">
        <v>1821.3431320936697</v>
      </c>
      <c r="BJ54" s="100">
        <v>1.374523733475451</v>
      </c>
      <c r="BK54" s="100">
        <v>460.19054596758099</v>
      </c>
      <c r="BL54" s="100">
        <v>4</v>
      </c>
      <c r="BM54" s="100">
        <v>1339.2</v>
      </c>
      <c r="BN54" s="100">
        <v>6</v>
      </c>
      <c r="BO54" s="100">
        <v>2008.8000000000002</v>
      </c>
      <c r="BP54" s="100">
        <v>4</v>
      </c>
      <c r="BQ54" s="100">
        <v>1339.2</v>
      </c>
      <c r="BR54" s="100">
        <v>7.1876239480316038</v>
      </c>
      <c r="BS54" s="100">
        <v>2406.4164978009812</v>
      </c>
      <c r="BT54" s="100">
        <v>0.60802907364551839</v>
      </c>
      <c r="BU54" s="100">
        <v>203.56813385651955</v>
      </c>
      <c r="BV54" s="100">
        <v>3.2437352318473351</v>
      </c>
      <c r="BW54" s="100">
        <v>1086.0025556224878</v>
      </c>
      <c r="BX54" s="100">
        <v>4</v>
      </c>
      <c r="BY54" s="100">
        <v>1339.2</v>
      </c>
      <c r="BZ54" s="100">
        <v>4</v>
      </c>
      <c r="CA54" s="100">
        <v>1339.2</v>
      </c>
      <c r="CB54" s="100">
        <v>5.4615125991652267</v>
      </c>
      <c r="CC54" s="100">
        <v>1828.5144182005179</v>
      </c>
      <c r="CD54" s="100">
        <v>4.3683919789521877</v>
      </c>
      <c r="CE54" s="100">
        <v>1462.5376345531924</v>
      </c>
      <c r="CF54" s="100">
        <v>3.1601793905293625E-4</v>
      </c>
      <c r="CG54" s="100">
        <v>0.10580280599492306</v>
      </c>
      <c r="CH54" s="100">
        <v>7</v>
      </c>
      <c r="CI54" s="100">
        <v>2343.6</v>
      </c>
      <c r="CJ54" s="100">
        <v>7</v>
      </c>
      <c r="CK54" s="100">
        <v>2343.6</v>
      </c>
      <c r="CL54" s="100">
        <v>4</v>
      </c>
      <c r="CM54" s="100">
        <v>1339.2</v>
      </c>
      <c r="CN54" s="100">
        <v>4</v>
      </c>
      <c r="CO54" s="100">
        <v>1339.2</v>
      </c>
      <c r="CP54" s="100">
        <v>7</v>
      </c>
      <c r="CQ54" s="100">
        <v>2343.6</v>
      </c>
      <c r="CR54" s="100">
        <v>6</v>
      </c>
      <c r="CS54" s="100">
        <v>2008.8000000000002</v>
      </c>
      <c r="CT54" s="100">
        <v>3.6927432455886082</v>
      </c>
      <c r="CU54" s="100">
        <v>1236.3304386230661</v>
      </c>
    </row>
    <row r="55" spans="2:99">
      <c r="C55" s="99" t="s">
        <v>221</v>
      </c>
      <c r="D55" s="100">
        <v>3.1900056284562095</v>
      </c>
      <c r="E55" s="100">
        <v>2116.8877350435405</v>
      </c>
      <c r="F55" s="100">
        <v>4.00133534986026</v>
      </c>
      <c r="G55" s="100">
        <v>2655.2861381672687</v>
      </c>
      <c r="H55" s="100">
        <v>5</v>
      </c>
      <c r="I55" s="100">
        <v>3318</v>
      </c>
      <c r="J55" s="100">
        <v>5</v>
      </c>
      <c r="K55" s="100">
        <v>3318</v>
      </c>
      <c r="L55" s="100">
        <v>6</v>
      </c>
      <c r="M55" s="100">
        <v>3981.6000000000004</v>
      </c>
      <c r="N55" s="100">
        <v>5.4999203322490287</v>
      </c>
      <c r="O55" s="100">
        <v>3649.7471324804555</v>
      </c>
      <c r="P55" s="100">
        <v>3.9465000082752404</v>
      </c>
      <c r="Q55" s="100">
        <v>2618.8974054914497</v>
      </c>
      <c r="R55" s="100">
        <v>4.2398372473141634</v>
      </c>
      <c r="S55" s="100">
        <v>2813.5559973176792</v>
      </c>
      <c r="T55" s="100">
        <v>4.3593617909117173</v>
      </c>
      <c r="U55" s="100">
        <v>2892.8724844490157</v>
      </c>
      <c r="V55" s="100">
        <v>7</v>
      </c>
      <c r="W55" s="100">
        <v>4645.2</v>
      </c>
      <c r="X55" s="100">
        <v>6.3121111364269904</v>
      </c>
      <c r="Y55" s="100">
        <v>4188.7169501329508</v>
      </c>
      <c r="Z55" s="100">
        <v>1.6432571273733527</v>
      </c>
      <c r="AA55" s="100">
        <v>1090.4654297249569</v>
      </c>
      <c r="AB55" s="100">
        <v>4</v>
      </c>
      <c r="AC55" s="100">
        <v>2654.4</v>
      </c>
      <c r="AD55" s="100">
        <v>3.5872397672152174</v>
      </c>
      <c r="AE55" s="100">
        <v>2380.4923095240183</v>
      </c>
      <c r="AF55" s="100">
        <v>5.0767100369925364</v>
      </c>
      <c r="AG55" s="100">
        <v>3368.9047805482473</v>
      </c>
      <c r="AH55" s="100">
        <v>3.2646439198549895</v>
      </c>
      <c r="AI55" s="100">
        <v>2166.4177052157711</v>
      </c>
      <c r="AJ55" s="100">
        <v>5</v>
      </c>
      <c r="AK55" s="100">
        <v>3318</v>
      </c>
      <c r="AL55" s="100">
        <v>4.0690411245321387</v>
      </c>
      <c r="AM55" s="100">
        <v>2700.2156902395272</v>
      </c>
      <c r="AN55" s="100">
        <v>4.2189607208601717E-4</v>
      </c>
      <c r="AO55" s="100">
        <v>0.27997023343628102</v>
      </c>
      <c r="AP55" s="100">
        <v>6</v>
      </c>
      <c r="AQ55" s="100">
        <v>3981.6000000000004</v>
      </c>
      <c r="AR55" s="100">
        <v>7</v>
      </c>
      <c r="AS55" s="100">
        <v>4645.2</v>
      </c>
      <c r="AT55" s="100">
        <v>5</v>
      </c>
      <c r="AU55" s="100">
        <v>3318</v>
      </c>
      <c r="AV55" s="100">
        <v>4.9338068928672492</v>
      </c>
      <c r="AW55" s="100">
        <v>3274.0742541067066</v>
      </c>
      <c r="AX55" s="100">
        <v>4.0598625169194946</v>
      </c>
      <c r="AY55" s="100">
        <v>2694.1247662277769</v>
      </c>
      <c r="AZ55" s="100">
        <v>4.1576864418856587</v>
      </c>
      <c r="BA55" s="100">
        <v>2759.0407228353233</v>
      </c>
      <c r="BB55" s="100">
        <v>0.91995128649880265</v>
      </c>
      <c r="BC55" s="100">
        <v>610.47967372060543</v>
      </c>
      <c r="BD55" s="100">
        <v>4</v>
      </c>
      <c r="BE55" s="100">
        <v>2654.4</v>
      </c>
      <c r="BF55" s="100">
        <v>4</v>
      </c>
      <c r="BG55" s="100">
        <v>2654.4</v>
      </c>
      <c r="BH55" s="100">
        <v>5.4400929871376036</v>
      </c>
      <c r="BI55" s="100">
        <v>3610.0457062645137</v>
      </c>
      <c r="BJ55" s="100">
        <v>1.0996189867803607</v>
      </c>
      <c r="BK55" s="100">
        <v>729.70715962744737</v>
      </c>
      <c r="BL55" s="100">
        <v>4</v>
      </c>
      <c r="BM55" s="100">
        <v>2654.4</v>
      </c>
      <c r="BN55" s="100">
        <v>5</v>
      </c>
      <c r="BO55" s="100">
        <v>3318</v>
      </c>
      <c r="BP55" s="100">
        <v>4</v>
      </c>
      <c r="BQ55" s="100">
        <v>2654.4</v>
      </c>
      <c r="BR55" s="100">
        <v>7.2110769415355547</v>
      </c>
      <c r="BS55" s="100">
        <v>4785.2706584029938</v>
      </c>
      <c r="BT55" s="100">
        <v>0.60802907364551839</v>
      </c>
      <c r="BU55" s="100">
        <v>403.48809327116601</v>
      </c>
      <c r="BV55" s="100">
        <v>3.2437352318473351</v>
      </c>
      <c r="BW55" s="100">
        <v>2152.5426998538915</v>
      </c>
      <c r="BX55" s="100">
        <v>4</v>
      </c>
      <c r="BY55" s="100">
        <v>2654.4</v>
      </c>
      <c r="BZ55" s="100">
        <v>4</v>
      </c>
      <c r="CA55" s="100">
        <v>2654.4</v>
      </c>
      <c r="CB55" s="100">
        <v>4.4615125991652267</v>
      </c>
      <c r="CC55" s="100">
        <v>2960.6597608060447</v>
      </c>
      <c r="CD55" s="100">
        <v>4.3683919789521877</v>
      </c>
      <c r="CE55" s="100">
        <v>2898.8649172326718</v>
      </c>
      <c r="CF55" s="100">
        <v>3.1601793905293625E-4</v>
      </c>
      <c r="CG55" s="100">
        <v>0.20970950435552851</v>
      </c>
      <c r="CH55" s="100">
        <v>7</v>
      </c>
      <c r="CI55" s="100">
        <v>4645.2</v>
      </c>
      <c r="CJ55" s="100">
        <v>5</v>
      </c>
      <c r="CK55" s="100">
        <v>3318</v>
      </c>
      <c r="CL55" s="100">
        <v>4</v>
      </c>
      <c r="CM55" s="100">
        <v>2654.4</v>
      </c>
      <c r="CN55" s="100">
        <v>5</v>
      </c>
      <c r="CO55" s="100">
        <v>3318</v>
      </c>
      <c r="CP55" s="100">
        <v>7</v>
      </c>
      <c r="CQ55" s="100">
        <v>4645.2</v>
      </c>
      <c r="CR55" s="100">
        <v>6</v>
      </c>
      <c r="CS55" s="100">
        <v>3981.6000000000004</v>
      </c>
      <c r="CT55" s="100">
        <v>3.6927432455886082</v>
      </c>
      <c r="CU55" s="100">
        <v>2450.5044177726004</v>
      </c>
    </row>
    <row r="56" spans="2:99">
      <c r="C56" s="99" t="s">
        <v>222</v>
      </c>
      <c r="D56" s="100">
        <v>4.6895527536381927</v>
      </c>
      <c r="E56" s="100">
        <v>4603.2649829712491</v>
      </c>
      <c r="F56" s="100">
        <v>5.0413677072964571</v>
      </c>
      <c r="G56" s="100">
        <v>4948.6065414822015</v>
      </c>
      <c r="H56" s="100">
        <v>2.3165235386461931</v>
      </c>
      <c r="I56" s="100">
        <v>2273.8995055351029</v>
      </c>
      <c r="J56" s="100">
        <v>4.0571525183081718</v>
      </c>
      <c r="K56" s="100">
        <v>3982.5009119713009</v>
      </c>
      <c r="L56" s="100">
        <v>5.5697239907078426</v>
      </c>
      <c r="M56" s="100">
        <v>5467.241069278818</v>
      </c>
      <c r="N56" s="100">
        <v>3.9473684210526083</v>
      </c>
      <c r="O56" s="100">
        <v>3874.7368421052402</v>
      </c>
      <c r="P56" s="100">
        <v>5.3585651408421544</v>
      </c>
      <c r="Q56" s="100">
        <v>5259.967542250658</v>
      </c>
      <c r="R56" s="100">
        <v>2.9414391330096938</v>
      </c>
      <c r="S56" s="100">
        <v>2887.3166529623154</v>
      </c>
      <c r="T56" s="100">
        <v>5.6066311928939081</v>
      </c>
      <c r="U56" s="100">
        <v>5503.4691789446597</v>
      </c>
      <c r="V56" s="100">
        <v>6</v>
      </c>
      <c r="W56" s="100">
        <v>5889.5999999999995</v>
      </c>
      <c r="X56" s="100">
        <v>5.5525727388340993</v>
      </c>
      <c r="Y56" s="100">
        <v>5450.4054004395512</v>
      </c>
      <c r="Z56" s="100">
        <v>5.035838977522455</v>
      </c>
      <c r="AA56" s="100">
        <v>4943.1795403360411</v>
      </c>
      <c r="AB56" s="100">
        <v>1.165358214853855</v>
      </c>
      <c r="AC56" s="100">
        <v>1143.9156237005441</v>
      </c>
      <c r="AD56" s="100">
        <v>5.0104343944424006</v>
      </c>
      <c r="AE56" s="100">
        <v>4918.24240158466</v>
      </c>
      <c r="AF56" s="100">
        <v>5.9999999999999654</v>
      </c>
      <c r="AG56" s="100">
        <v>5889.5999999999658</v>
      </c>
      <c r="AH56" s="100">
        <v>6.2988487743754416</v>
      </c>
      <c r="AI56" s="100">
        <v>6182.9499569269328</v>
      </c>
      <c r="AJ56" s="100">
        <v>4.3387311668971886</v>
      </c>
      <c r="AK56" s="100">
        <v>4258.8985134262803</v>
      </c>
      <c r="AL56" s="100">
        <v>6</v>
      </c>
      <c r="AM56" s="100">
        <v>5889.5999999999995</v>
      </c>
      <c r="AN56" s="100">
        <v>5</v>
      </c>
      <c r="AO56" s="100">
        <v>4908</v>
      </c>
      <c r="AP56" s="100">
        <v>6</v>
      </c>
      <c r="AQ56" s="100">
        <v>5889.5999999999995</v>
      </c>
      <c r="AR56" s="100">
        <v>5.1873535979609304</v>
      </c>
      <c r="AS56" s="100">
        <v>5091.9062917584488</v>
      </c>
      <c r="AT56" s="100">
        <v>4.2857142857142607</v>
      </c>
      <c r="AU56" s="100">
        <v>4206.8571428571177</v>
      </c>
      <c r="AV56" s="100">
        <v>4.2580562575972012</v>
      </c>
      <c r="AW56" s="100">
        <v>4179.708022457412</v>
      </c>
      <c r="AX56" s="100">
        <v>5.4984236610232156</v>
      </c>
      <c r="AY56" s="100">
        <v>5397.2526656603877</v>
      </c>
      <c r="AZ56" s="100">
        <v>5.9792625194363609</v>
      </c>
      <c r="BA56" s="100">
        <v>5869.2440890787311</v>
      </c>
      <c r="BB56" s="100">
        <v>2.6448113812516731</v>
      </c>
      <c r="BC56" s="100">
        <v>2596.1468518366423</v>
      </c>
      <c r="BD56" s="100">
        <v>4</v>
      </c>
      <c r="BE56" s="100">
        <v>3926.3999999999996</v>
      </c>
      <c r="BF56" s="100">
        <v>3.5251207424526059</v>
      </c>
      <c r="BG56" s="100">
        <v>3460.2585207914776</v>
      </c>
      <c r="BH56" s="100">
        <v>3.7499999999999782</v>
      </c>
      <c r="BI56" s="100">
        <v>3680.9999999999782</v>
      </c>
      <c r="BJ56" s="100">
        <v>2.8152155580585925</v>
      </c>
      <c r="BK56" s="100">
        <v>2763.415591790314</v>
      </c>
      <c r="BL56" s="100">
        <v>1.6406817847149746</v>
      </c>
      <c r="BM56" s="100">
        <v>1610.4932398762189</v>
      </c>
      <c r="BN56" s="100">
        <v>5</v>
      </c>
      <c r="BO56" s="100">
        <v>4908</v>
      </c>
      <c r="BP56" s="100">
        <v>4</v>
      </c>
      <c r="BQ56" s="100">
        <v>3926.3999999999996</v>
      </c>
      <c r="BR56" s="100">
        <v>6</v>
      </c>
      <c r="BS56" s="100">
        <v>5889.5999999999995</v>
      </c>
      <c r="BT56" s="100">
        <v>3.7911696603383289</v>
      </c>
      <c r="BU56" s="100">
        <v>3721.4121385881035</v>
      </c>
      <c r="BV56" s="100">
        <v>2.5970391683984886</v>
      </c>
      <c r="BW56" s="100">
        <v>2549.2536476999562</v>
      </c>
      <c r="BX56" s="100">
        <v>1.2391163129315894</v>
      </c>
      <c r="BY56" s="100">
        <v>1216.316572773648</v>
      </c>
      <c r="BZ56" s="100">
        <v>4</v>
      </c>
      <c r="CA56" s="100">
        <v>3926.3999999999996</v>
      </c>
      <c r="CB56" s="100">
        <v>4</v>
      </c>
      <c r="CC56" s="100">
        <v>3926.3999999999996</v>
      </c>
      <c r="CD56" s="100">
        <v>6.2458398570612914</v>
      </c>
      <c r="CE56" s="100">
        <v>6130.9164036913635</v>
      </c>
      <c r="CF56" s="100">
        <v>1.544570519192475</v>
      </c>
      <c r="CG56" s="100">
        <v>1516.1504216393332</v>
      </c>
      <c r="CH56" s="100">
        <v>6.2598453301606236</v>
      </c>
      <c r="CI56" s="100">
        <v>6144.6641760856673</v>
      </c>
      <c r="CJ56" s="100">
        <v>4.5709536112620048</v>
      </c>
      <c r="CK56" s="100">
        <v>4486.8480648147834</v>
      </c>
      <c r="CL56" s="100">
        <v>2.7036072722637052</v>
      </c>
      <c r="CM56" s="100">
        <v>2653.8608984540529</v>
      </c>
      <c r="CN56" s="100">
        <v>3.8381680309656363</v>
      </c>
      <c r="CO56" s="100">
        <v>3767.5457391958685</v>
      </c>
      <c r="CP56" s="100">
        <v>4.2701897839596983</v>
      </c>
      <c r="CQ56" s="100">
        <v>4191.6182919348394</v>
      </c>
      <c r="CR56" s="100">
        <v>0.33681463652294907</v>
      </c>
      <c r="CS56" s="100">
        <v>330.61724721092679</v>
      </c>
      <c r="CT56" s="100">
        <v>4.4444444444444198</v>
      </c>
      <c r="CU56" s="100">
        <v>4362.6666666666424</v>
      </c>
    </row>
    <row r="57" spans="2:99">
      <c r="C57" s="99" t="s">
        <v>223</v>
      </c>
      <c r="D57" s="100">
        <v>3.1900056284562095</v>
      </c>
      <c r="E57" s="100">
        <v>4501.7359428774034</v>
      </c>
      <c r="F57" s="100">
        <v>4.00133534986026</v>
      </c>
      <c r="G57" s="100">
        <v>5646.684445722799</v>
      </c>
      <c r="H57" s="100">
        <v>5</v>
      </c>
      <c r="I57" s="100">
        <v>7056</v>
      </c>
      <c r="J57" s="100">
        <v>5</v>
      </c>
      <c r="K57" s="100">
        <v>7056</v>
      </c>
      <c r="L57" s="100">
        <v>6</v>
      </c>
      <c r="M57" s="100">
        <v>8467.2000000000007</v>
      </c>
      <c r="N57" s="100">
        <v>5.4499282990241262</v>
      </c>
      <c r="O57" s="100">
        <v>7690.9388155828474</v>
      </c>
      <c r="P57" s="100">
        <v>3.9465000082752404</v>
      </c>
      <c r="Q57" s="100">
        <v>5569.3008116780193</v>
      </c>
      <c r="R57" s="100">
        <v>4.2055747834121409</v>
      </c>
      <c r="S57" s="100">
        <v>5934.9071343512132</v>
      </c>
      <c r="T57" s="100">
        <v>3.7365958207814725</v>
      </c>
      <c r="U57" s="100">
        <v>5273.0840222868137</v>
      </c>
      <c r="V57" s="100">
        <v>6</v>
      </c>
      <c r="W57" s="100">
        <v>8467.2000000000007</v>
      </c>
      <c r="X57" s="100">
        <v>5.3121111364269904</v>
      </c>
      <c r="Y57" s="100">
        <v>7496.451235725769</v>
      </c>
      <c r="Z57" s="100">
        <v>1.6432571273733527</v>
      </c>
      <c r="AA57" s="100">
        <v>2318.9644581492753</v>
      </c>
      <c r="AB57" s="100">
        <v>3</v>
      </c>
      <c r="AC57" s="100">
        <v>4233.6000000000004</v>
      </c>
      <c r="AD57" s="100">
        <v>3.5872397672152174</v>
      </c>
      <c r="AE57" s="100">
        <v>5062.3127594941152</v>
      </c>
      <c r="AF57" s="100">
        <v>5.0613680295940293</v>
      </c>
      <c r="AG57" s="100">
        <v>7142.6025633630943</v>
      </c>
      <c r="AH57" s="100">
        <v>3.2646439198549895</v>
      </c>
      <c r="AI57" s="100">
        <v>4607.0654996993617</v>
      </c>
      <c r="AJ57" s="100">
        <v>4</v>
      </c>
      <c r="AK57" s="100">
        <v>5644.8</v>
      </c>
      <c r="AL57" s="100">
        <v>4.0690411245321387</v>
      </c>
      <c r="AM57" s="100">
        <v>5742.2308349397545</v>
      </c>
      <c r="AN57" s="100">
        <v>4.2189607208601717E-4</v>
      </c>
      <c r="AO57" s="100">
        <v>0.59537973692778745</v>
      </c>
      <c r="AP57" s="100">
        <v>6</v>
      </c>
      <c r="AQ57" s="100">
        <v>8467.2000000000007</v>
      </c>
      <c r="AR57" s="100">
        <v>6</v>
      </c>
      <c r="AS57" s="100">
        <v>8467.2000000000007</v>
      </c>
      <c r="AT57" s="100">
        <v>6</v>
      </c>
      <c r="AU57" s="100">
        <v>8467.2000000000007</v>
      </c>
      <c r="AV57" s="100">
        <v>5.7561080416784574</v>
      </c>
      <c r="AW57" s="100">
        <v>8123.0196684166394</v>
      </c>
      <c r="AX57" s="100">
        <v>4.7320797005183195</v>
      </c>
      <c r="AY57" s="100">
        <v>6677.9108733714529</v>
      </c>
      <c r="AZ57" s="100">
        <v>4.1576864418856587</v>
      </c>
      <c r="BA57" s="100">
        <v>5867.3271067890419</v>
      </c>
      <c r="BB57" s="100">
        <v>0.91995128649880265</v>
      </c>
      <c r="BC57" s="100">
        <v>1298.2352555071104</v>
      </c>
      <c r="BD57" s="100">
        <v>4</v>
      </c>
      <c r="BE57" s="100">
        <v>5644.8</v>
      </c>
      <c r="BF57" s="100">
        <v>4</v>
      </c>
      <c r="BG57" s="100">
        <v>5644.8</v>
      </c>
      <c r="BH57" s="100">
        <v>4.3422945455514697</v>
      </c>
      <c r="BI57" s="100">
        <v>6127.8460626822343</v>
      </c>
      <c r="BJ57" s="100">
        <v>1.0996189867803607</v>
      </c>
      <c r="BK57" s="100">
        <v>1551.7823141444451</v>
      </c>
      <c r="BL57" s="100">
        <v>4</v>
      </c>
      <c r="BM57" s="100">
        <v>5644.8</v>
      </c>
      <c r="BN57" s="100">
        <v>5</v>
      </c>
      <c r="BO57" s="100">
        <v>7056</v>
      </c>
      <c r="BP57" s="100">
        <v>4</v>
      </c>
      <c r="BQ57" s="100">
        <v>5644.8</v>
      </c>
      <c r="BR57" s="100">
        <v>6.1876239480316038</v>
      </c>
      <c r="BS57" s="100">
        <v>8731.9749154621986</v>
      </c>
      <c r="BT57" s="100">
        <v>0.60802907364551839</v>
      </c>
      <c r="BU57" s="100">
        <v>858.05062872855558</v>
      </c>
      <c r="BV57" s="100">
        <v>3.2437352318473351</v>
      </c>
      <c r="BW57" s="100">
        <v>4577.5591591829598</v>
      </c>
      <c r="BX57" s="100">
        <v>4</v>
      </c>
      <c r="BY57" s="100">
        <v>5644.8</v>
      </c>
      <c r="BZ57" s="100">
        <v>4</v>
      </c>
      <c r="CA57" s="100">
        <v>5644.8</v>
      </c>
      <c r="CB57" s="100">
        <v>4.4615125991652267</v>
      </c>
      <c r="CC57" s="100">
        <v>6296.086579941968</v>
      </c>
      <c r="CD57" s="100">
        <v>4.3683919789521877</v>
      </c>
      <c r="CE57" s="100">
        <v>6164.6747606973277</v>
      </c>
      <c r="CF57" s="100">
        <v>3.1601793905293625E-4</v>
      </c>
      <c r="CG57" s="100">
        <v>0.44596451559150363</v>
      </c>
      <c r="CH57" s="100">
        <v>6</v>
      </c>
      <c r="CI57" s="100">
        <v>8467.2000000000007</v>
      </c>
      <c r="CJ57" s="100">
        <v>6</v>
      </c>
      <c r="CK57" s="100">
        <v>8467.2000000000007</v>
      </c>
      <c r="CL57" s="100">
        <v>4</v>
      </c>
      <c r="CM57" s="100">
        <v>5644.8</v>
      </c>
      <c r="CN57" s="100">
        <v>5</v>
      </c>
      <c r="CO57" s="100">
        <v>7056</v>
      </c>
      <c r="CP57" s="100">
        <v>6</v>
      </c>
      <c r="CQ57" s="100">
        <v>8467.2000000000007</v>
      </c>
      <c r="CR57" s="100">
        <v>6</v>
      </c>
      <c r="CS57" s="100">
        <v>8467.2000000000007</v>
      </c>
      <c r="CT57" s="100">
        <v>3.6927432455886082</v>
      </c>
      <c r="CU57" s="100">
        <v>5211.1992681746442</v>
      </c>
    </row>
    <row r="58" spans="2:99">
      <c r="C58" s="99" t="s">
        <v>224</v>
      </c>
      <c r="D58" s="100">
        <v>5.0924883861709258</v>
      </c>
      <c r="E58" s="100">
        <v>5994.877328200414</v>
      </c>
      <c r="F58" s="100">
        <v>1.0168448847660281</v>
      </c>
      <c r="G58" s="100">
        <v>1197.0297983465682</v>
      </c>
      <c r="H58" s="100">
        <v>4.0317946926029435</v>
      </c>
      <c r="I58" s="100">
        <v>4746.2287121321851</v>
      </c>
      <c r="J58" s="100">
        <v>3.0088962517709512</v>
      </c>
      <c r="K58" s="100">
        <v>3542.0726675847641</v>
      </c>
      <c r="L58" s="100">
        <v>0.63275955284359453</v>
      </c>
      <c r="M58" s="100">
        <v>744.88454560747948</v>
      </c>
      <c r="N58" s="100">
        <v>5</v>
      </c>
      <c r="O58" s="100">
        <v>5886</v>
      </c>
      <c r="P58" s="100">
        <v>5</v>
      </c>
      <c r="Q58" s="100">
        <v>5886</v>
      </c>
      <c r="R58" s="100">
        <v>4</v>
      </c>
      <c r="S58" s="100">
        <v>4708.8</v>
      </c>
      <c r="T58" s="100">
        <v>7</v>
      </c>
      <c r="U58" s="100">
        <v>8240.4</v>
      </c>
      <c r="V58" s="100">
        <v>7</v>
      </c>
      <c r="W58" s="100">
        <v>8240.4</v>
      </c>
      <c r="X58" s="100">
        <v>5</v>
      </c>
      <c r="Y58" s="100">
        <v>5886</v>
      </c>
      <c r="Z58" s="100">
        <v>5</v>
      </c>
      <c r="AA58" s="100">
        <v>5886</v>
      </c>
      <c r="AB58" s="100">
        <v>4</v>
      </c>
      <c r="AC58" s="100">
        <v>4708.8</v>
      </c>
      <c r="AD58" s="100">
        <v>5</v>
      </c>
      <c r="AE58" s="100">
        <v>5886</v>
      </c>
      <c r="AF58" s="100">
        <v>5</v>
      </c>
      <c r="AG58" s="100">
        <v>5886</v>
      </c>
      <c r="AH58" s="100">
        <v>5</v>
      </c>
      <c r="AI58" s="100">
        <v>5886</v>
      </c>
      <c r="AJ58" s="100">
        <v>5.3568650976068506</v>
      </c>
      <c r="AK58" s="100">
        <v>6306.1015929027844</v>
      </c>
      <c r="AL58" s="100">
        <v>5.4459803480383577</v>
      </c>
      <c r="AM58" s="100">
        <v>6411.0080657107546</v>
      </c>
      <c r="AN58" s="100">
        <v>5</v>
      </c>
      <c r="AO58" s="100">
        <v>5886</v>
      </c>
      <c r="AP58" s="100">
        <v>5</v>
      </c>
      <c r="AQ58" s="100">
        <v>5886</v>
      </c>
      <c r="AR58" s="100">
        <v>7.1094954375881096</v>
      </c>
      <c r="AS58" s="100">
        <v>8369.2980291287222</v>
      </c>
      <c r="AT58" s="100">
        <v>6</v>
      </c>
      <c r="AU58" s="100">
        <v>7063.2000000000007</v>
      </c>
      <c r="AV58" s="100">
        <v>6</v>
      </c>
      <c r="AW58" s="100">
        <v>7063.2000000000007</v>
      </c>
      <c r="AX58" s="100">
        <v>7</v>
      </c>
      <c r="AY58" s="100">
        <v>8240.4</v>
      </c>
      <c r="AZ58" s="100">
        <v>6</v>
      </c>
      <c r="BA58" s="100">
        <v>7063.2000000000007</v>
      </c>
      <c r="BB58" s="100">
        <v>5</v>
      </c>
      <c r="BC58" s="100">
        <v>5886</v>
      </c>
      <c r="BD58" s="100">
        <v>4</v>
      </c>
      <c r="BE58" s="100">
        <v>4708.8</v>
      </c>
      <c r="BF58" s="100">
        <v>4.1302389047314785</v>
      </c>
      <c r="BG58" s="100">
        <v>4862.1172386498965</v>
      </c>
      <c r="BH58" s="100">
        <v>5</v>
      </c>
      <c r="BI58" s="100">
        <v>5886</v>
      </c>
      <c r="BJ58" s="100">
        <v>4</v>
      </c>
      <c r="BK58" s="100">
        <v>4708.8</v>
      </c>
      <c r="BL58" s="100">
        <v>5</v>
      </c>
      <c r="BM58" s="100">
        <v>5886</v>
      </c>
      <c r="BN58" s="100">
        <v>5.4473342114949119</v>
      </c>
      <c r="BO58" s="100">
        <v>6412.6018337718106</v>
      </c>
      <c r="BP58" s="100">
        <v>3.4516239903763579</v>
      </c>
      <c r="BQ58" s="100">
        <v>4063.2517614710487</v>
      </c>
      <c r="BR58" s="100">
        <v>7</v>
      </c>
      <c r="BS58" s="100">
        <v>8240.4</v>
      </c>
      <c r="BT58" s="100">
        <v>4</v>
      </c>
      <c r="BU58" s="100">
        <v>4708.8</v>
      </c>
      <c r="BV58" s="100">
        <v>3</v>
      </c>
      <c r="BW58" s="100">
        <v>3531.6000000000004</v>
      </c>
      <c r="BX58" s="100">
        <v>4</v>
      </c>
      <c r="BY58" s="100">
        <v>4708.8</v>
      </c>
      <c r="BZ58" s="100">
        <v>4</v>
      </c>
      <c r="CA58" s="100">
        <v>4708.8</v>
      </c>
      <c r="CB58" s="100">
        <v>4</v>
      </c>
      <c r="CC58" s="100">
        <v>4708.8</v>
      </c>
      <c r="CD58" s="100">
        <v>6</v>
      </c>
      <c r="CE58" s="100">
        <v>7063.2000000000007</v>
      </c>
      <c r="CF58" s="100">
        <v>4.0997992226786781</v>
      </c>
      <c r="CG58" s="100">
        <v>4826.2836449373399</v>
      </c>
      <c r="CH58" s="100">
        <v>6</v>
      </c>
      <c r="CI58" s="100">
        <v>7063.2000000000007</v>
      </c>
      <c r="CJ58" s="100">
        <v>6</v>
      </c>
      <c r="CK58" s="100">
        <v>7063.2000000000007</v>
      </c>
      <c r="CL58" s="100">
        <v>4</v>
      </c>
      <c r="CM58" s="100">
        <v>4708.8</v>
      </c>
      <c r="CN58" s="100">
        <v>4</v>
      </c>
      <c r="CO58" s="100">
        <v>4708.8</v>
      </c>
      <c r="CP58" s="100">
        <v>5.2799093587207127</v>
      </c>
      <c r="CQ58" s="100">
        <v>6215.5092970860233</v>
      </c>
      <c r="CR58" s="100">
        <v>6</v>
      </c>
      <c r="CS58" s="100">
        <v>7063.2000000000007</v>
      </c>
      <c r="CT58" s="100">
        <v>5</v>
      </c>
      <c r="CU58" s="100">
        <v>5886</v>
      </c>
    </row>
    <row r="59" spans="2:99">
      <c r="C59" s="99" t="s">
        <v>225</v>
      </c>
      <c r="D59" s="100">
        <v>3.1121867113721184</v>
      </c>
      <c r="E59" s="100">
        <v>944.85988557257508</v>
      </c>
      <c r="F59" s="100">
        <v>4.00133534986026</v>
      </c>
      <c r="G59" s="100">
        <v>1214.8054122175747</v>
      </c>
      <c r="H59" s="100">
        <v>5</v>
      </c>
      <c r="I59" s="100">
        <v>1517.9999999999998</v>
      </c>
      <c r="J59" s="100">
        <v>5</v>
      </c>
      <c r="K59" s="100">
        <v>1517.9999999999998</v>
      </c>
      <c r="L59" s="100">
        <v>6</v>
      </c>
      <c r="M59" s="100">
        <v>1821.6</v>
      </c>
      <c r="N59" s="100">
        <v>5.4999203322490287</v>
      </c>
      <c r="O59" s="100">
        <v>1669.7758128708049</v>
      </c>
      <c r="P59" s="100">
        <v>4.6042500096544474</v>
      </c>
      <c r="Q59" s="100">
        <v>1397.85030293109</v>
      </c>
      <c r="R59" s="100">
        <v>4.2398372473141634</v>
      </c>
      <c r="S59" s="100">
        <v>1287.2145882845798</v>
      </c>
      <c r="T59" s="100">
        <v>3.7365958207814725</v>
      </c>
      <c r="U59" s="100">
        <v>1134.430491189255</v>
      </c>
      <c r="V59" s="100">
        <v>7</v>
      </c>
      <c r="W59" s="100">
        <v>2125.1999999999998</v>
      </c>
      <c r="X59" s="100">
        <v>5.3566984416308463</v>
      </c>
      <c r="Y59" s="100">
        <v>1626.2936468791247</v>
      </c>
      <c r="Z59" s="100">
        <v>1.3693809394777938</v>
      </c>
      <c r="AA59" s="100">
        <v>415.74405322545817</v>
      </c>
      <c r="AB59" s="100">
        <v>4</v>
      </c>
      <c r="AC59" s="100">
        <v>1214.3999999999999</v>
      </c>
      <c r="AD59" s="100">
        <v>4.3046877206582606</v>
      </c>
      <c r="AE59" s="100">
        <v>1306.9031919918477</v>
      </c>
      <c r="AF59" s="100">
        <v>6</v>
      </c>
      <c r="AG59" s="100">
        <v>1821.6</v>
      </c>
      <c r="AH59" s="100">
        <v>3.2646439198549895</v>
      </c>
      <c r="AI59" s="100">
        <v>991.14589406797472</v>
      </c>
      <c r="AJ59" s="100">
        <v>5</v>
      </c>
      <c r="AK59" s="100">
        <v>1517.9999999999998</v>
      </c>
      <c r="AL59" s="100">
        <v>4.0833564990550029</v>
      </c>
      <c r="AM59" s="100">
        <v>1239.7070331130988</v>
      </c>
      <c r="AN59" s="100">
        <v>4.2189607208601717E-4</v>
      </c>
      <c r="AO59" s="100">
        <v>0.12808764748531479</v>
      </c>
      <c r="AP59" s="100">
        <v>6</v>
      </c>
      <c r="AQ59" s="100">
        <v>1821.6</v>
      </c>
      <c r="AR59" s="100">
        <v>7</v>
      </c>
      <c r="AS59" s="100">
        <v>2125.1999999999998</v>
      </c>
      <c r="AT59" s="100">
        <v>6</v>
      </c>
      <c r="AU59" s="100">
        <v>1821.6</v>
      </c>
      <c r="AV59" s="100">
        <v>4.9338068928672492</v>
      </c>
      <c r="AW59" s="100">
        <v>1497.9037726744966</v>
      </c>
      <c r="AX59" s="100">
        <v>4.733976801613073</v>
      </c>
      <c r="AY59" s="100">
        <v>1437.2353569697289</v>
      </c>
      <c r="AZ59" s="100">
        <v>4.1576864418856587</v>
      </c>
      <c r="BA59" s="100">
        <v>1262.273603756486</v>
      </c>
      <c r="BB59" s="100">
        <v>0.91995128649880265</v>
      </c>
      <c r="BC59" s="100">
        <v>279.29721058103644</v>
      </c>
      <c r="BD59" s="100">
        <v>4</v>
      </c>
      <c r="BE59" s="100">
        <v>1214.3999999999999</v>
      </c>
      <c r="BF59" s="100">
        <v>4</v>
      </c>
      <c r="BG59" s="100">
        <v>1214.3999999999999</v>
      </c>
      <c r="BH59" s="100">
        <v>5.3911937663445357</v>
      </c>
      <c r="BI59" s="100">
        <v>1636.7664274622009</v>
      </c>
      <c r="BJ59" s="100">
        <v>1.0996189867803607</v>
      </c>
      <c r="BK59" s="100">
        <v>333.84432438651748</v>
      </c>
      <c r="BL59" s="100">
        <v>5</v>
      </c>
      <c r="BM59" s="100">
        <v>1517.9999999999998</v>
      </c>
      <c r="BN59" s="100">
        <v>5</v>
      </c>
      <c r="BO59" s="100">
        <v>1517.9999999999998</v>
      </c>
      <c r="BP59" s="100">
        <v>4</v>
      </c>
      <c r="BQ59" s="100">
        <v>1214.3999999999999</v>
      </c>
      <c r="BR59" s="100">
        <v>6.1876239480316038</v>
      </c>
      <c r="BS59" s="100">
        <v>1878.5626306223946</v>
      </c>
      <c r="BT59" s="100">
        <v>0.60802907364551839</v>
      </c>
      <c r="BU59" s="100">
        <v>184.59762675877937</v>
      </c>
      <c r="BV59" s="100">
        <v>3.2437352318473351</v>
      </c>
      <c r="BW59" s="100">
        <v>984.79801638885078</v>
      </c>
      <c r="BX59" s="100">
        <v>4</v>
      </c>
      <c r="BY59" s="100">
        <v>1214.3999999999999</v>
      </c>
      <c r="BZ59" s="100">
        <v>4</v>
      </c>
      <c r="CA59" s="100">
        <v>1214.3999999999999</v>
      </c>
      <c r="CB59" s="100">
        <v>5.5076638590817497</v>
      </c>
      <c r="CC59" s="100">
        <v>1672.1267476172191</v>
      </c>
      <c r="CD59" s="100">
        <v>4.3683919789521877</v>
      </c>
      <c r="CE59" s="100">
        <v>1326.2438048098841</v>
      </c>
      <c r="CF59" s="100">
        <v>3.1601793905293625E-4</v>
      </c>
      <c r="CG59" s="100">
        <v>9.5943046296471435E-2</v>
      </c>
      <c r="CH59" s="100">
        <v>7</v>
      </c>
      <c r="CI59" s="100">
        <v>2125.1999999999998</v>
      </c>
      <c r="CJ59" s="100">
        <v>6</v>
      </c>
      <c r="CK59" s="100">
        <v>1821.6</v>
      </c>
      <c r="CL59" s="100">
        <v>4</v>
      </c>
      <c r="CM59" s="100">
        <v>1214.3999999999999</v>
      </c>
      <c r="CN59" s="100">
        <v>4</v>
      </c>
      <c r="CO59" s="100">
        <v>1214.3999999999999</v>
      </c>
      <c r="CP59" s="100">
        <v>6</v>
      </c>
      <c r="CQ59" s="100">
        <v>1821.6</v>
      </c>
      <c r="CR59" s="100">
        <v>6</v>
      </c>
      <c r="CS59" s="100">
        <v>1821.6</v>
      </c>
      <c r="CT59" s="100">
        <v>3.6927432455886082</v>
      </c>
      <c r="CU59" s="100">
        <v>1121.1168493607013</v>
      </c>
    </row>
    <row r="60" spans="2:99">
      <c r="C60" s="99" t="s">
        <v>226</v>
      </c>
      <c r="D60" s="100">
        <v>2.5675682861817859</v>
      </c>
      <c r="E60" s="100">
        <v>1673.0274952760517</v>
      </c>
      <c r="F60" s="100">
        <v>4.00133534986026</v>
      </c>
      <c r="G60" s="100">
        <v>2607.2701139689457</v>
      </c>
      <c r="H60" s="100">
        <v>5</v>
      </c>
      <c r="I60" s="100">
        <v>3258</v>
      </c>
      <c r="J60" s="100">
        <v>5</v>
      </c>
      <c r="K60" s="100">
        <v>3258</v>
      </c>
      <c r="L60" s="100">
        <v>6</v>
      </c>
      <c r="M60" s="100">
        <v>3909.6000000000004</v>
      </c>
      <c r="N60" s="100">
        <v>5.4999203322490287</v>
      </c>
      <c r="O60" s="100">
        <v>3583.7480884934671</v>
      </c>
      <c r="P60" s="100">
        <v>3.9465000082752404</v>
      </c>
      <c r="Q60" s="100">
        <v>2571.5394053921468</v>
      </c>
      <c r="R60" s="100">
        <v>4.2398372473141634</v>
      </c>
      <c r="S60" s="100">
        <v>2762.6779503499092</v>
      </c>
      <c r="T60" s="100">
        <v>4.3593617909117173</v>
      </c>
      <c r="U60" s="100">
        <v>2840.5601429580752</v>
      </c>
      <c r="V60" s="100">
        <v>7</v>
      </c>
      <c r="W60" s="100">
        <v>4561.2</v>
      </c>
      <c r="X60" s="100">
        <v>6.3121111364269904</v>
      </c>
      <c r="Y60" s="100">
        <v>4112.9716164958272</v>
      </c>
      <c r="Z60" s="100">
        <v>1.3693809394777938</v>
      </c>
      <c r="AA60" s="100">
        <v>892.28862016373046</v>
      </c>
      <c r="AB60" s="100">
        <v>4</v>
      </c>
      <c r="AC60" s="100">
        <v>2606.4</v>
      </c>
      <c r="AD60" s="100">
        <v>3.5872397672152174</v>
      </c>
      <c r="AE60" s="100">
        <v>2337.4454323174359</v>
      </c>
      <c r="AF60" s="100">
        <v>5.0690390332932829</v>
      </c>
      <c r="AG60" s="100">
        <v>3302.9858340939031</v>
      </c>
      <c r="AH60" s="100">
        <v>3.2646439198549895</v>
      </c>
      <c r="AI60" s="100">
        <v>2127.2419781775111</v>
      </c>
      <c r="AJ60" s="100">
        <v>5</v>
      </c>
      <c r="AK60" s="100">
        <v>3258</v>
      </c>
      <c r="AL60" s="100">
        <v>4.8570816752974109</v>
      </c>
      <c r="AM60" s="100">
        <v>3164.8744196237931</v>
      </c>
      <c r="AN60" s="100">
        <v>4.2189607208601717E-4</v>
      </c>
      <c r="AO60" s="100">
        <v>0.27490748057124881</v>
      </c>
      <c r="AP60" s="100">
        <v>6</v>
      </c>
      <c r="AQ60" s="100">
        <v>3909.6000000000004</v>
      </c>
      <c r="AR60" s="100">
        <v>6</v>
      </c>
      <c r="AS60" s="100">
        <v>3909.6000000000004</v>
      </c>
      <c r="AT60" s="100">
        <v>5</v>
      </c>
      <c r="AU60" s="100">
        <v>3258</v>
      </c>
      <c r="AV60" s="100">
        <v>4.9338068928672492</v>
      </c>
      <c r="AW60" s="100">
        <v>3214.8685713922996</v>
      </c>
      <c r="AX60" s="100">
        <v>4.7320797005183195</v>
      </c>
      <c r="AY60" s="100">
        <v>3083.4231328577371</v>
      </c>
      <c r="AZ60" s="100">
        <v>4.1327750860447585</v>
      </c>
      <c r="BA60" s="100">
        <v>2692.9162460667649</v>
      </c>
      <c r="BB60" s="100">
        <v>1.1499391081235033</v>
      </c>
      <c r="BC60" s="100">
        <v>749.30032285327479</v>
      </c>
      <c r="BD60" s="100">
        <v>4</v>
      </c>
      <c r="BE60" s="100">
        <v>2606.4</v>
      </c>
      <c r="BF60" s="100">
        <v>4</v>
      </c>
      <c r="BG60" s="100">
        <v>2606.4</v>
      </c>
      <c r="BH60" s="100">
        <v>4.4400929871376036</v>
      </c>
      <c r="BI60" s="100">
        <v>2893.1645904188626</v>
      </c>
      <c r="BJ60" s="100">
        <v>1.374523733475451</v>
      </c>
      <c r="BK60" s="100">
        <v>895.63966473260393</v>
      </c>
      <c r="BL60" s="100">
        <v>4</v>
      </c>
      <c r="BM60" s="100">
        <v>2606.4</v>
      </c>
      <c r="BN60" s="100">
        <v>5</v>
      </c>
      <c r="BO60" s="100">
        <v>3258</v>
      </c>
      <c r="BP60" s="100">
        <v>3</v>
      </c>
      <c r="BQ60" s="100">
        <v>1954.8000000000002</v>
      </c>
      <c r="BR60" s="100">
        <v>7.1876239480316038</v>
      </c>
      <c r="BS60" s="100">
        <v>4683.4557645373934</v>
      </c>
      <c r="BT60" s="100">
        <v>0.6132667423093473</v>
      </c>
      <c r="BU60" s="100">
        <v>399.60460928877069</v>
      </c>
      <c r="BV60" s="100">
        <v>3.2437352318473351</v>
      </c>
      <c r="BW60" s="100">
        <v>2113.6178770717238</v>
      </c>
      <c r="BX60" s="100">
        <v>4</v>
      </c>
      <c r="BY60" s="100">
        <v>2606.4</v>
      </c>
      <c r="BZ60" s="100">
        <v>3</v>
      </c>
      <c r="CA60" s="100">
        <v>1954.8000000000002</v>
      </c>
      <c r="CB60" s="100">
        <v>5.5076638590817497</v>
      </c>
      <c r="CC60" s="100">
        <v>3588.7937705776681</v>
      </c>
      <c r="CD60" s="100">
        <v>4.3683919789521877</v>
      </c>
      <c r="CE60" s="100">
        <v>2846.4442134852457</v>
      </c>
      <c r="CF60" s="100">
        <v>3.1601793905293625E-4</v>
      </c>
      <c r="CG60" s="100">
        <v>0.20591728908689327</v>
      </c>
      <c r="CH60" s="100">
        <v>7</v>
      </c>
      <c r="CI60" s="100">
        <v>4561.2</v>
      </c>
      <c r="CJ60" s="100">
        <v>6</v>
      </c>
      <c r="CK60" s="100">
        <v>3909.6000000000004</v>
      </c>
      <c r="CL60" s="100">
        <v>4</v>
      </c>
      <c r="CM60" s="100">
        <v>2606.4</v>
      </c>
      <c r="CN60" s="100">
        <v>4</v>
      </c>
      <c r="CO60" s="100">
        <v>2606.4</v>
      </c>
      <c r="CP60" s="100">
        <v>6</v>
      </c>
      <c r="CQ60" s="100">
        <v>3909.6000000000004</v>
      </c>
      <c r="CR60" s="100">
        <v>6</v>
      </c>
      <c r="CS60" s="100">
        <v>3909.6000000000004</v>
      </c>
      <c r="CT60" s="100">
        <v>3.6927432455886082</v>
      </c>
      <c r="CU60" s="100">
        <v>2406.1914988255371</v>
      </c>
    </row>
    <row r="61" spans="2:99">
      <c r="C61" s="99" t="s">
        <v>227</v>
      </c>
      <c r="D61" s="100">
        <v>2.5675682861817859</v>
      </c>
      <c r="E61" s="100">
        <v>2443.2979811305872</v>
      </c>
      <c r="F61" s="100">
        <v>4.00133534986026</v>
      </c>
      <c r="G61" s="100">
        <v>3807.6707189270228</v>
      </c>
      <c r="H61" s="100">
        <v>4</v>
      </c>
      <c r="I61" s="100">
        <v>3806.3999999999996</v>
      </c>
      <c r="J61" s="100">
        <v>5</v>
      </c>
      <c r="K61" s="100">
        <v>4758</v>
      </c>
      <c r="L61" s="100">
        <v>6</v>
      </c>
      <c r="M61" s="100">
        <v>5709.5999999999995</v>
      </c>
      <c r="N61" s="100">
        <v>5.4999203322490287</v>
      </c>
      <c r="O61" s="100">
        <v>5233.7241881681748</v>
      </c>
      <c r="P61" s="100">
        <v>3.9465000082752404</v>
      </c>
      <c r="Q61" s="100">
        <v>3755.4894078747184</v>
      </c>
      <c r="R61" s="100">
        <v>4.2055747834121409</v>
      </c>
      <c r="S61" s="100">
        <v>4002.0249638949927</v>
      </c>
      <c r="T61" s="100">
        <v>3.7365958207814725</v>
      </c>
      <c r="U61" s="100">
        <v>3555.7445830556489</v>
      </c>
      <c r="V61" s="100">
        <v>6</v>
      </c>
      <c r="W61" s="100">
        <v>5709.5999999999995</v>
      </c>
      <c r="X61" s="100">
        <v>5.3121111364269904</v>
      </c>
      <c r="Y61" s="100">
        <v>5055.0049574239238</v>
      </c>
      <c r="Z61" s="100">
        <v>1.6432571273733527</v>
      </c>
      <c r="AA61" s="100">
        <v>1563.7234824084824</v>
      </c>
      <c r="AB61" s="100">
        <v>4</v>
      </c>
      <c r="AC61" s="100">
        <v>3806.3999999999996</v>
      </c>
      <c r="AD61" s="100">
        <v>4.3046877206582606</v>
      </c>
      <c r="AE61" s="100">
        <v>4096.3408349784004</v>
      </c>
      <c r="AF61" s="100">
        <v>6</v>
      </c>
      <c r="AG61" s="100">
        <v>5709.5999999999995</v>
      </c>
      <c r="AH61" s="100">
        <v>3.2646439198549895</v>
      </c>
      <c r="AI61" s="100">
        <v>3106.6351541340077</v>
      </c>
      <c r="AJ61" s="100">
        <v>5</v>
      </c>
      <c r="AK61" s="100">
        <v>4758</v>
      </c>
      <c r="AL61" s="100">
        <v>4.0833564990550029</v>
      </c>
      <c r="AM61" s="100">
        <v>3885.7220445007401</v>
      </c>
      <c r="AN61" s="100">
        <v>4.2189607208601717E-4</v>
      </c>
      <c r="AO61" s="100">
        <v>0.40147630219705388</v>
      </c>
      <c r="AP61" s="100">
        <v>6</v>
      </c>
      <c r="AQ61" s="100">
        <v>5709.5999999999995</v>
      </c>
      <c r="AR61" s="100">
        <v>7</v>
      </c>
      <c r="AS61" s="100">
        <v>6661.1999999999989</v>
      </c>
      <c r="AT61" s="100">
        <v>6</v>
      </c>
      <c r="AU61" s="100">
        <v>5709.5999999999995</v>
      </c>
      <c r="AV61" s="100">
        <v>4.9338068928672492</v>
      </c>
      <c r="AW61" s="100">
        <v>4695.010639252474</v>
      </c>
      <c r="AX61" s="100">
        <v>4.7320797005183195</v>
      </c>
      <c r="AY61" s="100">
        <v>4503.0470430132327</v>
      </c>
      <c r="AZ61" s="100">
        <v>4.1576864418856587</v>
      </c>
      <c r="BA61" s="100">
        <v>3956.4544180983926</v>
      </c>
      <c r="BB61" s="100">
        <v>1.1499391081235033</v>
      </c>
      <c r="BC61" s="100">
        <v>1094.2820552903256</v>
      </c>
      <c r="BD61" s="100">
        <v>4</v>
      </c>
      <c r="BE61" s="100">
        <v>3806.3999999999996</v>
      </c>
      <c r="BF61" s="100">
        <v>4</v>
      </c>
      <c r="BG61" s="100">
        <v>3806.3999999999996</v>
      </c>
      <c r="BH61" s="100">
        <v>5.4400929871376036</v>
      </c>
      <c r="BI61" s="100">
        <v>5176.7924865601435</v>
      </c>
      <c r="BJ61" s="100">
        <v>1.374523733475451</v>
      </c>
      <c r="BK61" s="100">
        <v>1307.9967847752391</v>
      </c>
      <c r="BL61" s="100">
        <v>5</v>
      </c>
      <c r="BM61" s="100">
        <v>4758</v>
      </c>
      <c r="BN61" s="100">
        <v>5</v>
      </c>
      <c r="BO61" s="100">
        <v>4758</v>
      </c>
      <c r="BP61" s="100">
        <v>4</v>
      </c>
      <c r="BQ61" s="100">
        <v>3806.3999999999996</v>
      </c>
      <c r="BR61" s="100">
        <v>6.1876239480316038</v>
      </c>
      <c r="BS61" s="100">
        <v>5888.1429489468737</v>
      </c>
      <c r="BT61" s="100">
        <v>0.60279140498168959</v>
      </c>
      <c r="BU61" s="100">
        <v>573.61630098057572</v>
      </c>
      <c r="BV61" s="100">
        <v>3.2437352318473351</v>
      </c>
      <c r="BW61" s="100">
        <v>3086.7384466259236</v>
      </c>
      <c r="BX61" s="100">
        <v>4</v>
      </c>
      <c r="BY61" s="100">
        <v>3806.3999999999996</v>
      </c>
      <c r="BZ61" s="100">
        <v>4</v>
      </c>
      <c r="CA61" s="100">
        <v>3806.3999999999996</v>
      </c>
      <c r="CB61" s="100">
        <v>4.4615125991652267</v>
      </c>
      <c r="CC61" s="100">
        <v>4245.5753893656292</v>
      </c>
      <c r="CD61" s="100">
        <v>4.3683919789521877</v>
      </c>
      <c r="CE61" s="100">
        <v>4156.961807170901</v>
      </c>
      <c r="CF61" s="100">
        <v>3.1601793905293625E-4</v>
      </c>
      <c r="CG61" s="100">
        <v>0.30072267080277409</v>
      </c>
      <c r="CH61" s="100">
        <v>6</v>
      </c>
      <c r="CI61" s="100">
        <v>5709.5999999999995</v>
      </c>
      <c r="CJ61" s="100">
        <v>6</v>
      </c>
      <c r="CK61" s="100">
        <v>5709.5999999999995</v>
      </c>
      <c r="CL61" s="100">
        <v>3</v>
      </c>
      <c r="CM61" s="100">
        <v>2854.7999999999997</v>
      </c>
      <c r="CN61" s="100">
        <v>5</v>
      </c>
      <c r="CO61" s="100">
        <v>4758</v>
      </c>
      <c r="CP61" s="100">
        <v>6</v>
      </c>
      <c r="CQ61" s="100">
        <v>5709.5999999999995</v>
      </c>
      <c r="CR61" s="100">
        <v>6</v>
      </c>
      <c r="CS61" s="100">
        <v>5709.5999999999995</v>
      </c>
      <c r="CT61" s="100">
        <v>3.6927432455886082</v>
      </c>
      <c r="CU61" s="100">
        <v>3514.0144725021191</v>
      </c>
    </row>
    <row r="62" spans="2:99">
      <c r="C62" s="99" t="s">
        <v>228</v>
      </c>
      <c r="D62" s="100">
        <v>3.7516422029105541</v>
      </c>
      <c r="E62" s="100">
        <v>6262.2411650982967</v>
      </c>
      <c r="F62" s="100">
        <v>5.0367712953746286</v>
      </c>
      <c r="G62" s="100">
        <v>8407.3786462393309</v>
      </c>
      <c r="H62" s="100">
        <v>2.3023312687128046</v>
      </c>
      <c r="I62" s="100">
        <v>3843.0513537354136</v>
      </c>
      <c r="J62" s="100">
        <v>4.0439652248375442</v>
      </c>
      <c r="K62" s="100">
        <v>6750.186753298829</v>
      </c>
      <c r="L62" s="100">
        <v>5.5697239907078426</v>
      </c>
      <c r="M62" s="100">
        <v>9296.9832852895306</v>
      </c>
      <c r="N62" s="100">
        <v>3.9473684210526083</v>
      </c>
      <c r="O62" s="100">
        <v>6588.9473684210143</v>
      </c>
      <c r="P62" s="100">
        <v>5.3585651408421544</v>
      </c>
      <c r="Q62" s="100">
        <v>8944.5169330937242</v>
      </c>
      <c r="R62" s="100">
        <v>2.9305363844170569</v>
      </c>
      <c r="S62" s="100">
        <v>4891.6513328689516</v>
      </c>
      <c r="T62" s="100">
        <v>5.5782612198172297</v>
      </c>
      <c r="U62" s="100">
        <v>9311.23362811892</v>
      </c>
      <c r="V62" s="100">
        <v>7</v>
      </c>
      <c r="W62" s="100">
        <v>11684.4</v>
      </c>
      <c r="X62" s="100">
        <v>5.5457613851746572</v>
      </c>
      <c r="Y62" s="100">
        <v>9256.9849041335383</v>
      </c>
      <c r="Z62" s="100">
        <v>4.9949966622544393</v>
      </c>
      <c r="AA62" s="100">
        <v>8337.6484286351097</v>
      </c>
      <c r="AB62" s="100">
        <v>1.165358214853855</v>
      </c>
      <c r="AC62" s="100">
        <v>1945.2159322340549</v>
      </c>
      <c r="AD62" s="100">
        <v>5.0417375777696893</v>
      </c>
      <c r="AE62" s="100">
        <v>8415.6683648131657</v>
      </c>
      <c r="AF62" s="100">
        <v>4.9999999999999707</v>
      </c>
      <c r="AG62" s="100">
        <v>8345.9999999999509</v>
      </c>
      <c r="AH62" s="100">
        <v>5.2988487743754416</v>
      </c>
      <c r="AI62" s="100">
        <v>8844.8383741874877</v>
      </c>
      <c r="AJ62" s="100">
        <v>4.3387311668971886</v>
      </c>
      <c r="AK62" s="100">
        <v>7242.2100637847871</v>
      </c>
      <c r="AL62" s="100">
        <v>5</v>
      </c>
      <c r="AM62" s="100">
        <v>8346</v>
      </c>
      <c r="AN62" s="100">
        <v>5</v>
      </c>
      <c r="AO62" s="100">
        <v>8346</v>
      </c>
      <c r="AP62" s="100">
        <v>5</v>
      </c>
      <c r="AQ62" s="100">
        <v>8346</v>
      </c>
      <c r="AR62" s="100">
        <v>5.1873535979609304</v>
      </c>
      <c r="AS62" s="100">
        <v>8658.7306257163855</v>
      </c>
      <c r="AT62" s="100">
        <v>4.2857142857142607</v>
      </c>
      <c r="AU62" s="100">
        <v>7153.7142857142444</v>
      </c>
      <c r="AV62" s="100">
        <v>4.2341428487404196</v>
      </c>
      <c r="AW62" s="100">
        <v>7067.6312431175083</v>
      </c>
      <c r="AX62" s="100">
        <v>4.7129345665913274</v>
      </c>
      <c r="AY62" s="100">
        <v>7866.8303785542439</v>
      </c>
      <c r="AZ62" s="100">
        <v>5.9792625194363609</v>
      </c>
      <c r="BA62" s="100">
        <v>9980.5849974431731</v>
      </c>
      <c r="BB62" s="100">
        <v>2.6448113812516731</v>
      </c>
      <c r="BC62" s="100">
        <v>4414.719157585293</v>
      </c>
      <c r="BD62" s="100">
        <v>4</v>
      </c>
      <c r="BE62" s="100">
        <v>6676.8</v>
      </c>
      <c r="BF62" s="100">
        <v>3.5251207424526059</v>
      </c>
      <c r="BG62" s="100">
        <v>5884.1315433018899</v>
      </c>
      <c r="BH62" s="100">
        <v>3.7499999999999782</v>
      </c>
      <c r="BI62" s="100">
        <v>6259.4999999999636</v>
      </c>
      <c r="BJ62" s="100">
        <v>2.8152155580585925</v>
      </c>
      <c r="BK62" s="100">
        <v>4699.1578095114028</v>
      </c>
      <c r="BL62" s="100">
        <v>1.6406817847149746</v>
      </c>
      <c r="BM62" s="100">
        <v>2738.6260350462358</v>
      </c>
      <c r="BN62" s="100">
        <v>5</v>
      </c>
      <c r="BO62" s="100">
        <v>8346</v>
      </c>
      <c r="BP62" s="100">
        <v>3</v>
      </c>
      <c r="BQ62" s="100">
        <v>5007.6000000000004</v>
      </c>
      <c r="BR62" s="100">
        <v>6</v>
      </c>
      <c r="BS62" s="100">
        <v>10015.200000000001</v>
      </c>
      <c r="BT62" s="100">
        <v>2.8906818962505905</v>
      </c>
      <c r="BU62" s="100">
        <v>4825.126221221486</v>
      </c>
      <c r="BV62" s="100">
        <v>2.5601773472940232</v>
      </c>
      <c r="BW62" s="100">
        <v>4273.4480281031838</v>
      </c>
      <c r="BX62" s="100">
        <v>1.6521550839087857</v>
      </c>
      <c r="BY62" s="100">
        <v>2757.7772660605451</v>
      </c>
      <c r="BZ62" s="100">
        <v>3</v>
      </c>
      <c r="CA62" s="100">
        <v>5007.6000000000004</v>
      </c>
      <c r="CB62" s="100">
        <v>4</v>
      </c>
      <c r="CC62" s="100">
        <v>6676.8</v>
      </c>
      <c r="CD62" s="100">
        <v>5.2048665475510765</v>
      </c>
      <c r="CE62" s="100">
        <v>8687.9632411722578</v>
      </c>
      <c r="CF62" s="100">
        <v>1.544570519192475</v>
      </c>
      <c r="CG62" s="100">
        <v>2578.1971106360793</v>
      </c>
      <c r="CH62" s="100">
        <v>6.2598453301606236</v>
      </c>
      <c r="CI62" s="100">
        <v>10448.933825104114</v>
      </c>
      <c r="CJ62" s="100">
        <v>4.6016627012640487</v>
      </c>
      <c r="CK62" s="100">
        <v>7681.0953809499506</v>
      </c>
      <c r="CL62" s="100">
        <v>2.7036072722637052</v>
      </c>
      <c r="CM62" s="100">
        <v>4512.8612588625765</v>
      </c>
      <c r="CN62" s="100">
        <v>3.0751367360013631</v>
      </c>
      <c r="CO62" s="100">
        <v>5133.0182397334756</v>
      </c>
      <c r="CP62" s="100">
        <v>4.2618579535198782</v>
      </c>
      <c r="CQ62" s="100">
        <v>7113.8932960153807</v>
      </c>
      <c r="CR62" s="100">
        <v>0.28923650570984338</v>
      </c>
      <c r="CS62" s="100">
        <v>482.79357533087057</v>
      </c>
      <c r="CT62" s="100">
        <v>4.4444444444444198</v>
      </c>
      <c r="CU62" s="100">
        <v>7418.666666666626</v>
      </c>
    </row>
    <row r="63" spans="2:99">
      <c r="C63" s="99" t="s">
        <v>229</v>
      </c>
      <c r="D63" s="100">
        <v>3.1900056284562095</v>
      </c>
      <c r="E63" s="100">
        <v>2537.9684779997601</v>
      </c>
      <c r="F63" s="100">
        <v>4.00133534986026</v>
      </c>
      <c r="G63" s="100">
        <v>3183.4624043488229</v>
      </c>
      <c r="H63" s="100">
        <v>5</v>
      </c>
      <c r="I63" s="100">
        <v>3978</v>
      </c>
      <c r="J63" s="100">
        <v>5</v>
      </c>
      <c r="K63" s="100">
        <v>3978</v>
      </c>
      <c r="L63" s="100">
        <v>7</v>
      </c>
      <c r="M63" s="100">
        <v>5569.2</v>
      </c>
      <c r="N63" s="100">
        <v>5.4999203322490287</v>
      </c>
      <c r="O63" s="100">
        <v>4375.7366163373272</v>
      </c>
      <c r="P63" s="100">
        <v>3.9465000082752404</v>
      </c>
      <c r="Q63" s="100">
        <v>3139.8354065837812</v>
      </c>
      <c r="R63" s="100">
        <v>4.2055747834121409</v>
      </c>
      <c r="S63" s="100">
        <v>3345.9552976826994</v>
      </c>
      <c r="T63" s="100">
        <v>3.7365958207814725</v>
      </c>
      <c r="U63" s="100">
        <v>2972.8356350137396</v>
      </c>
      <c r="V63" s="100">
        <v>6</v>
      </c>
      <c r="W63" s="100">
        <v>4773.6000000000004</v>
      </c>
      <c r="X63" s="100">
        <v>5.3566984416308463</v>
      </c>
      <c r="Y63" s="100">
        <v>4261.7892801615017</v>
      </c>
      <c r="Z63" s="100">
        <v>1.6432571273733527</v>
      </c>
      <c r="AA63" s="100">
        <v>1307.3753705382394</v>
      </c>
      <c r="AB63" s="100">
        <v>4</v>
      </c>
      <c r="AC63" s="100">
        <v>3182.4</v>
      </c>
      <c r="AD63" s="100">
        <v>3.5872397672152174</v>
      </c>
      <c r="AE63" s="100">
        <v>2854.0079587964269</v>
      </c>
      <c r="AF63" s="100">
        <v>6.0690390332932829</v>
      </c>
      <c r="AG63" s="100">
        <v>4828.5274548881362</v>
      </c>
      <c r="AH63" s="100">
        <v>3.2646439198549895</v>
      </c>
      <c r="AI63" s="100">
        <v>2597.3507026366296</v>
      </c>
      <c r="AJ63" s="100">
        <v>5</v>
      </c>
      <c r="AK63" s="100">
        <v>3978</v>
      </c>
      <c r="AL63" s="100">
        <v>4.8570816752974109</v>
      </c>
      <c r="AM63" s="100">
        <v>3864.2941808666201</v>
      </c>
      <c r="AN63" s="100">
        <v>4.2189607208601717E-4</v>
      </c>
      <c r="AO63" s="100">
        <v>0.33566051495163529</v>
      </c>
      <c r="AP63" s="100">
        <v>6</v>
      </c>
      <c r="AQ63" s="100">
        <v>4773.6000000000004</v>
      </c>
      <c r="AR63" s="100">
        <v>6</v>
      </c>
      <c r="AS63" s="100">
        <v>4773.6000000000004</v>
      </c>
      <c r="AT63" s="100">
        <v>6</v>
      </c>
      <c r="AU63" s="100">
        <v>4773.6000000000004</v>
      </c>
      <c r="AV63" s="100">
        <v>5.7561080416784574</v>
      </c>
      <c r="AW63" s="100">
        <v>4579.559557959381</v>
      </c>
      <c r="AX63" s="100">
        <v>4.733976801613073</v>
      </c>
      <c r="AY63" s="100">
        <v>3766.351943363361</v>
      </c>
      <c r="AZ63" s="100">
        <v>4.792507685237835</v>
      </c>
      <c r="BA63" s="100">
        <v>3812.9191143752219</v>
      </c>
      <c r="BB63" s="100">
        <v>1.1499391081235033</v>
      </c>
      <c r="BC63" s="100">
        <v>914.89155442305923</v>
      </c>
      <c r="BD63" s="100">
        <v>4</v>
      </c>
      <c r="BE63" s="100">
        <v>3182.4</v>
      </c>
      <c r="BF63" s="100">
        <v>5</v>
      </c>
      <c r="BG63" s="100">
        <v>3978</v>
      </c>
      <c r="BH63" s="100">
        <v>4.3422945455514697</v>
      </c>
      <c r="BI63" s="100">
        <v>3454.7295404407491</v>
      </c>
      <c r="BJ63" s="100">
        <v>1.0996189867803607</v>
      </c>
      <c r="BK63" s="100">
        <v>874.85686588245505</v>
      </c>
      <c r="BL63" s="100">
        <v>4</v>
      </c>
      <c r="BM63" s="100">
        <v>3182.4</v>
      </c>
      <c r="BN63" s="100">
        <v>5</v>
      </c>
      <c r="BO63" s="100">
        <v>3978</v>
      </c>
      <c r="BP63" s="100">
        <v>4</v>
      </c>
      <c r="BQ63" s="100">
        <v>3182.4</v>
      </c>
      <c r="BR63" s="100">
        <v>7.1876239480316038</v>
      </c>
      <c r="BS63" s="100">
        <v>5718.4736130539441</v>
      </c>
      <c r="BT63" s="100">
        <v>0.6132667423093473</v>
      </c>
      <c r="BU63" s="100">
        <v>487.91502018131672</v>
      </c>
      <c r="BV63" s="100">
        <v>3.2437352318473351</v>
      </c>
      <c r="BW63" s="100">
        <v>2580.7157504577399</v>
      </c>
      <c r="BX63" s="100">
        <v>4</v>
      </c>
      <c r="BY63" s="100">
        <v>3182.4</v>
      </c>
      <c r="BZ63" s="100">
        <v>4</v>
      </c>
      <c r="CA63" s="100">
        <v>3182.4</v>
      </c>
      <c r="CB63" s="100">
        <v>4.4615125991652267</v>
      </c>
      <c r="CC63" s="100">
        <v>3549.5794238958542</v>
      </c>
      <c r="CD63" s="100">
        <v>4.3683919789521877</v>
      </c>
      <c r="CE63" s="100">
        <v>3475.4926584543605</v>
      </c>
      <c r="CF63" s="100">
        <v>2.5281435124234898E-4</v>
      </c>
      <c r="CG63" s="100">
        <v>0.20113909784841286</v>
      </c>
      <c r="CH63" s="100">
        <v>6</v>
      </c>
      <c r="CI63" s="100">
        <v>4773.6000000000004</v>
      </c>
      <c r="CJ63" s="100">
        <v>6</v>
      </c>
      <c r="CK63" s="100">
        <v>4773.6000000000004</v>
      </c>
      <c r="CL63" s="100">
        <v>4</v>
      </c>
      <c r="CM63" s="100">
        <v>3182.4</v>
      </c>
      <c r="CN63" s="100">
        <v>4</v>
      </c>
      <c r="CO63" s="100">
        <v>3182.4</v>
      </c>
      <c r="CP63" s="100">
        <v>6</v>
      </c>
      <c r="CQ63" s="100">
        <v>4773.6000000000004</v>
      </c>
      <c r="CR63" s="100">
        <v>6</v>
      </c>
      <c r="CS63" s="100">
        <v>4773.6000000000004</v>
      </c>
      <c r="CT63" s="100">
        <v>3.9093236139414751</v>
      </c>
      <c r="CU63" s="100">
        <v>3110.2578672518375</v>
      </c>
    </row>
    <row r="64" spans="2:99">
      <c r="C64" s="99" t="s">
        <v>230</v>
      </c>
      <c r="D64" s="100">
        <v>3.1900056284562095</v>
      </c>
      <c r="E64" s="100">
        <v>3219.3536802380058</v>
      </c>
      <c r="F64" s="100">
        <v>4.00133534986026</v>
      </c>
      <c r="G64" s="100">
        <v>4038.1476350789735</v>
      </c>
      <c r="H64" s="100">
        <v>5</v>
      </c>
      <c r="I64" s="100">
        <v>5045.9999999999991</v>
      </c>
      <c r="J64" s="100">
        <v>4</v>
      </c>
      <c r="K64" s="100">
        <v>4036.7999999999993</v>
      </c>
      <c r="L64" s="100">
        <v>7</v>
      </c>
      <c r="M64" s="100">
        <v>7064.3999999999987</v>
      </c>
      <c r="N64" s="100">
        <v>5.4499282990241262</v>
      </c>
      <c r="O64" s="100">
        <v>5500.0676393751473</v>
      </c>
      <c r="P64" s="100">
        <v>3.9465000082752404</v>
      </c>
      <c r="Q64" s="100">
        <v>3982.8078083513719</v>
      </c>
      <c r="R64" s="100">
        <v>4.2398372473141634</v>
      </c>
      <c r="S64" s="100">
        <v>4278.8437499894526</v>
      </c>
      <c r="T64" s="100">
        <v>3.7365958207814725</v>
      </c>
      <c r="U64" s="100">
        <v>3770.9725023326614</v>
      </c>
      <c r="V64" s="100">
        <v>7</v>
      </c>
      <c r="W64" s="100">
        <v>7064.3999999999987</v>
      </c>
      <c r="X64" s="100">
        <v>5.3121111364269904</v>
      </c>
      <c r="Y64" s="100">
        <v>5360.9825588821177</v>
      </c>
      <c r="Z64" s="100">
        <v>1.6432571273733527</v>
      </c>
      <c r="AA64" s="100">
        <v>1658.3750929451874</v>
      </c>
      <c r="AB64" s="100">
        <v>3</v>
      </c>
      <c r="AC64" s="100">
        <v>3027.5999999999995</v>
      </c>
      <c r="AD64" s="100">
        <v>4.3046877206582606</v>
      </c>
      <c r="AE64" s="100">
        <v>4344.2908476883158</v>
      </c>
      <c r="AF64" s="100">
        <v>5.0690390332932829</v>
      </c>
      <c r="AG64" s="100">
        <v>5115.6741923995805</v>
      </c>
      <c r="AH64" s="100">
        <v>3.2646439198549895</v>
      </c>
      <c r="AI64" s="100">
        <v>3294.6786439176549</v>
      </c>
      <c r="AJ64" s="100">
        <v>5</v>
      </c>
      <c r="AK64" s="100">
        <v>5045.9999999999991</v>
      </c>
      <c r="AL64" s="100">
        <v>4.871397049820275</v>
      </c>
      <c r="AM64" s="100">
        <v>4916.2139026786208</v>
      </c>
      <c r="AN64" s="100">
        <v>4.2189607208601717E-4</v>
      </c>
      <c r="AO64" s="100">
        <v>0.42577751594920843</v>
      </c>
      <c r="AP64" s="100">
        <v>6</v>
      </c>
      <c r="AQ64" s="100">
        <v>6055.1999999999989</v>
      </c>
      <c r="AR64" s="100">
        <v>6</v>
      </c>
      <c r="AS64" s="100">
        <v>6055.1999999999989</v>
      </c>
      <c r="AT64" s="100">
        <v>6</v>
      </c>
      <c r="AU64" s="100">
        <v>6055.1999999999989</v>
      </c>
      <c r="AV64" s="100">
        <v>4.9338068928672492</v>
      </c>
      <c r="AW64" s="100">
        <v>4979.1979162816269</v>
      </c>
      <c r="AX64" s="100">
        <v>4.730182599423566</v>
      </c>
      <c r="AY64" s="100">
        <v>4773.7002793382617</v>
      </c>
      <c r="AZ64" s="100">
        <v>3.4730424868516829</v>
      </c>
      <c r="BA64" s="100">
        <v>3504.9944777307178</v>
      </c>
      <c r="BB64" s="100">
        <v>0.91995128649880265</v>
      </c>
      <c r="BC64" s="100">
        <v>928.41483833459142</v>
      </c>
      <c r="BD64" s="100">
        <v>4</v>
      </c>
      <c r="BE64" s="100">
        <v>4036.7999999999993</v>
      </c>
      <c r="BF64" s="100">
        <v>4</v>
      </c>
      <c r="BG64" s="100">
        <v>4036.7999999999993</v>
      </c>
      <c r="BH64" s="100">
        <v>5.3911937663445357</v>
      </c>
      <c r="BI64" s="100">
        <v>5440.7927489949043</v>
      </c>
      <c r="BJ64" s="100">
        <v>1.0996189867803607</v>
      </c>
      <c r="BK64" s="100">
        <v>1109.73548145874</v>
      </c>
      <c r="BL64" s="100">
        <v>5</v>
      </c>
      <c r="BM64" s="100">
        <v>5045.9999999999991</v>
      </c>
      <c r="BN64" s="100">
        <v>5</v>
      </c>
      <c r="BO64" s="100">
        <v>5045.9999999999991</v>
      </c>
      <c r="BP64" s="100">
        <v>4</v>
      </c>
      <c r="BQ64" s="100">
        <v>4036.7999999999993</v>
      </c>
      <c r="BR64" s="100">
        <v>6.1876239480316038</v>
      </c>
      <c r="BS64" s="100">
        <v>6244.5500883534933</v>
      </c>
      <c r="BT64" s="100">
        <v>0.60802907364551839</v>
      </c>
      <c r="BU64" s="100">
        <v>613.6229411230571</v>
      </c>
      <c r="BV64" s="100">
        <v>3.2437352318473351</v>
      </c>
      <c r="BW64" s="100">
        <v>3273.57759598033</v>
      </c>
      <c r="BX64" s="100">
        <v>4</v>
      </c>
      <c r="BY64" s="100">
        <v>4036.7999999999993</v>
      </c>
      <c r="BZ64" s="100">
        <v>4</v>
      </c>
      <c r="CA64" s="100">
        <v>4036.7999999999993</v>
      </c>
      <c r="CB64" s="100">
        <v>5.4153613392487046</v>
      </c>
      <c r="CC64" s="100">
        <v>5465.1826635697917</v>
      </c>
      <c r="CD64" s="100">
        <v>4.3683919789521877</v>
      </c>
      <c r="CE64" s="100">
        <v>4408.5811851585468</v>
      </c>
      <c r="CF64" s="100">
        <v>3.1601793905293625E-4</v>
      </c>
      <c r="CG64" s="100">
        <v>0.31892530409222319</v>
      </c>
      <c r="CH64" s="100">
        <v>6</v>
      </c>
      <c r="CI64" s="100">
        <v>6055.1999999999989</v>
      </c>
      <c r="CJ64" s="100">
        <v>6</v>
      </c>
      <c r="CK64" s="100">
        <v>6055.1999999999989</v>
      </c>
      <c r="CL64" s="100">
        <v>4</v>
      </c>
      <c r="CM64" s="100">
        <v>4036.7999999999993</v>
      </c>
      <c r="CN64" s="100">
        <v>4</v>
      </c>
      <c r="CO64" s="100">
        <v>4036.7999999999993</v>
      </c>
      <c r="CP64" s="100">
        <v>7</v>
      </c>
      <c r="CQ64" s="100">
        <v>7064.3999999999987</v>
      </c>
      <c r="CR64" s="100">
        <v>6</v>
      </c>
      <c r="CS64" s="100">
        <v>6055.1999999999989</v>
      </c>
      <c r="CT64" s="100">
        <v>3.6927432455886082</v>
      </c>
      <c r="CU64" s="100">
        <v>3726.7164834480227</v>
      </c>
    </row>
    <row r="65" spans="2:99">
      <c r="C65" s="99" t="s">
        <v>231</v>
      </c>
      <c r="D65" s="100">
        <v>3.1900056284562095</v>
      </c>
      <c r="E65" s="100">
        <v>3272.945774796071</v>
      </c>
      <c r="F65" s="100">
        <v>4.00133534986026</v>
      </c>
      <c r="G65" s="100">
        <v>4105.3700689566267</v>
      </c>
      <c r="H65" s="100">
        <v>5</v>
      </c>
      <c r="I65" s="100">
        <v>5130</v>
      </c>
      <c r="J65" s="100">
        <v>5</v>
      </c>
      <c r="K65" s="100">
        <v>5130</v>
      </c>
      <c r="L65" s="100">
        <v>7</v>
      </c>
      <c r="M65" s="100">
        <v>7182</v>
      </c>
      <c r="N65" s="100">
        <v>5.4499282990241262</v>
      </c>
      <c r="O65" s="100">
        <v>5591.6264347987535</v>
      </c>
      <c r="P65" s="100">
        <v>3.9465000082752404</v>
      </c>
      <c r="Q65" s="100">
        <v>4049.1090084903967</v>
      </c>
      <c r="R65" s="100">
        <v>4.2055747834121409</v>
      </c>
      <c r="S65" s="100">
        <v>4314.9197277808562</v>
      </c>
      <c r="T65" s="100">
        <v>3.7365958207814725</v>
      </c>
      <c r="U65" s="100">
        <v>3833.7473121217909</v>
      </c>
      <c r="V65" s="100">
        <v>6</v>
      </c>
      <c r="W65" s="100">
        <v>6156</v>
      </c>
      <c r="X65" s="100">
        <v>6.3566984416308463</v>
      </c>
      <c r="Y65" s="100">
        <v>6521.9726011132479</v>
      </c>
      <c r="Z65" s="100">
        <v>1.3693809394777938</v>
      </c>
      <c r="AA65" s="100">
        <v>1404.9848439042164</v>
      </c>
      <c r="AB65" s="100">
        <v>3</v>
      </c>
      <c r="AC65" s="100">
        <v>3078</v>
      </c>
      <c r="AD65" s="100">
        <v>3.5872397672152174</v>
      </c>
      <c r="AE65" s="100">
        <v>3680.5080011628129</v>
      </c>
      <c r="AF65" s="100">
        <v>5.0767100369925364</v>
      </c>
      <c r="AG65" s="100">
        <v>5208.7044979543425</v>
      </c>
      <c r="AH65" s="100">
        <v>3.2646439198549895</v>
      </c>
      <c r="AI65" s="100">
        <v>3349.5246617712191</v>
      </c>
      <c r="AJ65" s="100">
        <v>5</v>
      </c>
      <c r="AK65" s="100">
        <v>5130</v>
      </c>
      <c r="AL65" s="100">
        <v>4.0833564990550029</v>
      </c>
      <c r="AM65" s="100">
        <v>4189.5237680304326</v>
      </c>
      <c r="AN65" s="100">
        <v>4.2189607208601717E-4</v>
      </c>
      <c r="AO65" s="100">
        <v>0.4328653699602536</v>
      </c>
      <c r="AP65" s="100">
        <v>6</v>
      </c>
      <c r="AQ65" s="100">
        <v>6156</v>
      </c>
      <c r="AR65" s="100">
        <v>6</v>
      </c>
      <c r="AS65" s="100">
        <v>6156</v>
      </c>
      <c r="AT65" s="100">
        <v>6</v>
      </c>
      <c r="AU65" s="100">
        <v>6156</v>
      </c>
      <c r="AV65" s="100">
        <v>4.9338068928672492</v>
      </c>
      <c r="AW65" s="100">
        <v>5062.0858720817978</v>
      </c>
      <c r="AX65" s="100">
        <v>4.057965415824742</v>
      </c>
      <c r="AY65" s="100">
        <v>4163.472516636185</v>
      </c>
      <c r="AZ65" s="100">
        <v>4.1327750860447585</v>
      </c>
      <c r="BA65" s="100">
        <v>4240.2272382819219</v>
      </c>
      <c r="BB65" s="100">
        <v>0.91995128649880265</v>
      </c>
      <c r="BC65" s="100">
        <v>943.87001994777154</v>
      </c>
      <c r="BD65" s="100">
        <v>4</v>
      </c>
      <c r="BE65" s="100">
        <v>4104</v>
      </c>
      <c r="BF65" s="100">
        <v>5</v>
      </c>
      <c r="BG65" s="100">
        <v>5130</v>
      </c>
      <c r="BH65" s="100">
        <v>4.3911937663445357</v>
      </c>
      <c r="BI65" s="100">
        <v>4505.364804269494</v>
      </c>
      <c r="BJ65" s="100">
        <v>1.374523733475451</v>
      </c>
      <c r="BK65" s="100">
        <v>1410.2613505458128</v>
      </c>
      <c r="BL65" s="100">
        <v>5</v>
      </c>
      <c r="BM65" s="100">
        <v>5130</v>
      </c>
      <c r="BN65" s="100">
        <v>5</v>
      </c>
      <c r="BO65" s="100">
        <v>5130</v>
      </c>
      <c r="BP65" s="100">
        <v>3</v>
      </c>
      <c r="BQ65" s="100">
        <v>3078</v>
      </c>
      <c r="BR65" s="100">
        <v>7.1876239480316038</v>
      </c>
      <c r="BS65" s="100">
        <v>7374.5021706804255</v>
      </c>
      <c r="BT65" s="100">
        <v>0.60279140498168959</v>
      </c>
      <c r="BU65" s="100">
        <v>618.46398151121355</v>
      </c>
      <c r="BV65" s="100">
        <v>2.4328014238855014</v>
      </c>
      <c r="BW65" s="100">
        <v>2496.0542609065242</v>
      </c>
      <c r="BX65" s="100">
        <v>4</v>
      </c>
      <c r="BY65" s="100">
        <v>4104</v>
      </c>
      <c r="BZ65" s="100">
        <v>4</v>
      </c>
      <c r="CA65" s="100">
        <v>4104</v>
      </c>
      <c r="CB65" s="100">
        <v>4.4153613392487046</v>
      </c>
      <c r="CC65" s="100">
        <v>4530.1607340691708</v>
      </c>
      <c r="CD65" s="100">
        <v>3.6403266491268234</v>
      </c>
      <c r="CE65" s="100">
        <v>3734.9751420041207</v>
      </c>
      <c r="CF65" s="100">
        <v>3.1601793905293625E-4</v>
      </c>
      <c r="CG65" s="100">
        <v>0.32423440546831261</v>
      </c>
      <c r="CH65" s="100">
        <v>6</v>
      </c>
      <c r="CI65" s="100">
        <v>6156</v>
      </c>
      <c r="CJ65" s="100">
        <v>6</v>
      </c>
      <c r="CK65" s="100">
        <v>6156</v>
      </c>
      <c r="CL65" s="100">
        <v>4</v>
      </c>
      <c r="CM65" s="100">
        <v>4104</v>
      </c>
      <c r="CN65" s="100">
        <v>5</v>
      </c>
      <c r="CO65" s="100">
        <v>5130</v>
      </c>
      <c r="CP65" s="100">
        <v>6</v>
      </c>
      <c r="CQ65" s="100">
        <v>6156</v>
      </c>
      <c r="CR65" s="100">
        <v>6</v>
      </c>
      <c r="CS65" s="100">
        <v>6156</v>
      </c>
      <c r="CT65" s="100">
        <v>3.6927432455886082</v>
      </c>
      <c r="CU65" s="100">
        <v>3788.7545699739121</v>
      </c>
    </row>
    <row r="66" spans="2:99">
      <c r="C66" s="99" t="s">
        <v>232</v>
      </c>
      <c r="D66" s="100">
        <v>3.1802782638206986</v>
      </c>
      <c r="E66" s="100">
        <v>3785.8032452521593</v>
      </c>
      <c r="F66" s="100">
        <v>4.00133534986026</v>
      </c>
      <c r="G66" s="100">
        <v>4763.1896004736527</v>
      </c>
      <c r="H66" s="100">
        <v>4</v>
      </c>
      <c r="I66" s="100">
        <v>4761.5999999999995</v>
      </c>
      <c r="J66" s="100">
        <v>5</v>
      </c>
      <c r="K66" s="100">
        <v>5951.9999999999991</v>
      </c>
      <c r="L66" s="100">
        <v>7</v>
      </c>
      <c r="M66" s="100">
        <v>8332.7999999999993</v>
      </c>
      <c r="N66" s="100">
        <v>5.4499282990241262</v>
      </c>
      <c r="O66" s="100">
        <v>6487.5946471583193</v>
      </c>
      <c r="P66" s="100">
        <v>3.9465000082752404</v>
      </c>
      <c r="Q66" s="100">
        <v>4697.9136098508452</v>
      </c>
      <c r="R66" s="100">
        <v>4.2055747834121409</v>
      </c>
      <c r="S66" s="100">
        <v>5006.3162221738121</v>
      </c>
      <c r="T66" s="100">
        <v>3.7365958207814725</v>
      </c>
      <c r="U66" s="100">
        <v>4448.0436650582642</v>
      </c>
      <c r="V66" s="100">
        <v>6</v>
      </c>
      <c r="W66" s="100">
        <v>7142.4</v>
      </c>
      <c r="X66" s="100">
        <v>5.3121111364269904</v>
      </c>
      <c r="Y66" s="100">
        <v>6323.5370968026882</v>
      </c>
      <c r="Z66" s="100">
        <v>1.3693809394777938</v>
      </c>
      <c r="AA66" s="100">
        <v>1630.1110703543657</v>
      </c>
      <c r="AB66" s="100">
        <v>4</v>
      </c>
      <c r="AC66" s="100">
        <v>4761.5999999999995</v>
      </c>
      <c r="AD66" s="100">
        <v>3.5872397672152174</v>
      </c>
      <c r="AE66" s="100">
        <v>4270.2502188929948</v>
      </c>
      <c r="AF66" s="100">
        <v>5.0690390332932829</v>
      </c>
      <c r="AG66" s="100">
        <v>6034.1840652323235</v>
      </c>
      <c r="AH66" s="100">
        <v>3.2646439198549895</v>
      </c>
      <c r="AI66" s="100">
        <v>3886.2321221953789</v>
      </c>
      <c r="AJ66" s="100">
        <v>5</v>
      </c>
      <c r="AK66" s="100">
        <v>5951.9999999999991</v>
      </c>
      <c r="AL66" s="100">
        <v>4.0833564990550029</v>
      </c>
      <c r="AM66" s="100">
        <v>4860.8275764750751</v>
      </c>
      <c r="AN66" s="100">
        <v>4.2189607208601717E-4</v>
      </c>
      <c r="AO66" s="100">
        <v>0.50222508421119483</v>
      </c>
      <c r="AP66" s="100">
        <v>6</v>
      </c>
      <c r="AQ66" s="100">
        <v>7142.4</v>
      </c>
      <c r="AR66" s="100">
        <v>6</v>
      </c>
      <c r="AS66" s="100">
        <v>7142.4</v>
      </c>
      <c r="AT66" s="100">
        <v>6</v>
      </c>
      <c r="AU66" s="100">
        <v>7142.4</v>
      </c>
      <c r="AV66" s="100">
        <v>4.9338068928672492</v>
      </c>
      <c r="AW66" s="100">
        <v>5873.2037252691725</v>
      </c>
      <c r="AX66" s="100">
        <v>4.7320797005183195</v>
      </c>
      <c r="AY66" s="100">
        <v>5633.0676754970073</v>
      </c>
      <c r="AZ66" s="100">
        <v>4.1327750860447585</v>
      </c>
      <c r="BA66" s="100">
        <v>4919.6554624276796</v>
      </c>
      <c r="BB66" s="100">
        <v>0.91995128649880265</v>
      </c>
      <c r="BC66" s="100">
        <v>1095.1100114481746</v>
      </c>
      <c r="BD66" s="100">
        <v>4</v>
      </c>
      <c r="BE66" s="100">
        <v>4761.5999999999995</v>
      </c>
      <c r="BF66" s="100">
        <v>5</v>
      </c>
      <c r="BG66" s="100">
        <v>5951.9999999999991</v>
      </c>
      <c r="BH66" s="100">
        <v>5.4400929871376036</v>
      </c>
      <c r="BI66" s="100">
        <v>6475.8866918886024</v>
      </c>
      <c r="BJ66" s="100">
        <v>1.0996189867803607</v>
      </c>
      <c r="BK66" s="100">
        <v>1308.9864418633413</v>
      </c>
      <c r="BL66" s="100">
        <v>4</v>
      </c>
      <c r="BM66" s="100">
        <v>4761.5999999999995</v>
      </c>
      <c r="BN66" s="100">
        <v>5</v>
      </c>
      <c r="BO66" s="100">
        <v>5951.9999999999991</v>
      </c>
      <c r="BP66" s="100">
        <v>3</v>
      </c>
      <c r="BQ66" s="100">
        <v>3571.2</v>
      </c>
      <c r="BR66" s="100">
        <v>6.1876239480316038</v>
      </c>
      <c r="BS66" s="100">
        <v>7365.7475477368207</v>
      </c>
      <c r="BT66" s="100">
        <v>0.60802907364551839</v>
      </c>
      <c r="BU66" s="100">
        <v>723.79780926762498</v>
      </c>
      <c r="BV66" s="100">
        <v>3.2437352318473351</v>
      </c>
      <c r="BW66" s="100">
        <v>3861.3424199910673</v>
      </c>
      <c r="BX66" s="100">
        <v>4</v>
      </c>
      <c r="BY66" s="100">
        <v>4761.5999999999995</v>
      </c>
      <c r="BZ66" s="100">
        <v>3</v>
      </c>
      <c r="CA66" s="100">
        <v>3571.2</v>
      </c>
      <c r="CB66" s="100">
        <v>4.4615125991652267</v>
      </c>
      <c r="CC66" s="100">
        <v>5310.9845980462851</v>
      </c>
      <c r="CD66" s="100">
        <v>3.6403266491268234</v>
      </c>
      <c r="CE66" s="100">
        <v>4333.4448431205701</v>
      </c>
      <c r="CF66" s="100">
        <v>2.5281435124234898E-4</v>
      </c>
      <c r="CG66" s="100">
        <v>0.3009502037188922</v>
      </c>
      <c r="CH66" s="100">
        <v>6</v>
      </c>
      <c r="CI66" s="100">
        <v>7142.4</v>
      </c>
      <c r="CJ66" s="100">
        <v>6</v>
      </c>
      <c r="CK66" s="100">
        <v>7142.4</v>
      </c>
      <c r="CL66" s="100">
        <v>4</v>
      </c>
      <c r="CM66" s="100">
        <v>4761.5999999999995</v>
      </c>
      <c r="CN66" s="100">
        <v>4</v>
      </c>
      <c r="CO66" s="100">
        <v>4761.5999999999995</v>
      </c>
      <c r="CP66" s="100">
        <v>6</v>
      </c>
      <c r="CQ66" s="100">
        <v>7142.4</v>
      </c>
      <c r="CR66" s="100">
        <v>6</v>
      </c>
      <c r="CS66" s="100">
        <v>7142.4</v>
      </c>
      <c r="CT66" s="100">
        <v>3.6927432455886082</v>
      </c>
      <c r="CU66" s="100">
        <v>4395.8415595486786</v>
      </c>
    </row>
    <row r="67" spans="2:99">
      <c r="C67" s="99" t="s">
        <v>233</v>
      </c>
      <c r="D67" s="100">
        <v>3.1121867113721184</v>
      </c>
      <c r="E67" s="100">
        <v>3495.6081142131634</v>
      </c>
      <c r="F67" s="100">
        <v>4.00133534986026</v>
      </c>
      <c r="G67" s="100">
        <v>4494.2998649630445</v>
      </c>
      <c r="H67" s="100">
        <v>4</v>
      </c>
      <c r="I67" s="100">
        <v>4492.8</v>
      </c>
      <c r="J67" s="100">
        <v>5</v>
      </c>
      <c r="K67" s="100">
        <v>5616</v>
      </c>
      <c r="L67" s="100">
        <v>6</v>
      </c>
      <c r="M67" s="100">
        <v>6739.2000000000007</v>
      </c>
      <c r="N67" s="100">
        <v>5.4999203322490287</v>
      </c>
      <c r="O67" s="100">
        <v>6177.5105171821097</v>
      </c>
      <c r="P67" s="100">
        <v>3.9465000082752404</v>
      </c>
      <c r="Q67" s="100">
        <v>4432.7088092947506</v>
      </c>
      <c r="R67" s="100">
        <v>3.2398372473141639</v>
      </c>
      <c r="S67" s="100">
        <v>3638.9851961832692</v>
      </c>
      <c r="T67" s="100">
        <v>3.7365958207814725</v>
      </c>
      <c r="U67" s="100">
        <v>4196.94442590175</v>
      </c>
      <c r="V67" s="100">
        <v>6</v>
      </c>
      <c r="W67" s="100">
        <v>6739.2000000000007</v>
      </c>
      <c r="X67" s="100">
        <v>6.3566984416308463</v>
      </c>
      <c r="Y67" s="100">
        <v>7139.843689639767</v>
      </c>
      <c r="Z67" s="100">
        <v>1.3693809394777938</v>
      </c>
      <c r="AA67" s="100">
        <v>1538.0886712214581</v>
      </c>
      <c r="AB67" s="100">
        <v>4</v>
      </c>
      <c r="AC67" s="100">
        <v>4492.8</v>
      </c>
      <c r="AD67" s="100">
        <v>3.5872397672152174</v>
      </c>
      <c r="AE67" s="100">
        <v>4029.1877065361323</v>
      </c>
      <c r="AF67" s="100">
        <v>5.0767100369925364</v>
      </c>
      <c r="AG67" s="100">
        <v>5702.1607135500171</v>
      </c>
      <c r="AH67" s="100">
        <v>3.2646439198549895</v>
      </c>
      <c r="AI67" s="100">
        <v>3666.8480507811241</v>
      </c>
      <c r="AJ67" s="100">
        <v>5</v>
      </c>
      <c r="AK67" s="100">
        <v>5616</v>
      </c>
      <c r="AL67" s="100">
        <v>4.0690411245321387</v>
      </c>
      <c r="AM67" s="100">
        <v>4570.346991074498</v>
      </c>
      <c r="AN67" s="100">
        <v>4.2189607208601717E-4</v>
      </c>
      <c r="AO67" s="100">
        <v>0.47387366816701448</v>
      </c>
      <c r="AP67" s="100">
        <v>6</v>
      </c>
      <c r="AQ67" s="100">
        <v>6739.2000000000007</v>
      </c>
      <c r="AR67" s="100">
        <v>6</v>
      </c>
      <c r="AS67" s="100">
        <v>6739.2000000000007</v>
      </c>
      <c r="AT67" s="100">
        <v>6</v>
      </c>
      <c r="AU67" s="100">
        <v>6739.2000000000007</v>
      </c>
      <c r="AV67" s="100">
        <v>4.9338068928672492</v>
      </c>
      <c r="AW67" s="100">
        <v>5541.6519020684946</v>
      </c>
      <c r="AX67" s="100">
        <v>4.057965415824742</v>
      </c>
      <c r="AY67" s="100">
        <v>4557.9067550543505</v>
      </c>
      <c r="AZ67" s="100">
        <v>3.4730424868516829</v>
      </c>
      <c r="BA67" s="100">
        <v>3900.9213212318105</v>
      </c>
      <c r="BB67" s="100">
        <v>0.91995128649880265</v>
      </c>
      <c r="BC67" s="100">
        <v>1033.2892849954551</v>
      </c>
      <c r="BD67" s="100">
        <v>4</v>
      </c>
      <c r="BE67" s="100">
        <v>4492.8</v>
      </c>
      <c r="BF67" s="100">
        <v>5</v>
      </c>
      <c r="BG67" s="100">
        <v>5616</v>
      </c>
      <c r="BH67" s="100">
        <v>5.3911937663445357</v>
      </c>
      <c r="BI67" s="100">
        <v>6055.3888383581825</v>
      </c>
      <c r="BJ67" s="100">
        <v>1.0996189867803607</v>
      </c>
      <c r="BK67" s="100">
        <v>1235.0920459517013</v>
      </c>
      <c r="BL67" s="100">
        <v>4</v>
      </c>
      <c r="BM67" s="100">
        <v>4492.8</v>
      </c>
      <c r="BN67" s="100">
        <v>5</v>
      </c>
      <c r="BO67" s="100">
        <v>5616</v>
      </c>
      <c r="BP67" s="100">
        <v>4</v>
      </c>
      <c r="BQ67" s="100">
        <v>4492.8</v>
      </c>
      <c r="BR67" s="100">
        <v>6.1641709545276537</v>
      </c>
      <c r="BS67" s="100">
        <v>6923.5968161254614</v>
      </c>
      <c r="BT67" s="100">
        <v>0.60279140498168959</v>
      </c>
      <c r="BU67" s="100">
        <v>677.0553060754338</v>
      </c>
      <c r="BV67" s="100">
        <v>3.2437352318473351</v>
      </c>
      <c r="BW67" s="100">
        <v>3643.3634124109271</v>
      </c>
      <c r="BX67" s="100">
        <v>4</v>
      </c>
      <c r="BY67" s="100">
        <v>4492.8</v>
      </c>
      <c r="BZ67" s="100">
        <v>4</v>
      </c>
      <c r="CA67" s="100">
        <v>4492.8</v>
      </c>
      <c r="CB67" s="100">
        <v>4.4153613392487046</v>
      </c>
      <c r="CC67" s="100">
        <v>4959.333856244145</v>
      </c>
      <c r="CD67" s="100">
        <v>3.6403266491268234</v>
      </c>
      <c r="CE67" s="100">
        <v>4088.8148922992482</v>
      </c>
      <c r="CF67" s="100">
        <v>2.5281435124234898E-4</v>
      </c>
      <c r="CG67" s="100">
        <v>0.28396107931540637</v>
      </c>
      <c r="CH67" s="100">
        <v>6</v>
      </c>
      <c r="CI67" s="100">
        <v>6739.2000000000007</v>
      </c>
      <c r="CJ67" s="100">
        <v>6</v>
      </c>
      <c r="CK67" s="100">
        <v>6739.2000000000007</v>
      </c>
      <c r="CL67" s="100">
        <v>4</v>
      </c>
      <c r="CM67" s="100">
        <v>4492.8</v>
      </c>
      <c r="CN67" s="100">
        <v>4</v>
      </c>
      <c r="CO67" s="100">
        <v>4492.8</v>
      </c>
      <c r="CP67" s="100">
        <v>6</v>
      </c>
      <c r="CQ67" s="100">
        <v>6739.2000000000007</v>
      </c>
      <c r="CR67" s="100">
        <v>6</v>
      </c>
      <c r="CS67" s="100">
        <v>6739.2000000000007</v>
      </c>
      <c r="CT67" s="100">
        <v>3.9093236139414751</v>
      </c>
      <c r="CU67" s="100">
        <v>4390.9522831790646</v>
      </c>
    </row>
    <row r="68" spans="2:99">
      <c r="C68" s="99" t="s">
        <v>234</v>
      </c>
      <c r="D68" s="100">
        <v>3.1121867113721184</v>
      </c>
      <c r="E68" s="100">
        <v>3215.5113101896727</v>
      </c>
      <c r="F68" s="100">
        <v>4.00133534986026</v>
      </c>
      <c r="G68" s="100">
        <v>4134.1796834756205</v>
      </c>
      <c r="H68" s="100">
        <v>5</v>
      </c>
      <c r="I68" s="100">
        <v>5166</v>
      </c>
      <c r="J68" s="100">
        <v>5</v>
      </c>
      <c r="K68" s="100">
        <v>5166</v>
      </c>
      <c r="L68" s="100">
        <v>7</v>
      </c>
      <c r="M68" s="100">
        <v>7232.4000000000005</v>
      </c>
      <c r="N68" s="100">
        <v>5.4999203322490287</v>
      </c>
      <c r="O68" s="100">
        <v>5682.5176872796965</v>
      </c>
      <c r="P68" s="100">
        <v>3.9465000082752404</v>
      </c>
      <c r="Q68" s="100">
        <v>4077.5238085499786</v>
      </c>
      <c r="R68" s="100">
        <v>4.2398372473141634</v>
      </c>
      <c r="S68" s="100">
        <v>4380.5998439249943</v>
      </c>
      <c r="T68" s="100">
        <v>3.7365958207814725</v>
      </c>
      <c r="U68" s="100">
        <v>3860.6508020314177</v>
      </c>
      <c r="V68" s="100">
        <v>6</v>
      </c>
      <c r="W68" s="100">
        <v>6199.2000000000007</v>
      </c>
      <c r="X68" s="100">
        <v>6.3566984416308463</v>
      </c>
      <c r="Y68" s="100">
        <v>6567.7408298929904</v>
      </c>
      <c r="Z68" s="100">
        <v>1.3693809394777938</v>
      </c>
      <c r="AA68" s="100">
        <v>1414.8443866684565</v>
      </c>
      <c r="AB68" s="100">
        <v>4</v>
      </c>
      <c r="AC68" s="100">
        <v>4132.8</v>
      </c>
      <c r="AD68" s="100">
        <v>4.3046877206582606</v>
      </c>
      <c r="AE68" s="100">
        <v>4447.6033529841152</v>
      </c>
      <c r="AF68" s="100">
        <v>5.0690390332932829</v>
      </c>
      <c r="AG68" s="100">
        <v>5237.3311291986201</v>
      </c>
      <c r="AH68" s="100">
        <v>3.2646439198549895</v>
      </c>
      <c r="AI68" s="100">
        <v>3373.0300979941753</v>
      </c>
      <c r="AJ68" s="100">
        <v>5</v>
      </c>
      <c r="AK68" s="100">
        <v>5166</v>
      </c>
      <c r="AL68" s="100">
        <v>4.0690411245321387</v>
      </c>
      <c r="AM68" s="100">
        <v>4204.133289866606</v>
      </c>
      <c r="AN68" s="100">
        <v>4.2189607208601717E-4</v>
      </c>
      <c r="AO68" s="100">
        <v>0.43590302167927297</v>
      </c>
      <c r="AP68" s="100">
        <v>5</v>
      </c>
      <c r="AQ68" s="100">
        <v>5166</v>
      </c>
      <c r="AR68" s="100">
        <v>6</v>
      </c>
      <c r="AS68" s="100">
        <v>6199.2000000000007</v>
      </c>
      <c r="AT68" s="100">
        <v>5</v>
      </c>
      <c r="AU68" s="100">
        <v>5166</v>
      </c>
      <c r="AV68" s="100">
        <v>4.9338068928672492</v>
      </c>
      <c r="AW68" s="100">
        <v>5097.6092817104418</v>
      </c>
      <c r="AX68" s="100">
        <v>4.7320797005183195</v>
      </c>
      <c r="AY68" s="100">
        <v>4889.1847465755282</v>
      </c>
      <c r="AZ68" s="100">
        <v>3.4730424868516829</v>
      </c>
      <c r="BA68" s="100">
        <v>3588.3474974151591</v>
      </c>
      <c r="BB68" s="100">
        <v>0.91995128649880265</v>
      </c>
      <c r="BC68" s="100">
        <v>950.49366921056298</v>
      </c>
      <c r="BD68" s="100">
        <v>4</v>
      </c>
      <c r="BE68" s="100">
        <v>4132.8</v>
      </c>
      <c r="BF68" s="100">
        <v>5</v>
      </c>
      <c r="BG68" s="100">
        <v>5166</v>
      </c>
      <c r="BH68" s="100">
        <v>4.3911937663445357</v>
      </c>
      <c r="BI68" s="100">
        <v>4536.9813993871749</v>
      </c>
      <c r="BJ68" s="100">
        <v>1.0996189867803607</v>
      </c>
      <c r="BK68" s="100">
        <v>1136.1263371414689</v>
      </c>
      <c r="BL68" s="100">
        <v>4</v>
      </c>
      <c r="BM68" s="100">
        <v>4132.8</v>
      </c>
      <c r="BN68" s="100">
        <v>5</v>
      </c>
      <c r="BO68" s="100">
        <v>5166</v>
      </c>
      <c r="BP68" s="100">
        <v>3</v>
      </c>
      <c r="BQ68" s="100">
        <v>3099.6000000000004</v>
      </c>
      <c r="BR68" s="100">
        <v>6.1876239480316038</v>
      </c>
      <c r="BS68" s="100">
        <v>6393.0530631062529</v>
      </c>
      <c r="BT68" s="100">
        <v>0.60802907364551839</v>
      </c>
      <c r="BU68" s="100">
        <v>628.2156388905496</v>
      </c>
      <c r="BV68" s="100">
        <v>2.4328014238855014</v>
      </c>
      <c r="BW68" s="100">
        <v>2513.5704311585</v>
      </c>
      <c r="BX68" s="100">
        <v>3</v>
      </c>
      <c r="BY68" s="100">
        <v>3099.6000000000004</v>
      </c>
      <c r="BZ68" s="100">
        <v>4</v>
      </c>
      <c r="CA68" s="100">
        <v>4132.8</v>
      </c>
      <c r="CB68" s="100">
        <v>4.4615125991652267</v>
      </c>
      <c r="CC68" s="100">
        <v>4609.6348174575123</v>
      </c>
      <c r="CD68" s="100">
        <v>3.6403266491268234</v>
      </c>
      <c r="CE68" s="100">
        <v>3761.1854938778342</v>
      </c>
      <c r="CF68" s="100">
        <v>2.5281435124234898E-4</v>
      </c>
      <c r="CG68" s="100">
        <v>0.26120778770359498</v>
      </c>
      <c r="CH68" s="100">
        <v>6</v>
      </c>
      <c r="CI68" s="100">
        <v>6199.2000000000007</v>
      </c>
      <c r="CJ68" s="100">
        <v>6</v>
      </c>
      <c r="CK68" s="100">
        <v>6199.2000000000007</v>
      </c>
      <c r="CL68" s="100">
        <v>4</v>
      </c>
      <c r="CM68" s="100">
        <v>4132.8</v>
      </c>
      <c r="CN68" s="100">
        <v>5</v>
      </c>
      <c r="CO68" s="100">
        <v>5166</v>
      </c>
      <c r="CP68" s="100">
        <v>6</v>
      </c>
      <c r="CQ68" s="100">
        <v>6199.2000000000007</v>
      </c>
      <c r="CR68" s="100">
        <v>6</v>
      </c>
      <c r="CS68" s="100">
        <v>6199.2000000000007</v>
      </c>
      <c r="CT68" s="100">
        <v>3.6927432455886082</v>
      </c>
      <c r="CU68" s="100">
        <v>3815.3423213421502</v>
      </c>
    </row>
    <row r="69" spans="2:99">
      <c r="C69" s="99" t="s">
        <v>235</v>
      </c>
      <c r="D69" s="100">
        <v>3.1997329930917213</v>
      </c>
      <c r="E69" s="100">
        <v>2426.6775019607612</v>
      </c>
      <c r="F69" s="100">
        <v>4.00133534986026</v>
      </c>
      <c r="G69" s="100">
        <v>3034.612729334021</v>
      </c>
      <c r="H69" s="100">
        <v>5</v>
      </c>
      <c r="I69" s="100">
        <v>3792</v>
      </c>
      <c r="J69" s="100">
        <v>5</v>
      </c>
      <c r="K69" s="100">
        <v>3792</v>
      </c>
      <c r="L69" s="100">
        <v>7</v>
      </c>
      <c r="M69" s="100">
        <v>5308.8</v>
      </c>
      <c r="N69" s="100">
        <v>5.4499282990241262</v>
      </c>
      <c r="O69" s="100">
        <v>4133.2256219798974</v>
      </c>
      <c r="P69" s="100">
        <v>3.9465000082752404</v>
      </c>
      <c r="Q69" s="100">
        <v>2993.0256062759422</v>
      </c>
      <c r="R69" s="100">
        <v>4.2398372473141634</v>
      </c>
      <c r="S69" s="100">
        <v>3215.4925683630613</v>
      </c>
      <c r="T69" s="100">
        <v>3.7365958207814725</v>
      </c>
      <c r="U69" s="100">
        <v>2833.8342704806687</v>
      </c>
      <c r="V69" s="100">
        <v>7</v>
      </c>
      <c r="W69" s="100">
        <v>5308.8</v>
      </c>
      <c r="X69" s="100">
        <v>5.3121111364269904</v>
      </c>
      <c r="Y69" s="100">
        <v>4028.7050858662292</v>
      </c>
      <c r="Z69" s="100">
        <v>1.6432571273733527</v>
      </c>
      <c r="AA69" s="100">
        <v>1246.2462053999507</v>
      </c>
      <c r="AB69" s="100">
        <v>4</v>
      </c>
      <c r="AC69" s="100">
        <v>3033.6</v>
      </c>
      <c r="AD69" s="100">
        <v>3.5872397672152174</v>
      </c>
      <c r="AE69" s="100">
        <v>2720.5626394560209</v>
      </c>
      <c r="AF69" s="100">
        <v>5.0767100369925364</v>
      </c>
      <c r="AG69" s="100">
        <v>3850.1768920551394</v>
      </c>
      <c r="AH69" s="100">
        <v>3.2646439198549895</v>
      </c>
      <c r="AI69" s="100">
        <v>2475.9059488180237</v>
      </c>
      <c r="AJ69" s="100">
        <v>5</v>
      </c>
      <c r="AK69" s="100">
        <v>3792</v>
      </c>
      <c r="AL69" s="100">
        <v>4.0690411245321387</v>
      </c>
      <c r="AM69" s="100">
        <v>3085.9607888451737</v>
      </c>
      <c r="AN69" s="100">
        <v>4.2189607208601717E-4</v>
      </c>
      <c r="AO69" s="100">
        <v>0.31996598107003543</v>
      </c>
      <c r="AP69" s="100">
        <v>6</v>
      </c>
      <c r="AQ69" s="100">
        <v>4550.3999999999996</v>
      </c>
      <c r="AR69" s="100">
        <v>6</v>
      </c>
      <c r="AS69" s="100">
        <v>4550.3999999999996</v>
      </c>
      <c r="AT69" s="100">
        <v>6</v>
      </c>
      <c r="AU69" s="100">
        <v>4550.3999999999996</v>
      </c>
      <c r="AV69" s="100">
        <v>4.9338068928672492</v>
      </c>
      <c r="AW69" s="100">
        <v>3741.7991475505219</v>
      </c>
      <c r="AX69" s="100">
        <v>4.7320797005183195</v>
      </c>
      <c r="AY69" s="100">
        <v>3588.8092448730936</v>
      </c>
      <c r="AZ69" s="100">
        <v>4.1576864418856587</v>
      </c>
      <c r="BA69" s="100">
        <v>3153.1893975260837</v>
      </c>
      <c r="BB69" s="100">
        <v>0.91995128649880265</v>
      </c>
      <c r="BC69" s="100">
        <v>697.69105568069187</v>
      </c>
      <c r="BD69" s="100">
        <v>4</v>
      </c>
      <c r="BE69" s="100">
        <v>3033.6</v>
      </c>
      <c r="BF69" s="100">
        <v>5</v>
      </c>
      <c r="BG69" s="100">
        <v>3792</v>
      </c>
      <c r="BH69" s="100">
        <v>5.3911937663445357</v>
      </c>
      <c r="BI69" s="100">
        <v>4088.6813523956957</v>
      </c>
      <c r="BJ69" s="100">
        <v>1.0996189867803607</v>
      </c>
      <c r="BK69" s="100">
        <v>833.95103957422555</v>
      </c>
      <c r="BL69" s="100">
        <v>5</v>
      </c>
      <c r="BM69" s="100">
        <v>3792</v>
      </c>
      <c r="BN69" s="100">
        <v>5</v>
      </c>
      <c r="BO69" s="100">
        <v>3792</v>
      </c>
      <c r="BP69" s="100">
        <v>4</v>
      </c>
      <c r="BQ69" s="100">
        <v>3033.6</v>
      </c>
      <c r="BR69" s="100">
        <v>7.1641709545276537</v>
      </c>
      <c r="BS69" s="100">
        <v>5433.3072519137722</v>
      </c>
      <c r="BT69" s="100">
        <v>0.60279140498168959</v>
      </c>
      <c r="BU69" s="100">
        <v>457.15700153811338</v>
      </c>
      <c r="BV69" s="100">
        <v>3.2437352318473351</v>
      </c>
      <c r="BW69" s="100">
        <v>2460.0487998330191</v>
      </c>
      <c r="BX69" s="100">
        <v>4</v>
      </c>
      <c r="BY69" s="100">
        <v>3033.6</v>
      </c>
      <c r="BZ69" s="100">
        <v>4</v>
      </c>
      <c r="CA69" s="100">
        <v>3033.6</v>
      </c>
      <c r="CB69" s="100">
        <v>4.5076638590817497</v>
      </c>
      <c r="CC69" s="100">
        <v>3418.612270727599</v>
      </c>
      <c r="CD69" s="100">
        <v>3.6403266491268234</v>
      </c>
      <c r="CE69" s="100">
        <v>2760.8237306977826</v>
      </c>
      <c r="CF69" s="100">
        <v>3.1601793905293625E-4</v>
      </c>
      <c r="CG69" s="100">
        <v>0.23966800497774685</v>
      </c>
      <c r="CH69" s="100">
        <v>6</v>
      </c>
      <c r="CI69" s="100">
        <v>4550.3999999999996</v>
      </c>
      <c r="CJ69" s="100">
        <v>7</v>
      </c>
      <c r="CK69" s="100">
        <v>5308.8</v>
      </c>
      <c r="CL69" s="100">
        <v>4</v>
      </c>
      <c r="CM69" s="100">
        <v>3033.6</v>
      </c>
      <c r="CN69" s="100">
        <v>4</v>
      </c>
      <c r="CO69" s="100">
        <v>3033.6</v>
      </c>
      <c r="CP69" s="100">
        <v>6</v>
      </c>
      <c r="CQ69" s="100">
        <v>4550.3999999999996</v>
      </c>
      <c r="CR69" s="100">
        <v>6</v>
      </c>
      <c r="CS69" s="100">
        <v>4550.3999999999996</v>
      </c>
      <c r="CT69" s="100">
        <v>3.9093236139414751</v>
      </c>
      <c r="CU69" s="100">
        <v>2964.8310288132147</v>
      </c>
    </row>
    <row r="70" spans="2:99">
      <c r="C70" s="99" t="s">
        <v>236</v>
      </c>
      <c r="D70" s="100">
        <v>3.1900056284562095</v>
      </c>
      <c r="E70" s="100">
        <v>1707.2910123497632</v>
      </c>
      <c r="F70" s="100">
        <v>4.00133534986026</v>
      </c>
      <c r="G70" s="100">
        <v>2141.514679245211</v>
      </c>
      <c r="H70" s="100">
        <v>5</v>
      </c>
      <c r="I70" s="100">
        <v>2675.9999999999995</v>
      </c>
      <c r="J70" s="100">
        <v>5</v>
      </c>
      <c r="K70" s="100">
        <v>2675.9999999999995</v>
      </c>
      <c r="L70" s="100">
        <v>6</v>
      </c>
      <c r="M70" s="100">
        <v>3211.2</v>
      </c>
      <c r="N70" s="100">
        <v>5.4499282990241262</v>
      </c>
      <c r="O70" s="100">
        <v>2916.8016256377118</v>
      </c>
      <c r="P70" s="100">
        <v>4.6042500096544474</v>
      </c>
      <c r="Q70" s="100">
        <v>2464.1946051670598</v>
      </c>
      <c r="R70" s="100">
        <v>4.2055747834121409</v>
      </c>
      <c r="S70" s="100">
        <v>2250.8236240821775</v>
      </c>
      <c r="T70" s="100">
        <v>4.3593617909117173</v>
      </c>
      <c r="U70" s="100">
        <v>2333.1304304959508</v>
      </c>
      <c r="V70" s="100">
        <v>7</v>
      </c>
      <c r="W70" s="100">
        <v>3746.3999999999996</v>
      </c>
      <c r="X70" s="100">
        <v>5.3566984416308463</v>
      </c>
      <c r="Y70" s="100">
        <v>2866.9050059608285</v>
      </c>
      <c r="Z70" s="100">
        <v>1.6432571273733527</v>
      </c>
      <c r="AA70" s="100">
        <v>879.47121457021831</v>
      </c>
      <c r="AB70" s="100">
        <v>4</v>
      </c>
      <c r="AC70" s="100">
        <v>2140.7999999999997</v>
      </c>
      <c r="AD70" s="100">
        <v>4.3046877206582606</v>
      </c>
      <c r="AE70" s="100">
        <v>2303.868868096301</v>
      </c>
      <c r="AF70" s="100">
        <v>5</v>
      </c>
      <c r="AG70" s="100">
        <v>2675.9999999999995</v>
      </c>
      <c r="AH70" s="100">
        <v>3.9175727038259871</v>
      </c>
      <c r="AI70" s="100">
        <v>2096.6849110876678</v>
      </c>
      <c r="AJ70" s="100">
        <v>5</v>
      </c>
      <c r="AK70" s="100">
        <v>2675.9999999999995</v>
      </c>
      <c r="AL70" s="100">
        <v>4.8570816752974109</v>
      </c>
      <c r="AM70" s="100">
        <v>2599.5101126191739</v>
      </c>
      <c r="AN70" s="100">
        <v>5.062752865032206E-4</v>
      </c>
      <c r="AO70" s="100">
        <v>0.27095853333652364</v>
      </c>
      <c r="AP70" s="100">
        <v>6</v>
      </c>
      <c r="AQ70" s="100">
        <v>3211.2</v>
      </c>
      <c r="AR70" s="100">
        <v>7</v>
      </c>
      <c r="AS70" s="100">
        <v>3746.3999999999996</v>
      </c>
      <c r="AT70" s="100">
        <v>5</v>
      </c>
      <c r="AU70" s="100">
        <v>2675.9999999999995</v>
      </c>
      <c r="AV70" s="100">
        <v>4.9338068928672492</v>
      </c>
      <c r="AW70" s="100">
        <v>2640.5734490625514</v>
      </c>
      <c r="AX70" s="100">
        <v>4.057965415824742</v>
      </c>
      <c r="AY70" s="100">
        <v>2171.8230905494015</v>
      </c>
      <c r="AZ70" s="100">
        <v>4.1576864418856587</v>
      </c>
      <c r="BA70" s="100">
        <v>2225.1937836972043</v>
      </c>
      <c r="BB70" s="100">
        <v>0.91995128649880265</v>
      </c>
      <c r="BC70" s="100">
        <v>492.3579285341591</v>
      </c>
      <c r="BD70" s="100">
        <v>4</v>
      </c>
      <c r="BE70" s="100">
        <v>2140.7999999999997</v>
      </c>
      <c r="BF70" s="100">
        <v>5</v>
      </c>
      <c r="BG70" s="100">
        <v>2675.9999999999995</v>
      </c>
      <c r="BH70" s="100">
        <v>5.3911937663445357</v>
      </c>
      <c r="BI70" s="100">
        <v>2885.3669037475952</v>
      </c>
      <c r="BJ70" s="100">
        <v>1.374523733475451</v>
      </c>
      <c r="BK70" s="100">
        <v>735.64510215606128</v>
      </c>
      <c r="BL70" s="100">
        <v>5</v>
      </c>
      <c r="BM70" s="100">
        <v>2675.9999999999995</v>
      </c>
      <c r="BN70" s="100">
        <v>5</v>
      </c>
      <c r="BO70" s="100">
        <v>2675.9999999999995</v>
      </c>
      <c r="BP70" s="100">
        <v>3</v>
      </c>
      <c r="BQ70" s="100">
        <v>1605.6</v>
      </c>
      <c r="BR70" s="100">
        <v>7.2110769415355547</v>
      </c>
      <c r="BS70" s="100">
        <v>3859.3683791098283</v>
      </c>
      <c r="BT70" s="100">
        <v>0.60802907364551839</v>
      </c>
      <c r="BU70" s="100">
        <v>325.41716021508142</v>
      </c>
      <c r="BV70" s="100">
        <v>3.2437352318473351</v>
      </c>
      <c r="BW70" s="100">
        <v>1736.0470960846935</v>
      </c>
      <c r="BX70" s="100">
        <v>4</v>
      </c>
      <c r="BY70" s="100">
        <v>2140.7999999999997</v>
      </c>
      <c r="BZ70" s="100">
        <v>4</v>
      </c>
      <c r="CA70" s="100">
        <v>2140.7999999999997</v>
      </c>
      <c r="CB70" s="100">
        <v>4.5076638590817497</v>
      </c>
      <c r="CC70" s="100">
        <v>2412.5016973805523</v>
      </c>
      <c r="CD70" s="100">
        <v>4.3683919789521877</v>
      </c>
      <c r="CE70" s="100">
        <v>2337.9633871352107</v>
      </c>
      <c r="CF70" s="100">
        <v>3.1601793905293625E-4</v>
      </c>
      <c r="CG70" s="100">
        <v>0.16913280098113145</v>
      </c>
      <c r="CH70" s="100">
        <v>6</v>
      </c>
      <c r="CI70" s="100">
        <v>3211.2</v>
      </c>
      <c r="CJ70" s="100">
        <v>5</v>
      </c>
      <c r="CK70" s="100">
        <v>2675.9999999999995</v>
      </c>
      <c r="CL70" s="100">
        <v>4</v>
      </c>
      <c r="CM70" s="100">
        <v>2140.7999999999997</v>
      </c>
      <c r="CN70" s="100">
        <v>5</v>
      </c>
      <c r="CO70" s="100">
        <v>2675.9999999999995</v>
      </c>
      <c r="CP70" s="100">
        <v>6</v>
      </c>
      <c r="CQ70" s="100">
        <v>3211.2</v>
      </c>
      <c r="CR70" s="100">
        <v>7</v>
      </c>
      <c r="CS70" s="100">
        <v>3746.3999999999996</v>
      </c>
      <c r="CT70" s="100">
        <v>3.6927432455886082</v>
      </c>
      <c r="CU70" s="100">
        <v>1976.3561850390229</v>
      </c>
    </row>
    <row r="71" spans="2:99">
      <c r="B71" s="99" t="s">
        <v>130</v>
      </c>
      <c r="C71" s="99" t="s">
        <v>237</v>
      </c>
      <c r="D71" s="100">
        <v>6.1293526872001651</v>
      </c>
      <c r="E71" s="100">
        <v>3456.9549155808932</v>
      </c>
      <c r="F71" s="100">
        <v>1.2710561059575352</v>
      </c>
      <c r="G71" s="100">
        <v>716.8756437600498</v>
      </c>
      <c r="H71" s="100">
        <v>4.8381536311235323</v>
      </c>
      <c r="I71" s="100">
        <v>2728.7186479536722</v>
      </c>
      <c r="J71" s="100">
        <v>4.5645688979646319</v>
      </c>
      <c r="K71" s="100">
        <v>2574.4168584520526</v>
      </c>
      <c r="L71" s="100">
        <v>0.36157688733919691</v>
      </c>
      <c r="M71" s="100">
        <v>203.92936445930707</v>
      </c>
      <c r="N71" s="100">
        <v>5</v>
      </c>
      <c r="O71" s="100">
        <v>2820</v>
      </c>
      <c r="P71" s="100">
        <v>3</v>
      </c>
      <c r="Q71" s="100">
        <v>1692</v>
      </c>
      <c r="R71" s="100">
        <v>3</v>
      </c>
      <c r="S71" s="100">
        <v>1692</v>
      </c>
      <c r="T71" s="100">
        <v>5</v>
      </c>
      <c r="U71" s="100">
        <v>2820</v>
      </c>
      <c r="V71" s="100">
        <v>4</v>
      </c>
      <c r="W71" s="100">
        <v>2256</v>
      </c>
      <c r="X71" s="100">
        <v>5</v>
      </c>
      <c r="Y71" s="100">
        <v>2820</v>
      </c>
      <c r="Z71" s="100">
        <v>4</v>
      </c>
      <c r="AA71" s="100">
        <v>2256</v>
      </c>
      <c r="AB71" s="100">
        <v>5</v>
      </c>
      <c r="AC71" s="100">
        <v>2820</v>
      </c>
      <c r="AD71" s="100">
        <v>6</v>
      </c>
      <c r="AE71" s="100">
        <v>3384</v>
      </c>
      <c r="AF71" s="100">
        <v>4</v>
      </c>
      <c r="AG71" s="100">
        <v>2256</v>
      </c>
      <c r="AH71" s="100">
        <v>3</v>
      </c>
      <c r="AI71" s="100">
        <v>1692</v>
      </c>
      <c r="AJ71" s="100">
        <v>3</v>
      </c>
      <c r="AK71" s="100">
        <v>1692</v>
      </c>
      <c r="AL71" s="100">
        <v>5</v>
      </c>
      <c r="AM71" s="100">
        <v>2820</v>
      </c>
      <c r="AN71" s="100">
        <v>3</v>
      </c>
      <c r="AO71" s="100">
        <v>1692</v>
      </c>
      <c r="AP71" s="100">
        <v>5</v>
      </c>
      <c r="AQ71" s="100">
        <v>2820</v>
      </c>
      <c r="AR71" s="100">
        <v>5</v>
      </c>
      <c r="AS71" s="100">
        <v>2820</v>
      </c>
      <c r="AT71" s="100">
        <v>4</v>
      </c>
      <c r="AU71" s="100">
        <v>2256</v>
      </c>
      <c r="AV71" s="100">
        <v>5</v>
      </c>
      <c r="AW71" s="100">
        <v>2820</v>
      </c>
      <c r="AX71" s="100">
        <v>3</v>
      </c>
      <c r="AY71" s="100">
        <v>1692</v>
      </c>
      <c r="AZ71" s="100">
        <v>3</v>
      </c>
      <c r="BA71" s="100">
        <v>1692</v>
      </c>
      <c r="BB71" s="100">
        <v>5</v>
      </c>
      <c r="BC71" s="100">
        <v>2820</v>
      </c>
      <c r="BD71" s="100">
        <v>5</v>
      </c>
      <c r="BE71" s="100">
        <v>2820</v>
      </c>
      <c r="BF71" s="100">
        <v>5.2387713253410437</v>
      </c>
      <c r="BG71" s="100">
        <v>2954.6670274923486</v>
      </c>
      <c r="BH71" s="100">
        <v>6</v>
      </c>
      <c r="BI71" s="100">
        <v>3384</v>
      </c>
      <c r="BJ71" s="100">
        <v>3</v>
      </c>
      <c r="BK71" s="100">
        <v>1692</v>
      </c>
      <c r="BL71" s="100">
        <v>3</v>
      </c>
      <c r="BM71" s="100">
        <v>1692</v>
      </c>
      <c r="BN71" s="100">
        <v>4.5964456153265489</v>
      </c>
      <c r="BO71" s="100">
        <v>2592.3953270441734</v>
      </c>
      <c r="BP71" s="100">
        <v>4</v>
      </c>
      <c r="BQ71" s="100">
        <v>2256</v>
      </c>
      <c r="BR71" s="100">
        <v>4</v>
      </c>
      <c r="BS71" s="100">
        <v>2256</v>
      </c>
      <c r="BT71" s="100">
        <v>5</v>
      </c>
      <c r="BU71" s="100">
        <v>2820</v>
      </c>
      <c r="BV71" s="100">
        <v>6</v>
      </c>
      <c r="BW71" s="100">
        <v>3384</v>
      </c>
      <c r="BX71" s="100">
        <v>5</v>
      </c>
      <c r="BY71" s="100">
        <v>2820</v>
      </c>
      <c r="BZ71" s="100">
        <v>6</v>
      </c>
      <c r="CA71" s="100">
        <v>3384</v>
      </c>
      <c r="CB71" s="100">
        <v>4</v>
      </c>
      <c r="CC71" s="100">
        <v>2256</v>
      </c>
      <c r="CD71" s="100">
        <v>4</v>
      </c>
      <c r="CE71" s="100">
        <v>2256</v>
      </c>
      <c r="CF71" s="100">
        <v>5</v>
      </c>
      <c r="CG71" s="100">
        <v>2820</v>
      </c>
      <c r="CH71" s="100">
        <v>4</v>
      </c>
      <c r="CI71" s="100">
        <v>2256</v>
      </c>
      <c r="CJ71" s="100">
        <v>5</v>
      </c>
      <c r="CK71" s="100">
        <v>2820</v>
      </c>
      <c r="CL71" s="100">
        <v>3</v>
      </c>
      <c r="CM71" s="100">
        <v>1692</v>
      </c>
      <c r="CN71" s="100">
        <v>6</v>
      </c>
      <c r="CO71" s="100">
        <v>3384</v>
      </c>
      <c r="CP71" s="100">
        <v>5</v>
      </c>
      <c r="CQ71" s="100">
        <v>2820</v>
      </c>
      <c r="CR71" s="100">
        <v>6</v>
      </c>
      <c r="CS71" s="100">
        <v>3384</v>
      </c>
      <c r="CT71" s="100">
        <v>4</v>
      </c>
      <c r="CU71" s="100">
        <v>2256</v>
      </c>
    </row>
    <row r="72" spans="2:99">
      <c r="C72" s="99" t="s">
        <v>238</v>
      </c>
      <c r="D72" s="100">
        <v>6.1293526872001651</v>
      </c>
      <c r="E72" s="100">
        <v>456.02383992769222</v>
      </c>
      <c r="F72" s="100">
        <v>1.5252673271490422</v>
      </c>
      <c r="G72" s="100">
        <v>113.47988913988873</v>
      </c>
      <c r="H72" s="100">
        <v>4.8381536311235323</v>
      </c>
      <c r="I72" s="100">
        <v>359.95863015559075</v>
      </c>
      <c r="J72" s="100">
        <v>4.6157934182728377</v>
      </c>
      <c r="K72" s="100">
        <v>343.41503031949907</v>
      </c>
      <c r="L72" s="100">
        <v>0.36157688733919691</v>
      </c>
      <c r="M72" s="100">
        <v>26.901320418036246</v>
      </c>
      <c r="N72" s="100">
        <v>6</v>
      </c>
      <c r="O72" s="100">
        <v>446.4</v>
      </c>
      <c r="P72" s="100">
        <v>3</v>
      </c>
      <c r="Q72" s="100">
        <v>223.2</v>
      </c>
      <c r="R72" s="100">
        <v>4</v>
      </c>
      <c r="S72" s="100">
        <v>297.59999999999997</v>
      </c>
      <c r="T72" s="100">
        <v>4</v>
      </c>
      <c r="U72" s="100">
        <v>297.59999999999997</v>
      </c>
      <c r="V72" s="100">
        <v>5</v>
      </c>
      <c r="W72" s="100">
        <v>371.99999999999994</v>
      </c>
      <c r="X72" s="100">
        <v>6</v>
      </c>
      <c r="Y72" s="100">
        <v>446.4</v>
      </c>
      <c r="Z72" s="100">
        <v>4</v>
      </c>
      <c r="AA72" s="100">
        <v>297.59999999999997</v>
      </c>
      <c r="AB72" s="100">
        <v>5</v>
      </c>
      <c r="AC72" s="100">
        <v>371.99999999999994</v>
      </c>
      <c r="AD72" s="100">
        <v>6</v>
      </c>
      <c r="AE72" s="100">
        <v>446.4</v>
      </c>
      <c r="AF72" s="100">
        <v>4</v>
      </c>
      <c r="AG72" s="100">
        <v>297.59999999999997</v>
      </c>
      <c r="AH72" s="100">
        <v>3</v>
      </c>
      <c r="AI72" s="100">
        <v>223.2</v>
      </c>
      <c r="AJ72" s="100">
        <v>3</v>
      </c>
      <c r="AK72" s="100">
        <v>223.2</v>
      </c>
      <c r="AL72" s="100">
        <v>5</v>
      </c>
      <c r="AM72" s="100">
        <v>371.99999999999994</v>
      </c>
      <c r="AN72" s="100">
        <v>4</v>
      </c>
      <c r="AO72" s="100">
        <v>297.59999999999997</v>
      </c>
      <c r="AP72" s="100">
        <v>4</v>
      </c>
      <c r="AQ72" s="100">
        <v>297.59999999999997</v>
      </c>
      <c r="AR72" s="100">
        <v>6</v>
      </c>
      <c r="AS72" s="100">
        <v>446.4</v>
      </c>
      <c r="AT72" s="100">
        <v>4</v>
      </c>
      <c r="AU72" s="100">
        <v>297.59999999999997</v>
      </c>
      <c r="AV72" s="100">
        <v>6</v>
      </c>
      <c r="AW72" s="100">
        <v>446.4</v>
      </c>
      <c r="AX72" s="100">
        <v>4</v>
      </c>
      <c r="AY72" s="100">
        <v>297.59999999999997</v>
      </c>
      <c r="AZ72" s="100">
        <v>3</v>
      </c>
      <c r="BA72" s="100">
        <v>223.2</v>
      </c>
      <c r="BB72" s="100">
        <v>6</v>
      </c>
      <c r="BC72" s="100">
        <v>446.4</v>
      </c>
      <c r="BD72" s="100">
        <v>5</v>
      </c>
      <c r="BE72" s="100">
        <v>371.99999999999994</v>
      </c>
      <c r="BF72" s="100">
        <v>6.2387713253410437</v>
      </c>
      <c r="BG72" s="100">
        <v>464.16458660537359</v>
      </c>
      <c r="BH72" s="100">
        <v>6</v>
      </c>
      <c r="BI72" s="100">
        <v>446.4</v>
      </c>
      <c r="BJ72" s="100">
        <v>4</v>
      </c>
      <c r="BK72" s="100">
        <v>297.59999999999997</v>
      </c>
      <c r="BL72" s="100">
        <v>4</v>
      </c>
      <c r="BM72" s="100">
        <v>297.59999999999997</v>
      </c>
      <c r="BN72" s="100">
        <v>4.5964456153265489</v>
      </c>
      <c r="BO72" s="100">
        <v>341.97555378029523</v>
      </c>
      <c r="BP72" s="100">
        <v>5</v>
      </c>
      <c r="BQ72" s="100">
        <v>371.99999999999994</v>
      </c>
      <c r="BR72" s="100">
        <v>4</v>
      </c>
      <c r="BS72" s="100">
        <v>297.59999999999997</v>
      </c>
      <c r="BT72" s="100">
        <v>4</v>
      </c>
      <c r="BU72" s="100">
        <v>297.59999999999997</v>
      </c>
      <c r="BV72" s="100">
        <v>6</v>
      </c>
      <c r="BW72" s="100">
        <v>446.4</v>
      </c>
      <c r="BX72" s="100">
        <v>6</v>
      </c>
      <c r="BY72" s="100">
        <v>446.4</v>
      </c>
      <c r="BZ72" s="100">
        <v>7</v>
      </c>
      <c r="CA72" s="100">
        <v>520.79999999999995</v>
      </c>
      <c r="CB72" s="100">
        <v>5</v>
      </c>
      <c r="CC72" s="100">
        <v>371.99999999999994</v>
      </c>
      <c r="CD72" s="100">
        <v>4</v>
      </c>
      <c r="CE72" s="100">
        <v>297.59999999999997</v>
      </c>
      <c r="CF72" s="100">
        <v>5</v>
      </c>
      <c r="CG72" s="100">
        <v>371.99999999999994</v>
      </c>
      <c r="CH72" s="100">
        <v>4</v>
      </c>
      <c r="CI72" s="100">
        <v>297.59999999999997</v>
      </c>
      <c r="CJ72" s="100">
        <v>6</v>
      </c>
      <c r="CK72" s="100">
        <v>446.4</v>
      </c>
      <c r="CL72" s="100">
        <v>4</v>
      </c>
      <c r="CM72" s="100">
        <v>297.59999999999997</v>
      </c>
      <c r="CN72" s="100">
        <v>6</v>
      </c>
      <c r="CO72" s="100">
        <v>446.4</v>
      </c>
      <c r="CP72" s="100">
        <v>6</v>
      </c>
      <c r="CQ72" s="100">
        <v>446.4</v>
      </c>
      <c r="CR72" s="100">
        <v>7</v>
      </c>
      <c r="CS72" s="100">
        <v>520.79999999999995</v>
      </c>
      <c r="CT72" s="100">
        <v>4</v>
      </c>
      <c r="CU72" s="100">
        <v>297.59999999999997</v>
      </c>
    </row>
    <row r="73" spans="2:99">
      <c r="C73" s="99" t="s">
        <v>239</v>
      </c>
      <c r="D73" s="100">
        <v>6.1752692466878036</v>
      </c>
      <c r="E73" s="100">
        <v>3453.2105627478195</v>
      </c>
      <c r="F73" s="100">
        <v>1.2710561059575352</v>
      </c>
      <c r="G73" s="100">
        <v>710.77457445145353</v>
      </c>
      <c r="H73" s="100">
        <v>4.0317946926029435</v>
      </c>
      <c r="I73" s="100">
        <v>2254.5795921035656</v>
      </c>
      <c r="J73" s="100">
        <v>4.5645688979646319</v>
      </c>
      <c r="K73" s="100">
        <v>2552.506927741822</v>
      </c>
      <c r="L73" s="100">
        <v>0.36157688733919691</v>
      </c>
      <c r="M73" s="100">
        <v>202.1937954000789</v>
      </c>
      <c r="N73" s="100">
        <v>5</v>
      </c>
      <c r="O73" s="100">
        <v>2795.9999999999995</v>
      </c>
      <c r="P73" s="100">
        <v>3</v>
      </c>
      <c r="Q73" s="100">
        <v>1677.6</v>
      </c>
      <c r="R73" s="100">
        <v>3</v>
      </c>
      <c r="S73" s="100">
        <v>1677.6</v>
      </c>
      <c r="T73" s="100">
        <v>5</v>
      </c>
      <c r="U73" s="100">
        <v>2795.9999999999995</v>
      </c>
      <c r="V73" s="100">
        <v>4</v>
      </c>
      <c r="W73" s="100">
        <v>2236.7999999999997</v>
      </c>
      <c r="X73" s="100">
        <v>6</v>
      </c>
      <c r="Y73" s="100">
        <v>3355.2</v>
      </c>
      <c r="Z73" s="100">
        <v>4</v>
      </c>
      <c r="AA73" s="100">
        <v>2236.7999999999997</v>
      </c>
      <c r="AB73" s="100">
        <v>4</v>
      </c>
      <c r="AC73" s="100">
        <v>2236.7999999999997</v>
      </c>
      <c r="AD73" s="100">
        <v>6</v>
      </c>
      <c r="AE73" s="100">
        <v>3355.2</v>
      </c>
      <c r="AF73" s="100">
        <v>4</v>
      </c>
      <c r="AG73" s="100">
        <v>2236.7999999999997</v>
      </c>
      <c r="AH73" s="100">
        <v>3</v>
      </c>
      <c r="AI73" s="100">
        <v>1677.6</v>
      </c>
      <c r="AJ73" s="100">
        <v>3</v>
      </c>
      <c r="AK73" s="100">
        <v>1677.6</v>
      </c>
      <c r="AL73" s="100">
        <v>6</v>
      </c>
      <c r="AM73" s="100">
        <v>3355.2</v>
      </c>
      <c r="AN73" s="100">
        <v>4</v>
      </c>
      <c r="AO73" s="100">
        <v>2236.7999999999997</v>
      </c>
      <c r="AP73" s="100">
        <v>5</v>
      </c>
      <c r="AQ73" s="100">
        <v>2795.9999999999995</v>
      </c>
      <c r="AR73" s="100">
        <v>6</v>
      </c>
      <c r="AS73" s="100">
        <v>3355.2</v>
      </c>
      <c r="AT73" s="100">
        <v>4</v>
      </c>
      <c r="AU73" s="100">
        <v>2236.7999999999997</v>
      </c>
      <c r="AV73" s="100">
        <v>6</v>
      </c>
      <c r="AW73" s="100">
        <v>3355.2</v>
      </c>
      <c r="AX73" s="100">
        <v>4</v>
      </c>
      <c r="AY73" s="100">
        <v>2236.7999999999997</v>
      </c>
      <c r="AZ73" s="100">
        <v>3</v>
      </c>
      <c r="BA73" s="100">
        <v>1677.6</v>
      </c>
      <c r="BB73" s="100">
        <v>6</v>
      </c>
      <c r="BC73" s="100">
        <v>3355.2</v>
      </c>
      <c r="BD73" s="100">
        <v>6</v>
      </c>
      <c r="BE73" s="100">
        <v>3355.2</v>
      </c>
      <c r="BF73" s="100">
        <v>5.2170648412191305</v>
      </c>
      <c r="BG73" s="100">
        <v>2917.3826592097375</v>
      </c>
      <c r="BH73" s="100">
        <v>6</v>
      </c>
      <c r="BI73" s="100">
        <v>3355.2</v>
      </c>
      <c r="BJ73" s="100">
        <v>4</v>
      </c>
      <c r="BK73" s="100">
        <v>2236.7999999999997</v>
      </c>
      <c r="BL73" s="100">
        <v>3</v>
      </c>
      <c r="BM73" s="100">
        <v>1677.6</v>
      </c>
      <c r="BN73" s="100">
        <v>4.6958532178809733</v>
      </c>
      <c r="BO73" s="100">
        <v>2625.92111943904</v>
      </c>
      <c r="BP73" s="100">
        <v>5</v>
      </c>
      <c r="BQ73" s="100">
        <v>2795.9999999999995</v>
      </c>
      <c r="BR73" s="100">
        <v>4</v>
      </c>
      <c r="BS73" s="100">
        <v>2236.7999999999997</v>
      </c>
      <c r="BT73" s="100">
        <v>4</v>
      </c>
      <c r="BU73" s="100">
        <v>2236.7999999999997</v>
      </c>
      <c r="BV73" s="100">
        <v>5</v>
      </c>
      <c r="BW73" s="100">
        <v>2795.9999999999995</v>
      </c>
      <c r="BX73" s="100">
        <v>5</v>
      </c>
      <c r="BY73" s="100">
        <v>2795.9999999999995</v>
      </c>
      <c r="BZ73" s="100">
        <v>6</v>
      </c>
      <c r="CA73" s="100">
        <v>3355.2</v>
      </c>
      <c r="CB73" s="100">
        <v>5</v>
      </c>
      <c r="CC73" s="100">
        <v>2795.9999999999995</v>
      </c>
      <c r="CD73" s="100">
        <v>5</v>
      </c>
      <c r="CE73" s="100">
        <v>2795.9999999999995</v>
      </c>
      <c r="CF73" s="100">
        <v>5</v>
      </c>
      <c r="CG73" s="100">
        <v>2795.9999999999995</v>
      </c>
      <c r="CH73" s="100">
        <v>4</v>
      </c>
      <c r="CI73" s="100">
        <v>2236.7999999999997</v>
      </c>
      <c r="CJ73" s="100">
        <v>5</v>
      </c>
      <c r="CK73" s="100">
        <v>2795.9999999999995</v>
      </c>
      <c r="CL73" s="100">
        <v>4</v>
      </c>
      <c r="CM73" s="100">
        <v>2236.7999999999997</v>
      </c>
      <c r="CN73" s="100">
        <v>6</v>
      </c>
      <c r="CO73" s="100">
        <v>3355.2</v>
      </c>
      <c r="CP73" s="100">
        <v>6</v>
      </c>
      <c r="CQ73" s="100">
        <v>3355.2</v>
      </c>
      <c r="CR73" s="100">
        <v>6</v>
      </c>
      <c r="CS73" s="100">
        <v>3355.2</v>
      </c>
      <c r="CT73" s="100">
        <v>4</v>
      </c>
      <c r="CU73" s="100">
        <v>2236.7999999999997</v>
      </c>
    </row>
    <row r="74" spans="2:99">
      <c r="C74" s="99" t="s">
        <v>240</v>
      </c>
      <c r="D74" s="100">
        <v>5.1843215051462002</v>
      </c>
      <c r="E74" s="100">
        <v>2090.3184308749478</v>
      </c>
      <c r="F74" s="100">
        <v>1.5252673271490422</v>
      </c>
      <c r="G74" s="100">
        <v>614.98778630649383</v>
      </c>
      <c r="H74" s="100">
        <v>4.8381536311235323</v>
      </c>
      <c r="I74" s="100">
        <v>1950.7435440690081</v>
      </c>
      <c r="J74" s="100">
        <v>4.5645688979646319</v>
      </c>
      <c r="K74" s="100">
        <v>1840.4341796593396</v>
      </c>
      <c r="L74" s="100">
        <v>0.36157688733919691</v>
      </c>
      <c r="M74" s="100">
        <v>145.7878009751642</v>
      </c>
      <c r="N74" s="100">
        <v>5</v>
      </c>
      <c r="O74" s="100">
        <v>2016</v>
      </c>
      <c r="P74" s="100">
        <v>3</v>
      </c>
      <c r="Q74" s="100">
        <v>1209.5999999999999</v>
      </c>
      <c r="R74" s="100">
        <v>3</v>
      </c>
      <c r="S74" s="100">
        <v>1209.5999999999999</v>
      </c>
      <c r="T74" s="100">
        <v>4</v>
      </c>
      <c r="U74" s="100">
        <v>1612.8</v>
      </c>
      <c r="V74" s="100">
        <v>5</v>
      </c>
      <c r="W74" s="100">
        <v>2016</v>
      </c>
      <c r="X74" s="100">
        <v>6</v>
      </c>
      <c r="Y74" s="100">
        <v>2419.1999999999998</v>
      </c>
      <c r="Z74" s="100">
        <v>4</v>
      </c>
      <c r="AA74" s="100">
        <v>1612.8</v>
      </c>
      <c r="AB74" s="100">
        <v>4</v>
      </c>
      <c r="AC74" s="100">
        <v>1612.8</v>
      </c>
      <c r="AD74" s="100">
        <v>6</v>
      </c>
      <c r="AE74" s="100">
        <v>2419.1999999999998</v>
      </c>
      <c r="AF74" s="100">
        <v>4</v>
      </c>
      <c r="AG74" s="100">
        <v>1612.8</v>
      </c>
      <c r="AH74" s="100">
        <v>3</v>
      </c>
      <c r="AI74" s="100">
        <v>1209.5999999999999</v>
      </c>
      <c r="AJ74" s="100">
        <v>3</v>
      </c>
      <c r="AK74" s="100">
        <v>1209.5999999999999</v>
      </c>
      <c r="AL74" s="100">
        <v>6</v>
      </c>
      <c r="AM74" s="100">
        <v>2419.1999999999998</v>
      </c>
      <c r="AN74" s="100">
        <v>3</v>
      </c>
      <c r="AO74" s="100">
        <v>1209.5999999999999</v>
      </c>
      <c r="AP74" s="100">
        <v>5</v>
      </c>
      <c r="AQ74" s="100">
        <v>2016</v>
      </c>
      <c r="AR74" s="100">
        <v>6</v>
      </c>
      <c r="AS74" s="100">
        <v>2419.1999999999998</v>
      </c>
      <c r="AT74" s="100">
        <v>4</v>
      </c>
      <c r="AU74" s="100">
        <v>1612.8</v>
      </c>
      <c r="AV74" s="100">
        <v>5</v>
      </c>
      <c r="AW74" s="100">
        <v>2016</v>
      </c>
      <c r="AX74" s="100">
        <v>4</v>
      </c>
      <c r="AY74" s="100">
        <v>1612.8</v>
      </c>
      <c r="AZ74" s="100">
        <v>3</v>
      </c>
      <c r="BA74" s="100">
        <v>1209.5999999999999</v>
      </c>
      <c r="BB74" s="100">
        <v>6</v>
      </c>
      <c r="BC74" s="100">
        <v>2419.1999999999998</v>
      </c>
      <c r="BD74" s="100">
        <v>5</v>
      </c>
      <c r="BE74" s="100">
        <v>2016</v>
      </c>
      <c r="BF74" s="100">
        <v>6.2170648412191305</v>
      </c>
      <c r="BG74" s="100">
        <v>2506.7205439795534</v>
      </c>
      <c r="BH74" s="100">
        <v>6</v>
      </c>
      <c r="BI74" s="100">
        <v>2419.1999999999998</v>
      </c>
      <c r="BJ74" s="100">
        <v>4</v>
      </c>
      <c r="BK74" s="100">
        <v>1612.8</v>
      </c>
      <c r="BL74" s="100">
        <v>3</v>
      </c>
      <c r="BM74" s="100">
        <v>1209.5999999999999</v>
      </c>
      <c r="BN74" s="100">
        <v>4.5964456153265489</v>
      </c>
      <c r="BO74" s="100">
        <v>1853.2868720996644</v>
      </c>
      <c r="BP74" s="100">
        <v>4</v>
      </c>
      <c r="BQ74" s="100">
        <v>1612.8</v>
      </c>
      <c r="BR74" s="100">
        <v>4</v>
      </c>
      <c r="BS74" s="100">
        <v>1612.8</v>
      </c>
      <c r="BT74" s="100">
        <v>4</v>
      </c>
      <c r="BU74" s="100">
        <v>1612.8</v>
      </c>
      <c r="BV74" s="100">
        <v>6</v>
      </c>
      <c r="BW74" s="100">
        <v>2419.1999999999998</v>
      </c>
      <c r="BX74" s="100">
        <v>5</v>
      </c>
      <c r="BY74" s="100">
        <v>2016</v>
      </c>
      <c r="BZ74" s="100">
        <v>6</v>
      </c>
      <c r="CA74" s="100">
        <v>2419.1999999999998</v>
      </c>
      <c r="CB74" s="100">
        <v>5</v>
      </c>
      <c r="CC74" s="100">
        <v>2016</v>
      </c>
      <c r="CD74" s="100">
        <v>4</v>
      </c>
      <c r="CE74" s="100">
        <v>1612.8</v>
      </c>
      <c r="CF74" s="100">
        <v>5</v>
      </c>
      <c r="CG74" s="100">
        <v>2016</v>
      </c>
      <c r="CH74" s="100">
        <v>4</v>
      </c>
      <c r="CI74" s="100">
        <v>1612.8</v>
      </c>
      <c r="CJ74" s="100">
        <v>5</v>
      </c>
      <c r="CK74" s="100">
        <v>2016</v>
      </c>
      <c r="CL74" s="100">
        <v>4</v>
      </c>
      <c r="CM74" s="100">
        <v>1612.8</v>
      </c>
      <c r="CN74" s="100">
        <v>5</v>
      </c>
      <c r="CO74" s="100">
        <v>2016</v>
      </c>
      <c r="CP74" s="100">
        <v>5</v>
      </c>
      <c r="CQ74" s="100">
        <v>2016</v>
      </c>
      <c r="CR74" s="100">
        <v>6</v>
      </c>
      <c r="CS74" s="100">
        <v>2419.1999999999998</v>
      </c>
      <c r="CT74" s="100">
        <v>4</v>
      </c>
      <c r="CU74" s="100">
        <v>1612.8</v>
      </c>
    </row>
    <row r="75" spans="2:99">
      <c r="C75" s="99" t="s">
        <v>241</v>
      </c>
      <c r="D75" s="100">
        <v>5.1843215051462002</v>
      </c>
      <c r="E75" s="100">
        <v>3334.5555921100354</v>
      </c>
      <c r="F75" s="100">
        <v>1.5252673271490422</v>
      </c>
      <c r="G75" s="100">
        <v>981.05194482226386</v>
      </c>
      <c r="H75" s="100">
        <v>4.0317946926029435</v>
      </c>
      <c r="I75" s="100">
        <v>2593.2503462822128</v>
      </c>
      <c r="J75" s="100">
        <v>4.5645688979646319</v>
      </c>
      <c r="K75" s="100">
        <v>2935.9307151708508</v>
      </c>
      <c r="L75" s="100">
        <v>0.36157688733919691</v>
      </c>
      <c r="M75" s="100">
        <v>232.56625393657143</v>
      </c>
      <c r="N75" s="100">
        <v>6</v>
      </c>
      <c r="O75" s="100">
        <v>3859.2</v>
      </c>
      <c r="P75" s="100">
        <v>3</v>
      </c>
      <c r="Q75" s="100">
        <v>1929.6</v>
      </c>
      <c r="R75" s="100">
        <v>3</v>
      </c>
      <c r="S75" s="100">
        <v>1929.6</v>
      </c>
      <c r="T75" s="100">
        <v>4</v>
      </c>
      <c r="U75" s="100">
        <v>2572.7999999999997</v>
      </c>
      <c r="V75" s="100">
        <v>5</v>
      </c>
      <c r="W75" s="100">
        <v>3215.9999999999995</v>
      </c>
      <c r="X75" s="100">
        <v>6</v>
      </c>
      <c r="Y75" s="100">
        <v>3859.2</v>
      </c>
      <c r="Z75" s="100">
        <v>4</v>
      </c>
      <c r="AA75" s="100">
        <v>2572.7999999999997</v>
      </c>
      <c r="AB75" s="100">
        <v>5</v>
      </c>
      <c r="AC75" s="100">
        <v>3215.9999999999995</v>
      </c>
      <c r="AD75" s="100">
        <v>6</v>
      </c>
      <c r="AE75" s="100">
        <v>3859.2</v>
      </c>
      <c r="AF75" s="100">
        <v>4</v>
      </c>
      <c r="AG75" s="100">
        <v>2572.7999999999997</v>
      </c>
      <c r="AH75" s="100">
        <v>3</v>
      </c>
      <c r="AI75" s="100">
        <v>1929.6</v>
      </c>
      <c r="AJ75" s="100">
        <v>3</v>
      </c>
      <c r="AK75" s="100">
        <v>1929.6</v>
      </c>
      <c r="AL75" s="100">
        <v>6</v>
      </c>
      <c r="AM75" s="100">
        <v>3859.2</v>
      </c>
      <c r="AN75" s="100">
        <v>3</v>
      </c>
      <c r="AO75" s="100">
        <v>1929.6</v>
      </c>
      <c r="AP75" s="100">
        <v>5</v>
      </c>
      <c r="AQ75" s="100">
        <v>3215.9999999999995</v>
      </c>
      <c r="AR75" s="100">
        <v>6</v>
      </c>
      <c r="AS75" s="100">
        <v>3859.2</v>
      </c>
      <c r="AT75" s="100">
        <v>4</v>
      </c>
      <c r="AU75" s="100">
        <v>2572.7999999999997</v>
      </c>
      <c r="AV75" s="100">
        <v>5</v>
      </c>
      <c r="AW75" s="100">
        <v>3215.9999999999995</v>
      </c>
      <c r="AX75" s="100">
        <v>4</v>
      </c>
      <c r="AY75" s="100">
        <v>2572.7999999999997</v>
      </c>
      <c r="AZ75" s="100">
        <v>3</v>
      </c>
      <c r="BA75" s="100">
        <v>1929.6</v>
      </c>
      <c r="BB75" s="100">
        <v>6</v>
      </c>
      <c r="BC75" s="100">
        <v>3859.2</v>
      </c>
      <c r="BD75" s="100">
        <v>6</v>
      </c>
      <c r="BE75" s="100">
        <v>3859.2</v>
      </c>
      <c r="BF75" s="100">
        <v>5.2170648412191305</v>
      </c>
      <c r="BG75" s="100">
        <v>3355.6161058721445</v>
      </c>
      <c r="BH75" s="100">
        <v>5</v>
      </c>
      <c r="BI75" s="100">
        <v>3215.9999999999995</v>
      </c>
      <c r="BJ75" s="100">
        <v>4</v>
      </c>
      <c r="BK75" s="100">
        <v>2572.7999999999997</v>
      </c>
      <c r="BL75" s="100">
        <v>4</v>
      </c>
      <c r="BM75" s="100">
        <v>2572.7999999999997</v>
      </c>
      <c r="BN75" s="100">
        <v>4.5964456153265489</v>
      </c>
      <c r="BO75" s="100">
        <v>2956.4338197780357</v>
      </c>
      <c r="BP75" s="100">
        <v>4</v>
      </c>
      <c r="BQ75" s="100">
        <v>2572.7999999999997</v>
      </c>
      <c r="BR75" s="100">
        <v>4</v>
      </c>
      <c r="BS75" s="100">
        <v>2572.7999999999997</v>
      </c>
      <c r="BT75" s="100">
        <v>4</v>
      </c>
      <c r="BU75" s="100">
        <v>2572.7999999999997</v>
      </c>
      <c r="BV75" s="100">
        <v>6</v>
      </c>
      <c r="BW75" s="100">
        <v>3859.2</v>
      </c>
      <c r="BX75" s="100">
        <v>5</v>
      </c>
      <c r="BY75" s="100">
        <v>3215.9999999999995</v>
      </c>
      <c r="BZ75" s="100">
        <v>7</v>
      </c>
      <c r="CA75" s="100">
        <v>4502.3999999999996</v>
      </c>
      <c r="CB75" s="100">
        <v>5</v>
      </c>
      <c r="CC75" s="100">
        <v>3215.9999999999995</v>
      </c>
      <c r="CD75" s="100">
        <v>4</v>
      </c>
      <c r="CE75" s="100">
        <v>2572.7999999999997</v>
      </c>
      <c r="CF75" s="100">
        <v>5</v>
      </c>
      <c r="CG75" s="100">
        <v>3215.9999999999995</v>
      </c>
      <c r="CH75" s="100">
        <v>3</v>
      </c>
      <c r="CI75" s="100">
        <v>1929.6</v>
      </c>
      <c r="CJ75" s="100">
        <v>6</v>
      </c>
      <c r="CK75" s="100">
        <v>3859.2</v>
      </c>
      <c r="CL75" s="100">
        <v>4</v>
      </c>
      <c r="CM75" s="100">
        <v>2572.7999999999997</v>
      </c>
      <c r="CN75" s="100">
        <v>5</v>
      </c>
      <c r="CO75" s="100">
        <v>3215.9999999999995</v>
      </c>
      <c r="CP75" s="100">
        <v>5</v>
      </c>
      <c r="CQ75" s="100">
        <v>3215.9999999999995</v>
      </c>
      <c r="CR75" s="100">
        <v>5</v>
      </c>
      <c r="CS75" s="100">
        <v>3215.9999999999995</v>
      </c>
      <c r="CT75" s="100">
        <v>4</v>
      </c>
      <c r="CU75" s="100">
        <v>2572.7999999999997</v>
      </c>
    </row>
    <row r="76" spans="2:99">
      <c r="C76" s="99" t="s">
        <v>242</v>
      </c>
      <c r="D76" s="100">
        <v>6.0834361277125284</v>
      </c>
      <c r="E76" s="100">
        <v>4737.7800562625171</v>
      </c>
      <c r="F76" s="100">
        <v>1.5252673271490422</v>
      </c>
      <c r="G76" s="100">
        <v>1187.8781943836741</v>
      </c>
      <c r="H76" s="100">
        <v>4.8381536311235323</v>
      </c>
      <c r="I76" s="100">
        <v>3767.9540479190068</v>
      </c>
      <c r="J76" s="100">
        <v>4.5389566378105295</v>
      </c>
      <c r="K76" s="100">
        <v>3534.9394295268403</v>
      </c>
      <c r="L76" s="100">
        <v>0.36157688733919691</v>
      </c>
      <c r="M76" s="100">
        <v>281.59607985976652</v>
      </c>
      <c r="N76" s="100">
        <v>5</v>
      </c>
      <c r="O76" s="100">
        <v>3894</v>
      </c>
      <c r="P76" s="100">
        <v>3</v>
      </c>
      <c r="Q76" s="100">
        <v>2336.3999999999996</v>
      </c>
      <c r="R76" s="100">
        <v>3</v>
      </c>
      <c r="S76" s="100">
        <v>2336.3999999999996</v>
      </c>
      <c r="T76" s="100">
        <v>4</v>
      </c>
      <c r="U76" s="100">
        <v>3115.2</v>
      </c>
      <c r="V76" s="100">
        <v>5</v>
      </c>
      <c r="W76" s="100">
        <v>3894</v>
      </c>
      <c r="X76" s="100">
        <v>6</v>
      </c>
      <c r="Y76" s="100">
        <v>4672.7999999999993</v>
      </c>
      <c r="Z76" s="100">
        <v>4</v>
      </c>
      <c r="AA76" s="100">
        <v>3115.2</v>
      </c>
      <c r="AB76" s="100">
        <v>4</v>
      </c>
      <c r="AC76" s="100">
        <v>3115.2</v>
      </c>
      <c r="AD76" s="100">
        <v>6</v>
      </c>
      <c r="AE76" s="100">
        <v>4672.7999999999993</v>
      </c>
      <c r="AF76" s="100">
        <v>4</v>
      </c>
      <c r="AG76" s="100">
        <v>3115.2</v>
      </c>
      <c r="AH76" s="100">
        <v>3</v>
      </c>
      <c r="AI76" s="100">
        <v>2336.3999999999996</v>
      </c>
      <c r="AJ76" s="100">
        <v>3</v>
      </c>
      <c r="AK76" s="100">
        <v>2336.3999999999996</v>
      </c>
      <c r="AL76" s="100">
        <v>5</v>
      </c>
      <c r="AM76" s="100">
        <v>3894</v>
      </c>
      <c r="AN76" s="100">
        <v>3</v>
      </c>
      <c r="AO76" s="100">
        <v>2336.3999999999996</v>
      </c>
      <c r="AP76" s="100">
        <v>4</v>
      </c>
      <c r="AQ76" s="100">
        <v>3115.2</v>
      </c>
      <c r="AR76" s="100">
        <v>6</v>
      </c>
      <c r="AS76" s="100">
        <v>4672.7999999999993</v>
      </c>
      <c r="AT76" s="100">
        <v>4</v>
      </c>
      <c r="AU76" s="100">
        <v>3115.2</v>
      </c>
      <c r="AV76" s="100">
        <v>5</v>
      </c>
      <c r="AW76" s="100">
        <v>3894</v>
      </c>
      <c r="AX76" s="100">
        <v>4</v>
      </c>
      <c r="AY76" s="100">
        <v>3115.2</v>
      </c>
      <c r="AZ76" s="100">
        <v>3</v>
      </c>
      <c r="BA76" s="100">
        <v>2336.3999999999996</v>
      </c>
      <c r="BB76" s="100">
        <v>6</v>
      </c>
      <c r="BC76" s="100">
        <v>4672.7999999999993</v>
      </c>
      <c r="BD76" s="100">
        <v>6</v>
      </c>
      <c r="BE76" s="100">
        <v>4672.7999999999993</v>
      </c>
      <c r="BF76" s="100">
        <v>5.2170648412191305</v>
      </c>
      <c r="BG76" s="100">
        <v>4063.0500983414586</v>
      </c>
      <c r="BH76" s="100">
        <v>6</v>
      </c>
      <c r="BI76" s="100">
        <v>4672.7999999999993</v>
      </c>
      <c r="BJ76" s="100">
        <v>3</v>
      </c>
      <c r="BK76" s="100">
        <v>2336.3999999999996</v>
      </c>
      <c r="BL76" s="100">
        <v>4</v>
      </c>
      <c r="BM76" s="100">
        <v>3115.2</v>
      </c>
      <c r="BN76" s="100">
        <v>4.5964456153265489</v>
      </c>
      <c r="BO76" s="100">
        <v>3579.7118452163163</v>
      </c>
      <c r="BP76" s="100">
        <v>4</v>
      </c>
      <c r="BQ76" s="100">
        <v>3115.2</v>
      </c>
      <c r="BR76" s="100">
        <v>4</v>
      </c>
      <c r="BS76" s="100">
        <v>3115.2</v>
      </c>
      <c r="BT76" s="100">
        <v>4</v>
      </c>
      <c r="BU76" s="100">
        <v>3115.2</v>
      </c>
      <c r="BV76" s="100">
        <v>6</v>
      </c>
      <c r="BW76" s="100">
        <v>4672.7999999999993</v>
      </c>
      <c r="BX76" s="100">
        <v>5</v>
      </c>
      <c r="BY76" s="100">
        <v>3894</v>
      </c>
      <c r="BZ76" s="100">
        <v>6</v>
      </c>
      <c r="CA76" s="100">
        <v>4672.7999999999993</v>
      </c>
      <c r="CB76" s="100">
        <v>4</v>
      </c>
      <c r="CC76" s="100">
        <v>3115.2</v>
      </c>
      <c r="CD76" s="100">
        <v>4</v>
      </c>
      <c r="CE76" s="100">
        <v>3115.2</v>
      </c>
      <c r="CF76" s="100">
        <v>4</v>
      </c>
      <c r="CG76" s="100">
        <v>3115.2</v>
      </c>
      <c r="CH76" s="100">
        <v>4</v>
      </c>
      <c r="CI76" s="100">
        <v>3115.2</v>
      </c>
      <c r="CJ76" s="100">
        <v>5</v>
      </c>
      <c r="CK76" s="100">
        <v>3894</v>
      </c>
      <c r="CL76" s="100">
        <v>4</v>
      </c>
      <c r="CM76" s="100">
        <v>3115.2</v>
      </c>
      <c r="CN76" s="100">
        <v>5</v>
      </c>
      <c r="CO76" s="100">
        <v>3894</v>
      </c>
      <c r="CP76" s="100">
        <v>5</v>
      </c>
      <c r="CQ76" s="100">
        <v>3894</v>
      </c>
      <c r="CR76" s="100">
        <v>6</v>
      </c>
      <c r="CS76" s="100">
        <v>4672.7999999999993</v>
      </c>
      <c r="CT76" s="100">
        <v>3</v>
      </c>
      <c r="CU76" s="100">
        <v>2336.3999999999996</v>
      </c>
    </row>
    <row r="77" spans="2:99">
      <c r="C77" s="99" t="s">
        <v>243</v>
      </c>
      <c r="D77" s="100">
        <v>6.1293526872001651</v>
      </c>
      <c r="E77" s="100">
        <v>1706.4117881165259</v>
      </c>
      <c r="F77" s="100">
        <v>1.5252673271490422</v>
      </c>
      <c r="G77" s="100">
        <v>424.63442387829332</v>
      </c>
      <c r="H77" s="100">
        <v>4.0317946926029435</v>
      </c>
      <c r="I77" s="100">
        <v>1122.4516424206595</v>
      </c>
      <c r="J77" s="100">
        <v>5.2655684405991643</v>
      </c>
      <c r="K77" s="100">
        <v>1465.9342538628073</v>
      </c>
      <c r="L77" s="100">
        <v>0.36157688733919691</v>
      </c>
      <c r="M77" s="100">
        <v>100.66300543523241</v>
      </c>
      <c r="N77" s="100">
        <v>5</v>
      </c>
      <c r="O77" s="100">
        <v>1392</v>
      </c>
      <c r="P77" s="100">
        <v>3</v>
      </c>
      <c r="Q77" s="100">
        <v>835.19999999999993</v>
      </c>
      <c r="R77" s="100">
        <v>4</v>
      </c>
      <c r="S77" s="100">
        <v>1113.5999999999999</v>
      </c>
      <c r="T77" s="100">
        <v>4</v>
      </c>
      <c r="U77" s="100">
        <v>1113.5999999999999</v>
      </c>
      <c r="V77" s="100">
        <v>5</v>
      </c>
      <c r="W77" s="100">
        <v>1392</v>
      </c>
      <c r="X77" s="100">
        <v>6</v>
      </c>
      <c r="Y77" s="100">
        <v>1670.3999999999999</v>
      </c>
      <c r="Z77" s="100">
        <v>4</v>
      </c>
      <c r="AA77" s="100">
        <v>1113.5999999999999</v>
      </c>
      <c r="AB77" s="100">
        <v>4</v>
      </c>
      <c r="AC77" s="100">
        <v>1113.5999999999999</v>
      </c>
      <c r="AD77" s="100">
        <v>6</v>
      </c>
      <c r="AE77" s="100">
        <v>1670.3999999999999</v>
      </c>
      <c r="AF77" s="100">
        <v>4</v>
      </c>
      <c r="AG77" s="100">
        <v>1113.5999999999999</v>
      </c>
      <c r="AH77" s="100">
        <v>3</v>
      </c>
      <c r="AI77" s="100">
        <v>835.19999999999993</v>
      </c>
      <c r="AJ77" s="100">
        <v>3</v>
      </c>
      <c r="AK77" s="100">
        <v>835.19999999999993</v>
      </c>
      <c r="AL77" s="100">
        <v>5</v>
      </c>
      <c r="AM77" s="100">
        <v>1392</v>
      </c>
      <c r="AN77" s="100">
        <v>4</v>
      </c>
      <c r="AO77" s="100">
        <v>1113.5999999999999</v>
      </c>
      <c r="AP77" s="100">
        <v>4</v>
      </c>
      <c r="AQ77" s="100">
        <v>1113.5999999999999</v>
      </c>
      <c r="AR77" s="100">
        <v>6</v>
      </c>
      <c r="AS77" s="100">
        <v>1670.3999999999999</v>
      </c>
      <c r="AT77" s="100">
        <v>4</v>
      </c>
      <c r="AU77" s="100">
        <v>1113.5999999999999</v>
      </c>
      <c r="AV77" s="100">
        <v>5</v>
      </c>
      <c r="AW77" s="100">
        <v>1392</v>
      </c>
      <c r="AX77" s="100">
        <v>4</v>
      </c>
      <c r="AY77" s="100">
        <v>1113.5999999999999</v>
      </c>
      <c r="AZ77" s="100">
        <v>4</v>
      </c>
      <c r="BA77" s="100">
        <v>1113.5999999999999</v>
      </c>
      <c r="BB77" s="100">
        <v>6</v>
      </c>
      <c r="BC77" s="100">
        <v>1670.3999999999999</v>
      </c>
      <c r="BD77" s="100">
        <v>6</v>
      </c>
      <c r="BE77" s="100">
        <v>1670.3999999999999</v>
      </c>
      <c r="BF77" s="100">
        <v>5.2170648412191305</v>
      </c>
      <c r="BG77" s="100">
        <v>1452.4308517954057</v>
      </c>
      <c r="BH77" s="100">
        <v>5</v>
      </c>
      <c r="BI77" s="100">
        <v>1392</v>
      </c>
      <c r="BJ77" s="100">
        <v>3</v>
      </c>
      <c r="BK77" s="100">
        <v>835.19999999999993</v>
      </c>
      <c r="BL77" s="100">
        <v>3</v>
      </c>
      <c r="BM77" s="100">
        <v>835.19999999999993</v>
      </c>
      <c r="BN77" s="100">
        <v>4.5964456153265489</v>
      </c>
      <c r="BO77" s="100">
        <v>1279.6504593069112</v>
      </c>
      <c r="BP77" s="100">
        <v>4</v>
      </c>
      <c r="BQ77" s="100">
        <v>1113.5999999999999</v>
      </c>
      <c r="BR77" s="100">
        <v>4</v>
      </c>
      <c r="BS77" s="100">
        <v>1113.5999999999999</v>
      </c>
      <c r="BT77" s="100">
        <v>4</v>
      </c>
      <c r="BU77" s="100">
        <v>1113.5999999999999</v>
      </c>
      <c r="BV77" s="100">
        <v>6</v>
      </c>
      <c r="BW77" s="100">
        <v>1670.3999999999999</v>
      </c>
      <c r="BX77" s="100">
        <v>5</v>
      </c>
      <c r="BY77" s="100">
        <v>1392</v>
      </c>
      <c r="BZ77" s="100">
        <v>6</v>
      </c>
      <c r="CA77" s="100">
        <v>1670.3999999999999</v>
      </c>
      <c r="CB77" s="100">
        <v>4</v>
      </c>
      <c r="CC77" s="100">
        <v>1113.5999999999999</v>
      </c>
      <c r="CD77" s="100">
        <v>4</v>
      </c>
      <c r="CE77" s="100">
        <v>1113.5999999999999</v>
      </c>
      <c r="CF77" s="100">
        <v>5</v>
      </c>
      <c r="CG77" s="100">
        <v>1392</v>
      </c>
      <c r="CH77" s="100">
        <v>4</v>
      </c>
      <c r="CI77" s="100">
        <v>1113.5999999999999</v>
      </c>
      <c r="CJ77" s="100">
        <v>6</v>
      </c>
      <c r="CK77" s="100">
        <v>1670.3999999999999</v>
      </c>
      <c r="CL77" s="100">
        <v>4</v>
      </c>
      <c r="CM77" s="100">
        <v>1113.5999999999999</v>
      </c>
      <c r="CN77" s="100">
        <v>5</v>
      </c>
      <c r="CO77" s="100">
        <v>1392</v>
      </c>
      <c r="CP77" s="100">
        <v>5</v>
      </c>
      <c r="CQ77" s="100">
        <v>1392</v>
      </c>
      <c r="CR77" s="100">
        <v>6</v>
      </c>
      <c r="CS77" s="100">
        <v>1670.3999999999999</v>
      </c>
      <c r="CT77" s="100">
        <v>4</v>
      </c>
      <c r="CU77" s="100">
        <v>1113.5999999999999</v>
      </c>
    </row>
    <row r="78" spans="2:99">
      <c r="C78" s="99" t="s">
        <v>244</v>
      </c>
      <c r="D78" s="100">
        <v>6.1293526872001651</v>
      </c>
      <c r="E78" s="100">
        <v>3383.402683334491</v>
      </c>
      <c r="F78" s="100">
        <v>1.5252673271490422</v>
      </c>
      <c r="G78" s="100">
        <v>841.94756458627126</v>
      </c>
      <c r="H78" s="100">
        <v>4.0317946926029435</v>
      </c>
      <c r="I78" s="100">
        <v>2225.5506703168248</v>
      </c>
      <c r="J78" s="100">
        <v>4.5901811581187353</v>
      </c>
      <c r="K78" s="100">
        <v>2533.7799992815417</v>
      </c>
      <c r="L78" s="100">
        <v>0.36157688733919691</v>
      </c>
      <c r="M78" s="100">
        <v>199.5904418112367</v>
      </c>
      <c r="N78" s="100">
        <v>6</v>
      </c>
      <c r="O78" s="100">
        <v>3312</v>
      </c>
      <c r="P78" s="100">
        <v>3</v>
      </c>
      <c r="Q78" s="100">
        <v>1656</v>
      </c>
      <c r="R78" s="100">
        <v>4</v>
      </c>
      <c r="S78" s="100">
        <v>2208</v>
      </c>
      <c r="T78" s="100">
        <v>5</v>
      </c>
      <c r="U78" s="100">
        <v>2760</v>
      </c>
      <c r="V78" s="100">
        <v>5</v>
      </c>
      <c r="W78" s="100">
        <v>2760</v>
      </c>
      <c r="X78" s="100">
        <v>5</v>
      </c>
      <c r="Y78" s="100">
        <v>2760</v>
      </c>
      <c r="Z78" s="100">
        <v>4</v>
      </c>
      <c r="AA78" s="100">
        <v>2208</v>
      </c>
      <c r="AB78" s="100">
        <v>4</v>
      </c>
      <c r="AC78" s="100">
        <v>2208</v>
      </c>
      <c r="AD78" s="100">
        <v>6</v>
      </c>
      <c r="AE78" s="100">
        <v>3312</v>
      </c>
      <c r="AF78" s="100">
        <v>4</v>
      </c>
      <c r="AG78" s="100">
        <v>2208</v>
      </c>
      <c r="AH78" s="100">
        <v>3</v>
      </c>
      <c r="AI78" s="100">
        <v>1656</v>
      </c>
      <c r="AJ78" s="100">
        <v>3</v>
      </c>
      <c r="AK78" s="100">
        <v>1656</v>
      </c>
      <c r="AL78" s="100">
        <v>6</v>
      </c>
      <c r="AM78" s="100">
        <v>3312</v>
      </c>
      <c r="AN78" s="100">
        <v>3</v>
      </c>
      <c r="AO78" s="100">
        <v>1656</v>
      </c>
      <c r="AP78" s="100">
        <v>4</v>
      </c>
      <c r="AQ78" s="100">
        <v>2208</v>
      </c>
      <c r="AR78" s="100">
        <v>6</v>
      </c>
      <c r="AS78" s="100">
        <v>3312</v>
      </c>
      <c r="AT78" s="100">
        <v>4</v>
      </c>
      <c r="AU78" s="100">
        <v>2208</v>
      </c>
      <c r="AV78" s="100">
        <v>5</v>
      </c>
      <c r="AW78" s="100">
        <v>2760</v>
      </c>
      <c r="AX78" s="100">
        <v>4</v>
      </c>
      <c r="AY78" s="100">
        <v>2208</v>
      </c>
      <c r="AZ78" s="100">
        <v>4</v>
      </c>
      <c r="BA78" s="100">
        <v>2208</v>
      </c>
      <c r="BB78" s="100">
        <v>6</v>
      </c>
      <c r="BC78" s="100">
        <v>3312</v>
      </c>
      <c r="BD78" s="100">
        <v>6</v>
      </c>
      <c r="BE78" s="100">
        <v>3312</v>
      </c>
      <c r="BF78" s="100">
        <v>5</v>
      </c>
      <c r="BG78" s="100">
        <v>2760</v>
      </c>
      <c r="BH78" s="100">
        <v>6</v>
      </c>
      <c r="BI78" s="100">
        <v>3312</v>
      </c>
      <c r="BJ78" s="100">
        <v>4</v>
      </c>
      <c r="BK78" s="100">
        <v>2208</v>
      </c>
      <c r="BL78" s="100">
        <v>4</v>
      </c>
      <c r="BM78" s="100">
        <v>2208</v>
      </c>
      <c r="BN78" s="100">
        <v>4.6461494166037616</v>
      </c>
      <c r="BO78" s="100">
        <v>2564.6744779652763</v>
      </c>
      <c r="BP78" s="100">
        <v>4</v>
      </c>
      <c r="BQ78" s="100">
        <v>2208</v>
      </c>
      <c r="BR78" s="100">
        <v>4</v>
      </c>
      <c r="BS78" s="100">
        <v>2208</v>
      </c>
      <c r="BT78" s="100">
        <v>4</v>
      </c>
      <c r="BU78" s="100">
        <v>2208</v>
      </c>
      <c r="BV78" s="100">
        <v>6</v>
      </c>
      <c r="BW78" s="100">
        <v>3312</v>
      </c>
      <c r="BX78" s="100">
        <v>5</v>
      </c>
      <c r="BY78" s="100">
        <v>2760</v>
      </c>
      <c r="BZ78" s="100">
        <v>7</v>
      </c>
      <c r="CA78" s="100">
        <v>3864</v>
      </c>
      <c r="CB78" s="100">
        <v>4</v>
      </c>
      <c r="CC78" s="100">
        <v>2208</v>
      </c>
      <c r="CD78" s="100">
        <v>4</v>
      </c>
      <c r="CE78" s="100">
        <v>2208</v>
      </c>
      <c r="CF78" s="100">
        <v>5</v>
      </c>
      <c r="CG78" s="100">
        <v>2760</v>
      </c>
      <c r="CH78" s="100">
        <v>4</v>
      </c>
      <c r="CI78" s="100">
        <v>2208</v>
      </c>
      <c r="CJ78" s="100">
        <v>6</v>
      </c>
      <c r="CK78" s="100">
        <v>3312</v>
      </c>
      <c r="CL78" s="100">
        <v>4</v>
      </c>
      <c r="CM78" s="100">
        <v>2208</v>
      </c>
      <c r="CN78" s="100">
        <v>6</v>
      </c>
      <c r="CO78" s="100">
        <v>3312</v>
      </c>
      <c r="CP78" s="100">
        <v>5</v>
      </c>
      <c r="CQ78" s="100">
        <v>2760</v>
      </c>
      <c r="CR78" s="100">
        <v>6</v>
      </c>
      <c r="CS78" s="100">
        <v>3312</v>
      </c>
      <c r="CT78" s="100">
        <v>3</v>
      </c>
      <c r="CU78" s="100">
        <v>1656</v>
      </c>
    </row>
    <row r="79" spans="2:99">
      <c r="C79" s="99" t="s">
        <v>245</v>
      </c>
      <c r="D79" s="100">
        <v>5.1843215051462002</v>
      </c>
      <c r="E79" s="100">
        <v>3925.5682436967022</v>
      </c>
      <c r="F79" s="100">
        <v>1.2710561059575352</v>
      </c>
      <c r="G79" s="100">
        <v>962.44368343104554</v>
      </c>
      <c r="H79" s="100">
        <v>4.8381536311235323</v>
      </c>
      <c r="I79" s="100">
        <v>3663.4499294867383</v>
      </c>
      <c r="J79" s="100">
        <v>4.5901811581187353</v>
      </c>
      <c r="K79" s="100">
        <v>3475.6851729275058</v>
      </c>
      <c r="L79" s="100">
        <v>0.36157688733919691</v>
      </c>
      <c r="M79" s="100">
        <v>273.78601909323987</v>
      </c>
      <c r="N79" s="100">
        <v>5</v>
      </c>
      <c r="O79" s="100">
        <v>3785.9999999999995</v>
      </c>
      <c r="P79" s="100">
        <v>3</v>
      </c>
      <c r="Q79" s="100">
        <v>2271.6</v>
      </c>
      <c r="R79" s="100">
        <v>3</v>
      </c>
      <c r="S79" s="100">
        <v>2271.6</v>
      </c>
      <c r="T79" s="100">
        <v>4</v>
      </c>
      <c r="U79" s="100">
        <v>3028.7999999999997</v>
      </c>
      <c r="V79" s="100">
        <v>5</v>
      </c>
      <c r="W79" s="100">
        <v>3785.9999999999995</v>
      </c>
      <c r="X79" s="100">
        <v>6</v>
      </c>
      <c r="Y79" s="100">
        <v>4543.2</v>
      </c>
      <c r="Z79" s="100">
        <v>4</v>
      </c>
      <c r="AA79" s="100">
        <v>3028.7999999999997</v>
      </c>
      <c r="AB79" s="100">
        <v>4</v>
      </c>
      <c r="AC79" s="100">
        <v>3028.7999999999997</v>
      </c>
      <c r="AD79" s="100">
        <v>6</v>
      </c>
      <c r="AE79" s="100">
        <v>4543.2</v>
      </c>
      <c r="AF79" s="100">
        <v>4</v>
      </c>
      <c r="AG79" s="100">
        <v>3028.7999999999997</v>
      </c>
      <c r="AH79" s="100">
        <v>3</v>
      </c>
      <c r="AI79" s="100">
        <v>2271.6</v>
      </c>
      <c r="AJ79" s="100">
        <v>3</v>
      </c>
      <c r="AK79" s="100">
        <v>2271.6</v>
      </c>
      <c r="AL79" s="100">
        <v>5</v>
      </c>
      <c r="AM79" s="100">
        <v>3785.9999999999995</v>
      </c>
      <c r="AN79" s="100">
        <v>3</v>
      </c>
      <c r="AO79" s="100">
        <v>2271.6</v>
      </c>
      <c r="AP79" s="100">
        <v>5</v>
      </c>
      <c r="AQ79" s="100">
        <v>3785.9999999999995</v>
      </c>
      <c r="AR79" s="100">
        <v>6</v>
      </c>
      <c r="AS79" s="100">
        <v>4543.2</v>
      </c>
      <c r="AT79" s="100">
        <v>4</v>
      </c>
      <c r="AU79" s="100">
        <v>3028.7999999999997</v>
      </c>
      <c r="AV79" s="100">
        <v>5</v>
      </c>
      <c r="AW79" s="100">
        <v>3785.9999999999995</v>
      </c>
      <c r="AX79" s="100">
        <v>4</v>
      </c>
      <c r="AY79" s="100">
        <v>3028.7999999999997</v>
      </c>
      <c r="AZ79" s="100">
        <v>4</v>
      </c>
      <c r="BA79" s="100">
        <v>3028.7999999999997</v>
      </c>
      <c r="BB79" s="100">
        <v>5</v>
      </c>
      <c r="BC79" s="100">
        <v>3785.9999999999995</v>
      </c>
      <c r="BD79" s="100">
        <v>5</v>
      </c>
      <c r="BE79" s="100">
        <v>3785.9999999999995</v>
      </c>
      <c r="BF79" s="100">
        <v>5</v>
      </c>
      <c r="BG79" s="100">
        <v>3785.9999999999995</v>
      </c>
      <c r="BH79" s="100">
        <v>6</v>
      </c>
      <c r="BI79" s="100">
        <v>4543.2</v>
      </c>
      <c r="BJ79" s="100">
        <v>3</v>
      </c>
      <c r="BK79" s="100">
        <v>2271.6</v>
      </c>
      <c r="BL79" s="100">
        <v>4</v>
      </c>
      <c r="BM79" s="100">
        <v>3028.7999999999997</v>
      </c>
      <c r="BN79" s="100">
        <v>4.6958532178809733</v>
      </c>
      <c r="BO79" s="100">
        <v>3555.7000565794729</v>
      </c>
      <c r="BP79" s="100">
        <v>4</v>
      </c>
      <c r="BQ79" s="100">
        <v>3028.7999999999997</v>
      </c>
      <c r="BR79" s="100">
        <v>4</v>
      </c>
      <c r="BS79" s="100">
        <v>3028.7999999999997</v>
      </c>
      <c r="BT79" s="100">
        <v>4</v>
      </c>
      <c r="BU79" s="100">
        <v>3028.7999999999997</v>
      </c>
      <c r="BV79" s="100">
        <v>6</v>
      </c>
      <c r="BW79" s="100">
        <v>4543.2</v>
      </c>
      <c r="BX79" s="100">
        <v>5</v>
      </c>
      <c r="BY79" s="100">
        <v>3785.9999999999995</v>
      </c>
      <c r="BZ79" s="100">
        <v>7</v>
      </c>
      <c r="CA79" s="100">
        <v>5300.4</v>
      </c>
      <c r="CB79" s="100">
        <v>4</v>
      </c>
      <c r="CC79" s="100">
        <v>3028.7999999999997</v>
      </c>
      <c r="CD79" s="100">
        <v>4</v>
      </c>
      <c r="CE79" s="100">
        <v>3028.7999999999997</v>
      </c>
      <c r="CF79" s="100">
        <v>5</v>
      </c>
      <c r="CG79" s="100">
        <v>3785.9999999999995</v>
      </c>
      <c r="CH79" s="100">
        <v>4</v>
      </c>
      <c r="CI79" s="100">
        <v>3028.7999999999997</v>
      </c>
      <c r="CJ79" s="100">
        <v>5</v>
      </c>
      <c r="CK79" s="100">
        <v>3785.9999999999995</v>
      </c>
      <c r="CL79" s="100">
        <v>4</v>
      </c>
      <c r="CM79" s="100">
        <v>3028.7999999999997</v>
      </c>
      <c r="CN79" s="100">
        <v>6</v>
      </c>
      <c r="CO79" s="100">
        <v>4543.2</v>
      </c>
      <c r="CP79" s="100">
        <v>5</v>
      </c>
      <c r="CQ79" s="100">
        <v>3785.9999999999995</v>
      </c>
      <c r="CR79" s="100">
        <v>6</v>
      </c>
      <c r="CS79" s="100">
        <v>4543.2</v>
      </c>
      <c r="CT79" s="100">
        <v>3</v>
      </c>
      <c r="CU79" s="100">
        <v>2271.6</v>
      </c>
    </row>
    <row r="80" spans="2:99">
      <c r="C80" s="99" t="s">
        <v>246</v>
      </c>
      <c r="D80" s="100">
        <v>4.7251559102698257</v>
      </c>
      <c r="E80" s="100">
        <v>3804.6955389492632</v>
      </c>
      <c r="F80" s="100">
        <v>1.5252673271490422</v>
      </c>
      <c r="G80" s="100">
        <v>1228.1452518204087</v>
      </c>
      <c r="H80" s="100">
        <v>4.0317946926029435</v>
      </c>
      <c r="I80" s="100">
        <v>3246.4010864838897</v>
      </c>
      <c r="J80" s="100">
        <v>4.5645688979646319</v>
      </c>
      <c r="K80" s="100">
        <v>3675.3908766411214</v>
      </c>
      <c r="L80" s="100">
        <v>0.36157688733919691</v>
      </c>
      <c r="M80" s="100">
        <v>291.14170968552133</v>
      </c>
      <c r="N80" s="100">
        <v>6</v>
      </c>
      <c r="O80" s="100">
        <v>4831.2</v>
      </c>
      <c r="P80" s="100">
        <v>3</v>
      </c>
      <c r="Q80" s="100">
        <v>2415.6</v>
      </c>
      <c r="R80" s="100">
        <v>3</v>
      </c>
      <c r="S80" s="100">
        <v>2415.6</v>
      </c>
      <c r="T80" s="100">
        <v>5</v>
      </c>
      <c r="U80" s="100">
        <v>4025.9999999999995</v>
      </c>
      <c r="V80" s="100">
        <v>5</v>
      </c>
      <c r="W80" s="100">
        <v>4025.9999999999995</v>
      </c>
      <c r="X80" s="100">
        <v>5</v>
      </c>
      <c r="Y80" s="100">
        <v>4025.9999999999995</v>
      </c>
      <c r="Z80" s="100">
        <v>4</v>
      </c>
      <c r="AA80" s="100">
        <v>3220.7999999999997</v>
      </c>
      <c r="AB80" s="100">
        <v>4</v>
      </c>
      <c r="AC80" s="100">
        <v>3220.7999999999997</v>
      </c>
      <c r="AD80" s="100">
        <v>6</v>
      </c>
      <c r="AE80" s="100">
        <v>4831.2</v>
      </c>
      <c r="AF80" s="100">
        <v>4</v>
      </c>
      <c r="AG80" s="100">
        <v>3220.7999999999997</v>
      </c>
      <c r="AH80" s="100">
        <v>3</v>
      </c>
      <c r="AI80" s="100">
        <v>2415.6</v>
      </c>
      <c r="AJ80" s="100">
        <v>3</v>
      </c>
      <c r="AK80" s="100">
        <v>2415.6</v>
      </c>
      <c r="AL80" s="100">
        <v>5</v>
      </c>
      <c r="AM80" s="100">
        <v>4025.9999999999995</v>
      </c>
      <c r="AN80" s="100">
        <v>3</v>
      </c>
      <c r="AO80" s="100">
        <v>2415.6</v>
      </c>
      <c r="AP80" s="100">
        <v>4</v>
      </c>
      <c r="AQ80" s="100">
        <v>3220.7999999999997</v>
      </c>
      <c r="AR80" s="100">
        <v>5</v>
      </c>
      <c r="AS80" s="100">
        <v>4025.9999999999995</v>
      </c>
      <c r="AT80" s="100">
        <v>4</v>
      </c>
      <c r="AU80" s="100">
        <v>3220.7999999999997</v>
      </c>
      <c r="AV80" s="100">
        <v>6</v>
      </c>
      <c r="AW80" s="100">
        <v>4831.2</v>
      </c>
      <c r="AX80" s="100">
        <v>3</v>
      </c>
      <c r="AY80" s="100">
        <v>2415.6</v>
      </c>
      <c r="AZ80" s="100">
        <v>4</v>
      </c>
      <c r="BA80" s="100">
        <v>3220.7999999999997</v>
      </c>
      <c r="BB80" s="100">
        <v>5</v>
      </c>
      <c r="BC80" s="100">
        <v>4025.9999999999995</v>
      </c>
      <c r="BD80" s="100">
        <v>6</v>
      </c>
      <c r="BE80" s="100">
        <v>4831.2</v>
      </c>
      <c r="BF80" s="100">
        <v>5.2170648412191305</v>
      </c>
      <c r="BG80" s="100">
        <v>4200.7806101496435</v>
      </c>
      <c r="BH80" s="100">
        <v>6</v>
      </c>
      <c r="BI80" s="100">
        <v>4831.2</v>
      </c>
      <c r="BJ80" s="100">
        <v>4</v>
      </c>
      <c r="BK80" s="100">
        <v>3220.7999999999997</v>
      </c>
      <c r="BL80" s="100">
        <v>4</v>
      </c>
      <c r="BM80" s="100">
        <v>3220.7999999999997</v>
      </c>
      <c r="BN80" s="100">
        <v>4.6461494166037616</v>
      </c>
      <c r="BO80" s="100">
        <v>3741.0795102493485</v>
      </c>
      <c r="BP80" s="100">
        <v>4</v>
      </c>
      <c r="BQ80" s="100">
        <v>3220.7999999999997</v>
      </c>
      <c r="BR80" s="100">
        <v>4</v>
      </c>
      <c r="BS80" s="100">
        <v>3220.7999999999997</v>
      </c>
      <c r="BT80" s="100">
        <v>4</v>
      </c>
      <c r="BU80" s="100">
        <v>3220.7999999999997</v>
      </c>
      <c r="BV80" s="100">
        <v>5</v>
      </c>
      <c r="BW80" s="100">
        <v>4025.9999999999995</v>
      </c>
      <c r="BX80" s="100">
        <v>5</v>
      </c>
      <c r="BY80" s="100">
        <v>4025.9999999999995</v>
      </c>
      <c r="BZ80" s="100">
        <v>6</v>
      </c>
      <c r="CA80" s="100">
        <v>4831.2</v>
      </c>
      <c r="CB80" s="100">
        <v>5</v>
      </c>
      <c r="CC80" s="100">
        <v>4025.9999999999995</v>
      </c>
      <c r="CD80" s="100">
        <v>4</v>
      </c>
      <c r="CE80" s="100">
        <v>3220.7999999999997</v>
      </c>
      <c r="CF80" s="100">
        <v>5</v>
      </c>
      <c r="CG80" s="100">
        <v>4025.9999999999995</v>
      </c>
      <c r="CH80" s="100">
        <v>4</v>
      </c>
      <c r="CI80" s="100">
        <v>3220.7999999999997</v>
      </c>
      <c r="CJ80" s="100">
        <v>5</v>
      </c>
      <c r="CK80" s="100">
        <v>4025.9999999999995</v>
      </c>
      <c r="CL80" s="100">
        <v>4</v>
      </c>
      <c r="CM80" s="100">
        <v>3220.7999999999997</v>
      </c>
      <c r="CN80" s="100">
        <v>5</v>
      </c>
      <c r="CO80" s="100">
        <v>4025.9999999999995</v>
      </c>
      <c r="CP80" s="100">
        <v>5</v>
      </c>
      <c r="CQ80" s="100">
        <v>4025.9999999999995</v>
      </c>
      <c r="CR80" s="100">
        <v>6</v>
      </c>
      <c r="CS80" s="100">
        <v>4831.2</v>
      </c>
      <c r="CT80" s="100">
        <v>3</v>
      </c>
      <c r="CU80" s="100">
        <v>2415.6</v>
      </c>
    </row>
    <row r="81" spans="2:99">
      <c r="C81" s="99" t="s">
        <v>247</v>
      </c>
      <c r="D81" s="100">
        <v>6.1293526872001651</v>
      </c>
      <c r="E81" s="100">
        <v>4619.0801850740445</v>
      </c>
      <c r="F81" s="100">
        <v>1.5252673271490422</v>
      </c>
      <c r="G81" s="100">
        <v>1149.4414577395182</v>
      </c>
      <c r="H81" s="100">
        <v>4.0317946926029435</v>
      </c>
      <c r="I81" s="100">
        <v>3038.3604803455783</v>
      </c>
      <c r="J81" s="100">
        <v>4.5901811581187353</v>
      </c>
      <c r="K81" s="100">
        <v>3459.1605207582788</v>
      </c>
      <c r="L81" s="100">
        <v>0.36157688733919691</v>
      </c>
      <c r="M81" s="100">
        <v>272.48434229881877</v>
      </c>
      <c r="N81" s="100">
        <v>5</v>
      </c>
      <c r="O81" s="100">
        <v>3768</v>
      </c>
      <c r="P81" s="100">
        <v>3</v>
      </c>
      <c r="Q81" s="100">
        <v>2260.8000000000002</v>
      </c>
      <c r="R81" s="100">
        <v>3</v>
      </c>
      <c r="S81" s="100">
        <v>2260.8000000000002</v>
      </c>
      <c r="T81" s="100">
        <v>4</v>
      </c>
      <c r="U81" s="100">
        <v>3014.4</v>
      </c>
      <c r="V81" s="100">
        <v>5</v>
      </c>
      <c r="W81" s="100">
        <v>3768</v>
      </c>
      <c r="X81" s="100">
        <v>5</v>
      </c>
      <c r="Y81" s="100">
        <v>3768</v>
      </c>
      <c r="Z81" s="100">
        <v>4</v>
      </c>
      <c r="AA81" s="100">
        <v>3014.4</v>
      </c>
      <c r="AB81" s="100">
        <v>4</v>
      </c>
      <c r="AC81" s="100">
        <v>3014.4</v>
      </c>
      <c r="AD81" s="100">
        <v>6</v>
      </c>
      <c r="AE81" s="100">
        <v>4521.6000000000004</v>
      </c>
      <c r="AF81" s="100">
        <v>4</v>
      </c>
      <c r="AG81" s="100">
        <v>3014.4</v>
      </c>
      <c r="AH81" s="100">
        <v>3</v>
      </c>
      <c r="AI81" s="100">
        <v>2260.8000000000002</v>
      </c>
      <c r="AJ81" s="100">
        <v>3</v>
      </c>
      <c r="AK81" s="100">
        <v>2260.8000000000002</v>
      </c>
      <c r="AL81" s="100">
        <v>6</v>
      </c>
      <c r="AM81" s="100">
        <v>4521.6000000000004</v>
      </c>
      <c r="AN81" s="100">
        <v>4</v>
      </c>
      <c r="AO81" s="100">
        <v>3014.4</v>
      </c>
      <c r="AP81" s="100">
        <v>5</v>
      </c>
      <c r="AQ81" s="100">
        <v>3768</v>
      </c>
      <c r="AR81" s="100">
        <v>6</v>
      </c>
      <c r="AS81" s="100">
        <v>4521.6000000000004</v>
      </c>
      <c r="AT81" s="100">
        <v>3</v>
      </c>
      <c r="AU81" s="100">
        <v>2260.8000000000002</v>
      </c>
      <c r="AV81" s="100">
        <v>5</v>
      </c>
      <c r="AW81" s="100">
        <v>3768</v>
      </c>
      <c r="AX81" s="100">
        <v>4</v>
      </c>
      <c r="AY81" s="100">
        <v>3014.4</v>
      </c>
      <c r="AZ81" s="100">
        <v>3</v>
      </c>
      <c r="BA81" s="100">
        <v>2260.8000000000002</v>
      </c>
      <c r="BB81" s="100">
        <v>6</v>
      </c>
      <c r="BC81" s="100">
        <v>4521.6000000000004</v>
      </c>
      <c r="BD81" s="100">
        <v>6</v>
      </c>
      <c r="BE81" s="100">
        <v>4521.6000000000004</v>
      </c>
      <c r="BF81" s="100">
        <v>5</v>
      </c>
      <c r="BG81" s="100">
        <v>3768</v>
      </c>
      <c r="BH81" s="100">
        <v>5</v>
      </c>
      <c r="BI81" s="100">
        <v>3768</v>
      </c>
      <c r="BJ81" s="100">
        <v>4</v>
      </c>
      <c r="BK81" s="100">
        <v>3014.4</v>
      </c>
      <c r="BL81" s="100">
        <v>3</v>
      </c>
      <c r="BM81" s="100">
        <v>2260.8000000000002</v>
      </c>
      <c r="BN81" s="100">
        <v>4.6461494166037616</v>
      </c>
      <c r="BO81" s="100">
        <v>3501.3382003525949</v>
      </c>
      <c r="BP81" s="100">
        <v>4</v>
      </c>
      <c r="BQ81" s="100">
        <v>3014.4</v>
      </c>
      <c r="BR81" s="100">
        <v>4</v>
      </c>
      <c r="BS81" s="100">
        <v>3014.4</v>
      </c>
      <c r="BT81" s="100">
        <v>4</v>
      </c>
      <c r="BU81" s="100">
        <v>3014.4</v>
      </c>
      <c r="BV81" s="100">
        <v>6</v>
      </c>
      <c r="BW81" s="100">
        <v>4521.6000000000004</v>
      </c>
      <c r="BX81" s="100">
        <v>5</v>
      </c>
      <c r="BY81" s="100">
        <v>3768</v>
      </c>
      <c r="BZ81" s="100">
        <v>7</v>
      </c>
      <c r="CA81" s="100">
        <v>5275.2</v>
      </c>
      <c r="CB81" s="100">
        <v>4</v>
      </c>
      <c r="CC81" s="100">
        <v>3014.4</v>
      </c>
      <c r="CD81" s="100">
        <v>4</v>
      </c>
      <c r="CE81" s="100">
        <v>3014.4</v>
      </c>
      <c r="CF81" s="100">
        <v>4</v>
      </c>
      <c r="CG81" s="100">
        <v>3014.4</v>
      </c>
      <c r="CH81" s="100">
        <v>4</v>
      </c>
      <c r="CI81" s="100">
        <v>3014.4</v>
      </c>
      <c r="CJ81" s="100">
        <v>5</v>
      </c>
      <c r="CK81" s="100">
        <v>3768</v>
      </c>
      <c r="CL81" s="100">
        <v>4</v>
      </c>
      <c r="CM81" s="100">
        <v>3014.4</v>
      </c>
      <c r="CN81" s="100">
        <v>5</v>
      </c>
      <c r="CO81" s="100">
        <v>3768</v>
      </c>
      <c r="CP81" s="100">
        <v>6</v>
      </c>
      <c r="CQ81" s="100">
        <v>4521.6000000000004</v>
      </c>
      <c r="CR81" s="100">
        <v>5</v>
      </c>
      <c r="CS81" s="100">
        <v>3768</v>
      </c>
      <c r="CT81" s="100">
        <v>3</v>
      </c>
      <c r="CU81" s="100">
        <v>2260.8000000000002</v>
      </c>
    </row>
    <row r="82" spans="2:99">
      <c r="C82" s="99" t="s">
        <v>248</v>
      </c>
      <c r="D82" s="100">
        <v>5.1384049456585625</v>
      </c>
      <c r="E82" s="100">
        <v>2614.4204363510762</v>
      </c>
      <c r="F82" s="100">
        <v>1.5252673271490422</v>
      </c>
      <c r="G82" s="100">
        <v>776.05601605343259</v>
      </c>
      <c r="H82" s="100">
        <v>4.0317946926029435</v>
      </c>
      <c r="I82" s="100">
        <v>2051.3771395963772</v>
      </c>
      <c r="J82" s="100">
        <v>4.5389566378105295</v>
      </c>
      <c r="K82" s="100">
        <v>2309.4211373179969</v>
      </c>
      <c r="L82" s="100">
        <v>0.36157688733919691</v>
      </c>
      <c r="M82" s="100">
        <v>183.97032027818335</v>
      </c>
      <c r="N82" s="100">
        <v>6</v>
      </c>
      <c r="O82" s="100">
        <v>3052.7999999999993</v>
      </c>
      <c r="P82" s="100">
        <v>3</v>
      </c>
      <c r="Q82" s="100">
        <v>1526.3999999999996</v>
      </c>
      <c r="R82" s="100">
        <v>3</v>
      </c>
      <c r="S82" s="100">
        <v>1526.3999999999996</v>
      </c>
      <c r="T82" s="100">
        <v>5</v>
      </c>
      <c r="U82" s="100">
        <v>2543.9999999999995</v>
      </c>
      <c r="V82" s="100">
        <v>5</v>
      </c>
      <c r="W82" s="100">
        <v>2543.9999999999995</v>
      </c>
      <c r="X82" s="100">
        <v>5</v>
      </c>
      <c r="Y82" s="100">
        <v>2543.9999999999995</v>
      </c>
      <c r="Z82" s="100">
        <v>4</v>
      </c>
      <c r="AA82" s="100">
        <v>2035.1999999999996</v>
      </c>
      <c r="AB82" s="100">
        <v>4</v>
      </c>
      <c r="AC82" s="100">
        <v>2035.1999999999996</v>
      </c>
      <c r="AD82" s="100">
        <v>6</v>
      </c>
      <c r="AE82" s="100">
        <v>3052.7999999999993</v>
      </c>
      <c r="AF82" s="100">
        <v>4</v>
      </c>
      <c r="AG82" s="100">
        <v>2035.1999999999996</v>
      </c>
      <c r="AH82" s="100">
        <v>3</v>
      </c>
      <c r="AI82" s="100">
        <v>1526.3999999999996</v>
      </c>
      <c r="AJ82" s="100">
        <v>3</v>
      </c>
      <c r="AK82" s="100">
        <v>1526.3999999999996</v>
      </c>
      <c r="AL82" s="100">
        <v>6</v>
      </c>
      <c r="AM82" s="100">
        <v>3052.7999999999993</v>
      </c>
      <c r="AN82" s="100">
        <v>4</v>
      </c>
      <c r="AO82" s="100">
        <v>2035.1999999999996</v>
      </c>
      <c r="AP82" s="100">
        <v>4</v>
      </c>
      <c r="AQ82" s="100">
        <v>2035.1999999999996</v>
      </c>
      <c r="AR82" s="100">
        <v>6</v>
      </c>
      <c r="AS82" s="100">
        <v>3052.7999999999993</v>
      </c>
      <c r="AT82" s="100">
        <v>3</v>
      </c>
      <c r="AU82" s="100">
        <v>1526.3999999999996</v>
      </c>
      <c r="AV82" s="100">
        <v>5</v>
      </c>
      <c r="AW82" s="100">
        <v>2543.9999999999995</v>
      </c>
      <c r="AX82" s="100">
        <v>4</v>
      </c>
      <c r="AY82" s="100">
        <v>2035.1999999999996</v>
      </c>
      <c r="AZ82" s="100">
        <v>4</v>
      </c>
      <c r="BA82" s="100">
        <v>2035.1999999999996</v>
      </c>
      <c r="BB82" s="100">
        <v>6</v>
      </c>
      <c r="BC82" s="100">
        <v>3052.7999999999993</v>
      </c>
      <c r="BD82" s="100">
        <v>5</v>
      </c>
      <c r="BE82" s="100">
        <v>2543.9999999999995</v>
      </c>
      <c r="BF82" s="100">
        <v>5</v>
      </c>
      <c r="BG82" s="100">
        <v>2543.9999999999995</v>
      </c>
      <c r="BH82" s="100">
        <v>5</v>
      </c>
      <c r="BI82" s="100">
        <v>2543.9999999999995</v>
      </c>
      <c r="BJ82" s="100">
        <v>4</v>
      </c>
      <c r="BK82" s="100">
        <v>2035.1999999999996</v>
      </c>
      <c r="BL82" s="100">
        <v>3</v>
      </c>
      <c r="BM82" s="100">
        <v>1526.3999999999996</v>
      </c>
      <c r="BN82" s="100">
        <v>4.5467418140493363</v>
      </c>
      <c r="BO82" s="100">
        <v>2313.3822349883017</v>
      </c>
      <c r="BP82" s="100">
        <v>5</v>
      </c>
      <c r="BQ82" s="100">
        <v>2543.9999999999995</v>
      </c>
      <c r="BR82" s="100">
        <v>4</v>
      </c>
      <c r="BS82" s="100">
        <v>2035.1999999999996</v>
      </c>
      <c r="BT82" s="100">
        <v>4</v>
      </c>
      <c r="BU82" s="100">
        <v>2035.1999999999996</v>
      </c>
      <c r="BV82" s="100">
        <v>5</v>
      </c>
      <c r="BW82" s="100">
        <v>2543.9999999999995</v>
      </c>
      <c r="BX82" s="100">
        <v>5</v>
      </c>
      <c r="BY82" s="100">
        <v>2543.9999999999995</v>
      </c>
      <c r="BZ82" s="100">
        <v>7</v>
      </c>
      <c r="CA82" s="100">
        <v>3561.5999999999995</v>
      </c>
      <c r="CB82" s="100">
        <v>5</v>
      </c>
      <c r="CC82" s="100">
        <v>2543.9999999999995</v>
      </c>
      <c r="CD82" s="100">
        <v>4</v>
      </c>
      <c r="CE82" s="100">
        <v>2035.1999999999996</v>
      </c>
      <c r="CF82" s="100">
        <v>4</v>
      </c>
      <c r="CG82" s="100">
        <v>2035.1999999999996</v>
      </c>
      <c r="CH82" s="100">
        <v>3</v>
      </c>
      <c r="CI82" s="100">
        <v>1526.3999999999996</v>
      </c>
      <c r="CJ82" s="100">
        <v>6</v>
      </c>
      <c r="CK82" s="100">
        <v>3052.7999999999993</v>
      </c>
      <c r="CL82" s="100">
        <v>4</v>
      </c>
      <c r="CM82" s="100">
        <v>2035.1999999999996</v>
      </c>
      <c r="CN82" s="100">
        <v>5</v>
      </c>
      <c r="CO82" s="100">
        <v>2543.9999999999995</v>
      </c>
      <c r="CP82" s="100">
        <v>6</v>
      </c>
      <c r="CQ82" s="100">
        <v>3052.7999999999993</v>
      </c>
      <c r="CR82" s="100">
        <v>6</v>
      </c>
      <c r="CS82" s="100">
        <v>3052.7999999999993</v>
      </c>
      <c r="CT82" s="100">
        <v>4</v>
      </c>
      <c r="CU82" s="100">
        <v>2035.1999999999996</v>
      </c>
    </row>
    <row r="83" spans="2:99">
      <c r="C83" s="99" t="s">
        <v>249</v>
      </c>
      <c r="D83" s="100">
        <v>5.1384049456585625</v>
      </c>
      <c r="E83" s="100">
        <v>4421.0836152446273</v>
      </c>
      <c r="F83" s="100">
        <v>1.5252673271490422</v>
      </c>
      <c r="G83" s="100">
        <v>1312.3400082790358</v>
      </c>
      <c r="H83" s="100">
        <v>4.0317946926029435</v>
      </c>
      <c r="I83" s="100">
        <v>3468.9561535155726</v>
      </c>
      <c r="J83" s="100">
        <v>4.5645688979646319</v>
      </c>
      <c r="K83" s="100">
        <v>3927.355079808769</v>
      </c>
      <c r="L83" s="100">
        <v>0.36157688733919691</v>
      </c>
      <c r="M83" s="100">
        <v>311.10075386664499</v>
      </c>
      <c r="N83" s="100">
        <v>5</v>
      </c>
      <c r="O83" s="100">
        <v>4302</v>
      </c>
      <c r="P83" s="100">
        <v>3</v>
      </c>
      <c r="Q83" s="100">
        <v>2581.1999999999998</v>
      </c>
      <c r="R83" s="100">
        <v>4</v>
      </c>
      <c r="S83" s="100">
        <v>3441.6</v>
      </c>
      <c r="T83" s="100">
        <v>4</v>
      </c>
      <c r="U83" s="100">
        <v>3441.6</v>
      </c>
      <c r="V83" s="100">
        <v>5</v>
      </c>
      <c r="W83" s="100">
        <v>4302</v>
      </c>
      <c r="X83" s="100">
        <v>5</v>
      </c>
      <c r="Y83" s="100">
        <v>4302</v>
      </c>
      <c r="Z83" s="100">
        <v>4</v>
      </c>
      <c r="AA83" s="100">
        <v>3441.6</v>
      </c>
      <c r="AB83" s="100">
        <v>4</v>
      </c>
      <c r="AC83" s="100">
        <v>3441.6</v>
      </c>
      <c r="AD83" s="100">
        <v>6</v>
      </c>
      <c r="AE83" s="100">
        <v>5162.3999999999996</v>
      </c>
      <c r="AF83" s="100">
        <v>4</v>
      </c>
      <c r="AG83" s="100">
        <v>3441.6</v>
      </c>
      <c r="AH83" s="100">
        <v>3</v>
      </c>
      <c r="AI83" s="100">
        <v>2581.1999999999998</v>
      </c>
      <c r="AJ83" s="100">
        <v>3</v>
      </c>
      <c r="AK83" s="100">
        <v>2581.1999999999998</v>
      </c>
      <c r="AL83" s="100">
        <v>5</v>
      </c>
      <c r="AM83" s="100">
        <v>4302</v>
      </c>
      <c r="AN83" s="100">
        <v>4</v>
      </c>
      <c r="AO83" s="100">
        <v>3441.6</v>
      </c>
      <c r="AP83" s="100">
        <v>4</v>
      </c>
      <c r="AQ83" s="100">
        <v>3441.6</v>
      </c>
      <c r="AR83" s="100">
        <v>6</v>
      </c>
      <c r="AS83" s="100">
        <v>5162.3999999999996</v>
      </c>
      <c r="AT83" s="100">
        <v>4</v>
      </c>
      <c r="AU83" s="100">
        <v>3441.6</v>
      </c>
      <c r="AV83" s="100">
        <v>5</v>
      </c>
      <c r="AW83" s="100">
        <v>4302</v>
      </c>
      <c r="AX83" s="100">
        <v>4</v>
      </c>
      <c r="AY83" s="100">
        <v>3441.6</v>
      </c>
      <c r="AZ83" s="100">
        <v>4</v>
      </c>
      <c r="BA83" s="100">
        <v>3441.6</v>
      </c>
      <c r="BB83" s="100">
        <v>6</v>
      </c>
      <c r="BC83" s="100">
        <v>5162.3999999999996</v>
      </c>
      <c r="BD83" s="100">
        <v>6</v>
      </c>
      <c r="BE83" s="100">
        <v>5162.3999999999996</v>
      </c>
      <c r="BF83" s="100">
        <v>5</v>
      </c>
      <c r="BG83" s="100">
        <v>4302</v>
      </c>
      <c r="BH83" s="100">
        <v>6</v>
      </c>
      <c r="BI83" s="100">
        <v>5162.3999999999996</v>
      </c>
      <c r="BJ83" s="100">
        <v>3</v>
      </c>
      <c r="BK83" s="100">
        <v>2581.1999999999998</v>
      </c>
      <c r="BL83" s="100">
        <v>3</v>
      </c>
      <c r="BM83" s="100">
        <v>2581.1999999999998</v>
      </c>
      <c r="BN83" s="100">
        <v>4.5964456153265489</v>
      </c>
      <c r="BO83" s="100">
        <v>3954.7818074269626</v>
      </c>
      <c r="BP83" s="100">
        <v>4</v>
      </c>
      <c r="BQ83" s="100">
        <v>3441.6</v>
      </c>
      <c r="BR83" s="100">
        <v>4</v>
      </c>
      <c r="BS83" s="100">
        <v>3441.6</v>
      </c>
      <c r="BT83" s="100">
        <v>4</v>
      </c>
      <c r="BU83" s="100">
        <v>3441.6</v>
      </c>
      <c r="BV83" s="100">
        <v>6</v>
      </c>
      <c r="BW83" s="100">
        <v>5162.3999999999996</v>
      </c>
      <c r="BX83" s="100">
        <v>5</v>
      </c>
      <c r="BY83" s="100">
        <v>4302</v>
      </c>
      <c r="BZ83" s="100">
        <v>6</v>
      </c>
      <c r="CA83" s="100">
        <v>5162.3999999999996</v>
      </c>
      <c r="CB83" s="100">
        <v>5</v>
      </c>
      <c r="CC83" s="100">
        <v>4302</v>
      </c>
      <c r="CD83" s="100">
        <v>4</v>
      </c>
      <c r="CE83" s="100">
        <v>3441.6</v>
      </c>
      <c r="CF83" s="100">
        <v>4</v>
      </c>
      <c r="CG83" s="100">
        <v>3441.6</v>
      </c>
      <c r="CH83" s="100">
        <v>3</v>
      </c>
      <c r="CI83" s="100">
        <v>2581.1999999999998</v>
      </c>
      <c r="CJ83" s="100">
        <v>5</v>
      </c>
      <c r="CK83" s="100">
        <v>4302</v>
      </c>
      <c r="CL83" s="100">
        <v>4</v>
      </c>
      <c r="CM83" s="100">
        <v>3441.6</v>
      </c>
      <c r="CN83" s="100">
        <v>5</v>
      </c>
      <c r="CO83" s="100">
        <v>4302</v>
      </c>
      <c r="CP83" s="100">
        <v>5</v>
      </c>
      <c r="CQ83" s="100">
        <v>4302</v>
      </c>
      <c r="CR83" s="100">
        <v>6</v>
      </c>
      <c r="CS83" s="100">
        <v>5162.3999999999996</v>
      </c>
      <c r="CT83" s="100">
        <v>4</v>
      </c>
      <c r="CU83" s="100">
        <v>3441.6</v>
      </c>
    </row>
    <row r="84" spans="2:99">
      <c r="C84" s="99" t="s">
        <v>250</v>
      </c>
      <c r="D84" s="100">
        <v>6.0834361277125284</v>
      </c>
      <c r="E84" s="100">
        <v>4752.3803029690271</v>
      </c>
      <c r="F84" s="100">
        <v>1.5252673271490422</v>
      </c>
      <c r="G84" s="100">
        <v>1191.5388359688318</v>
      </c>
      <c r="H84" s="100">
        <v>4.0317946926029435</v>
      </c>
      <c r="I84" s="100">
        <v>3149.638013861419</v>
      </c>
      <c r="J84" s="100">
        <v>4.5645688979646319</v>
      </c>
      <c r="K84" s="100">
        <v>3565.8412230899703</v>
      </c>
      <c r="L84" s="100">
        <v>0.36157688733919691</v>
      </c>
      <c r="M84" s="100">
        <v>282.4638643893806</v>
      </c>
      <c r="N84" s="100">
        <v>5</v>
      </c>
      <c r="O84" s="100">
        <v>3905.9999999999995</v>
      </c>
      <c r="P84" s="100">
        <v>3</v>
      </c>
      <c r="Q84" s="100">
        <v>2343.6</v>
      </c>
      <c r="R84" s="100">
        <v>3</v>
      </c>
      <c r="S84" s="100">
        <v>2343.6</v>
      </c>
      <c r="T84" s="100">
        <v>4</v>
      </c>
      <c r="U84" s="100">
        <v>3124.7999999999997</v>
      </c>
      <c r="V84" s="100">
        <v>5</v>
      </c>
      <c r="W84" s="100">
        <v>3905.9999999999995</v>
      </c>
      <c r="X84" s="100">
        <v>5</v>
      </c>
      <c r="Y84" s="100">
        <v>3905.9999999999995</v>
      </c>
      <c r="Z84" s="100">
        <v>4</v>
      </c>
      <c r="AA84" s="100">
        <v>3124.7999999999997</v>
      </c>
      <c r="AB84" s="100">
        <v>4</v>
      </c>
      <c r="AC84" s="100">
        <v>3124.7999999999997</v>
      </c>
      <c r="AD84" s="100">
        <v>6</v>
      </c>
      <c r="AE84" s="100">
        <v>4687.2</v>
      </c>
      <c r="AF84" s="100">
        <v>4</v>
      </c>
      <c r="AG84" s="100">
        <v>3124.7999999999997</v>
      </c>
      <c r="AH84" s="100">
        <v>3</v>
      </c>
      <c r="AI84" s="100">
        <v>2343.6</v>
      </c>
      <c r="AJ84" s="100">
        <v>3</v>
      </c>
      <c r="AK84" s="100">
        <v>2343.6</v>
      </c>
      <c r="AL84" s="100">
        <v>6</v>
      </c>
      <c r="AM84" s="100">
        <v>4687.2</v>
      </c>
      <c r="AN84" s="100">
        <v>4</v>
      </c>
      <c r="AO84" s="100">
        <v>3124.7999999999997</v>
      </c>
      <c r="AP84" s="100">
        <v>4</v>
      </c>
      <c r="AQ84" s="100">
        <v>3124.7999999999997</v>
      </c>
      <c r="AR84" s="100">
        <v>5</v>
      </c>
      <c r="AS84" s="100">
        <v>3905.9999999999995</v>
      </c>
      <c r="AT84" s="100">
        <v>4</v>
      </c>
      <c r="AU84" s="100">
        <v>3124.7999999999997</v>
      </c>
      <c r="AV84" s="100">
        <v>6</v>
      </c>
      <c r="AW84" s="100">
        <v>4687.2</v>
      </c>
      <c r="AX84" s="100">
        <v>4</v>
      </c>
      <c r="AY84" s="100">
        <v>3124.7999999999997</v>
      </c>
      <c r="AZ84" s="100">
        <v>4</v>
      </c>
      <c r="BA84" s="100">
        <v>3124.7999999999997</v>
      </c>
      <c r="BB84" s="100">
        <v>5</v>
      </c>
      <c r="BC84" s="100">
        <v>3905.9999999999995</v>
      </c>
      <c r="BD84" s="100">
        <v>5</v>
      </c>
      <c r="BE84" s="100">
        <v>3905.9999999999995</v>
      </c>
      <c r="BF84" s="100">
        <v>5</v>
      </c>
      <c r="BG84" s="100">
        <v>3905.9999999999995</v>
      </c>
      <c r="BH84" s="100">
        <v>6</v>
      </c>
      <c r="BI84" s="100">
        <v>4687.2</v>
      </c>
      <c r="BJ84" s="100">
        <v>3</v>
      </c>
      <c r="BK84" s="100">
        <v>2343.6</v>
      </c>
      <c r="BL84" s="100">
        <v>3</v>
      </c>
      <c r="BM84" s="100">
        <v>2343.6</v>
      </c>
      <c r="BN84" s="100">
        <v>4.5964456153265489</v>
      </c>
      <c r="BO84" s="100">
        <v>3590.7433146930998</v>
      </c>
      <c r="BP84" s="100">
        <v>4</v>
      </c>
      <c r="BQ84" s="100">
        <v>3124.7999999999997</v>
      </c>
      <c r="BR84" s="100">
        <v>4</v>
      </c>
      <c r="BS84" s="100">
        <v>3124.7999999999997</v>
      </c>
      <c r="BT84" s="100">
        <v>4</v>
      </c>
      <c r="BU84" s="100">
        <v>3124.7999999999997</v>
      </c>
      <c r="BV84" s="100">
        <v>5</v>
      </c>
      <c r="BW84" s="100">
        <v>3905.9999999999995</v>
      </c>
      <c r="BX84" s="100">
        <v>5</v>
      </c>
      <c r="BY84" s="100">
        <v>3905.9999999999995</v>
      </c>
      <c r="BZ84" s="100">
        <v>6</v>
      </c>
      <c r="CA84" s="100">
        <v>4687.2</v>
      </c>
      <c r="CB84" s="100">
        <v>4</v>
      </c>
      <c r="CC84" s="100">
        <v>3124.7999999999997</v>
      </c>
      <c r="CD84" s="100">
        <v>4</v>
      </c>
      <c r="CE84" s="100">
        <v>3124.7999999999997</v>
      </c>
      <c r="CF84" s="100">
        <v>5</v>
      </c>
      <c r="CG84" s="100">
        <v>3905.9999999999995</v>
      </c>
      <c r="CH84" s="100">
        <v>3</v>
      </c>
      <c r="CI84" s="100">
        <v>2343.6</v>
      </c>
      <c r="CJ84" s="100">
        <v>5</v>
      </c>
      <c r="CK84" s="100">
        <v>3905.9999999999995</v>
      </c>
      <c r="CL84" s="100">
        <v>3</v>
      </c>
      <c r="CM84" s="100">
        <v>2343.6</v>
      </c>
      <c r="CN84" s="100">
        <v>6</v>
      </c>
      <c r="CO84" s="100">
        <v>4687.2</v>
      </c>
      <c r="CP84" s="100">
        <v>5</v>
      </c>
      <c r="CQ84" s="100">
        <v>3905.9999999999995</v>
      </c>
      <c r="CR84" s="100">
        <v>6</v>
      </c>
      <c r="CS84" s="100">
        <v>4687.2</v>
      </c>
      <c r="CT84" s="100">
        <v>4</v>
      </c>
      <c r="CU84" s="100">
        <v>3124.7999999999997</v>
      </c>
    </row>
    <row r="85" spans="2:99">
      <c r="C85" s="99" t="s">
        <v>251</v>
      </c>
      <c r="D85" s="100">
        <v>5.6701870923237907</v>
      </c>
      <c r="E85" s="100">
        <v>850.52806384856865</v>
      </c>
      <c r="F85" s="100">
        <v>1.5252673271490422</v>
      </c>
      <c r="G85" s="100">
        <v>228.79009907235633</v>
      </c>
      <c r="H85" s="100">
        <v>4.8381536311235323</v>
      </c>
      <c r="I85" s="100">
        <v>725.72304466852984</v>
      </c>
      <c r="J85" s="100">
        <v>4.5645688979646319</v>
      </c>
      <c r="K85" s="100">
        <v>684.6853346946948</v>
      </c>
      <c r="L85" s="100">
        <v>0.45197110917399608</v>
      </c>
      <c r="M85" s="100">
        <v>67.795666376099405</v>
      </c>
      <c r="N85" s="100">
        <v>6</v>
      </c>
      <c r="O85" s="100">
        <v>900</v>
      </c>
      <c r="P85" s="100">
        <v>3</v>
      </c>
      <c r="Q85" s="100">
        <v>450</v>
      </c>
      <c r="R85" s="100">
        <v>3</v>
      </c>
      <c r="S85" s="100">
        <v>450</v>
      </c>
      <c r="T85" s="100">
        <v>4</v>
      </c>
      <c r="U85" s="100">
        <v>600</v>
      </c>
      <c r="V85" s="100">
        <v>5</v>
      </c>
      <c r="W85" s="100">
        <v>750</v>
      </c>
      <c r="X85" s="100">
        <v>5</v>
      </c>
      <c r="Y85" s="100">
        <v>750</v>
      </c>
      <c r="Z85" s="100">
        <v>4</v>
      </c>
      <c r="AA85" s="100">
        <v>600</v>
      </c>
      <c r="AB85" s="100">
        <v>4</v>
      </c>
      <c r="AC85" s="100">
        <v>600</v>
      </c>
      <c r="AD85" s="100">
        <v>6</v>
      </c>
      <c r="AE85" s="100">
        <v>900</v>
      </c>
      <c r="AF85" s="100">
        <v>4</v>
      </c>
      <c r="AG85" s="100">
        <v>600</v>
      </c>
      <c r="AH85" s="100">
        <v>3</v>
      </c>
      <c r="AI85" s="100">
        <v>450</v>
      </c>
      <c r="AJ85" s="100">
        <v>3</v>
      </c>
      <c r="AK85" s="100">
        <v>450</v>
      </c>
      <c r="AL85" s="100">
        <v>5</v>
      </c>
      <c r="AM85" s="100">
        <v>750</v>
      </c>
      <c r="AN85" s="100">
        <v>4</v>
      </c>
      <c r="AO85" s="100">
        <v>600</v>
      </c>
      <c r="AP85" s="100">
        <v>4</v>
      </c>
      <c r="AQ85" s="100">
        <v>600</v>
      </c>
      <c r="AR85" s="100">
        <v>6</v>
      </c>
      <c r="AS85" s="100">
        <v>900</v>
      </c>
      <c r="AT85" s="100">
        <v>4</v>
      </c>
      <c r="AU85" s="100">
        <v>600</v>
      </c>
      <c r="AV85" s="100">
        <v>6</v>
      </c>
      <c r="AW85" s="100">
        <v>900</v>
      </c>
      <c r="AX85" s="100">
        <v>4</v>
      </c>
      <c r="AY85" s="100">
        <v>600</v>
      </c>
      <c r="AZ85" s="100">
        <v>4</v>
      </c>
      <c r="BA85" s="100">
        <v>600</v>
      </c>
      <c r="BB85" s="100">
        <v>6</v>
      </c>
      <c r="BC85" s="100">
        <v>900</v>
      </c>
      <c r="BD85" s="100">
        <v>5</v>
      </c>
      <c r="BE85" s="100">
        <v>750</v>
      </c>
      <c r="BF85" s="100">
        <v>5.2170648412191305</v>
      </c>
      <c r="BG85" s="100">
        <v>782.55972618286955</v>
      </c>
      <c r="BH85" s="100">
        <v>6</v>
      </c>
      <c r="BI85" s="100">
        <v>900</v>
      </c>
      <c r="BJ85" s="100">
        <v>3</v>
      </c>
      <c r="BK85" s="100">
        <v>450</v>
      </c>
      <c r="BL85" s="100">
        <v>3</v>
      </c>
      <c r="BM85" s="100">
        <v>450</v>
      </c>
      <c r="BN85" s="100">
        <v>5.6461494166037616</v>
      </c>
      <c r="BO85" s="100">
        <v>846.92241249056428</v>
      </c>
      <c r="BP85" s="100">
        <v>4</v>
      </c>
      <c r="BQ85" s="100">
        <v>600</v>
      </c>
      <c r="BR85" s="100">
        <v>4</v>
      </c>
      <c r="BS85" s="100">
        <v>600</v>
      </c>
      <c r="BT85" s="100">
        <v>4</v>
      </c>
      <c r="BU85" s="100">
        <v>600</v>
      </c>
      <c r="BV85" s="100">
        <v>6</v>
      </c>
      <c r="BW85" s="100">
        <v>900</v>
      </c>
      <c r="BX85" s="100">
        <v>5</v>
      </c>
      <c r="BY85" s="100">
        <v>750</v>
      </c>
      <c r="BZ85" s="100">
        <v>6</v>
      </c>
      <c r="CA85" s="100">
        <v>900</v>
      </c>
      <c r="CB85" s="100">
        <v>4</v>
      </c>
      <c r="CC85" s="100">
        <v>600</v>
      </c>
      <c r="CD85" s="100">
        <v>4</v>
      </c>
      <c r="CE85" s="100">
        <v>600</v>
      </c>
      <c r="CF85" s="100">
        <v>5</v>
      </c>
      <c r="CG85" s="100">
        <v>750</v>
      </c>
      <c r="CH85" s="100">
        <v>4</v>
      </c>
      <c r="CI85" s="100">
        <v>600</v>
      </c>
      <c r="CJ85" s="100">
        <v>6</v>
      </c>
      <c r="CK85" s="100">
        <v>900</v>
      </c>
      <c r="CL85" s="100">
        <v>4</v>
      </c>
      <c r="CM85" s="100">
        <v>600</v>
      </c>
      <c r="CN85" s="100">
        <v>5</v>
      </c>
      <c r="CO85" s="100">
        <v>750</v>
      </c>
      <c r="CP85" s="100">
        <v>5</v>
      </c>
      <c r="CQ85" s="100">
        <v>750</v>
      </c>
      <c r="CR85" s="100">
        <v>6</v>
      </c>
      <c r="CS85" s="100">
        <v>900</v>
      </c>
      <c r="CT85" s="100">
        <v>4</v>
      </c>
      <c r="CU85" s="100">
        <v>600</v>
      </c>
    </row>
    <row r="86" spans="2:99">
      <c r="C86" s="99" t="s">
        <v>252</v>
      </c>
      <c r="D86" s="100">
        <v>5.1843215051462002</v>
      </c>
      <c r="E86" s="100">
        <v>2799.5336127789483</v>
      </c>
      <c r="F86" s="100">
        <v>1.5252673271490422</v>
      </c>
      <c r="G86" s="100">
        <v>823.6443566604828</v>
      </c>
      <c r="H86" s="100">
        <v>4.8381536311235323</v>
      </c>
      <c r="I86" s="100">
        <v>2612.6029608067074</v>
      </c>
      <c r="J86" s="100">
        <v>4.5645688979646319</v>
      </c>
      <c r="K86" s="100">
        <v>2464.8672049009015</v>
      </c>
      <c r="L86" s="100">
        <v>0.36157688733919691</v>
      </c>
      <c r="M86" s="100">
        <v>195.25151916316634</v>
      </c>
      <c r="N86" s="100">
        <v>5</v>
      </c>
      <c r="O86" s="100">
        <v>2700</v>
      </c>
      <c r="P86" s="100">
        <v>3</v>
      </c>
      <c r="Q86" s="100">
        <v>1620</v>
      </c>
      <c r="R86" s="100">
        <v>3</v>
      </c>
      <c r="S86" s="100">
        <v>1620</v>
      </c>
      <c r="T86" s="100">
        <v>4</v>
      </c>
      <c r="U86" s="100">
        <v>2160</v>
      </c>
      <c r="V86" s="100">
        <v>5</v>
      </c>
      <c r="W86" s="100">
        <v>2700</v>
      </c>
      <c r="X86" s="100">
        <v>6</v>
      </c>
      <c r="Y86" s="100">
        <v>3240</v>
      </c>
      <c r="Z86" s="100">
        <v>4</v>
      </c>
      <c r="AA86" s="100">
        <v>2160</v>
      </c>
      <c r="AB86" s="100">
        <v>5</v>
      </c>
      <c r="AC86" s="100">
        <v>2700</v>
      </c>
      <c r="AD86" s="100">
        <v>5</v>
      </c>
      <c r="AE86" s="100">
        <v>2700</v>
      </c>
      <c r="AF86" s="100">
        <v>4</v>
      </c>
      <c r="AG86" s="100">
        <v>2160</v>
      </c>
      <c r="AH86" s="100">
        <v>3</v>
      </c>
      <c r="AI86" s="100">
        <v>1620</v>
      </c>
      <c r="AJ86" s="100">
        <v>3</v>
      </c>
      <c r="AK86" s="100">
        <v>1620</v>
      </c>
      <c r="AL86" s="100">
        <v>5</v>
      </c>
      <c r="AM86" s="100">
        <v>2700</v>
      </c>
      <c r="AN86" s="100">
        <v>3</v>
      </c>
      <c r="AO86" s="100">
        <v>1620</v>
      </c>
      <c r="AP86" s="100">
        <v>4</v>
      </c>
      <c r="AQ86" s="100">
        <v>2160</v>
      </c>
      <c r="AR86" s="100">
        <v>6</v>
      </c>
      <c r="AS86" s="100">
        <v>3240</v>
      </c>
      <c r="AT86" s="100">
        <v>4</v>
      </c>
      <c r="AU86" s="100">
        <v>2160</v>
      </c>
      <c r="AV86" s="100">
        <v>6</v>
      </c>
      <c r="AW86" s="100">
        <v>3240</v>
      </c>
      <c r="AX86" s="100">
        <v>4</v>
      </c>
      <c r="AY86" s="100">
        <v>2160</v>
      </c>
      <c r="AZ86" s="100">
        <v>3</v>
      </c>
      <c r="BA86" s="100">
        <v>1620</v>
      </c>
      <c r="BB86" s="100">
        <v>6</v>
      </c>
      <c r="BC86" s="100">
        <v>3240</v>
      </c>
      <c r="BD86" s="100">
        <v>5</v>
      </c>
      <c r="BE86" s="100">
        <v>2700</v>
      </c>
      <c r="BF86" s="100">
        <v>5</v>
      </c>
      <c r="BG86" s="100">
        <v>2700</v>
      </c>
      <c r="BH86" s="100">
        <v>6</v>
      </c>
      <c r="BI86" s="100">
        <v>3240</v>
      </c>
      <c r="BJ86" s="100">
        <v>4</v>
      </c>
      <c r="BK86" s="100">
        <v>2160</v>
      </c>
      <c r="BL86" s="100">
        <v>3</v>
      </c>
      <c r="BM86" s="100">
        <v>1620</v>
      </c>
      <c r="BN86" s="100">
        <v>4.5964456153265489</v>
      </c>
      <c r="BO86" s="100">
        <v>2482.0806322763365</v>
      </c>
      <c r="BP86" s="100">
        <v>4</v>
      </c>
      <c r="BQ86" s="100">
        <v>2160</v>
      </c>
      <c r="BR86" s="100">
        <v>4</v>
      </c>
      <c r="BS86" s="100">
        <v>2160</v>
      </c>
      <c r="BT86" s="100">
        <v>4</v>
      </c>
      <c r="BU86" s="100">
        <v>2160</v>
      </c>
      <c r="BV86" s="100">
        <v>6</v>
      </c>
      <c r="BW86" s="100">
        <v>3240</v>
      </c>
      <c r="BX86" s="100">
        <v>5</v>
      </c>
      <c r="BY86" s="100">
        <v>2700</v>
      </c>
      <c r="BZ86" s="100">
        <v>6</v>
      </c>
      <c r="CA86" s="100">
        <v>3240</v>
      </c>
      <c r="CB86" s="100">
        <v>4</v>
      </c>
      <c r="CC86" s="100">
        <v>2160</v>
      </c>
      <c r="CD86" s="100">
        <v>5</v>
      </c>
      <c r="CE86" s="100">
        <v>2700</v>
      </c>
      <c r="CF86" s="100">
        <v>5</v>
      </c>
      <c r="CG86" s="100">
        <v>2700</v>
      </c>
      <c r="CH86" s="100">
        <v>4</v>
      </c>
      <c r="CI86" s="100">
        <v>2160</v>
      </c>
      <c r="CJ86" s="100">
        <v>5</v>
      </c>
      <c r="CK86" s="100">
        <v>2700</v>
      </c>
      <c r="CL86" s="100">
        <v>3</v>
      </c>
      <c r="CM86" s="100">
        <v>1620</v>
      </c>
      <c r="CN86" s="100">
        <v>6</v>
      </c>
      <c r="CO86" s="100">
        <v>3240</v>
      </c>
      <c r="CP86" s="100">
        <v>5</v>
      </c>
      <c r="CQ86" s="100">
        <v>2700</v>
      </c>
      <c r="CR86" s="100">
        <v>6</v>
      </c>
      <c r="CS86" s="100">
        <v>3240</v>
      </c>
      <c r="CT86" s="100">
        <v>4</v>
      </c>
      <c r="CU86" s="100">
        <v>2160</v>
      </c>
    </row>
    <row r="87" spans="2:99">
      <c r="B87" s="99" t="s">
        <v>131</v>
      </c>
      <c r="C87" s="99" t="s">
        <v>253</v>
      </c>
      <c r="D87" s="100">
        <v>5.6274633043658309</v>
      </c>
      <c r="E87" s="100">
        <v>6043.8955888889022</v>
      </c>
      <c r="F87" s="100">
        <v>6</v>
      </c>
      <c r="G87" s="100">
        <v>6444</v>
      </c>
      <c r="H87" s="100">
        <v>2.2597544589126399</v>
      </c>
      <c r="I87" s="100">
        <v>2426.9762888721752</v>
      </c>
      <c r="J87" s="100">
        <v>3.2483594733406638</v>
      </c>
      <c r="K87" s="100">
        <v>3488.7380743678727</v>
      </c>
      <c r="L87" s="100">
        <v>4.6414366589232019</v>
      </c>
      <c r="M87" s="100">
        <v>4984.9029716835184</v>
      </c>
      <c r="N87" s="100">
        <v>3.1578947368420867</v>
      </c>
      <c r="O87" s="100">
        <v>3391.5789473684013</v>
      </c>
      <c r="P87" s="100">
        <v>2.6647257583967394</v>
      </c>
      <c r="Q87" s="100">
        <v>2861.9154645180984</v>
      </c>
      <c r="R87" s="100">
        <v>3.8201598571483086</v>
      </c>
      <c r="S87" s="100">
        <v>4102.8516865772835</v>
      </c>
      <c r="T87" s="100">
        <v>4.5303427953615296</v>
      </c>
      <c r="U87" s="100">
        <v>4865.5881622182824</v>
      </c>
      <c r="V87" s="100">
        <v>4</v>
      </c>
      <c r="W87" s="100">
        <v>4296</v>
      </c>
      <c r="X87" s="100">
        <v>3.6653879397057083</v>
      </c>
      <c r="Y87" s="100">
        <v>3936.6266472439306</v>
      </c>
      <c r="Z87" s="100">
        <v>5.0766812927904716</v>
      </c>
      <c r="AA87" s="100">
        <v>5452.3557084569666</v>
      </c>
      <c r="AB87" s="100">
        <v>1.7012236750766814</v>
      </c>
      <c r="AC87" s="100">
        <v>1827.1142270323558</v>
      </c>
      <c r="AD87" s="100">
        <v>6.0626063666545429</v>
      </c>
      <c r="AE87" s="100">
        <v>6511.2392377869792</v>
      </c>
      <c r="AF87" s="100">
        <v>5.9999999999999654</v>
      </c>
      <c r="AG87" s="100">
        <v>6443.9999999999627</v>
      </c>
      <c r="AH87" s="100">
        <v>5.498081290625735</v>
      </c>
      <c r="AI87" s="100">
        <v>5904.9393061320397</v>
      </c>
      <c r="AJ87" s="100">
        <v>6.0742236336560635</v>
      </c>
      <c r="AK87" s="100">
        <v>6523.7161825466119</v>
      </c>
      <c r="AL87" s="100">
        <v>5</v>
      </c>
      <c r="AM87" s="100">
        <v>5370</v>
      </c>
      <c r="AN87" s="100">
        <v>3</v>
      </c>
      <c r="AO87" s="100">
        <v>3222</v>
      </c>
      <c r="AP87" s="100">
        <v>6</v>
      </c>
      <c r="AQ87" s="100">
        <v>6444</v>
      </c>
      <c r="AR87" s="100">
        <v>3.4582357319739536</v>
      </c>
      <c r="AS87" s="100">
        <v>3714.1451761400263</v>
      </c>
      <c r="AT87" s="100">
        <v>5.142857142857113</v>
      </c>
      <c r="AU87" s="100">
        <v>5523.4285714285397</v>
      </c>
      <c r="AV87" s="100">
        <v>3.5722936235211153</v>
      </c>
      <c r="AW87" s="100">
        <v>3836.643351661678</v>
      </c>
      <c r="AX87" s="100">
        <v>3.9274454721594396</v>
      </c>
      <c r="AY87" s="100">
        <v>4218.0764370992383</v>
      </c>
      <c r="AZ87" s="100">
        <v>6.9758062726757544</v>
      </c>
      <c r="BA87" s="100">
        <v>7492.0159368537606</v>
      </c>
      <c r="BB87" s="100">
        <v>4.6284199171904286</v>
      </c>
      <c r="BC87" s="100">
        <v>4970.9229910625199</v>
      </c>
      <c r="BD87" s="100">
        <v>4</v>
      </c>
      <c r="BE87" s="100">
        <v>4296</v>
      </c>
      <c r="BF87" s="100">
        <v>5.2876811136789081</v>
      </c>
      <c r="BG87" s="100">
        <v>5678.9695160911469</v>
      </c>
      <c r="BH87" s="100">
        <v>3.7499999999999782</v>
      </c>
      <c r="BI87" s="100">
        <v>4027.4999999999768</v>
      </c>
      <c r="BJ87" s="100">
        <v>2.8453040408342374</v>
      </c>
      <c r="BK87" s="100">
        <v>3055.8565398559708</v>
      </c>
      <c r="BL87" s="100">
        <v>1.6406817847149746</v>
      </c>
      <c r="BM87" s="100">
        <v>1762.0922367838828</v>
      </c>
      <c r="BN87" s="100">
        <v>5</v>
      </c>
      <c r="BO87" s="100">
        <v>5370</v>
      </c>
      <c r="BP87" s="100">
        <v>6</v>
      </c>
      <c r="BQ87" s="100">
        <v>6444</v>
      </c>
      <c r="BR87" s="100">
        <v>6</v>
      </c>
      <c r="BS87" s="100">
        <v>6444</v>
      </c>
      <c r="BT87" s="100">
        <v>2.7420101359747968</v>
      </c>
      <c r="BU87" s="100">
        <v>2944.9188860369318</v>
      </c>
      <c r="BV87" s="100">
        <v>4.7148746624389313</v>
      </c>
      <c r="BW87" s="100">
        <v>5063.7753874594118</v>
      </c>
      <c r="BX87" s="100">
        <v>1.6521550839087857</v>
      </c>
      <c r="BY87" s="100">
        <v>1774.414560118036</v>
      </c>
      <c r="BZ87" s="100">
        <v>4</v>
      </c>
      <c r="CA87" s="100">
        <v>4296</v>
      </c>
      <c r="CB87" s="100">
        <v>5</v>
      </c>
      <c r="CC87" s="100">
        <v>5370</v>
      </c>
      <c r="CD87" s="100">
        <v>4.4507064046123688</v>
      </c>
      <c r="CE87" s="100">
        <v>4780.0586785536843</v>
      </c>
      <c r="CF87" s="100">
        <v>1.544570519192475</v>
      </c>
      <c r="CG87" s="100">
        <v>1658.8687376127182</v>
      </c>
      <c r="CH87" s="100">
        <v>6.3031528851873944</v>
      </c>
      <c r="CI87" s="100">
        <v>6769.5861986912614</v>
      </c>
      <c r="CJ87" s="100">
        <v>3.8551916443880714</v>
      </c>
      <c r="CK87" s="100">
        <v>4140.4758260727885</v>
      </c>
      <c r="CL87" s="100">
        <v>4.1435746625180361</v>
      </c>
      <c r="CM87" s="100">
        <v>4450.1991875443709</v>
      </c>
      <c r="CN87" s="100">
        <v>4.578187769785643</v>
      </c>
      <c r="CO87" s="100">
        <v>4916.9736647497803</v>
      </c>
      <c r="CP87" s="100">
        <v>4.9249539066142027</v>
      </c>
      <c r="CQ87" s="100">
        <v>5289.4004957036541</v>
      </c>
      <c r="CR87" s="100">
        <v>0.33304691569173983</v>
      </c>
      <c r="CS87" s="100">
        <v>357.69238745292859</v>
      </c>
      <c r="CT87" s="100">
        <v>4.4444444444444198</v>
      </c>
      <c r="CU87" s="100">
        <v>4773.3333333333067</v>
      </c>
    </row>
    <row r="88" spans="2:99">
      <c r="C88" s="99" t="s">
        <v>254</v>
      </c>
      <c r="D88" s="100">
        <v>5.6274633043658309</v>
      </c>
      <c r="E88" s="100">
        <v>5584.6945832526508</v>
      </c>
      <c r="F88" s="100">
        <v>5</v>
      </c>
      <c r="G88" s="100">
        <v>4962</v>
      </c>
      <c r="H88" s="100">
        <v>2.2739467288460284</v>
      </c>
      <c r="I88" s="100">
        <v>2256.6647337067984</v>
      </c>
      <c r="J88" s="100">
        <v>4.0439652248375442</v>
      </c>
      <c r="K88" s="100">
        <v>4013.2310891287789</v>
      </c>
      <c r="L88" s="100">
        <v>4.6414366589232019</v>
      </c>
      <c r="M88" s="100">
        <v>4606.161740315385</v>
      </c>
      <c r="N88" s="100">
        <v>2.368421052631565</v>
      </c>
      <c r="O88" s="100">
        <v>2350.4210526315651</v>
      </c>
      <c r="P88" s="100">
        <v>2.6647257583967394</v>
      </c>
      <c r="Q88" s="100">
        <v>2644.4738426329241</v>
      </c>
      <c r="R88" s="100">
        <v>3.8201598571483086</v>
      </c>
      <c r="S88" s="100">
        <v>3791.1266422339813</v>
      </c>
      <c r="T88" s="100">
        <v>4.8140425261283175</v>
      </c>
      <c r="U88" s="100">
        <v>4777.4558029297423</v>
      </c>
      <c r="V88" s="100">
        <v>4</v>
      </c>
      <c r="W88" s="100">
        <v>3969.6</v>
      </c>
      <c r="X88" s="100">
        <v>3.6653879397057083</v>
      </c>
      <c r="Y88" s="100">
        <v>3637.5309913639448</v>
      </c>
      <c r="Z88" s="100">
        <v>6.0593436991341525</v>
      </c>
      <c r="AA88" s="100">
        <v>6013.292687020733</v>
      </c>
      <c r="AB88" s="100">
        <v>1.7012236750766814</v>
      </c>
      <c r="AC88" s="100">
        <v>1688.2943751460984</v>
      </c>
      <c r="AD88" s="100">
        <v>6.0626063666545429</v>
      </c>
      <c r="AE88" s="100">
        <v>6016.5305582679684</v>
      </c>
      <c r="AF88" s="100">
        <v>4.9999999999999707</v>
      </c>
      <c r="AG88" s="100">
        <v>4961.9999999999709</v>
      </c>
      <c r="AH88" s="100">
        <v>5.4482731615631614</v>
      </c>
      <c r="AI88" s="100">
        <v>5406.8662855352813</v>
      </c>
      <c r="AJ88" s="100">
        <v>5.2064774002766256</v>
      </c>
      <c r="AK88" s="100">
        <v>5166.908172034523</v>
      </c>
      <c r="AL88" s="100">
        <v>5</v>
      </c>
      <c r="AM88" s="100">
        <v>4962</v>
      </c>
      <c r="AN88" s="100">
        <v>3</v>
      </c>
      <c r="AO88" s="100">
        <v>2977.2</v>
      </c>
      <c r="AP88" s="100">
        <v>5</v>
      </c>
      <c r="AQ88" s="100">
        <v>4962</v>
      </c>
      <c r="AR88" s="100">
        <v>3.4582357319739536</v>
      </c>
      <c r="AS88" s="100">
        <v>3431.9531404109516</v>
      </c>
      <c r="AT88" s="100">
        <v>5.142857142857113</v>
      </c>
      <c r="AU88" s="100">
        <v>5103.7714285713992</v>
      </c>
      <c r="AV88" s="100">
        <v>3.5722936235211153</v>
      </c>
      <c r="AW88" s="100">
        <v>3545.1441919823546</v>
      </c>
      <c r="AX88" s="100">
        <v>3.1419563777275514</v>
      </c>
      <c r="AY88" s="100">
        <v>3118.0775092568219</v>
      </c>
      <c r="AZ88" s="100">
        <v>6.9758062726757544</v>
      </c>
      <c r="BA88" s="100">
        <v>6922.7901450034187</v>
      </c>
      <c r="BB88" s="100">
        <v>4.6284199171904286</v>
      </c>
      <c r="BC88" s="100">
        <v>4593.243925819781</v>
      </c>
      <c r="BD88" s="100">
        <v>4</v>
      </c>
      <c r="BE88" s="100">
        <v>3969.6</v>
      </c>
      <c r="BF88" s="100">
        <v>4.4064009280657572</v>
      </c>
      <c r="BG88" s="100">
        <v>4372.9122810124572</v>
      </c>
      <c r="BH88" s="100">
        <v>3.7499999999999782</v>
      </c>
      <c r="BI88" s="100">
        <v>3721.4999999999782</v>
      </c>
      <c r="BJ88" s="100">
        <v>2.8152155580585925</v>
      </c>
      <c r="BK88" s="100">
        <v>2793.819919817347</v>
      </c>
      <c r="BL88" s="100">
        <v>1.6406817847149746</v>
      </c>
      <c r="BM88" s="100">
        <v>1628.2126031511407</v>
      </c>
      <c r="BN88" s="100">
        <v>5</v>
      </c>
      <c r="BO88" s="100">
        <v>4962</v>
      </c>
      <c r="BP88" s="100">
        <v>5</v>
      </c>
      <c r="BQ88" s="100">
        <v>4962</v>
      </c>
      <c r="BR88" s="100">
        <v>5</v>
      </c>
      <c r="BS88" s="100">
        <v>4962</v>
      </c>
      <c r="BT88" s="100">
        <v>3.6560135146330621</v>
      </c>
      <c r="BU88" s="100">
        <v>3628.2278119218508</v>
      </c>
      <c r="BV88" s="100">
        <v>4.7517364835433966</v>
      </c>
      <c r="BW88" s="100">
        <v>4715.6232862684665</v>
      </c>
      <c r="BX88" s="100">
        <v>1.6521550839087857</v>
      </c>
      <c r="BY88" s="100">
        <v>1639.5987052710789</v>
      </c>
      <c r="BZ88" s="100">
        <v>4</v>
      </c>
      <c r="CA88" s="100">
        <v>3969.6</v>
      </c>
      <c r="CB88" s="100">
        <v>6</v>
      </c>
      <c r="CC88" s="100">
        <v>5954.4</v>
      </c>
      <c r="CD88" s="100">
        <v>4.4916797141225837</v>
      </c>
      <c r="CE88" s="100">
        <v>4457.5429482952522</v>
      </c>
      <c r="CF88" s="100">
        <v>1.930713148990594</v>
      </c>
      <c r="CG88" s="100">
        <v>1916.0397290582655</v>
      </c>
      <c r="CH88" s="100">
        <v>6.3464604402141651</v>
      </c>
      <c r="CI88" s="100">
        <v>6298.2273408685369</v>
      </c>
      <c r="CJ88" s="100">
        <v>3.8551916443880714</v>
      </c>
      <c r="CK88" s="100">
        <v>3825.8921878907217</v>
      </c>
      <c r="CL88" s="100">
        <v>4.9161702466983179</v>
      </c>
      <c r="CM88" s="100">
        <v>4878.8073528234108</v>
      </c>
      <c r="CN88" s="100">
        <v>3.8266622528935028</v>
      </c>
      <c r="CO88" s="100">
        <v>3797.5796197715122</v>
      </c>
      <c r="CP88" s="100">
        <v>4.9332857370540246</v>
      </c>
      <c r="CQ88" s="100">
        <v>4895.7927654524137</v>
      </c>
      <c r="CR88" s="100">
        <v>0.33304691569173983</v>
      </c>
      <c r="CS88" s="100">
        <v>330.51575913248263</v>
      </c>
      <c r="CT88" s="100">
        <v>5.3333333333333046</v>
      </c>
      <c r="CU88" s="100">
        <v>5292.7999999999711</v>
      </c>
    </row>
    <row r="89" spans="2:99">
      <c r="C89" s="99" t="s">
        <v>255</v>
      </c>
      <c r="D89" s="100">
        <v>5.6274633043658309</v>
      </c>
      <c r="E89" s="100">
        <v>5976.3660292365121</v>
      </c>
      <c r="F89" s="100">
        <v>5</v>
      </c>
      <c r="G89" s="100">
        <v>5310</v>
      </c>
      <c r="H89" s="100">
        <v>1.8276727450368553</v>
      </c>
      <c r="I89" s="100">
        <v>1940.9884552291403</v>
      </c>
      <c r="J89" s="100">
        <v>3.2351721798700352</v>
      </c>
      <c r="K89" s="100">
        <v>3435.7528550219772</v>
      </c>
      <c r="L89" s="100">
        <v>4.6414366589232019</v>
      </c>
      <c r="M89" s="100">
        <v>4929.2057317764402</v>
      </c>
      <c r="N89" s="100">
        <v>2.368421052631565</v>
      </c>
      <c r="O89" s="100">
        <v>2515.2631578947221</v>
      </c>
      <c r="P89" s="100">
        <v>3.5529676778623194</v>
      </c>
      <c r="Q89" s="100">
        <v>3773.251673889783</v>
      </c>
      <c r="R89" s="100">
        <v>3.8201598571483086</v>
      </c>
      <c r="S89" s="100">
        <v>4057.0097682915039</v>
      </c>
      <c r="T89" s="100">
        <v>4.7573025799749606</v>
      </c>
      <c r="U89" s="100">
        <v>5052.2553399334083</v>
      </c>
      <c r="V89" s="100">
        <v>4</v>
      </c>
      <c r="W89" s="100">
        <v>4248</v>
      </c>
      <c r="X89" s="100">
        <v>3.6653879397057083</v>
      </c>
      <c r="Y89" s="100">
        <v>3892.6419919674622</v>
      </c>
      <c r="Z89" s="100">
        <v>5.0766812927904716</v>
      </c>
      <c r="AA89" s="100">
        <v>5391.4355329434811</v>
      </c>
      <c r="AB89" s="100">
        <v>1.7012236750766814</v>
      </c>
      <c r="AC89" s="100">
        <v>1806.6995429314356</v>
      </c>
      <c r="AD89" s="100">
        <v>5.1356471277515556</v>
      </c>
      <c r="AE89" s="100">
        <v>5454.0572496721525</v>
      </c>
      <c r="AF89" s="100">
        <v>4.9999999999999707</v>
      </c>
      <c r="AG89" s="100">
        <v>5309.9999999999691</v>
      </c>
      <c r="AH89" s="100">
        <v>5.498081290625735</v>
      </c>
      <c r="AI89" s="100">
        <v>5838.962330644531</v>
      </c>
      <c r="AJ89" s="100">
        <v>5.2064774002766256</v>
      </c>
      <c r="AK89" s="100">
        <v>5529.2789990937763</v>
      </c>
      <c r="AL89" s="100">
        <v>5</v>
      </c>
      <c r="AM89" s="100">
        <v>5310</v>
      </c>
      <c r="AN89" s="100">
        <v>3</v>
      </c>
      <c r="AO89" s="100">
        <v>3186</v>
      </c>
      <c r="AP89" s="100">
        <v>5</v>
      </c>
      <c r="AQ89" s="100">
        <v>5310</v>
      </c>
      <c r="AR89" s="100">
        <v>3.4582357319739536</v>
      </c>
      <c r="AS89" s="100">
        <v>3672.6463473563385</v>
      </c>
      <c r="AT89" s="100">
        <v>5.9999999999999654</v>
      </c>
      <c r="AU89" s="100">
        <v>6371.9999999999636</v>
      </c>
      <c r="AV89" s="100">
        <v>3.5483802146643342</v>
      </c>
      <c r="AW89" s="100">
        <v>3768.379787973523</v>
      </c>
      <c r="AX89" s="100">
        <v>3.9274454721594396</v>
      </c>
      <c r="AY89" s="100">
        <v>4170.9470914333251</v>
      </c>
      <c r="AZ89" s="100">
        <v>6.9758062726757544</v>
      </c>
      <c r="BA89" s="100">
        <v>7408.3062615816507</v>
      </c>
      <c r="BB89" s="100">
        <v>4.6284199171904286</v>
      </c>
      <c r="BC89" s="100">
        <v>4915.3819520562347</v>
      </c>
      <c r="BD89" s="100">
        <v>4</v>
      </c>
      <c r="BE89" s="100">
        <v>4248</v>
      </c>
      <c r="BF89" s="100">
        <v>5.2876811136789081</v>
      </c>
      <c r="BG89" s="100">
        <v>5615.5173427270001</v>
      </c>
      <c r="BH89" s="100">
        <v>3.7499999999999782</v>
      </c>
      <c r="BI89" s="100">
        <v>3982.4999999999768</v>
      </c>
      <c r="BJ89" s="100">
        <v>2.8152155580585925</v>
      </c>
      <c r="BK89" s="100">
        <v>2989.7589226582254</v>
      </c>
      <c r="BL89" s="100">
        <v>1.6406817847149746</v>
      </c>
      <c r="BM89" s="100">
        <v>1742.404055367303</v>
      </c>
      <c r="BN89" s="100">
        <v>5</v>
      </c>
      <c r="BO89" s="100">
        <v>5310</v>
      </c>
      <c r="BP89" s="100">
        <v>6</v>
      </c>
      <c r="BQ89" s="100">
        <v>6372</v>
      </c>
      <c r="BR89" s="100">
        <v>6</v>
      </c>
      <c r="BS89" s="100">
        <v>6372</v>
      </c>
      <c r="BT89" s="100">
        <v>3.6560135146330621</v>
      </c>
      <c r="BU89" s="100">
        <v>3882.6863525403119</v>
      </c>
      <c r="BV89" s="100">
        <v>4.7517364835433966</v>
      </c>
      <c r="BW89" s="100">
        <v>5046.3441455230868</v>
      </c>
      <c r="BX89" s="100">
        <v>2.0651938548859823</v>
      </c>
      <c r="BY89" s="100">
        <v>2193.2358738889134</v>
      </c>
      <c r="BZ89" s="100">
        <v>4</v>
      </c>
      <c r="CA89" s="100">
        <v>4248</v>
      </c>
      <c r="CB89" s="100">
        <v>6</v>
      </c>
      <c r="CC89" s="100">
        <v>6372</v>
      </c>
      <c r="CD89" s="100">
        <v>4.4916797141225837</v>
      </c>
      <c r="CE89" s="100">
        <v>4770.1638563981842</v>
      </c>
      <c r="CF89" s="100">
        <v>1.544570519192475</v>
      </c>
      <c r="CG89" s="100">
        <v>1640.3338913824084</v>
      </c>
      <c r="CH89" s="100">
        <v>6.3031528851873944</v>
      </c>
      <c r="CI89" s="100">
        <v>6693.9483640690132</v>
      </c>
      <c r="CJ89" s="100">
        <v>3.1394296775141379</v>
      </c>
      <c r="CK89" s="100">
        <v>3334.0743175200146</v>
      </c>
      <c r="CL89" s="100">
        <v>4.9161702466983179</v>
      </c>
      <c r="CM89" s="100">
        <v>5220.9728019936138</v>
      </c>
      <c r="CN89" s="100">
        <v>3.8209093638574365</v>
      </c>
      <c r="CO89" s="100">
        <v>4057.8057444165975</v>
      </c>
      <c r="CP89" s="100">
        <v>4.9249539066142027</v>
      </c>
      <c r="CQ89" s="100">
        <v>5230.3010488242835</v>
      </c>
      <c r="CR89" s="100">
        <v>0.38062504650484552</v>
      </c>
      <c r="CS89" s="100">
        <v>404.22379938814595</v>
      </c>
      <c r="CT89" s="100">
        <v>5.3333333333333046</v>
      </c>
      <c r="CU89" s="100">
        <v>5663.9999999999691</v>
      </c>
    </row>
    <row r="90" spans="2:99">
      <c r="C90" s="99" t="s">
        <v>256</v>
      </c>
      <c r="D90" s="100">
        <v>5.6274633043658309</v>
      </c>
      <c r="E90" s="100">
        <v>6239.7313118808333</v>
      </c>
      <c r="F90" s="100">
        <v>5</v>
      </c>
      <c r="G90" s="100">
        <v>5544</v>
      </c>
      <c r="H90" s="100">
        <v>2.2739467288460284</v>
      </c>
      <c r="I90" s="100">
        <v>2521.3521329444761</v>
      </c>
      <c r="J90" s="100">
        <v>4.0571525183081718</v>
      </c>
      <c r="K90" s="100">
        <v>4498.5707123001011</v>
      </c>
      <c r="L90" s="100">
        <v>4.6414366589232019</v>
      </c>
      <c r="M90" s="100">
        <v>5146.4249674140465</v>
      </c>
      <c r="N90" s="100">
        <v>2.368421052631565</v>
      </c>
      <c r="O90" s="100">
        <v>2626.1052631578791</v>
      </c>
      <c r="P90" s="100">
        <v>3.5820813019109949</v>
      </c>
      <c r="Q90" s="100">
        <v>3971.8117475589111</v>
      </c>
      <c r="R90" s="100">
        <v>3.8201598571483086</v>
      </c>
      <c r="S90" s="100">
        <v>4235.7932496060448</v>
      </c>
      <c r="T90" s="100">
        <v>4.5303427953615296</v>
      </c>
      <c r="U90" s="100">
        <v>5023.2440914968638</v>
      </c>
      <c r="V90" s="100">
        <v>4</v>
      </c>
      <c r="W90" s="100">
        <v>4435.2</v>
      </c>
      <c r="X90" s="100">
        <v>3.6653879397057083</v>
      </c>
      <c r="Y90" s="100">
        <v>4064.1821475456891</v>
      </c>
      <c r="Z90" s="100">
        <v>5.0766812927904716</v>
      </c>
      <c r="AA90" s="100">
        <v>5629.0242174460745</v>
      </c>
      <c r="AB90" s="100">
        <v>1.7012236750766814</v>
      </c>
      <c r="AC90" s="100">
        <v>1886.3168109250241</v>
      </c>
      <c r="AD90" s="100">
        <v>5.1356471277515556</v>
      </c>
      <c r="AE90" s="100">
        <v>5694.4055352509249</v>
      </c>
      <c r="AF90" s="100">
        <v>5.9999999999999654</v>
      </c>
      <c r="AG90" s="100">
        <v>6652.7999999999611</v>
      </c>
      <c r="AH90" s="100">
        <v>5.4482731615631614</v>
      </c>
      <c r="AI90" s="100">
        <v>6041.0452815412327</v>
      </c>
      <c r="AJ90" s="100">
        <v>5.2064774002766256</v>
      </c>
      <c r="AK90" s="100">
        <v>5772.9421414267226</v>
      </c>
      <c r="AL90" s="100">
        <v>6</v>
      </c>
      <c r="AM90" s="100">
        <v>6652.7999999999993</v>
      </c>
      <c r="AN90" s="100">
        <v>3</v>
      </c>
      <c r="AO90" s="100">
        <v>3326.3999999999996</v>
      </c>
      <c r="AP90" s="100">
        <v>5</v>
      </c>
      <c r="AQ90" s="100">
        <v>5544</v>
      </c>
      <c r="AR90" s="100">
        <v>3.4582357319739536</v>
      </c>
      <c r="AS90" s="100">
        <v>3834.4917796127197</v>
      </c>
      <c r="AT90" s="100">
        <v>5.9999999999999654</v>
      </c>
      <c r="AU90" s="100">
        <v>6652.7999999999611</v>
      </c>
      <c r="AV90" s="100">
        <v>4.2341428487404196</v>
      </c>
      <c r="AW90" s="100">
        <v>4694.8175906833767</v>
      </c>
      <c r="AX90" s="100">
        <v>3.1419563777275514</v>
      </c>
      <c r="AY90" s="100">
        <v>3483.8012316243089</v>
      </c>
      <c r="AZ90" s="100">
        <v>6.9758062726757544</v>
      </c>
      <c r="BA90" s="100">
        <v>7734.7739951428757</v>
      </c>
      <c r="BB90" s="100">
        <v>4.6284199171904286</v>
      </c>
      <c r="BC90" s="100">
        <v>5131.9920041807472</v>
      </c>
      <c r="BD90" s="100">
        <v>4</v>
      </c>
      <c r="BE90" s="100">
        <v>4435.2</v>
      </c>
      <c r="BF90" s="100">
        <v>4.4064009280657572</v>
      </c>
      <c r="BG90" s="100">
        <v>4885.817349039311</v>
      </c>
      <c r="BH90" s="100">
        <v>3.7499999999999782</v>
      </c>
      <c r="BI90" s="100">
        <v>4157.9999999999754</v>
      </c>
      <c r="BJ90" s="100">
        <v>2.8152155580585925</v>
      </c>
      <c r="BK90" s="100">
        <v>3121.5110107753671</v>
      </c>
      <c r="BL90" s="100">
        <v>1.6406817847149746</v>
      </c>
      <c r="BM90" s="100">
        <v>1819.1879628919637</v>
      </c>
      <c r="BN90" s="100">
        <v>5</v>
      </c>
      <c r="BO90" s="100">
        <v>5544</v>
      </c>
      <c r="BP90" s="100">
        <v>5</v>
      </c>
      <c r="BQ90" s="100">
        <v>5544</v>
      </c>
      <c r="BR90" s="100">
        <v>5</v>
      </c>
      <c r="BS90" s="100">
        <v>5544</v>
      </c>
      <c r="BT90" s="100">
        <v>3.6560135146330621</v>
      </c>
      <c r="BU90" s="100">
        <v>4053.7877850251393</v>
      </c>
      <c r="BV90" s="100">
        <v>4.7148746624389313</v>
      </c>
      <c r="BW90" s="100">
        <v>5227.8530257122866</v>
      </c>
      <c r="BX90" s="100">
        <v>1.6521550839087857</v>
      </c>
      <c r="BY90" s="100">
        <v>1831.9095570380616</v>
      </c>
      <c r="BZ90" s="100">
        <v>4</v>
      </c>
      <c r="CA90" s="100">
        <v>4435.2</v>
      </c>
      <c r="CB90" s="100">
        <v>5</v>
      </c>
      <c r="CC90" s="100">
        <v>5544</v>
      </c>
      <c r="CD90" s="100">
        <v>4.4507064046123688</v>
      </c>
      <c r="CE90" s="100">
        <v>4934.943261434194</v>
      </c>
      <c r="CF90" s="100">
        <v>1.544570519192475</v>
      </c>
      <c r="CG90" s="100">
        <v>1712.6197916806161</v>
      </c>
      <c r="CH90" s="100">
        <v>6.3464604402141651</v>
      </c>
      <c r="CI90" s="100">
        <v>7036.9553361094659</v>
      </c>
      <c r="CJ90" s="100">
        <v>3.5788098343696668</v>
      </c>
      <c r="CK90" s="100">
        <v>3968.1843443490866</v>
      </c>
      <c r="CL90" s="100">
        <v>4.9161702466983179</v>
      </c>
      <c r="CM90" s="100">
        <v>5451.0495695390946</v>
      </c>
      <c r="CN90" s="100">
        <v>3.8151564748213693</v>
      </c>
      <c r="CO90" s="100">
        <v>4230.2454992819339</v>
      </c>
      <c r="CP90" s="100">
        <v>4.2285306317605924</v>
      </c>
      <c r="CQ90" s="100">
        <v>4688.5947644961443</v>
      </c>
      <c r="CR90" s="100">
        <v>0.33304691569173983</v>
      </c>
      <c r="CS90" s="100">
        <v>369.28242011900113</v>
      </c>
      <c r="CT90" s="100">
        <v>4.4444444444444198</v>
      </c>
      <c r="CU90" s="100">
        <v>4927.9999999999727</v>
      </c>
    </row>
    <row r="91" spans="2:99">
      <c r="C91" s="99" t="s">
        <v>257</v>
      </c>
      <c r="D91" s="100">
        <v>5.6274633043658309</v>
      </c>
      <c r="E91" s="100">
        <v>6395.0492990813291</v>
      </c>
      <c r="F91" s="100">
        <v>5.0367712953746286</v>
      </c>
      <c r="G91" s="100">
        <v>5723.7869000637274</v>
      </c>
      <c r="H91" s="100">
        <v>1.8276727450368553</v>
      </c>
      <c r="I91" s="100">
        <v>2076.9673074598822</v>
      </c>
      <c r="J91" s="100">
        <v>3.2351721798700352</v>
      </c>
      <c r="K91" s="100">
        <v>3676.4496652043076</v>
      </c>
      <c r="L91" s="100">
        <v>4.6414366589232019</v>
      </c>
      <c r="M91" s="100">
        <v>5274.5286192003259</v>
      </c>
      <c r="N91" s="100">
        <v>2.368421052631565</v>
      </c>
      <c r="O91" s="100">
        <v>2691.4736842105103</v>
      </c>
      <c r="P91" s="100">
        <v>2.6647257583967394</v>
      </c>
      <c r="Q91" s="100">
        <v>3028.1943518420544</v>
      </c>
      <c r="R91" s="100">
        <v>3.8201598571483086</v>
      </c>
      <c r="S91" s="100">
        <v>4341.2296616633375</v>
      </c>
      <c r="T91" s="100">
        <v>4.5303427953615296</v>
      </c>
      <c r="U91" s="100">
        <v>5148.2815526488421</v>
      </c>
      <c r="V91" s="100">
        <v>4</v>
      </c>
      <c r="W91" s="100">
        <v>4545.5999999999995</v>
      </c>
      <c r="X91" s="100">
        <v>3.6653879397057083</v>
      </c>
      <c r="Y91" s="100">
        <v>4165.3468546815666</v>
      </c>
      <c r="Z91" s="100">
        <v>6.0185013838661376</v>
      </c>
      <c r="AA91" s="100">
        <v>6839.4249726254784</v>
      </c>
      <c r="AB91" s="100">
        <v>1.7012236750766814</v>
      </c>
      <c r="AC91" s="100">
        <v>1933.2705843571405</v>
      </c>
      <c r="AD91" s="100">
        <v>6.0939095499818317</v>
      </c>
      <c r="AE91" s="100">
        <v>6925.1188125993531</v>
      </c>
      <c r="AF91" s="100">
        <v>5.9999999999999654</v>
      </c>
      <c r="AG91" s="100">
        <v>6818.3999999999596</v>
      </c>
      <c r="AH91" s="100">
        <v>6.498081290625735</v>
      </c>
      <c r="AI91" s="100">
        <v>7384.4195786670844</v>
      </c>
      <c r="AJ91" s="100">
        <v>5.2064774002766256</v>
      </c>
      <c r="AK91" s="100">
        <v>5916.6409176743564</v>
      </c>
      <c r="AL91" s="100">
        <v>5</v>
      </c>
      <c r="AM91" s="100">
        <v>5681.9999999999991</v>
      </c>
      <c r="AN91" s="100">
        <v>4</v>
      </c>
      <c r="AO91" s="100">
        <v>4545.5999999999995</v>
      </c>
      <c r="AP91" s="100">
        <v>6</v>
      </c>
      <c r="AQ91" s="100">
        <v>6818.4</v>
      </c>
      <c r="AR91" s="100">
        <v>3.4582357319739536</v>
      </c>
      <c r="AS91" s="100">
        <v>3929.9390858152005</v>
      </c>
      <c r="AT91" s="100">
        <v>5.9999999999999654</v>
      </c>
      <c r="AU91" s="100">
        <v>6818.3999999999596</v>
      </c>
      <c r="AV91" s="100">
        <v>3.5722936235211153</v>
      </c>
      <c r="AW91" s="100">
        <v>4059.5544737693949</v>
      </c>
      <c r="AX91" s="100">
        <v>3.9274454721594396</v>
      </c>
      <c r="AY91" s="100">
        <v>4463.1490345619868</v>
      </c>
      <c r="AZ91" s="100">
        <v>5.9792625194363609</v>
      </c>
      <c r="BA91" s="100">
        <v>6794.8339270874794</v>
      </c>
      <c r="BB91" s="100">
        <v>4.6284199171904286</v>
      </c>
      <c r="BC91" s="100">
        <v>5259.7363938952021</v>
      </c>
      <c r="BD91" s="100">
        <v>4</v>
      </c>
      <c r="BE91" s="100">
        <v>4545.5999999999995</v>
      </c>
      <c r="BF91" s="100">
        <v>4.4064009280657572</v>
      </c>
      <c r="BG91" s="100">
        <v>5007.4340146539262</v>
      </c>
      <c r="BH91" s="100">
        <v>3.7499999999999782</v>
      </c>
      <c r="BI91" s="100">
        <v>4261.4999999999745</v>
      </c>
      <c r="BJ91" s="100">
        <v>2.785127075282948</v>
      </c>
      <c r="BK91" s="100">
        <v>3165.0184083515419</v>
      </c>
      <c r="BL91" s="100">
        <v>1.6406817847149746</v>
      </c>
      <c r="BM91" s="100">
        <v>1864.470780150097</v>
      </c>
      <c r="BN91" s="100">
        <v>5</v>
      </c>
      <c r="BO91" s="100">
        <v>5681.9999999999991</v>
      </c>
      <c r="BP91" s="100">
        <v>5</v>
      </c>
      <c r="BQ91" s="100">
        <v>5681.9999999999991</v>
      </c>
      <c r="BR91" s="100">
        <v>6</v>
      </c>
      <c r="BS91" s="100">
        <v>6818.4</v>
      </c>
      <c r="BT91" s="100">
        <v>3.6560135146330621</v>
      </c>
      <c r="BU91" s="100">
        <v>4154.6937580290114</v>
      </c>
      <c r="BV91" s="100">
        <v>4.6780128413344659</v>
      </c>
      <c r="BW91" s="100">
        <v>5316.0937928924868</v>
      </c>
      <c r="BX91" s="100">
        <v>2.0651938548859823</v>
      </c>
      <c r="BY91" s="100">
        <v>2346.8862966924298</v>
      </c>
      <c r="BZ91" s="100">
        <v>4</v>
      </c>
      <c r="CA91" s="100">
        <v>4545.5999999999995</v>
      </c>
      <c r="CB91" s="100">
        <v>5</v>
      </c>
      <c r="CC91" s="100">
        <v>5681.9999999999991</v>
      </c>
      <c r="CD91" s="100">
        <v>4.4097330951021529</v>
      </c>
      <c r="CE91" s="100">
        <v>5011.220689274086</v>
      </c>
      <c r="CF91" s="100">
        <v>1.544570519192475</v>
      </c>
      <c r="CG91" s="100">
        <v>1755.2499380103284</v>
      </c>
      <c r="CH91" s="100">
        <v>5.3464604402141651</v>
      </c>
      <c r="CI91" s="100">
        <v>6075.7176442593764</v>
      </c>
      <c r="CJ91" s="100">
        <v>3.5788098343696668</v>
      </c>
      <c r="CK91" s="100">
        <v>4066.959495777689</v>
      </c>
      <c r="CL91" s="100">
        <v>4.1085000698159577</v>
      </c>
      <c r="CM91" s="100">
        <v>4668.8994793388538</v>
      </c>
      <c r="CN91" s="100">
        <v>4.578187769785643</v>
      </c>
      <c r="CO91" s="100">
        <v>5202.6525815844043</v>
      </c>
      <c r="CP91" s="100">
        <v>4.2368624622004143</v>
      </c>
      <c r="CQ91" s="100">
        <v>4814.7705020445501</v>
      </c>
      <c r="CR91" s="100">
        <v>0.33304691569173983</v>
      </c>
      <c r="CS91" s="100">
        <v>378.47451499209308</v>
      </c>
      <c r="CT91" s="100">
        <v>5.3333333333333046</v>
      </c>
      <c r="CU91" s="100">
        <v>6060.7999999999665</v>
      </c>
    </row>
    <row r="92" spans="2:99">
      <c r="C92" s="99" t="s">
        <v>258</v>
      </c>
      <c r="D92" s="100">
        <v>5.6274633043658309</v>
      </c>
      <c r="E92" s="100">
        <v>4416.4332012663035</v>
      </c>
      <c r="F92" s="100">
        <v>6</v>
      </c>
      <c r="G92" s="100">
        <v>4708.7999999999993</v>
      </c>
      <c r="H92" s="100">
        <v>2.2739467288460284</v>
      </c>
      <c r="I92" s="100">
        <v>1784.5933927983631</v>
      </c>
      <c r="J92" s="100">
        <v>3.2351721798700352</v>
      </c>
      <c r="K92" s="100">
        <v>2538.9631267620034</v>
      </c>
      <c r="L92" s="100">
        <v>4.6414366589232019</v>
      </c>
      <c r="M92" s="100">
        <v>3642.5994899229286</v>
      </c>
      <c r="N92" s="100">
        <v>2.368421052631565</v>
      </c>
      <c r="O92" s="100">
        <v>1858.7368421052522</v>
      </c>
      <c r="P92" s="100">
        <v>3.5529676778623194</v>
      </c>
      <c r="Q92" s="100">
        <v>2788.369033586348</v>
      </c>
      <c r="R92" s="100">
        <v>3.8201598571483086</v>
      </c>
      <c r="S92" s="100">
        <v>2998.0614558899924</v>
      </c>
      <c r="T92" s="100">
        <v>4.5303427953615296</v>
      </c>
      <c r="U92" s="100">
        <v>3555.4130257997281</v>
      </c>
      <c r="V92" s="100">
        <v>4</v>
      </c>
      <c r="W92" s="100">
        <v>3139.2</v>
      </c>
      <c r="X92" s="100">
        <v>4.5817349246321353</v>
      </c>
      <c r="Y92" s="100">
        <v>3595.7455688512996</v>
      </c>
      <c r="Z92" s="100">
        <v>5.0766812927904716</v>
      </c>
      <c r="AA92" s="100">
        <v>3984.179478581962</v>
      </c>
      <c r="AB92" s="100">
        <v>1.9847609542561282</v>
      </c>
      <c r="AC92" s="100">
        <v>1557.6403969002092</v>
      </c>
      <c r="AD92" s="100">
        <v>5.7495745333816544</v>
      </c>
      <c r="AE92" s="100">
        <v>4512.2660937979217</v>
      </c>
      <c r="AF92" s="100">
        <v>5.9999999999999654</v>
      </c>
      <c r="AG92" s="100">
        <v>4708.7999999999729</v>
      </c>
      <c r="AH92" s="100">
        <v>5.4482731615631614</v>
      </c>
      <c r="AI92" s="100">
        <v>4275.8047771947686</v>
      </c>
      <c r="AJ92" s="100">
        <v>5.2064774002766256</v>
      </c>
      <c r="AK92" s="100">
        <v>4086.0434637370954</v>
      </c>
      <c r="AL92" s="100">
        <v>5</v>
      </c>
      <c r="AM92" s="100">
        <v>3924</v>
      </c>
      <c r="AN92" s="100">
        <v>4</v>
      </c>
      <c r="AO92" s="100">
        <v>3139.2</v>
      </c>
      <c r="AP92" s="100">
        <v>6</v>
      </c>
      <c r="AQ92" s="100">
        <v>4708.7999999999993</v>
      </c>
      <c r="AR92" s="100">
        <v>3.4582357319739536</v>
      </c>
      <c r="AS92" s="100">
        <v>2714.0234024531587</v>
      </c>
      <c r="AT92" s="100">
        <v>5.142857142857113</v>
      </c>
      <c r="AU92" s="100">
        <v>4036.1142857142622</v>
      </c>
      <c r="AV92" s="100">
        <v>3.5722936235211153</v>
      </c>
      <c r="AW92" s="100">
        <v>2803.5360357393711</v>
      </c>
      <c r="AX92" s="100">
        <v>3.9274454721594396</v>
      </c>
      <c r="AY92" s="100">
        <v>3082.2592065507279</v>
      </c>
      <c r="AZ92" s="100">
        <v>5.9792625194363609</v>
      </c>
      <c r="BA92" s="100">
        <v>4692.5252252536557</v>
      </c>
      <c r="BB92" s="100">
        <v>4.6284199171904286</v>
      </c>
      <c r="BC92" s="100">
        <v>3632.3839510110483</v>
      </c>
      <c r="BD92" s="100">
        <v>4</v>
      </c>
      <c r="BE92" s="100">
        <v>3139.2</v>
      </c>
      <c r="BF92" s="100">
        <v>4.4064009280657572</v>
      </c>
      <c r="BG92" s="100">
        <v>3458.1434483460062</v>
      </c>
      <c r="BH92" s="100">
        <v>3.7499999999999782</v>
      </c>
      <c r="BI92" s="100">
        <v>2942.9999999999827</v>
      </c>
      <c r="BJ92" s="100">
        <v>2.1640665134013228</v>
      </c>
      <c r="BK92" s="100">
        <v>1698.359399717358</v>
      </c>
      <c r="BL92" s="100">
        <v>2.0508522308937183</v>
      </c>
      <c r="BM92" s="100">
        <v>1609.5088308053901</v>
      </c>
      <c r="BN92" s="100">
        <v>5</v>
      </c>
      <c r="BO92" s="100">
        <v>3924</v>
      </c>
      <c r="BP92" s="100">
        <v>5</v>
      </c>
      <c r="BQ92" s="100">
        <v>3924</v>
      </c>
      <c r="BR92" s="100">
        <v>5</v>
      </c>
      <c r="BS92" s="100">
        <v>3924</v>
      </c>
      <c r="BT92" s="100">
        <v>2.7420101359747968</v>
      </c>
      <c r="BU92" s="100">
        <v>2151.9295547130205</v>
      </c>
      <c r="BV92" s="100">
        <v>4.7148746624389313</v>
      </c>
      <c r="BW92" s="100">
        <v>3700.2336350820729</v>
      </c>
      <c r="BX92" s="100">
        <v>2.0651938548859823</v>
      </c>
      <c r="BY92" s="100">
        <v>1620.7641373145188</v>
      </c>
      <c r="BZ92" s="100">
        <v>4</v>
      </c>
      <c r="CA92" s="100">
        <v>3139.2</v>
      </c>
      <c r="CB92" s="100">
        <v>5</v>
      </c>
      <c r="CC92" s="100">
        <v>3924</v>
      </c>
      <c r="CD92" s="100">
        <v>4.4507064046123688</v>
      </c>
      <c r="CE92" s="100">
        <v>3492.9143863397867</v>
      </c>
      <c r="CF92" s="100">
        <v>1.930713148990594</v>
      </c>
      <c r="CG92" s="100">
        <v>1515.223679327818</v>
      </c>
      <c r="CH92" s="100">
        <v>6.3464604402141651</v>
      </c>
      <c r="CI92" s="100">
        <v>4980.702153480076</v>
      </c>
      <c r="CJ92" s="100">
        <v>3.8551916443880714</v>
      </c>
      <c r="CK92" s="100">
        <v>3025.5544025157583</v>
      </c>
      <c r="CL92" s="100">
        <v>4.8810956539962396</v>
      </c>
      <c r="CM92" s="100">
        <v>3830.6838692562487</v>
      </c>
      <c r="CN92" s="100">
        <v>3.8209093638574365</v>
      </c>
      <c r="CO92" s="100">
        <v>2998.6496687553158</v>
      </c>
      <c r="CP92" s="100">
        <v>4.9249539066142027</v>
      </c>
      <c r="CQ92" s="100">
        <v>3865.1038259108259</v>
      </c>
      <c r="CR92" s="100">
        <v>0.33304691569173983</v>
      </c>
      <c r="CS92" s="100">
        <v>261.37521943487741</v>
      </c>
      <c r="CT92" s="100">
        <v>5.3333333333333046</v>
      </c>
      <c r="CU92" s="100">
        <v>4185.5999999999776</v>
      </c>
    </row>
    <row r="93" spans="2:99">
      <c r="C93" s="99" t="s">
        <v>259</v>
      </c>
      <c r="D93" s="100">
        <v>5.6274633043658309</v>
      </c>
      <c r="E93" s="100">
        <v>3903.2085479081402</v>
      </c>
      <c r="F93" s="100">
        <v>6</v>
      </c>
      <c r="G93" s="100">
        <v>4161.6000000000004</v>
      </c>
      <c r="H93" s="100">
        <v>2.2597544589126399</v>
      </c>
      <c r="I93" s="100">
        <v>1567.3656927018071</v>
      </c>
      <c r="J93" s="100">
        <v>4.0439652248375442</v>
      </c>
      <c r="K93" s="100">
        <v>2804.8942799473207</v>
      </c>
      <c r="L93" s="100">
        <v>5.5697239907078426</v>
      </c>
      <c r="M93" s="100">
        <v>3863.1605599549598</v>
      </c>
      <c r="N93" s="100">
        <v>3.1578947368420867</v>
      </c>
      <c r="O93" s="100">
        <v>2190.3157894736714</v>
      </c>
      <c r="P93" s="100">
        <v>3.5529676778623194</v>
      </c>
      <c r="Q93" s="100">
        <v>2464.3383813653049</v>
      </c>
      <c r="R93" s="100">
        <v>4.7751998214353861</v>
      </c>
      <c r="S93" s="100">
        <v>3312.078596147584</v>
      </c>
      <c r="T93" s="100">
        <v>4.7573025799749606</v>
      </c>
      <c r="U93" s="100">
        <v>3299.6650694706327</v>
      </c>
      <c r="V93" s="100">
        <v>4</v>
      </c>
      <c r="W93" s="100">
        <v>2774.4</v>
      </c>
      <c r="X93" s="100">
        <v>3.6653879397057083</v>
      </c>
      <c r="Y93" s="100">
        <v>2542.3130749798793</v>
      </c>
      <c r="Z93" s="100">
        <v>5.0766812927904716</v>
      </c>
      <c r="AA93" s="100">
        <v>3521.1861446794715</v>
      </c>
      <c r="AB93" s="100">
        <v>1.9847609542561282</v>
      </c>
      <c r="AC93" s="100">
        <v>1376.6301978720505</v>
      </c>
      <c r="AD93" s="100">
        <v>6.0939095499818317</v>
      </c>
      <c r="AE93" s="100">
        <v>4226.7356638673982</v>
      </c>
      <c r="AF93" s="100">
        <v>5.9999999999999654</v>
      </c>
      <c r="AG93" s="100">
        <v>4161.5999999999758</v>
      </c>
      <c r="AH93" s="100">
        <v>5.498081290625735</v>
      </c>
      <c r="AI93" s="100">
        <v>3813.4691831780101</v>
      </c>
      <c r="AJ93" s="100">
        <v>5.2064774002766256</v>
      </c>
      <c r="AK93" s="100">
        <v>3611.2127248318675</v>
      </c>
      <c r="AL93" s="100">
        <v>5</v>
      </c>
      <c r="AM93" s="100">
        <v>3468</v>
      </c>
      <c r="AN93" s="100">
        <v>4</v>
      </c>
      <c r="AO93" s="100">
        <v>2774.4</v>
      </c>
      <c r="AP93" s="100">
        <v>6</v>
      </c>
      <c r="AQ93" s="100">
        <v>4161.6000000000004</v>
      </c>
      <c r="AR93" s="100">
        <v>3.4582357319739536</v>
      </c>
      <c r="AS93" s="100">
        <v>2398.6323036971344</v>
      </c>
      <c r="AT93" s="100">
        <v>5.142857142857113</v>
      </c>
      <c r="AU93" s="100">
        <v>3567.0857142856939</v>
      </c>
      <c r="AV93" s="100">
        <v>3.5722936235211153</v>
      </c>
      <c r="AW93" s="100">
        <v>2477.7428572742456</v>
      </c>
      <c r="AX93" s="100">
        <v>3.1419563777275514</v>
      </c>
      <c r="AY93" s="100">
        <v>2179.2609435918298</v>
      </c>
      <c r="AZ93" s="100">
        <v>5.9792625194363609</v>
      </c>
      <c r="BA93" s="100">
        <v>4147.2164834810601</v>
      </c>
      <c r="BB93" s="100">
        <v>4.6284199171904286</v>
      </c>
      <c r="BC93" s="100">
        <v>3210.2720545632815</v>
      </c>
      <c r="BD93" s="100">
        <v>4</v>
      </c>
      <c r="BE93" s="100">
        <v>2774.4</v>
      </c>
      <c r="BF93" s="100">
        <v>5.2876811136789081</v>
      </c>
      <c r="BG93" s="100">
        <v>3667.5356204476907</v>
      </c>
      <c r="BH93" s="100">
        <v>3.7499999999999782</v>
      </c>
      <c r="BI93" s="100">
        <v>2600.999999999985</v>
      </c>
      <c r="BJ93" s="100">
        <v>2.8152155580585925</v>
      </c>
      <c r="BK93" s="100">
        <v>1952.6335110694397</v>
      </c>
      <c r="BL93" s="100">
        <v>1.6406817847149746</v>
      </c>
      <c r="BM93" s="100">
        <v>1137.9768858783063</v>
      </c>
      <c r="BN93" s="100">
        <v>5</v>
      </c>
      <c r="BO93" s="100">
        <v>3468</v>
      </c>
      <c r="BP93" s="100">
        <v>6</v>
      </c>
      <c r="BQ93" s="100">
        <v>4161.6000000000004</v>
      </c>
      <c r="BR93" s="100">
        <v>6</v>
      </c>
      <c r="BS93" s="100">
        <v>4161.6000000000004</v>
      </c>
      <c r="BT93" s="100">
        <v>3.6560135146330621</v>
      </c>
      <c r="BU93" s="100">
        <v>2535.810973749492</v>
      </c>
      <c r="BV93" s="100">
        <v>4.7148746624389313</v>
      </c>
      <c r="BW93" s="100">
        <v>3270.2370658676427</v>
      </c>
      <c r="BX93" s="100">
        <v>2.0651938548859823</v>
      </c>
      <c r="BY93" s="100">
        <v>1432.4184577489173</v>
      </c>
      <c r="BZ93" s="100">
        <v>4</v>
      </c>
      <c r="CA93" s="100">
        <v>2774.4</v>
      </c>
      <c r="CB93" s="100">
        <v>5</v>
      </c>
      <c r="CC93" s="100">
        <v>3468</v>
      </c>
      <c r="CD93" s="100">
        <v>4.5326530236327987</v>
      </c>
      <c r="CE93" s="100">
        <v>3143.8481371917092</v>
      </c>
      <c r="CF93" s="100">
        <v>1.930713148990594</v>
      </c>
      <c r="CG93" s="100">
        <v>1339.142640139876</v>
      </c>
      <c r="CH93" s="100">
        <v>6.3464604402141651</v>
      </c>
      <c r="CI93" s="100">
        <v>4401.9049613325451</v>
      </c>
      <c r="CJ93" s="100">
        <v>3.8859007343901157</v>
      </c>
      <c r="CK93" s="100">
        <v>2695.2607493729843</v>
      </c>
      <c r="CL93" s="100">
        <v>4.1435746625180361</v>
      </c>
      <c r="CM93" s="100">
        <v>2873.98338592251</v>
      </c>
      <c r="CN93" s="100">
        <v>4.578187769785643</v>
      </c>
      <c r="CO93" s="100">
        <v>3175.4310371233223</v>
      </c>
      <c r="CP93" s="100">
        <v>5.621377181467814</v>
      </c>
      <c r="CQ93" s="100">
        <v>3898.987213066076</v>
      </c>
      <c r="CR93" s="100">
        <v>0.33304691569173983</v>
      </c>
      <c r="CS93" s="100">
        <v>231.00134072379075</v>
      </c>
      <c r="CT93" s="100">
        <v>4.4444444444444198</v>
      </c>
      <c r="CU93" s="100">
        <v>3082.6666666666497</v>
      </c>
    </row>
    <row r="94" spans="2:99">
      <c r="C94" s="99" t="s">
        <v>260</v>
      </c>
      <c r="D94" s="100">
        <v>6.5653738550934699</v>
      </c>
      <c r="E94" s="100">
        <v>7831.1779343554908</v>
      </c>
      <c r="F94" s="100">
        <v>5</v>
      </c>
      <c r="G94" s="100">
        <v>5964</v>
      </c>
      <c r="H94" s="100">
        <v>2.2597544589126399</v>
      </c>
      <c r="I94" s="100">
        <v>2695.4351185909968</v>
      </c>
      <c r="J94" s="100">
        <v>3.2483594733406638</v>
      </c>
      <c r="K94" s="100">
        <v>3874.6431798007434</v>
      </c>
      <c r="L94" s="100">
        <v>4.6414366589232019</v>
      </c>
      <c r="M94" s="100">
        <v>5536.3056467635952</v>
      </c>
      <c r="N94" s="100">
        <v>2.368421052631565</v>
      </c>
      <c r="O94" s="100">
        <v>2825.0526315789307</v>
      </c>
      <c r="P94" s="100">
        <v>3.5529676778623194</v>
      </c>
      <c r="Q94" s="100">
        <v>4237.9798461541741</v>
      </c>
      <c r="R94" s="100">
        <v>3.8201598571483086</v>
      </c>
      <c r="S94" s="100">
        <v>4556.6866776065026</v>
      </c>
      <c r="T94" s="100">
        <v>5.6917411121239452</v>
      </c>
      <c r="U94" s="100">
        <v>6789.1087985414415</v>
      </c>
      <c r="V94" s="100">
        <v>4</v>
      </c>
      <c r="W94" s="100">
        <v>4771.2</v>
      </c>
      <c r="X94" s="100">
        <v>3.6653879397057083</v>
      </c>
      <c r="Y94" s="100">
        <v>4372.0747344809688</v>
      </c>
      <c r="Z94" s="100">
        <v>5.1175236080584856</v>
      </c>
      <c r="AA94" s="100">
        <v>6104.1821596921618</v>
      </c>
      <c r="AB94" s="100">
        <v>1.7012236750766814</v>
      </c>
      <c r="AC94" s="100">
        <v>2029.2195996314654</v>
      </c>
      <c r="AD94" s="100">
        <v>5.1043439444242669</v>
      </c>
      <c r="AE94" s="100">
        <v>6088.4614569092655</v>
      </c>
      <c r="AF94" s="100">
        <v>5.9999999999999654</v>
      </c>
      <c r="AG94" s="100">
        <v>7156.7999999999583</v>
      </c>
      <c r="AH94" s="100">
        <v>6.498081290625735</v>
      </c>
      <c r="AI94" s="100">
        <v>7750.9113634583764</v>
      </c>
      <c r="AJ94" s="100">
        <v>5.2064774002766256</v>
      </c>
      <c r="AK94" s="100">
        <v>6210.286243049959</v>
      </c>
      <c r="AL94" s="100">
        <v>5</v>
      </c>
      <c r="AM94" s="100">
        <v>5964</v>
      </c>
      <c r="AN94" s="100">
        <v>4</v>
      </c>
      <c r="AO94" s="100">
        <v>4771.2</v>
      </c>
      <c r="AP94" s="100">
        <v>5</v>
      </c>
      <c r="AQ94" s="100">
        <v>5964</v>
      </c>
      <c r="AR94" s="100">
        <v>3.4582357319739536</v>
      </c>
      <c r="AS94" s="100">
        <v>4124.9835810985314</v>
      </c>
      <c r="AT94" s="100">
        <v>5.142857142857113</v>
      </c>
      <c r="AU94" s="100">
        <v>6134.3999999999642</v>
      </c>
      <c r="AV94" s="100">
        <v>3.5722936235211153</v>
      </c>
      <c r="AW94" s="100">
        <v>4261.0318341359862</v>
      </c>
      <c r="AX94" s="100">
        <v>3.1419563777275514</v>
      </c>
      <c r="AY94" s="100">
        <v>3747.7255673534232</v>
      </c>
      <c r="AZ94" s="100">
        <v>5.9792625194363609</v>
      </c>
      <c r="BA94" s="100">
        <v>7132.0643331836909</v>
      </c>
      <c r="BB94" s="100">
        <v>4.6284199171904286</v>
      </c>
      <c r="BC94" s="100">
        <v>5520.7792772247431</v>
      </c>
      <c r="BD94" s="100">
        <v>4</v>
      </c>
      <c r="BE94" s="100">
        <v>4771.2</v>
      </c>
      <c r="BF94" s="100">
        <v>4.4064009280657572</v>
      </c>
      <c r="BG94" s="100">
        <v>5255.9550269968349</v>
      </c>
      <c r="BH94" s="100">
        <v>3.7499999999999782</v>
      </c>
      <c r="BI94" s="100">
        <v>4472.9999999999736</v>
      </c>
      <c r="BJ94" s="100">
        <v>2.785127075282948</v>
      </c>
      <c r="BK94" s="100">
        <v>3322.0995753975003</v>
      </c>
      <c r="BL94" s="100">
        <v>1.6406817847149746</v>
      </c>
      <c r="BM94" s="100">
        <v>1957.0052328080217</v>
      </c>
      <c r="BN94" s="100">
        <v>5</v>
      </c>
      <c r="BO94" s="100">
        <v>5964</v>
      </c>
      <c r="BP94" s="100">
        <v>5</v>
      </c>
      <c r="BQ94" s="100">
        <v>5964</v>
      </c>
      <c r="BR94" s="100">
        <v>5</v>
      </c>
      <c r="BS94" s="100">
        <v>5964</v>
      </c>
      <c r="BT94" s="100">
        <v>3.6560135146330621</v>
      </c>
      <c r="BU94" s="100">
        <v>4360.8929202543168</v>
      </c>
      <c r="BV94" s="100">
        <v>3.9720676766543184</v>
      </c>
      <c r="BW94" s="100">
        <v>4737.8823247132705</v>
      </c>
      <c r="BX94" s="100">
        <v>1.6521550839087857</v>
      </c>
      <c r="BY94" s="100">
        <v>1970.6905840863994</v>
      </c>
      <c r="BZ94" s="100">
        <v>4</v>
      </c>
      <c r="CA94" s="100">
        <v>4771.2</v>
      </c>
      <c r="CB94" s="100">
        <v>5</v>
      </c>
      <c r="CC94" s="100">
        <v>5964</v>
      </c>
      <c r="CD94" s="100">
        <v>4.4507064046123688</v>
      </c>
      <c r="CE94" s="100">
        <v>5308.8025994216332</v>
      </c>
      <c r="CF94" s="100">
        <v>1.544570519192475</v>
      </c>
      <c r="CG94" s="100">
        <v>1842.363715292784</v>
      </c>
      <c r="CH94" s="100">
        <v>6.3897679952409359</v>
      </c>
      <c r="CI94" s="100">
        <v>7621.7152647233879</v>
      </c>
      <c r="CJ94" s="100">
        <v>3.8244825543860261</v>
      </c>
      <c r="CK94" s="100">
        <v>4561.8427908716521</v>
      </c>
      <c r="CL94" s="100">
        <v>4.1786492552201135</v>
      </c>
      <c r="CM94" s="100">
        <v>4984.2928316265516</v>
      </c>
      <c r="CN94" s="100">
        <v>3.8209093638574365</v>
      </c>
      <c r="CO94" s="100">
        <v>4557.5806892091505</v>
      </c>
      <c r="CP94" s="100">
        <v>4.9249539066142027</v>
      </c>
      <c r="CQ94" s="100">
        <v>5874.4850198094209</v>
      </c>
      <c r="CR94" s="100">
        <v>0.33304691569173983</v>
      </c>
      <c r="CS94" s="100">
        <v>397.25836103710725</v>
      </c>
      <c r="CT94" s="100">
        <v>5.3333333333333046</v>
      </c>
      <c r="CU94" s="100">
        <v>6361.5999999999658</v>
      </c>
    </row>
    <row r="95" spans="2:99">
      <c r="B95" s="99" t="s">
        <v>132</v>
      </c>
      <c r="C95" s="99" t="s">
        <v>261</v>
      </c>
      <c r="D95" s="100">
        <v>9.3791055072763854</v>
      </c>
      <c r="E95" s="100">
        <v>3083.8498907924754</v>
      </c>
      <c r="F95" s="100">
        <v>7.0367712953746286</v>
      </c>
      <c r="G95" s="100">
        <v>2313.6904019191779</v>
      </c>
      <c r="H95" s="100">
        <v>2.5924902832547065</v>
      </c>
      <c r="I95" s="100">
        <v>852.41080513414749</v>
      </c>
      <c r="J95" s="100">
        <v>8.1027661548295438</v>
      </c>
      <c r="K95" s="100">
        <v>2664.1895117079539</v>
      </c>
      <c r="L95" s="100">
        <v>8.3545859860617639</v>
      </c>
      <c r="M95" s="100">
        <v>2746.9878722171079</v>
      </c>
      <c r="N95" s="100">
        <v>7.8947368421052166</v>
      </c>
      <c r="O95" s="100">
        <v>2595.7894736841954</v>
      </c>
      <c r="P95" s="100">
        <v>7.9941772751902178</v>
      </c>
      <c r="Q95" s="100">
        <v>2628.4854880825437</v>
      </c>
      <c r="R95" s="100">
        <v>6.7615989901580038</v>
      </c>
      <c r="S95" s="100">
        <v>2223.2137479639518</v>
      </c>
      <c r="T95" s="100">
        <v>7.2485484725784479</v>
      </c>
      <c r="U95" s="100">
        <v>2383.3227377837939</v>
      </c>
      <c r="V95" s="100">
        <v>7</v>
      </c>
      <c r="W95" s="100">
        <v>2301.6</v>
      </c>
      <c r="X95" s="100">
        <v>10.127496309806794</v>
      </c>
      <c r="Y95" s="100">
        <v>3329.9207866644742</v>
      </c>
      <c r="Z95" s="100">
        <v>6.1001860144021691</v>
      </c>
      <c r="AA95" s="100">
        <v>2005.7411615354333</v>
      </c>
      <c r="AB95" s="100">
        <v>2.5875030533419565</v>
      </c>
      <c r="AC95" s="100">
        <v>850.77100393883529</v>
      </c>
      <c r="AD95" s="100">
        <v>6.0626063666545429</v>
      </c>
      <c r="AE95" s="100">
        <v>1993.3849733560137</v>
      </c>
      <c r="AF95" s="100">
        <v>5.9999999999999654</v>
      </c>
      <c r="AG95" s="100">
        <v>1972.7999999999886</v>
      </c>
      <c r="AH95" s="100">
        <v>6.6475056778134558</v>
      </c>
      <c r="AI95" s="100">
        <v>2185.6998668650645</v>
      </c>
      <c r="AJ95" s="100">
        <v>8.6774623337943773</v>
      </c>
      <c r="AK95" s="100">
        <v>2853.1496153515914</v>
      </c>
      <c r="AL95" s="100">
        <v>11</v>
      </c>
      <c r="AM95" s="100">
        <v>3616.8</v>
      </c>
      <c r="AN95" s="100">
        <v>7</v>
      </c>
      <c r="AO95" s="100">
        <v>2301.6</v>
      </c>
      <c r="AP95" s="100">
        <v>10</v>
      </c>
      <c r="AQ95" s="100">
        <v>3288</v>
      </c>
      <c r="AR95" s="100">
        <v>9.5101482629283716</v>
      </c>
      <c r="AS95" s="100">
        <v>3126.9367488508487</v>
      </c>
      <c r="AT95" s="100">
        <v>5.9999999999999654</v>
      </c>
      <c r="AU95" s="100">
        <v>1972.7999999999886</v>
      </c>
      <c r="AV95" s="100">
        <v>7.5433889748369385</v>
      </c>
      <c r="AW95" s="100">
        <v>2480.2662949263854</v>
      </c>
      <c r="AX95" s="100">
        <v>6.2839127554551029</v>
      </c>
      <c r="AY95" s="100">
        <v>2066.150513993638</v>
      </c>
      <c r="AZ95" s="100">
        <v>6.9758062726757544</v>
      </c>
      <c r="BA95" s="100">
        <v>2293.6451024557882</v>
      </c>
      <c r="BB95" s="100">
        <v>5.9508256078162649</v>
      </c>
      <c r="BC95" s="100">
        <v>1956.631459849988</v>
      </c>
      <c r="BD95" s="100">
        <v>7</v>
      </c>
      <c r="BE95" s="100">
        <v>2301.6</v>
      </c>
      <c r="BF95" s="100">
        <v>8.8128018561315145</v>
      </c>
      <c r="BG95" s="100">
        <v>2897.6492502960418</v>
      </c>
      <c r="BH95" s="100">
        <v>7.4999999999999565</v>
      </c>
      <c r="BI95" s="100">
        <v>2465.9999999999859</v>
      </c>
      <c r="BJ95" s="100">
        <v>6.7521983087778574</v>
      </c>
      <c r="BK95" s="100">
        <v>2220.1228039261596</v>
      </c>
      <c r="BL95" s="100">
        <v>4.1017044617874365</v>
      </c>
      <c r="BM95" s="100">
        <v>1348.6404270357091</v>
      </c>
      <c r="BN95" s="100">
        <v>8</v>
      </c>
      <c r="BO95" s="100">
        <v>2630.4</v>
      </c>
      <c r="BP95" s="100">
        <v>8</v>
      </c>
      <c r="BQ95" s="100">
        <v>2630.4</v>
      </c>
      <c r="BR95" s="100">
        <v>9</v>
      </c>
      <c r="BS95" s="100">
        <v>2959.2000000000003</v>
      </c>
      <c r="BT95" s="100">
        <v>10.968040543899187</v>
      </c>
      <c r="BU95" s="100">
        <v>3606.2917308340529</v>
      </c>
      <c r="BV95" s="100">
        <v>5.4576816482235442</v>
      </c>
      <c r="BW95" s="100">
        <v>1794.4857259359014</v>
      </c>
      <c r="BX95" s="100">
        <v>3.7173489387947685</v>
      </c>
      <c r="BY95" s="100">
        <v>1222.2643310757198</v>
      </c>
      <c r="BZ95" s="100">
        <v>10</v>
      </c>
      <c r="CA95" s="100">
        <v>3288</v>
      </c>
      <c r="CB95" s="100">
        <v>8</v>
      </c>
      <c r="CC95" s="100">
        <v>2630.4</v>
      </c>
      <c r="CD95" s="100">
        <v>11</v>
      </c>
      <c r="CE95" s="100">
        <v>3616.8</v>
      </c>
      <c r="CF95" s="100">
        <v>4.2475689277793069</v>
      </c>
      <c r="CG95" s="100">
        <v>1396.6006634538362</v>
      </c>
      <c r="CH95" s="100">
        <v>9.346460440214166</v>
      </c>
      <c r="CI95" s="100">
        <v>3073.1161927424178</v>
      </c>
      <c r="CJ95" s="100">
        <v>6.4418577018654002</v>
      </c>
      <c r="CK95" s="100">
        <v>2118.0828123733436</v>
      </c>
      <c r="CL95" s="100">
        <v>5.7589150162827556</v>
      </c>
      <c r="CM95" s="100">
        <v>1893.5312573537701</v>
      </c>
      <c r="CN95" s="100">
        <v>5.3009488414974495</v>
      </c>
      <c r="CO95" s="100">
        <v>1742.9519790843615</v>
      </c>
      <c r="CP95" s="100">
        <v>6.3594596085205319</v>
      </c>
      <c r="CQ95" s="100">
        <v>2090.9903192815509</v>
      </c>
      <c r="CR95" s="100">
        <v>0.47578130813105685</v>
      </c>
      <c r="CS95" s="100">
        <v>156.43689411349149</v>
      </c>
      <c r="CT95" s="100">
        <v>6.2222222222221886</v>
      </c>
      <c r="CU95" s="100">
        <v>2045.8666666666556</v>
      </c>
    </row>
    <row r="96" spans="2:99">
      <c r="C96" s="99" t="s">
        <v>262</v>
      </c>
      <c r="D96" s="100">
        <v>9.3791055072763854</v>
      </c>
      <c r="E96" s="100">
        <v>6516.6025064556325</v>
      </c>
      <c r="F96" s="100">
        <v>8.0321748834528002</v>
      </c>
      <c r="G96" s="100">
        <v>5580.7551090230054</v>
      </c>
      <c r="H96" s="100">
        <v>2.1604085693789221</v>
      </c>
      <c r="I96" s="100">
        <v>1501.0518740044749</v>
      </c>
      <c r="J96" s="100">
        <v>8.0879304496750883</v>
      </c>
      <c r="K96" s="100">
        <v>5619.4940764342509</v>
      </c>
      <c r="L96" s="100">
        <v>8.3545859860617639</v>
      </c>
      <c r="M96" s="100">
        <v>5804.7663431157134</v>
      </c>
      <c r="N96" s="100">
        <v>8.6842105263157396</v>
      </c>
      <c r="O96" s="100">
        <v>6033.7894736841754</v>
      </c>
      <c r="P96" s="100">
        <v>7.1059353557246387</v>
      </c>
      <c r="Q96" s="100">
        <v>4937.2038851574789</v>
      </c>
      <c r="R96" s="100">
        <v>6.6852797500095402</v>
      </c>
      <c r="S96" s="100">
        <v>4644.9323703066284</v>
      </c>
      <c r="T96" s="100">
        <v>7.2485484725784479</v>
      </c>
      <c r="U96" s="100">
        <v>5036.2914787475056</v>
      </c>
      <c r="V96" s="100">
        <v>7</v>
      </c>
      <c r="W96" s="100">
        <v>4863.5999999999995</v>
      </c>
      <c r="X96" s="100">
        <v>9.2111493248803669</v>
      </c>
      <c r="Y96" s="100">
        <v>6399.9065509268785</v>
      </c>
      <c r="Z96" s="100">
        <v>6.0185013838661376</v>
      </c>
      <c r="AA96" s="100">
        <v>4181.6547615101917</v>
      </c>
      <c r="AB96" s="100">
        <v>2.5875030533419565</v>
      </c>
      <c r="AC96" s="100">
        <v>1797.7971214619913</v>
      </c>
      <c r="AD96" s="100">
        <v>5.1043439444242669</v>
      </c>
      <c r="AE96" s="100">
        <v>3546.4981725859802</v>
      </c>
      <c r="AF96" s="100">
        <v>5.9999999999999654</v>
      </c>
      <c r="AG96" s="100">
        <v>4168.7999999999756</v>
      </c>
      <c r="AH96" s="100">
        <v>5.5976975487508822</v>
      </c>
      <c r="AI96" s="100">
        <v>3889.2802568721127</v>
      </c>
      <c r="AJ96" s="100">
        <v>8.6774623337943773</v>
      </c>
      <c r="AK96" s="100">
        <v>6029.1008295203328</v>
      </c>
      <c r="AL96" s="100">
        <v>9</v>
      </c>
      <c r="AM96" s="100">
        <v>6253.2</v>
      </c>
      <c r="AN96" s="100">
        <v>7</v>
      </c>
      <c r="AO96" s="100">
        <v>4863.5999999999995</v>
      </c>
      <c r="AP96" s="100">
        <v>9</v>
      </c>
      <c r="AQ96" s="100">
        <v>6253.2</v>
      </c>
      <c r="AR96" s="100">
        <v>8.645589329934884</v>
      </c>
      <c r="AS96" s="100">
        <v>6006.955466438757</v>
      </c>
      <c r="AT96" s="100">
        <v>5.9999999999999654</v>
      </c>
      <c r="AU96" s="100">
        <v>4168.7999999999756</v>
      </c>
      <c r="AV96" s="100">
        <v>7.5433889748369385</v>
      </c>
      <c r="AW96" s="100">
        <v>5241.1466597167046</v>
      </c>
      <c r="AX96" s="100">
        <v>6.2839127554551029</v>
      </c>
      <c r="AY96" s="100">
        <v>4366.0625824902054</v>
      </c>
      <c r="AZ96" s="100">
        <v>6.9758062726757544</v>
      </c>
      <c r="BA96" s="100">
        <v>4846.7901982551139</v>
      </c>
      <c r="BB96" s="100">
        <v>5.2896227625033463</v>
      </c>
      <c r="BC96" s="100">
        <v>3675.2298953873246</v>
      </c>
      <c r="BD96" s="100">
        <v>6</v>
      </c>
      <c r="BE96" s="100">
        <v>4168.7999999999993</v>
      </c>
      <c r="BF96" s="100">
        <v>9.6940820417446663</v>
      </c>
      <c r="BG96" s="100">
        <v>6735.4482026041933</v>
      </c>
      <c r="BH96" s="100">
        <v>7.4999999999999565</v>
      </c>
      <c r="BI96" s="100">
        <v>5210.9999999999691</v>
      </c>
      <c r="BJ96" s="100">
        <v>6.7822867915535019</v>
      </c>
      <c r="BK96" s="100">
        <v>4712.3328627713727</v>
      </c>
      <c r="BL96" s="100">
        <v>4.1017044617874365</v>
      </c>
      <c r="BM96" s="100">
        <v>2849.8642600499106</v>
      </c>
      <c r="BN96" s="100">
        <v>7</v>
      </c>
      <c r="BO96" s="100">
        <v>4863.5999999999995</v>
      </c>
      <c r="BP96" s="100">
        <v>8</v>
      </c>
      <c r="BQ96" s="100">
        <v>5558.4</v>
      </c>
      <c r="BR96" s="100">
        <v>9</v>
      </c>
      <c r="BS96" s="100">
        <v>6253.2</v>
      </c>
      <c r="BT96" s="100">
        <v>10.968040543899187</v>
      </c>
      <c r="BU96" s="100">
        <v>7620.5945699011545</v>
      </c>
      <c r="BV96" s="100">
        <v>5.4945434693280086</v>
      </c>
      <c r="BW96" s="100">
        <v>3817.6088024891001</v>
      </c>
      <c r="BX96" s="100">
        <v>4.1303877097719646</v>
      </c>
      <c r="BY96" s="100">
        <v>2869.7933807495606</v>
      </c>
      <c r="BZ96" s="100">
        <v>10</v>
      </c>
      <c r="CA96" s="100">
        <v>6948</v>
      </c>
      <c r="CB96" s="100">
        <v>7</v>
      </c>
      <c r="CC96" s="100">
        <v>4863.5999999999995</v>
      </c>
      <c r="CD96" s="100">
        <v>10</v>
      </c>
      <c r="CE96" s="100">
        <v>6948</v>
      </c>
      <c r="CF96" s="100">
        <v>4.2475689277793069</v>
      </c>
      <c r="CG96" s="100">
        <v>2951.2108910210623</v>
      </c>
      <c r="CH96" s="100">
        <v>7.3897679952409359</v>
      </c>
      <c r="CI96" s="100">
        <v>5134.4108030934021</v>
      </c>
      <c r="CJ96" s="100">
        <v>6.4418577018654002</v>
      </c>
      <c r="CK96" s="100">
        <v>4475.8027312560798</v>
      </c>
      <c r="CL96" s="100">
        <v>5.4081690892619756</v>
      </c>
      <c r="CM96" s="100">
        <v>3757.5958832192205</v>
      </c>
      <c r="CN96" s="100">
        <v>5.3009488414974495</v>
      </c>
      <c r="CO96" s="100">
        <v>3683.0992550724277</v>
      </c>
      <c r="CP96" s="100">
        <v>7.0642147138139633</v>
      </c>
      <c r="CQ96" s="100">
        <v>4908.216383157941</v>
      </c>
      <c r="CR96" s="100">
        <v>0.47578130813105685</v>
      </c>
      <c r="CS96" s="100">
        <v>330.57285288945826</v>
      </c>
      <c r="CT96" s="100">
        <v>7.1111111111110725</v>
      </c>
      <c r="CU96" s="100">
        <v>4940.7999999999729</v>
      </c>
    </row>
    <row r="97" spans="2:99">
      <c r="C97" s="99" t="s">
        <v>263</v>
      </c>
      <c r="D97" s="100">
        <v>9.3791055072763854</v>
      </c>
      <c r="E97" s="100">
        <v>3680.3610010552534</v>
      </c>
      <c r="F97" s="100">
        <v>7.0321748834528002</v>
      </c>
      <c r="G97" s="100">
        <v>2759.4254242668785</v>
      </c>
      <c r="H97" s="100">
        <v>2.1604085693789221</v>
      </c>
      <c r="I97" s="100">
        <v>847.744322624289</v>
      </c>
      <c r="J97" s="100">
        <v>7.279137404707579</v>
      </c>
      <c r="K97" s="100">
        <v>2856.3335176072537</v>
      </c>
      <c r="L97" s="100">
        <v>8.3545859860617639</v>
      </c>
      <c r="M97" s="100">
        <v>3278.3395409306358</v>
      </c>
      <c r="N97" s="100">
        <v>8.6842105263157396</v>
      </c>
      <c r="O97" s="100">
        <v>3407.6842105262958</v>
      </c>
      <c r="P97" s="100">
        <v>7.1059353557246387</v>
      </c>
      <c r="Q97" s="100">
        <v>2788.369033586348</v>
      </c>
      <c r="R97" s="100">
        <v>5.7302397857224632</v>
      </c>
      <c r="S97" s="100">
        <v>2248.5460919174943</v>
      </c>
      <c r="T97" s="100">
        <v>6.3424799135061418</v>
      </c>
      <c r="U97" s="100">
        <v>2488.7891180598099</v>
      </c>
      <c r="V97" s="100">
        <v>6</v>
      </c>
      <c r="W97" s="100">
        <v>2354.3999999999996</v>
      </c>
      <c r="X97" s="100">
        <v>9.1634698492642706</v>
      </c>
      <c r="Y97" s="100">
        <v>3595.7455688512996</v>
      </c>
      <c r="Z97" s="100">
        <v>6.0593436991341525</v>
      </c>
      <c r="AA97" s="100">
        <v>2377.6864675402412</v>
      </c>
      <c r="AB97" s="100">
        <v>2.5830446107510894</v>
      </c>
      <c r="AC97" s="100">
        <v>1013.5867052587274</v>
      </c>
      <c r="AD97" s="100">
        <v>6.0626063666545429</v>
      </c>
      <c r="AE97" s="100">
        <v>2378.9667382752423</v>
      </c>
      <c r="AF97" s="100">
        <v>4.9999999999999707</v>
      </c>
      <c r="AG97" s="100">
        <v>1961.9999999999884</v>
      </c>
      <c r="AH97" s="100">
        <v>6.6973138068760294</v>
      </c>
      <c r="AI97" s="100">
        <v>2628.0259378181536</v>
      </c>
      <c r="AJ97" s="100">
        <v>8.6774623337943773</v>
      </c>
      <c r="AK97" s="100">
        <v>3405.0362197809136</v>
      </c>
      <c r="AL97" s="100">
        <v>10</v>
      </c>
      <c r="AM97" s="100">
        <v>3924</v>
      </c>
      <c r="AN97" s="100">
        <v>7</v>
      </c>
      <c r="AO97" s="100">
        <v>2746.7999999999997</v>
      </c>
      <c r="AP97" s="100">
        <v>9</v>
      </c>
      <c r="AQ97" s="100">
        <v>3531.6</v>
      </c>
      <c r="AR97" s="100">
        <v>8.645589329934884</v>
      </c>
      <c r="AS97" s="100">
        <v>3392.5292530664483</v>
      </c>
      <c r="AT97" s="100">
        <v>6.8571428571428168</v>
      </c>
      <c r="AU97" s="100">
        <v>2690.7428571428413</v>
      </c>
      <c r="AV97" s="100">
        <v>6.8576263407608531</v>
      </c>
      <c r="AW97" s="100">
        <v>2690.9325761145587</v>
      </c>
      <c r="AX97" s="100">
        <v>5.4984236610232156</v>
      </c>
      <c r="AY97" s="100">
        <v>2157.5814445855099</v>
      </c>
      <c r="AZ97" s="100">
        <v>6.9758062726757544</v>
      </c>
      <c r="BA97" s="100">
        <v>2737.3063813979657</v>
      </c>
      <c r="BB97" s="100">
        <v>5.9508256078162649</v>
      </c>
      <c r="BC97" s="100">
        <v>2335.1039685071023</v>
      </c>
      <c r="BD97" s="100">
        <v>7</v>
      </c>
      <c r="BE97" s="100">
        <v>2746.7999999999997</v>
      </c>
      <c r="BF97" s="100">
        <v>9.6940820417446663</v>
      </c>
      <c r="BG97" s="100">
        <v>3803.957793180607</v>
      </c>
      <c r="BH97" s="100">
        <v>6.5624999999999618</v>
      </c>
      <c r="BI97" s="100">
        <v>2575.124999999985</v>
      </c>
      <c r="BJ97" s="100">
        <v>8.0544963980923967</v>
      </c>
      <c r="BK97" s="100">
        <v>3160.5843866114565</v>
      </c>
      <c r="BL97" s="100">
        <v>4.1017044617874365</v>
      </c>
      <c r="BM97" s="100">
        <v>1609.5088308053901</v>
      </c>
      <c r="BN97" s="100">
        <v>8</v>
      </c>
      <c r="BO97" s="100">
        <v>3139.2</v>
      </c>
      <c r="BP97" s="100">
        <v>8</v>
      </c>
      <c r="BQ97" s="100">
        <v>3139.2</v>
      </c>
      <c r="BR97" s="100">
        <v>10</v>
      </c>
      <c r="BS97" s="100">
        <v>3924</v>
      </c>
      <c r="BT97" s="100">
        <v>10.148646467234608</v>
      </c>
      <c r="BU97" s="100">
        <v>3982.3288737428597</v>
      </c>
      <c r="BV97" s="100">
        <v>6.2004886340081553</v>
      </c>
      <c r="BW97" s="100">
        <v>2433.0717399847999</v>
      </c>
      <c r="BX97" s="100">
        <v>3.7173489387947685</v>
      </c>
      <c r="BY97" s="100">
        <v>1458.6877235830671</v>
      </c>
      <c r="BZ97" s="100">
        <v>10</v>
      </c>
      <c r="CA97" s="100">
        <v>3924</v>
      </c>
      <c r="CB97" s="100">
        <v>8</v>
      </c>
      <c r="CC97" s="100">
        <v>3139.2</v>
      </c>
      <c r="CD97" s="100">
        <v>11</v>
      </c>
      <c r="CE97" s="100">
        <v>4316.3999999999996</v>
      </c>
      <c r="CF97" s="100">
        <v>4.633711557577425</v>
      </c>
      <c r="CG97" s="100">
        <v>1818.2684151933815</v>
      </c>
      <c r="CH97" s="100">
        <v>8.3897679952409359</v>
      </c>
      <c r="CI97" s="100">
        <v>3292.1449613325431</v>
      </c>
      <c r="CJ97" s="100">
        <v>6.7796576918878948</v>
      </c>
      <c r="CK97" s="100">
        <v>2660.3376782968098</v>
      </c>
      <c r="CL97" s="100">
        <v>5.7939896089848339</v>
      </c>
      <c r="CM97" s="100">
        <v>2273.5615225656488</v>
      </c>
      <c r="CN97" s="100">
        <v>4.5436704355692425</v>
      </c>
      <c r="CO97" s="100">
        <v>1782.9362789173706</v>
      </c>
      <c r="CP97" s="100">
        <v>6.3594596085205319</v>
      </c>
      <c r="CQ97" s="100">
        <v>2495.4519503834567</v>
      </c>
      <c r="CR97" s="100">
        <v>0.47578130813105685</v>
      </c>
      <c r="CS97" s="100">
        <v>186.69658531062669</v>
      </c>
      <c r="CT97" s="100">
        <v>7.1111111111110725</v>
      </c>
      <c r="CU97" s="100">
        <v>2790.3999999999846</v>
      </c>
    </row>
    <row r="98" spans="2:99">
      <c r="C98" s="99" t="s">
        <v>264</v>
      </c>
      <c r="D98" s="100">
        <v>9.3791055072763854</v>
      </c>
      <c r="E98" s="100">
        <v>4929.6578546244682</v>
      </c>
      <c r="F98" s="100">
        <v>8.0367712953746295</v>
      </c>
      <c r="G98" s="100">
        <v>4224.1269928489055</v>
      </c>
      <c r="H98" s="100">
        <v>2.1604085693789221</v>
      </c>
      <c r="I98" s="100">
        <v>1135.5107440655615</v>
      </c>
      <c r="J98" s="100">
        <v>8.0879304496750883</v>
      </c>
      <c r="K98" s="100">
        <v>4251.0162443492263</v>
      </c>
      <c r="L98" s="100">
        <v>8.3545859860617639</v>
      </c>
      <c r="M98" s="100">
        <v>4391.1703942740633</v>
      </c>
      <c r="N98" s="100">
        <v>7.8947368421052166</v>
      </c>
      <c r="O98" s="100">
        <v>4149.4736842105021</v>
      </c>
      <c r="P98" s="100">
        <v>7.1059353557246387</v>
      </c>
      <c r="Q98" s="100">
        <v>3734.8796229688701</v>
      </c>
      <c r="R98" s="100">
        <v>6.7615989901580038</v>
      </c>
      <c r="S98" s="100">
        <v>3553.8964292270471</v>
      </c>
      <c r="T98" s="100">
        <v>6.3424799135061418</v>
      </c>
      <c r="U98" s="100">
        <v>3333.6074425388283</v>
      </c>
      <c r="V98" s="100">
        <v>7</v>
      </c>
      <c r="W98" s="100">
        <v>3679.2000000000003</v>
      </c>
      <c r="X98" s="100">
        <v>8.2471228643378431</v>
      </c>
      <c r="Y98" s="100">
        <v>4334.6877774959703</v>
      </c>
      <c r="Z98" s="100">
        <v>6.0593436991341525</v>
      </c>
      <c r="AA98" s="100">
        <v>3184.7910482649108</v>
      </c>
      <c r="AB98" s="100">
        <v>2.5875030533419565</v>
      </c>
      <c r="AC98" s="100">
        <v>1359.9916048365324</v>
      </c>
      <c r="AD98" s="100">
        <v>6.0626063666545429</v>
      </c>
      <c r="AE98" s="100">
        <v>3186.5059063136277</v>
      </c>
      <c r="AF98" s="100">
        <v>5.9999999999999654</v>
      </c>
      <c r="AG98" s="100">
        <v>3153.5999999999817</v>
      </c>
      <c r="AH98" s="100">
        <v>6.5976975487508822</v>
      </c>
      <c r="AI98" s="100">
        <v>3467.7498316234637</v>
      </c>
      <c r="AJ98" s="100">
        <v>8.6774623337943773</v>
      </c>
      <c r="AK98" s="100">
        <v>4560.8742026423251</v>
      </c>
      <c r="AL98" s="100">
        <v>9</v>
      </c>
      <c r="AM98" s="100">
        <v>4730.4000000000005</v>
      </c>
      <c r="AN98" s="100">
        <v>6</v>
      </c>
      <c r="AO98" s="100">
        <v>3153.6000000000004</v>
      </c>
      <c r="AP98" s="100">
        <v>9</v>
      </c>
      <c r="AQ98" s="100">
        <v>4730.4000000000005</v>
      </c>
      <c r="AR98" s="100">
        <v>9.5101482629283716</v>
      </c>
      <c r="AS98" s="100">
        <v>4998.5339269951519</v>
      </c>
      <c r="AT98" s="100">
        <v>5.9999999999999654</v>
      </c>
      <c r="AU98" s="100">
        <v>3153.5999999999817</v>
      </c>
      <c r="AV98" s="100">
        <v>7.5433889748369385</v>
      </c>
      <c r="AW98" s="100">
        <v>3964.8052451742951</v>
      </c>
      <c r="AX98" s="100">
        <v>6.2839127554551029</v>
      </c>
      <c r="AY98" s="100">
        <v>3302.8245442672023</v>
      </c>
      <c r="AZ98" s="100">
        <v>6.9758062726757544</v>
      </c>
      <c r="BA98" s="100">
        <v>3666.4837769183769</v>
      </c>
      <c r="BB98" s="100">
        <v>5.9508256078162649</v>
      </c>
      <c r="BC98" s="100">
        <v>3127.753939468229</v>
      </c>
      <c r="BD98" s="100">
        <v>7</v>
      </c>
      <c r="BE98" s="100">
        <v>3679.2000000000003</v>
      </c>
      <c r="BF98" s="100">
        <v>9.6940820417446663</v>
      </c>
      <c r="BG98" s="100">
        <v>5095.2095211409969</v>
      </c>
      <c r="BH98" s="100">
        <v>8.4374999999999503</v>
      </c>
      <c r="BI98" s="100">
        <v>4434.7499999999736</v>
      </c>
      <c r="BJ98" s="100">
        <v>6.7822867915535019</v>
      </c>
      <c r="BK98" s="100">
        <v>3564.7699376405208</v>
      </c>
      <c r="BL98" s="100">
        <v>4.1017044617874365</v>
      </c>
      <c r="BM98" s="100">
        <v>2155.8558651154767</v>
      </c>
      <c r="BN98" s="100">
        <v>8</v>
      </c>
      <c r="BO98" s="100">
        <v>4204.8</v>
      </c>
      <c r="BP98" s="100">
        <v>8</v>
      </c>
      <c r="BQ98" s="100">
        <v>4204.8</v>
      </c>
      <c r="BR98" s="100">
        <v>9</v>
      </c>
      <c r="BS98" s="100">
        <v>4730.4000000000005</v>
      </c>
      <c r="BT98" s="100">
        <v>9.140033786582654</v>
      </c>
      <c r="BU98" s="100">
        <v>4804.0017582278433</v>
      </c>
      <c r="BV98" s="100">
        <v>5.4576816482235442</v>
      </c>
      <c r="BW98" s="100">
        <v>2868.5574743062948</v>
      </c>
      <c r="BX98" s="100">
        <v>3.7173489387947685</v>
      </c>
      <c r="BY98" s="100">
        <v>1953.8386022305303</v>
      </c>
      <c r="BZ98" s="100">
        <v>11</v>
      </c>
      <c r="CA98" s="100">
        <v>5781.6</v>
      </c>
      <c r="CB98" s="100">
        <v>7</v>
      </c>
      <c r="CC98" s="100">
        <v>3679.2000000000003</v>
      </c>
      <c r="CD98" s="100">
        <v>10</v>
      </c>
      <c r="CE98" s="100">
        <v>5256</v>
      </c>
      <c r="CF98" s="100">
        <v>3.861426297981188</v>
      </c>
      <c r="CG98" s="100">
        <v>2029.5656622189124</v>
      </c>
      <c r="CH98" s="100">
        <v>8.346460440214166</v>
      </c>
      <c r="CI98" s="100">
        <v>4386.8996073765657</v>
      </c>
      <c r="CJ98" s="100">
        <v>6.0638957250139605</v>
      </c>
      <c r="CK98" s="100">
        <v>3187.1835930673378</v>
      </c>
      <c r="CL98" s="100">
        <v>5.7589150162827556</v>
      </c>
      <c r="CM98" s="100">
        <v>3026.8857325582167</v>
      </c>
      <c r="CN98" s="100">
        <v>4.5436704355692425</v>
      </c>
      <c r="CO98" s="100">
        <v>2388.1531809351941</v>
      </c>
      <c r="CP98" s="100">
        <v>6.367791438960352</v>
      </c>
      <c r="CQ98" s="100">
        <v>3346.911180317561</v>
      </c>
      <c r="CR98" s="100">
        <v>0.52335943894416259</v>
      </c>
      <c r="CS98" s="100">
        <v>275.07772110905188</v>
      </c>
      <c r="CT98" s="100">
        <v>6.2222222222221886</v>
      </c>
      <c r="CU98" s="100">
        <v>3270.3999999999824</v>
      </c>
    </row>
    <row r="99" spans="2:99">
      <c r="C99" s="99" t="s">
        <v>265</v>
      </c>
      <c r="D99" s="100">
        <v>7.5032844058211081</v>
      </c>
      <c r="E99" s="100">
        <v>31576.822093457547</v>
      </c>
      <c r="F99" s="100">
        <v>6.0275784715309717</v>
      </c>
      <c r="G99" s="100">
        <v>25366.461239590939</v>
      </c>
      <c r="H99" s="100">
        <v>2.2881389987794161</v>
      </c>
      <c r="I99" s="100">
        <v>9629.4041624632937</v>
      </c>
      <c r="J99" s="100">
        <v>5.661551314772562</v>
      </c>
      <c r="K99" s="100">
        <v>23826.072553088849</v>
      </c>
      <c r="L99" s="100">
        <v>6.4980113224924834</v>
      </c>
      <c r="M99" s="100">
        <v>27346.230849577365</v>
      </c>
      <c r="N99" s="100">
        <v>7.1052631578946954</v>
      </c>
      <c r="O99" s="100">
        <v>29901.789473684035</v>
      </c>
      <c r="P99" s="100">
        <v>7.1059353557246387</v>
      </c>
      <c r="Q99" s="100">
        <v>29904.618351031568</v>
      </c>
      <c r="R99" s="100">
        <v>4.7751998214353861</v>
      </c>
      <c r="S99" s="100">
        <v>20095.950928528677</v>
      </c>
      <c r="T99" s="100">
        <v>5.4364113544338357</v>
      </c>
      <c r="U99" s="100">
        <v>22878.593543999352</v>
      </c>
      <c r="V99" s="100">
        <v>6</v>
      </c>
      <c r="W99" s="100">
        <v>25250.399999999998</v>
      </c>
      <c r="X99" s="100">
        <v>8.2471228643378431</v>
      </c>
      <c r="Y99" s="100">
        <v>34707.191862279375</v>
      </c>
      <c r="Z99" s="100">
        <v>4.9949966622544393</v>
      </c>
      <c r="AA99" s="100">
        <v>21020.943953431579</v>
      </c>
      <c r="AB99" s="100">
        <v>2.011511609801329</v>
      </c>
      <c r="AC99" s="100">
        <v>8465.2454586879121</v>
      </c>
      <c r="AD99" s="100">
        <v>4.7913121111513783</v>
      </c>
      <c r="AE99" s="100">
        <v>20163.75788856946</v>
      </c>
      <c r="AF99" s="100">
        <v>4.9999999999999707</v>
      </c>
      <c r="AG99" s="100">
        <v>21041.999999999876</v>
      </c>
      <c r="AH99" s="100">
        <v>4.5478894196883086</v>
      </c>
      <c r="AI99" s="100">
        <v>19139.337833816277</v>
      </c>
      <c r="AJ99" s="100">
        <v>6.9419698670355023</v>
      </c>
      <c r="AK99" s="100">
        <v>29214.585988432205</v>
      </c>
      <c r="AL99" s="100">
        <v>8</v>
      </c>
      <c r="AM99" s="100">
        <v>33667.199999999997</v>
      </c>
      <c r="AN99" s="100">
        <v>6</v>
      </c>
      <c r="AO99" s="100">
        <v>25250.399999999998</v>
      </c>
      <c r="AP99" s="100">
        <v>8</v>
      </c>
      <c r="AQ99" s="100">
        <v>33667.199999999997</v>
      </c>
      <c r="AR99" s="100">
        <v>6.9164714639479072</v>
      </c>
      <c r="AS99" s="100">
        <v>29107.278508878371</v>
      </c>
      <c r="AT99" s="100">
        <v>5.142857142857113</v>
      </c>
      <c r="AU99" s="100">
        <v>21643.199999999873</v>
      </c>
      <c r="AV99" s="100">
        <v>6.1718637066847677</v>
      </c>
      <c r="AW99" s="100">
        <v>25973.671223212175</v>
      </c>
      <c r="AX99" s="100">
        <v>5.4984236610232156</v>
      </c>
      <c r="AY99" s="100">
        <v>23139.5661350501</v>
      </c>
      <c r="AZ99" s="100">
        <v>4.9827187661969674</v>
      </c>
      <c r="BA99" s="100">
        <v>20969.273655663317</v>
      </c>
      <c r="BB99" s="100">
        <v>5.2896227625033463</v>
      </c>
      <c r="BC99" s="100">
        <v>22260.848433719082</v>
      </c>
      <c r="BD99" s="100">
        <v>5</v>
      </c>
      <c r="BE99" s="100">
        <v>21042</v>
      </c>
      <c r="BF99" s="100">
        <v>7.0502414849052117</v>
      </c>
      <c r="BG99" s="100">
        <v>29670.236265075091</v>
      </c>
      <c r="BH99" s="100">
        <v>6.5624999999999618</v>
      </c>
      <c r="BI99" s="100">
        <v>27617.624999999836</v>
      </c>
      <c r="BJ99" s="100">
        <v>5.4198117366876719</v>
      </c>
      <c r="BK99" s="100">
        <v>22808.735712676396</v>
      </c>
      <c r="BL99" s="100">
        <v>3.2813635694299492</v>
      </c>
      <c r="BM99" s="100">
        <v>13809.290445588997</v>
      </c>
      <c r="BN99" s="100">
        <v>6</v>
      </c>
      <c r="BO99" s="100">
        <v>25250.399999999998</v>
      </c>
      <c r="BP99" s="100">
        <v>7</v>
      </c>
      <c r="BQ99" s="100">
        <v>29458.799999999996</v>
      </c>
      <c r="BR99" s="100">
        <v>8</v>
      </c>
      <c r="BS99" s="100">
        <v>33667.199999999997</v>
      </c>
      <c r="BT99" s="100">
        <v>9.140033786582654</v>
      </c>
      <c r="BU99" s="100">
        <v>38464.918187454437</v>
      </c>
      <c r="BV99" s="100">
        <v>4.6780128413344659</v>
      </c>
      <c r="BW99" s="100">
        <v>19686.949241471964</v>
      </c>
      <c r="BX99" s="100">
        <v>2.8912713968403754</v>
      </c>
      <c r="BY99" s="100">
        <v>12167.626546463034</v>
      </c>
      <c r="BZ99" s="100">
        <v>9</v>
      </c>
      <c r="CA99" s="100">
        <v>37875.599999999999</v>
      </c>
      <c r="CB99" s="100">
        <v>6</v>
      </c>
      <c r="CC99" s="100">
        <v>25250.399999999998</v>
      </c>
      <c r="CD99" s="100">
        <v>8</v>
      </c>
      <c r="CE99" s="100">
        <v>33667.199999999997</v>
      </c>
      <c r="CF99" s="100">
        <v>3.861426297981188</v>
      </c>
      <c r="CG99" s="100">
        <v>16250.42643242403</v>
      </c>
      <c r="CH99" s="100">
        <v>6.3031528851873944</v>
      </c>
      <c r="CI99" s="100">
        <v>26526.188602022627</v>
      </c>
      <c r="CJ99" s="100">
        <v>5.2867155781359374</v>
      </c>
      <c r="CK99" s="100">
        <v>22248.613839027275</v>
      </c>
      <c r="CL99" s="100">
        <v>4.6355735050816929</v>
      </c>
      <c r="CM99" s="100">
        <v>19508.347538785794</v>
      </c>
      <c r="CN99" s="100">
        <v>3.7863920296410347</v>
      </c>
      <c r="CO99" s="100">
        <v>15934.652217541328</v>
      </c>
      <c r="CP99" s="100">
        <v>5.6463726727872778</v>
      </c>
      <c r="CQ99" s="100">
        <v>23762.194756157976</v>
      </c>
      <c r="CR99" s="100">
        <v>0.42820317731795121</v>
      </c>
      <c r="CS99" s="100">
        <v>1802.0502514248658</v>
      </c>
      <c r="CT99" s="100">
        <v>5.3333333333333046</v>
      </c>
      <c r="CU99" s="100">
        <v>22444.799999999876</v>
      </c>
    </row>
    <row r="100" spans="2:99">
      <c r="C100" s="99" t="s">
        <v>266</v>
      </c>
      <c r="D100" s="100">
        <v>10.317016058004024</v>
      </c>
      <c r="E100" s="100">
        <v>3342.7132027933035</v>
      </c>
      <c r="F100" s="100">
        <v>8.0367712953746295</v>
      </c>
      <c r="G100" s="100">
        <v>2603.9138997013802</v>
      </c>
      <c r="H100" s="100">
        <v>2.5924902832547065</v>
      </c>
      <c r="I100" s="100">
        <v>839.96685177452491</v>
      </c>
      <c r="J100" s="100">
        <v>7.279137404707579</v>
      </c>
      <c r="K100" s="100">
        <v>2358.4405191252554</v>
      </c>
      <c r="L100" s="100">
        <v>8.3545859860617639</v>
      </c>
      <c r="M100" s="100">
        <v>2706.8858594840117</v>
      </c>
      <c r="N100" s="100">
        <v>7.8947368421052166</v>
      </c>
      <c r="O100" s="100">
        <v>2557.89473684209</v>
      </c>
      <c r="P100" s="100">
        <v>7.9941772751902178</v>
      </c>
      <c r="Q100" s="100">
        <v>2590.1134371616304</v>
      </c>
      <c r="R100" s="100">
        <v>6.6852797500095402</v>
      </c>
      <c r="S100" s="100">
        <v>2166.030639003091</v>
      </c>
      <c r="T100" s="100">
        <v>6.3424799135061418</v>
      </c>
      <c r="U100" s="100">
        <v>2054.9634919759901</v>
      </c>
      <c r="V100" s="100">
        <v>7</v>
      </c>
      <c r="W100" s="100">
        <v>2268</v>
      </c>
      <c r="X100" s="100">
        <v>8.2471228643378431</v>
      </c>
      <c r="Y100" s="100">
        <v>2672.0678080454613</v>
      </c>
      <c r="Z100" s="100">
        <v>7.0011637902098185</v>
      </c>
      <c r="AA100" s="100">
        <v>2268.3770680279813</v>
      </c>
      <c r="AB100" s="100">
        <v>2.3039657741625095</v>
      </c>
      <c r="AC100" s="100">
        <v>746.48491082865303</v>
      </c>
      <c r="AD100" s="100">
        <v>6.0939095499818317</v>
      </c>
      <c r="AE100" s="100">
        <v>1974.4266941941135</v>
      </c>
      <c r="AF100" s="100">
        <v>5.9999999999999654</v>
      </c>
      <c r="AG100" s="100">
        <v>1943.9999999999889</v>
      </c>
      <c r="AH100" s="100">
        <v>6.6475056778134558</v>
      </c>
      <c r="AI100" s="100">
        <v>2153.7918396115597</v>
      </c>
      <c r="AJ100" s="100">
        <v>8.6774623337943773</v>
      </c>
      <c r="AK100" s="100">
        <v>2811.4977961493782</v>
      </c>
      <c r="AL100" s="100">
        <v>11</v>
      </c>
      <c r="AM100" s="100">
        <v>3564</v>
      </c>
      <c r="AN100" s="100">
        <v>7</v>
      </c>
      <c r="AO100" s="100">
        <v>2268</v>
      </c>
      <c r="AP100" s="100">
        <v>9</v>
      </c>
      <c r="AQ100" s="100">
        <v>2916</v>
      </c>
      <c r="AR100" s="100">
        <v>10.374707195921861</v>
      </c>
      <c r="AS100" s="100">
        <v>3361.405131478683</v>
      </c>
      <c r="AT100" s="100">
        <v>6.8571428571428168</v>
      </c>
      <c r="AU100" s="100">
        <v>2221.7142857142726</v>
      </c>
      <c r="AV100" s="100">
        <v>8.2291516089130248</v>
      </c>
      <c r="AW100" s="100">
        <v>2666.24512128782</v>
      </c>
      <c r="AX100" s="100">
        <v>6.2839127554551029</v>
      </c>
      <c r="AY100" s="100">
        <v>2035.9877327674533</v>
      </c>
      <c r="AZ100" s="100">
        <v>6.9758062726757544</v>
      </c>
      <c r="BA100" s="100">
        <v>2260.1612323469444</v>
      </c>
      <c r="BB100" s="100">
        <v>5.2896227625033463</v>
      </c>
      <c r="BC100" s="100">
        <v>1713.8377750510842</v>
      </c>
      <c r="BD100" s="100">
        <v>7</v>
      </c>
      <c r="BE100" s="100">
        <v>2268</v>
      </c>
      <c r="BF100" s="100">
        <v>9.6940820417446663</v>
      </c>
      <c r="BG100" s="100">
        <v>3140.8825815252717</v>
      </c>
      <c r="BH100" s="100">
        <v>8.4374999999999503</v>
      </c>
      <c r="BI100" s="100">
        <v>2733.7499999999841</v>
      </c>
      <c r="BJ100" s="100">
        <v>6.7822867915535019</v>
      </c>
      <c r="BK100" s="100">
        <v>2197.4609204633348</v>
      </c>
      <c r="BL100" s="100">
        <v>3.6915340156086929</v>
      </c>
      <c r="BM100" s="100">
        <v>1196.0570210572164</v>
      </c>
      <c r="BN100" s="100">
        <v>7</v>
      </c>
      <c r="BO100" s="100">
        <v>2268</v>
      </c>
      <c r="BP100" s="100">
        <v>9</v>
      </c>
      <c r="BQ100" s="100">
        <v>2916</v>
      </c>
      <c r="BR100" s="100">
        <v>9</v>
      </c>
      <c r="BS100" s="100">
        <v>2916</v>
      </c>
      <c r="BT100" s="100">
        <v>9.140033786582654</v>
      </c>
      <c r="BU100" s="100">
        <v>2961.37094685278</v>
      </c>
      <c r="BV100" s="100">
        <v>6.2373504551126215</v>
      </c>
      <c r="BW100" s="100">
        <v>2020.9015474564894</v>
      </c>
      <c r="BX100" s="100">
        <v>3.7173489387947685</v>
      </c>
      <c r="BY100" s="100">
        <v>1204.4210561695049</v>
      </c>
      <c r="BZ100" s="100">
        <v>10</v>
      </c>
      <c r="CA100" s="100">
        <v>3240</v>
      </c>
      <c r="CB100" s="100">
        <v>7</v>
      </c>
      <c r="CC100" s="100">
        <v>2268</v>
      </c>
      <c r="CD100" s="100">
        <v>10</v>
      </c>
      <c r="CE100" s="100">
        <v>3240</v>
      </c>
      <c r="CF100" s="100">
        <v>3.861426297981188</v>
      </c>
      <c r="CG100" s="100">
        <v>1251.1021205459049</v>
      </c>
      <c r="CH100" s="100">
        <v>7.3464604402141651</v>
      </c>
      <c r="CI100" s="100">
        <v>2380.2531826293894</v>
      </c>
      <c r="CJ100" s="100">
        <v>6.0946048150160053</v>
      </c>
      <c r="CK100" s="100">
        <v>1974.6519600651857</v>
      </c>
      <c r="CL100" s="100">
        <v>5.4081690892619756</v>
      </c>
      <c r="CM100" s="100">
        <v>1752.2467849208801</v>
      </c>
      <c r="CN100" s="100">
        <v>4.5436704355692425</v>
      </c>
      <c r="CO100" s="100">
        <v>1472.1492211244347</v>
      </c>
      <c r="CP100" s="100">
        <v>7.0558828833741423</v>
      </c>
      <c r="CQ100" s="100">
        <v>2286.1060542132223</v>
      </c>
      <c r="CR100" s="100">
        <v>0.52335943894416259</v>
      </c>
      <c r="CS100" s="100">
        <v>169.56845821790867</v>
      </c>
      <c r="CT100" s="100">
        <v>7.1111111111110725</v>
      </c>
      <c r="CU100" s="100">
        <v>2303.9999999999877</v>
      </c>
    </row>
    <row r="101" spans="2:99">
      <c r="C101" s="99" t="s">
        <v>267</v>
      </c>
      <c r="D101" s="100">
        <v>9.3791055072763854</v>
      </c>
      <c r="E101" s="100">
        <v>6786.7207450651931</v>
      </c>
      <c r="F101" s="100">
        <v>8.0321748834528002</v>
      </c>
      <c r="G101" s="100">
        <v>5812.0817456664463</v>
      </c>
      <c r="H101" s="100">
        <v>2.5924902832547065</v>
      </c>
      <c r="I101" s="100">
        <v>1875.9259689631058</v>
      </c>
      <c r="J101" s="100">
        <v>7.279137404707579</v>
      </c>
      <c r="K101" s="100">
        <v>5267.1838260464046</v>
      </c>
      <c r="L101" s="100">
        <v>7.4262986542771232</v>
      </c>
      <c r="M101" s="100">
        <v>5373.6697062349267</v>
      </c>
      <c r="N101" s="100">
        <v>9.47368421052626</v>
      </c>
      <c r="O101" s="100">
        <v>6855.1578947368016</v>
      </c>
      <c r="P101" s="100">
        <v>7.9941772751902178</v>
      </c>
      <c r="Q101" s="100">
        <v>5784.5866763276417</v>
      </c>
      <c r="R101" s="100">
        <v>5.7302397857224632</v>
      </c>
      <c r="S101" s="100">
        <v>4146.4015089487748</v>
      </c>
      <c r="T101" s="100">
        <v>6.3424799135061418</v>
      </c>
      <c r="U101" s="100">
        <v>4589.418465413044</v>
      </c>
      <c r="V101" s="100">
        <v>6</v>
      </c>
      <c r="W101" s="100">
        <v>4341.6000000000004</v>
      </c>
      <c r="X101" s="100">
        <v>9.1634698492642706</v>
      </c>
      <c r="Y101" s="100">
        <v>6630.6867829276262</v>
      </c>
      <c r="Z101" s="100">
        <v>6.0185013838661376</v>
      </c>
      <c r="AA101" s="100">
        <v>4354.9876013655376</v>
      </c>
      <c r="AB101" s="100">
        <v>2.5830446107510894</v>
      </c>
      <c r="AC101" s="100">
        <v>1869.0910803394884</v>
      </c>
      <c r="AD101" s="100">
        <v>5.7495745333816544</v>
      </c>
      <c r="AE101" s="100">
        <v>4160.3921323549648</v>
      </c>
      <c r="AF101" s="100">
        <v>5.9999999999999654</v>
      </c>
      <c r="AG101" s="100">
        <v>4341.5999999999749</v>
      </c>
      <c r="AH101" s="100">
        <v>6.5976975487508822</v>
      </c>
      <c r="AI101" s="100">
        <v>4774.0939462761389</v>
      </c>
      <c r="AJ101" s="100">
        <v>8.6774623337943773</v>
      </c>
      <c r="AK101" s="100">
        <v>6279.0117447336115</v>
      </c>
      <c r="AL101" s="100">
        <v>10</v>
      </c>
      <c r="AM101" s="100">
        <v>7236</v>
      </c>
      <c r="AN101" s="100">
        <v>7</v>
      </c>
      <c r="AO101" s="100">
        <v>5065.2</v>
      </c>
      <c r="AP101" s="100">
        <v>8</v>
      </c>
      <c r="AQ101" s="100">
        <v>5788.8</v>
      </c>
      <c r="AR101" s="100">
        <v>8.645589329934884</v>
      </c>
      <c r="AS101" s="100">
        <v>6255.9484391408823</v>
      </c>
      <c r="AT101" s="100">
        <v>5.9999999999999654</v>
      </c>
      <c r="AU101" s="100">
        <v>4341.5999999999749</v>
      </c>
      <c r="AV101" s="100">
        <v>7.5433889748369385</v>
      </c>
      <c r="AW101" s="100">
        <v>5458.3962621920091</v>
      </c>
      <c r="AX101" s="100">
        <v>6.2839127554551029</v>
      </c>
      <c r="AY101" s="100">
        <v>4547.0392698473124</v>
      </c>
      <c r="AZ101" s="100">
        <v>6.9758062726757544</v>
      </c>
      <c r="BA101" s="100">
        <v>5047.6934189081758</v>
      </c>
      <c r="BB101" s="100">
        <v>5.2896227625033463</v>
      </c>
      <c r="BC101" s="100">
        <v>3827.5710309474216</v>
      </c>
      <c r="BD101" s="100">
        <v>6</v>
      </c>
      <c r="BE101" s="100">
        <v>4341.6000000000004</v>
      </c>
      <c r="BF101" s="100">
        <v>9.6940820417446663</v>
      </c>
      <c r="BG101" s="100">
        <v>7014.6377654064408</v>
      </c>
      <c r="BH101" s="100">
        <v>6.5624999999999618</v>
      </c>
      <c r="BI101" s="100">
        <v>4748.6249999999727</v>
      </c>
      <c r="BJ101" s="100">
        <v>6.7822867915535019</v>
      </c>
      <c r="BK101" s="100">
        <v>4907.6627223681144</v>
      </c>
      <c r="BL101" s="100">
        <v>3.6915340156086929</v>
      </c>
      <c r="BM101" s="100">
        <v>2671.1940136944504</v>
      </c>
      <c r="BN101" s="100">
        <v>8</v>
      </c>
      <c r="BO101" s="100">
        <v>5788.8</v>
      </c>
      <c r="BP101" s="100">
        <v>8</v>
      </c>
      <c r="BQ101" s="100">
        <v>5788.8</v>
      </c>
      <c r="BR101" s="100">
        <v>8</v>
      </c>
      <c r="BS101" s="100">
        <v>5788.8</v>
      </c>
      <c r="BT101" s="100">
        <v>10.054037165240921</v>
      </c>
      <c r="BU101" s="100">
        <v>7275.1012927683305</v>
      </c>
      <c r="BV101" s="100">
        <v>6.2004886340081553</v>
      </c>
      <c r="BW101" s="100">
        <v>4486.6735755683012</v>
      </c>
      <c r="BX101" s="100">
        <v>4.1303877097719646</v>
      </c>
      <c r="BY101" s="100">
        <v>2988.7485467909937</v>
      </c>
      <c r="BZ101" s="100">
        <v>11</v>
      </c>
      <c r="CA101" s="100">
        <v>7959.6</v>
      </c>
      <c r="CB101" s="100">
        <v>8</v>
      </c>
      <c r="CC101" s="100">
        <v>5788.8</v>
      </c>
      <c r="CD101" s="100">
        <v>10</v>
      </c>
      <c r="CE101" s="100">
        <v>7236</v>
      </c>
      <c r="CF101" s="100">
        <v>3.861426297981188</v>
      </c>
      <c r="CG101" s="100">
        <v>2794.1280692191876</v>
      </c>
      <c r="CH101" s="100">
        <v>8.3031528851873944</v>
      </c>
      <c r="CI101" s="100">
        <v>6008.1614277215986</v>
      </c>
      <c r="CJ101" s="100">
        <v>5.7260957349914667</v>
      </c>
      <c r="CK101" s="100">
        <v>4143.4028738398256</v>
      </c>
      <c r="CL101" s="100">
        <v>5.7589150162827556</v>
      </c>
      <c r="CM101" s="100">
        <v>4167.1509057822022</v>
      </c>
      <c r="CN101" s="100">
        <v>5.3009488414974495</v>
      </c>
      <c r="CO101" s="100">
        <v>3835.7665817075545</v>
      </c>
      <c r="CP101" s="100">
        <v>7.0558828833741423</v>
      </c>
      <c r="CQ101" s="100">
        <v>5105.6368544095294</v>
      </c>
      <c r="CR101" s="100">
        <v>0.52335943894416259</v>
      </c>
      <c r="CS101" s="100">
        <v>378.70289001999606</v>
      </c>
      <c r="CT101" s="100">
        <v>6.2222222222221886</v>
      </c>
      <c r="CU101" s="100">
        <v>4502.399999999976</v>
      </c>
    </row>
    <row r="102" spans="2:99">
      <c r="C102" s="99" t="s">
        <v>268</v>
      </c>
      <c r="D102" s="100">
        <v>9.3791055072763854</v>
      </c>
      <c r="E102" s="100">
        <v>4985.9324876681267</v>
      </c>
      <c r="F102" s="100">
        <v>8.0367712953746295</v>
      </c>
      <c r="G102" s="100">
        <v>4272.3476206211535</v>
      </c>
      <c r="H102" s="100">
        <v>2.5924902832547065</v>
      </c>
      <c r="I102" s="100">
        <v>1378.167834578202</v>
      </c>
      <c r="J102" s="100">
        <v>8.0879304496750883</v>
      </c>
      <c r="K102" s="100">
        <v>4299.5438270472769</v>
      </c>
      <c r="L102" s="100">
        <v>7.4262986542771232</v>
      </c>
      <c r="M102" s="100">
        <v>3947.820364613719</v>
      </c>
      <c r="N102" s="100">
        <v>9.47368421052626</v>
      </c>
      <c r="O102" s="100">
        <v>5036.21052631576</v>
      </c>
      <c r="P102" s="100">
        <v>7.1059353557246387</v>
      </c>
      <c r="Q102" s="100">
        <v>3777.5152351032179</v>
      </c>
      <c r="R102" s="100">
        <v>5.7302397857224632</v>
      </c>
      <c r="S102" s="100">
        <v>3046.1954700900615</v>
      </c>
      <c r="T102" s="100">
        <v>6.3424799135061418</v>
      </c>
      <c r="U102" s="100">
        <v>3371.6623220198653</v>
      </c>
      <c r="V102" s="100">
        <v>6</v>
      </c>
      <c r="W102" s="100">
        <v>3189.6000000000004</v>
      </c>
      <c r="X102" s="100">
        <v>8.2471228643378431</v>
      </c>
      <c r="Y102" s="100">
        <v>4384.1705146819977</v>
      </c>
      <c r="Z102" s="100">
        <v>6.0593436991341525</v>
      </c>
      <c r="AA102" s="100">
        <v>3221.1471104597158</v>
      </c>
      <c r="AB102" s="100">
        <v>2.3039657741625095</v>
      </c>
      <c r="AC102" s="100">
        <v>1224.7882055447901</v>
      </c>
      <c r="AD102" s="100">
        <v>6.7078369556119304</v>
      </c>
      <c r="AE102" s="100">
        <v>3565.8861256033024</v>
      </c>
      <c r="AF102" s="100">
        <v>5.9999999999999654</v>
      </c>
      <c r="AG102" s="100">
        <v>3189.5999999999817</v>
      </c>
      <c r="AH102" s="100">
        <v>6.5976975487508822</v>
      </c>
      <c r="AI102" s="100">
        <v>3507.3360169159691</v>
      </c>
      <c r="AJ102" s="100">
        <v>8.6774623337943773</v>
      </c>
      <c r="AK102" s="100">
        <v>4612.9389766450913</v>
      </c>
      <c r="AL102" s="100">
        <v>11</v>
      </c>
      <c r="AM102" s="100">
        <v>5847.6</v>
      </c>
      <c r="AN102" s="100">
        <v>7</v>
      </c>
      <c r="AO102" s="100">
        <v>3721.2000000000003</v>
      </c>
      <c r="AP102" s="100">
        <v>9</v>
      </c>
      <c r="AQ102" s="100">
        <v>4784.4000000000005</v>
      </c>
      <c r="AR102" s="100">
        <v>9.5101482629283716</v>
      </c>
      <c r="AS102" s="100">
        <v>5055.5948165727223</v>
      </c>
      <c r="AT102" s="100">
        <v>5.9999999999999654</v>
      </c>
      <c r="AU102" s="100">
        <v>3189.5999999999817</v>
      </c>
      <c r="AV102" s="100">
        <v>6.8576263407608531</v>
      </c>
      <c r="AW102" s="100">
        <v>3645.5141627484695</v>
      </c>
      <c r="AX102" s="100">
        <v>5.4984236610232156</v>
      </c>
      <c r="AY102" s="100">
        <v>2922.9620181999417</v>
      </c>
      <c r="AZ102" s="100">
        <v>5.9792625194363609</v>
      </c>
      <c r="BA102" s="100">
        <v>3178.5759553323696</v>
      </c>
      <c r="BB102" s="100">
        <v>5.2896227625033463</v>
      </c>
      <c r="BC102" s="100">
        <v>2811.9634605467791</v>
      </c>
      <c r="BD102" s="100">
        <v>6</v>
      </c>
      <c r="BE102" s="100">
        <v>3189.6000000000004</v>
      </c>
      <c r="BF102" s="100">
        <v>9.6940820417446663</v>
      </c>
      <c r="BG102" s="100">
        <v>5153.3740133914644</v>
      </c>
      <c r="BH102" s="100">
        <v>7.4999999999999565</v>
      </c>
      <c r="BI102" s="100">
        <v>3986.9999999999768</v>
      </c>
      <c r="BJ102" s="100">
        <v>7.4033473534351266</v>
      </c>
      <c r="BK102" s="100">
        <v>3935.6194530861135</v>
      </c>
      <c r="BL102" s="100">
        <v>4.1017044617874365</v>
      </c>
      <c r="BM102" s="100">
        <v>2180.4660918862014</v>
      </c>
      <c r="BN102" s="100">
        <v>7</v>
      </c>
      <c r="BO102" s="100">
        <v>3721.2000000000003</v>
      </c>
      <c r="BP102" s="100">
        <v>9</v>
      </c>
      <c r="BQ102" s="100">
        <v>4784.4000000000005</v>
      </c>
      <c r="BR102" s="100">
        <v>9</v>
      </c>
      <c r="BS102" s="100">
        <v>4784.4000000000005</v>
      </c>
      <c r="BT102" s="100">
        <v>10.054037165240921</v>
      </c>
      <c r="BU102" s="100">
        <v>5344.7261570420733</v>
      </c>
      <c r="BV102" s="100">
        <v>5.4576816482235442</v>
      </c>
      <c r="BW102" s="100">
        <v>2901.3035641956362</v>
      </c>
      <c r="BX102" s="100">
        <v>4.1303877097719646</v>
      </c>
      <c r="BY102" s="100">
        <v>2195.7141065147766</v>
      </c>
      <c r="BZ102" s="100">
        <v>10</v>
      </c>
      <c r="CA102" s="100">
        <v>5316</v>
      </c>
      <c r="CB102" s="100">
        <v>7</v>
      </c>
      <c r="CC102" s="100">
        <v>3721.2000000000003</v>
      </c>
      <c r="CD102" s="100">
        <v>10</v>
      </c>
      <c r="CE102" s="100">
        <v>5316</v>
      </c>
      <c r="CF102" s="100">
        <v>4.633711557577425</v>
      </c>
      <c r="CG102" s="100">
        <v>2463.2810640081593</v>
      </c>
      <c r="CH102" s="100">
        <v>8.346460440214166</v>
      </c>
      <c r="CI102" s="100">
        <v>4436.9783700178505</v>
      </c>
      <c r="CJ102" s="100">
        <v>6.7796576918878948</v>
      </c>
      <c r="CK102" s="100">
        <v>3604.0660290076048</v>
      </c>
      <c r="CL102" s="100">
        <v>5.4081690892619756</v>
      </c>
      <c r="CM102" s="100">
        <v>2874.9826878516665</v>
      </c>
      <c r="CN102" s="100">
        <v>4.5436704355692425</v>
      </c>
      <c r="CO102" s="100">
        <v>2415.4152035486095</v>
      </c>
      <c r="CP102" s="100">
        <v>7.0642147138139633</v>
      </c>
      <c r="CQ102" s="100">
        <v>3755.336541863503</v>
      </c>
      <c r="CR102" s="100">
        <v>0.47578130813105685</v>
      </c>
      <c r="CS102" s="100">
        <v>252.92534340246982</v>
      </c>
      <c r="CT102" s="100">
        <v>6.2222222222221886</v>
      </c>
      <c r="CU102" s="100">
        <v>3307.7333333333154</v>
      </c>
    </row>
    <row r="103" spans="2:99">
      <c r="C103" s="99" t="s">
        <v>269</v>
      </c>
      <c r="D103" s="100">
        <v>8.4411949565487472</v>
      </c>
      <c r="E103" s="100">
        <v>4973.5520683985214</v>
      </c>
      <c r="F103" s="100">
        <v>7.0367712953746286</v>
      </c>
      <c r="G103" s="100">
        <v>4146.0656472347309</v>
      </c>
      <c r="H103" s="100">
        <v>2.5924902832547065</v>
      </c>
      <c r="I103" s="100">
        <v>1527.495274893673</v>
      </c>
      <c r="J103" s="100">
        <v>8.0879304496750883</v>
      </c>
      <c r="K103" s="100">
        <v>4765.4086209485613</v>
      </c>
      <c r="L103" s="100">
        <v>8.3545859860617639</v>
      </c>
      <c r="M103" s="100">
        <v>4922.5220629875912</v>
      </c>
      <c r="N103" s="100">
        <v>7.8947368421052166</v>
      </c>
      <c r="O103" s="100">
        <v>4651.5789473683935</v>
      </c>
      <c r="P103" s="100">
        <v>7.9941772751902178</v>
      </c>
      <c r="Q103" s="100">
        <v>4710.169250542076</v>
      </c>
      <c r="R103" s="100">
        <v>5.7302397857224632</v>
      </c>
      <c r="S103" s="100">
        <v>3376.2572817476748</v>
      </c>
      <c r="T103" s="100">
        <v>6.3424799135061418</v>
      </c>
      <c r="U103" s="100">
        <v>3736.9891650378181</v>
      </c>
      <c r="V103" s="100">
        <v>7</v>
      </c>
      <c r="W103" s="100">
        <v>4124.3999999999996</v>
      </c>
      <c r="X103" s="100">
        <v>9.1634698492642706</v>
      </c>
      <c r="Y103" s="100">
        <v>5399.1164351865073</v>
      </c>
      <c r="Z103" s="100">
        <v>6.0185013838661376</v>
      </c>
      <c r="AA103" s="100">
        <v>3546.101015373928</v>
      </c>
      <c r="AB103" s="100">
        <v>2.5875030533419565</v>
      </c>
      <c r="AC103" s="100">
        <v>1524.5567990290806</v>
      </c>
      <c r="AD103" s="100">
        <v>6.0626063666545429</v>
      </c>
      <c r="AE103" s="100">
        <v>3572.0876712328563</v>
      </c>
      <c r="AF103" s="100">
        <v>4.9999999999999707</v>
      </c>
      <c r="AG103" s="100">
        <v>2945.9999999999823</v>
      </c>
      <c r="AH103" s="100">
        <v>6.5976975487508822</v>
      </c>
      <c r="AI103" s="100">
        <v>3887.3633957240195</v>
      </c>
      <c r="AJ103" s="100">
        <v>8.6774623337943773</v>
      </c>
      <c r="AK103" s="100">
        <v>5112.7608070716469</v>
      </c>
      <c r="AL103" s="100">
        <v>9</v>
      </c>
      <c r="AM103" s="100">
        <v>5302.7999999999993</v>
      </c>
      <c r="AN103" s="100">
        <v>6</v>
      </c>
      <c r="AO103" s="100">
        <v>3535.2</v>
      </c>
      <c r="AP103" s="100">
        <v>10</v>
      </c>
      <c r="AQ103" s="100">
        <v>5891.9999999999991</v>
      </c>
      <c r="AR103" s="100">
        <v>9.5101482629283716</v>
      </c>
      <c r="AS103" s="100">
        <v>5603.3793565173955</v>
      </c>
      <c r="AT103" s="100">
        <v>5.9999999999999654</v>
      </c>
      <c r="AU103" s="100">
        <v>3535.1999999999794</v>
      </c>
      <c r="AV103" s="100">
        <v>8.2291516089130248</v>
      </c>
      <c r="AW103" s="100">
        <v>4848.6161279715534</v>
      </c>
      <c r="AX103" s="100">
        <v>5.4984236610232156</v>
      </c>
      <c r="AY103" s="100">
        <v>3239.6712210748783</v>
      </c>
      <c r="AZ103" s="100">
        <v>5.9792625194363609</v>
      </c>
      <c r="BA103" s="100">
        <v>3522.9814764519033</v>
      </c>
      <c r="BB103" s="100">
        <v>5.9508256078162649</v>
      </c>
      <c r="BC103" s="100">
        <v>3506.2264481253428</v>
      </c>
      <c r="BD103" s="100">
        <v>7</v>
      </c>
      <c r="BE103" s="100">
        <v>4124.3999999999996</v>
      </c>
      <c r="BF103" s="100">
        <v>8.8128018561315145</v>
      </c>
      <c r="BG103" s="100">
        <v>5192.5028536326881</v>
      </c>
      <c r="BH103" s="100">
        <v>7.4999999999999565</v>
      </c>
      <c r="BI103" s="100">
        <v>4418.9999999999736</v>
      </c>
      <c r="BJ103" s="100">
        <v>7.4033473534351266</v>
      </c>
      <c r="BK103" s="100">
        <v>4362.0522606439763</v>
      </c>
      <c r="BL103" s="100">
        <v>3.6915340156086929</v>
      </c>
      <c r="BM103" s="100">
        <v>2175.0518419966415</v>
      </c>
      <c r="BN103" s="100">
        <v>7</v>
      </c>
      <c r="BO103" s="100">
        <v>4124.3999999999996</v>
      </c>
      <c r="BP103" s="100">
        <v>9</v>
      </c>
      <c r="BQ103" s="100">
        <v>5302.7999999999993</v>
      </c>
      <c r="BR103" s="100">
        <v>9</v>
      </c>
      <c r="BS103" s="100">
        <v>5302.7999999999993</v>
      </c>
      <c r="BT103" s="100">
        <v>9.140033786582654</v>
      </c>
      <c r="BU103" s="100">
        <v>5385.3079070544991</v>
      </c>
      <c r="BV103" s="100">
        <v>6.2004886340081553</v>
      </c>
      <c r="BW103" s="100">
        <v>3653.3279031576049</v>
      </c>
      <c r="BX103" s="100">
        <v>4.1303877097719646</v>
      </c>
      <c r="BY103" s="100">
        <v>2433.6244385976411</v>
      </c>
      <c r="BZ103" s="100">
        <v>9</v>
      </c>
      <c r="CA103" s="100">
        <v>5302.7999999999993</v>
      </c>
      <c r="CB103" s="100">
        <v>7</v>
      </c>
      <c r="CC103" s="100">
        <v>4124.3999999999996</v>
      </c>
      <c r="CD103" s="100">
        <v>11</v>
      </c>
      <c r="CE103" s="100">
        <v>6481.1999999999989</v>
      </c>
      <c r="CF103" s="100">
        <v>4.2475689277793069</v>
      </c>
      <c r="CG103" s="100">
        <v>2502.6676122475674</v>
      </c>
      <c r="CH103" s="100">
        <v>8.3897679952409359</v>
      </c>
      <c r="CI103" s="100">
        <v>4943.2513027959585</v>
      </c>
      <c r="CJ103" s="100">
        <v>6.7796576918878948</v>
      </c>
      <c r="CK103" s="100">
        <v>3994.574312060347</v>
      </c>
      <c r="CL103" s="100">
        <v>6.1807646734422583</v>
      </c>
      <c r="CM103" s="100">
        <v>3641.7065455921784</v>
      </c>
      <c r="CN103" s="100">
        <v>4.5436704355692425</v>
      </c>
      <c r="CO103" s="100">
        <v>2677.1306206373974</v>
      </c>
      <c r="CP103" s="100">
        <v>6.3594596085205319</v>
      </c>
      <c r="CQ103" s="100">
        <v>3746.9936013402971</v>
      </c>
      <c r="CR103" s="100">
        <v>0.47578130813105685</v>
      </c>
      <c r="CS103" s="100">
        <v>280.33034675081865</v>
      </c>
      <c r="CT103" s="100">
        <v>6.2222222222221886</v>
      </c>
      <c r="CU103" s="100">
        <v>3666.1333333333132</v>
      </c>
    </row>
    <row r="104" spans="2:99">
      <c r="C104" s="99" t="s">
        <v>270</v>
      </c>
      <c r="D104" s="100">
        <v>9.3791055072763854</v>
      </c>
      <c r="E104" s="100">
        <v>5931.3463228015862</v>
      </c>
      <c r="F104" s="100">
        <v>7.0321748834528002</v>
      </c>
      <c r="G104" s="100">
        <v>4447.1473962955506</v>
      </c>
      <c r="H104" s="100">
        <v>2.1604085693789221</v>
      </c>
      <c r="I104" s="100">
        <v>1366.2423792752304</v>
      </c>
      <c r="J104" s="100">
        <v>8.0879304496750883</v>
      </c>
      <c r="K104" s="100">
        <v>5114.8072163745255</v>
      </c>
      <c r="L104" s="100">
        <v>7.4262986542771232</v>
      </c>
      <c r="M104" s="100">
        <v>4696.3912689648523</v>
      </c>
      <c r="N104" s="100">
        <v>8.6842105263157396</v>
      </c>
      <c r="O104" s="100">
        <v>5491.8947368420731</v>
      </c>
      <c r="P104" s="100">
        <v>7.9941772751902178</v>
      </c>
      <c r="Q104" s="100">
        <v>5055.5177088302935</v>
      </c>
      <c r="R104" s="100">
        <v>6.7615989901580038</v>
      </c>
      <c r="S104" s="100">
        <v>4276.0352013759211</v>
      </c>
      <c r="T104" s="100">
        <v>6.3424799135061418</v>
      </c>
      <c r="U104" s="100">
        <v>4010.9842973012837</v>
      </c>
      <c r="V104" s="100">
        <v>6</v>
      </c>
      <c r="W104" s="100">
        <v>3794.3999999999996</v>
      </c>
      <c r="X104" s="100">
        <v>9.1634698492642706</v>
      </c>
      <c r="Y104" s="100">
        <v>5794.9783326747247</v>
      </c>
      <c r="Z104" s="100">
        <v>6.0593436991341525</v>
      </c>
      <c r="AA104" s="100">
        <v>3831.9289553324379</v>
      </c>
      <c r="AB104" s="100">
        <v>2.5875030533419565</v>
      </c>
      <c r="AC104" s="100">
        <v>1636.3369309334532</v>
      </c>
      <c r="AD104" s="100">
        <v>5.7495745333816544</v>
      </c>
      <c r="AE104" s="100">
        <v>3636.0309349105582</v>
      </c>
      <c r="AF104" s="100">
        <v>5.9999999999999654</v>
      </c>
      <c r="AG104" s="100">
        <v>3794.3999999999778</v>
      </c>
      <c r="AH104" s="100">
        <v>6.6973138068760294</v>
      </c>
      <c r="AI104" s="100">
        <v>4235.3812514684005</v>
      </c>
      <c r="AJ104" s="100">
        <v>8.6774623337943773</v>
      </c>
      <c r="AK104" s="100">
        <v>5487.6271798915641</v>
      </c>
      <c r="AL104" s="100">
        <v>9</v>
      </c>
      <c r="AM104" s="100">
        <v>5691.5999999999995</v>
      </c>
      <c r="AN104" s="100">
        <v>7</v>
      </c>
      <c r="AO104" s="100">
        <v>4426.8</v>
      </c>
      <c r="AP104" s="100">
        <v>9</v>
      </c>
      <c r="AQ104" s="100">
        <v>5691.5999999999995</v>
      </c>
      <c r="AR104" s="100">
        <v>8.645589329934884</v>
      </c>
      <c r="AS104" s="100">
        <v>5467.4706922508203</v>
      </c>
      <c r="AT104" s="100">
        <v>5.9999999999999654</v>
      </c>
      <c r="AU104" s="100">
        <v>3794.3999999999778</v>
      </c>
      <c r="AV104" s="100">
        <v>7.5433889748369385</v>
      </c>
      <c r="AW104" s="100">
        <v>4770.4391876868794</v>
      </c>
      <c r="AX104" s="100">
        <v>6.2839127554551029</v>
      </c>
      <c r="AY104" s="100">
        <v>3973.9464265498068</v>
      </c>
      <c r="AZ104" s="100">
        <v>6.9758062726757544</v>
      </c>
      <c r="BA104" s="100">
        <v>4411.4998868401472</v>
      </c>
      <c r="BB104" s="100">
        <v>5.9508256078162649</v>
      </c>
      <c r="BC104" s="100">
        <v>3763.3021143830056</v>
      </c>
      <c r="BD104" s="100">
        <v>7</v>
      </c>
      <c r="BE104" s="100">
        <v>4426.8</v>
      </c>
      <c r="BF104" s="100">
        <v>7.9315216705183627</v>
      </c>
      <c r="BG104" s="100">
        <v>5015.894304435812</v>
      </c>
      <c r="BH104" s="100">
        <v>7.4999999999999565</v>
      </c>
      <c r="BI104" s="100">
        <v>4742.9999999999727</v>
      </c>
      <c r="BJ104" s="100">
        <v>7.433435836210772</v>
      </c>
      <c r="BK104" s="100">
        <v>4700.9048228196916</v>
      </c>
      <c r="BL104" s="100">
        <v>3.6915340156086929</v>
      </c>
      <c r="BM104" s="100">
        <v>2334.5261114709374</v>
      </c>
      <c r="BN104" s="100">
        <v>7</v>
      </c>
      <c r="BO104" s="100">
        <v>4426.8</v>
      </c>
      <c r="BP104" s="100">
        <v>8</v>
      </c>
      <c r="BQ104" s="100">
        <v>5059.2</v>
      </c>
      <c r="BR104" s="100">
        <v>9</v>
      </c>
      <c r="BS104" s="100">
        <v>5691.5999999999995</v>
      </c>
      <c r="BT104" s="100">
        <v>9.2481587031468688</v>
      </c>
      <c r="BU104" s="100">
        <v>5848.5355638700794</v>
      </c>
      <c r="BV104" s="100">
        <v>5.4576816482235442</v>
      </c>
      <c r="BW104" s="100">
        <v>3451.4378743365692</v>
      </c>
      <c r="BX104" s="100">
        <v>3.3043101678175715</v>
      </c>
      <c r="BY104" s="100">
        <v>2089.6457501278323</v>
      </c>
      <c r="BZ104" s="100">
        <v>9</v>
      </c>
      <c r="CA104" s="100">
        <v>5691.5999999999995</v>
      </c>
      <c r="CB104" s="100">
        <v>7</v>
      </c>
      <c r="CC104" s="100">
        <v>4426.8</v>
      </c>
      <c r="CD104" s="100">
        <v>9</v>
      </c>
      <c r="CE104" s="100">
        <v>5691.5999999999995</v>
      </c>
      <c r="CF104" s="100">
        <v>4.633711557577425</v>
      </c>
      <c r="CG104" s="100">
        <v>2930.3591890119633</v>
      </c>
      <c r="CH104" s="100">
        <v>7.3464604402141651</v>
      </c>
      <c r="CI104" s="100">
        <v>4645.9015823914378</v>
      </c>
      <c r="CJ104" s="100">
        <v>6.4418577018654002</v>
      </c>
      <c r="CK104" s="100">
        <v>4073.8308106596787</v>
      </c>
      <c r="CL104" s="100">
        <v>6.1807646734422583</v>
      </c>
      <c r="CM104" s="100">
        <v>3908.7155794848841</v>
      </c>
      <c r="CN104" s="100">
        <v>5.3009488414974495</v>
      </c>
      <c r="CO104" s="100">
        <v>3352.3200473629868</v>
      </c>
      <c r="CP104" s="100">
        <v>7.0558828833741423</v>
      </c>
      <c r="CQ104" s="100">
        <v>4462.1403354458071</v>
      </c>
      <c r="CR104" s="100">
        <v>0.47578130813105685</v>
      </c>
      <c r="CS104" s="100">
        <v>300.88409926208033</v>
      </c>
      <c r="CT104" s="100">
        <v>7.1111111111110725</v>
      </c>
      <c r="CU104" s="100">
        <v>4497.066666666642</v>
      </c>
    </row>
    <row r="105" spans="2:99">
      <c r="C105" s="99" t="s">
        <v>271</v>
      </c>
      <c r="D105" s="100">
        <v>8.4411949565487472</v>
      </c>
      <c r="E105" s="100">
        <v>4700.057351806342</v>
      </c>
      <c r="F105" s="100">
        <v>8.0367712953746295</v>
      </c>
      <c r="G105" s="100">
        <v>4474.8742572645933</v>
      </c>
      <c r="H105" s="100">
        <v>2.5924902832547065</v>
      </c>
      <c r="I105" s="100">
        <v>1443.4985897162205</v>
      </c>
      <c r="J105" s="100">
        <v>7.279137404707579</v>
      </c>
      <c r="K105" s="100">
        <v>4053.0237069411796</v>
      </c>
      <c r="L105" s="100">
        <v>7.4262986542771232</v>
      </c>
      <c r="M105" s="100">
        <v>4134.9630907015016</v>
      </c>
      <c r="N105" s="100">
        <v>7.8947368421052166</v>
      </c>
      <c r="O105" s="100">
        <v>4395.7894736841845</v>
      </c>
      <c r="P105" s="100">
        <v>7.9941772751902178</v>
      </c>
      <c r="Q105" s="100">
        <v>4451.1579068259125</v>
      </c>
      <c r="R105" s="100">
        <v>5.7302397857224632</v>
      </c>
      <c r="S105" s="100">
        <v>3190.5975126902672</v>
      </c>
      <c r="T105" s="100">
        <v>6.3424799135061418</v>
      </c>
      <c r="U105" s="100">
        <v>3531.4928158402195</v>
      </c>
      <c r="V105" s="100">
        <v>6</v>
      </c>
      <c r="W105" s="100">
        <v>3340.7999999999997</v>
      </c>
      <c r="X105" s="100">
        <v>9.2111493248803669</v>
      </c>
      <c r="Y105" s="100">
        <v>5128.767944093388</v>
      </c>
      <c r="Z105" s="100">
        <v>7.0011637902098185</v>
      </c>
      <c r="AA105" s="100">
        <v>3898.2479983888265</v>
      </c>
      <c r="AB105" s="100">
        <v>2.3039657741625095</v>
      </c>
      <c r="AC105" s="100">
        <v>1282.8481430536851</v>
      </c>
      <c r="AD105" s="100">
        <v>6.0626063666545429</v>
      </c>
      <c r="AE105" s="100">
        <v>3375.6592249532491</v>
      </c>
      <c r="AF105" s="100">
        <v>5.9999999999999654</v>
      </c>
      <c r="AG105" s="100">
        <v>3340.7999999999806</v>
      </c>
      <c r="AH105" s="100">
        <v>5.5976975487508822</v>
      </c>
      <c r="AI105" s="100">
        <v>3116.7979951444909</v>
      </c>
      <c r="AJ105" s="100">
        <v>8.6774623337943773</v>
      </c>
      <c r="AK105" s="100">
        <v>4831.6110274567091</v>
      </c>
      <c r="AL105" s="100">
        <v>10</v>
      </c>
      <c r="AM105" s="100">
        <v>5568</v>
      </c>
      <c r="AN105" s="100">
        <v>7</v>
      </c>
      <c r="AO105" s="100">
        <v>3897.5999999999995</v>
      </c>
      <c r="AP105" s="100">
        <v>10</v>
      </c>
      <c r="AQ105" s="100">
        <v>5568</v>
      </c>
      <c r="AR105" s="100">
        <v>8.645589329934884</v>
      </c>
      <c r="AS105" s="100">
        <v>4813.8641389077429</v>
      </c>
      <c r="AT105" s="100">
        <v>6.8571428571428168</v>
      </c>
      <c r="AU105" s="100">
        <v>3818.0571428571202</v>
      </c>
      <c r="AV105" s="100">
        <v>8.2291516089130248</v>
      </c>
      <c r="AW105" s="100">
        <v>4581.9916158427723</v>
      </c>
      <c r="AX105" s="100">
        <v>6.2839127554551029</v>
      </c>
      <c r="AY105" s="100">
        <v>3498.8826222374009</v>
      </c>
      <c r="AZ105" s="100">
        <v>5.9792625194363609</v>
      </c>
      <c r="BA105" s="100">
        <v>3329.2533708221654</v>
      </c>
      <c r="BB105" s="100">
        <v>5.9508256078162649</v>
      </c>
      <c r="BC105" s="100">
        <v>3313.4196984320961</v>
      </c>
      <c r="BD105" s="100">
        <v>6</v>
      </c>
      <c r="BE105" s="100">
        <v>3340.7999999999997</v>
      </c>
      <c r="BF105" s="100">
        <v>8.8128018561315145</v>
      </c>
      <c r="BG105" s="100">
        <v>4906.9680734940266</v>
      </c>
      <c r="BH105" s="100">
        <v>8.4374999999999503</v>
      </c>
      <c r="BI105" s="100">
        <v>4697.9999999999718</v>
      </c>
      <c r="BJ105" s="100">
        <v>7.4033473534351266</v>
      </c>
      <c r="BK105" s="100">
        <v>4122.183806392678</v>
      </c>
      <c r="BL105" s="100">
        <v>3.6915340156086929</v>
      </c>
      <c r="BM105" s="100">
        <v>2055.4461398909202</v>
      </c>
      <c r="BN105" s="100">
        <v>7</v>
      </c>
      <c r="BO105" s="100">
        <v>3897.5999999999995</v>
      </c>
      <c r="BP105" s="100">
        <v>9</v>
      </c>
      <c r="BQ105" s="100">
        <v>5011.2</v>
      </c>
      <c r="BR105" s="100">
        <v>10</v>
      </c>
      <c r="BS105" s="100">
        <v>5568</v>
      </c>
      <c r="BT105" s="100">
        <v>9.140033786582654</v>
      </c>
      <c r="BU105" s="100">
        <v>5089.1708123692215</v>
      </c>
      <c r="BV105" s="100">
        <v>5.4576816482235442</v>
      </c>
      <c r="BW105" s="100">
        <v>3038.837141730869</v>
      </c>
      <c r="BX105" s="100">
        <v>3.7173489387947685</v>
      </c>
      <c r="BY105" s="100">
        <v>2069.8198891209267</v>
      </c>
      <c r="BZ105" s="100">
        <v>10</v>
      </c>
      <c r="CA105" s="100">
        <v>5568</v>
      </c>
      <c r="CB105" s="100">
        <v>8</v>
      </c>
      <c r="CC105" s="100">
        <v>4454.3999999999996</v>
      </c>
      <c r="CD105" s="100">
        <v>10</v>
      </c>
      <c r="CE105" s="100">
        <v>5568</v>
      </c>
      <c r="CF105" s="100">
        <v>3.861426297981188</v>
      </c>
      <c r="CG105" s="100">
        <v>2150.0421627159253</v>
      </c>
      <c r="CH105" s="100">
        <v>7.3464604402141651</v>
      </c>
      <c r="CI105" s="100">
        <v>4090.5091731112466</v>
      </c>
      <c r="CJ105" s="100">
        <v>6.7489486018858491</v>
      </c>
      <c r="CK105" s="100">
        <v>3757.8145815300404</v>
      </c>
      <c r="CL105" s="100">
        <v>6.5665851931651167</v>
      </c>
      <c r="CM105" s="100">
        <v>3656.2746355543368</v>
      </c>
      <c r="CN105" s="100">
        <v>4.5436704355692425</v>
      </c>
      <c r="CO105" s="100">
        <v>2529.9156985249542</v>
      </c>
      <c r="CP105" s="100">
        <v>6.3594596085205319</v>
      </c>
      <c r="CQ105" s="100">
        <v>3540.9471100242317</v>
      </c>
      <c r="CR105" s="100">
        <v>0.52335943894416259</v>
      </c>
      <c r="CS105" s="100">
        <v>291.40653560410971</v>
      </c>
      <c r="CT105" s="100">
        <v>6.2222222222221886</v>
      </c>
      <c r="CU105" s="100">
        <v>3464.5333333333142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307.53368791115292</v>
      </c>
      <c r="E109" s="100">
        <f>SUM(L$6:L$19)+SUM(N$6:N$19)+SUM(P$6:P$19)+SUM(R$6:R$19)</f>
        <v>345.80721471668772</v>
      </c>
      <c r="F109" s="100">
        <f>SUM(T$6:T$19)+SUM(V$6:V$19)+SUM(X$6:X$19)+SUM(Z$6:Z$19)</f>
        <v>312.57051035756979</v>
      </c>
      <c r="G109" s="100">
        <f>SUM(AB$6:AB$19)+SUM(AD$6:AD$19)+SUM(AF$6:AF$19)+SUM(AH$6:AH$19)</f>
        <v>281.4712235615587</v>
      </c>
      <c r="H109" s="100">
        <f>SUM(AJ$6:AJ$19)+SUM(AL$6:AL$19)+SUM(AN$6:AN$19)+SUM(AP$6:AP$19)</f>
        <v>304.6896345417718</v>
      </c>
      <c r="I109" s="100">
        <f>SUM(AR$6:AR$19)+SUM(AT$6:AT$19)+SUM(AV$6:AV$19)+SUM(AX$6:AX$19)</f>
        <v>359.86308095053408</v>
      </c>
      <c r="J109" s="100">
        <f>SUM(AZ$6:AZ$19)+SUM(BB$6:BB$19)+SUM(BD$6:BD$19)+SUM(BF$6:BF$19)</f>
        <v>296.53028824399644</v>
      </c>
      <c r="K109" s="100">
        <f>SUM(BH$6:BH$19)+SUM(BJ$6:BJ$19)+SUM(BL$6:BL$19)+SUM(BN$6:BN$19)</f>
        <v>345.2624032682852</v>
      </c>
      <c r="L109" s="100">
        <f>SUM(BP$6:BP$19)+SUM(BR$6:BR$19)+SUM(BT$6:BT$19)+SUM(BV$6:BV$19)</f>
        <v>294.55468555353912</v>
      </c>
      <c r="M109" s="100">
        <f>SUM(BX$6:BX$19)+SUM(BZ$6:BZ$19)+SUM(CB$6:CB$19)+SUM(CD$6:CD$19)</f>
        <v>349.04039357821301</v>
      </c>
      <c r="N109" s="100">
        <f>SUM(CF$6:CF$19)+SUM(CH$6:CH$19)+SUM(CJ$6:CJ$19)+SUM(CL$6:CL$19)</f>
        <v>356.00707880183478</v>
      </c>
      <c r="O109" s="100">
        <f>SUM(CN$6:CN$19)+SUM(CP$6:CP$19)+SUM(CR$6:CR$19)+SUM(CT$6:CT$19)</f>
        <v>476.14084798598651</v>
      </c>
    </row>
    <row r="110" spans="2:99">
      <c r="C110" s="99" t="s">
        <v>127</v>
      </c>
      <c r="D110" s="100">
        <f>SUM(D$20:D$36)+SUM(F$20:F$36)+SUM(H$20:H$36)+SUM(J$20:J$36)</f>
        <v>553.67854837287632</v>
      </c>
      <c r="E110" s="100">
        <f>SUM(L$20:L$36)+SUM(N$20:N$36)+SUM(P$20:P$36)+SUM(R$20:R$36)</f>
        <v>715.80808445681703</v>
      </c>
      <c r="F110" s="100">
        <f>SUM(T$20:T$36)+SUM(V$20:V$36)+SUM(X$20:X$36)+SUM(Z$20:Z$36)</f>
        <v>521.01511760584583</v>
      </c>
      <c r="G110" s="100">
        <f>SUM(AB$20:AB$36)+SUM(AD$20:AD$36)+SUM(AF$20:AF$36)+SUM(AH$20:AH$36)</f>
        <v>637.47176780949951</v>
      </c>
      <c r="H110" s="100">
        <f>SUM(AJ$20:AJ$36)+SUM(AL$20:AL$36)+SUM(AN$20:AN$36)+SUM(AP$20:AP$36)</f>
        <v>606.31247510451522</v>
      </c>
      <c r="I110" s="100">
        <f>SUM(AR$20:AR$36)+SUM(AT$20:AT$36)+SUM(AV$20:AV$36)+SUM(AX$20:AX$36)</f>
        <v>778.25673085636572</v>
      </c>
      <c r="J110" s="100">
        <f>SUM(AZ$20:AZ$36)+SUM(BB$20:BB$36)+SUM(BD$20:BD$36)+SUM(BF$20:BF$36)</f>
        <v>654.19636763095616</v>
      </c>
      <c r="K110" s="100">
        <f>SUM(BH$20:BH$36)+SUM(BJ$20:BJ$36)+SUM(BL$20:BL$36)+SUM(BN$20:BN$36)</f>
        <v>546.74311550975995</v>
      </c>
      <c r="L110" s="100">
        <f>SUM(BP$20:BP$36)+SUM(BR$20:BR$36)+SUM(BT$20:BT$36)+SUM(BV$20:BV$36)</f>
        <v>527.52944652576821</v>
      </c>
      <c r="M110" s="100">
        <f>SUM(BX$20:BX$36)+SUM(BZ$20:BZ$36)+SUM(CB$20:CB$36)+SUM(CD$20:CD$36)</f>
        <v>808.54304734559082</v>
      </c>
      <c r="N110" s="100">
        <f>SUM(CF$20:CF$36)+SUM(CH$20:CH$36)+SUM(CJ$20:CJ$36)+SUM(CL$20:CL$36)</f>
        <v>550.01497925031117</v>
      </c>
      <c r="O110" s="100">
        <f>SUM(CN$20:CN$36)+SUM(CP$20:CP$36)+SUM(CR$20:CR$36)+SUM(CT$20:CT$36)</f>
        <v>644.96777955883431</v>
      </c>
    </row>
    <row r="111" spans="2:99">
      <c r="C111" s="99" t="s">
        <v>128</v>
      </c>
      <c r="D111" s="100">
        <f>SUM(D$37:D$48)+SUM(F$37:F$48)+SUM(H$37:H$48)+SUM(J$37:J$48)</f>
        <v>267.56796435489883</v>
      </c>
      <c r="E111" s="100">
        <f>SUM(L$37:L$48)+SUM(N$37:N$48)+SUM(P$37:P$48)+SUM(R$37:R$48)</f>
        <v>340.75479399860603</v>
      </c>
      <c r="F111" s="100">
        <f>SUM(T$37:T$48)+SUM(V$37:V$48)+SUM(X$37:X$48)+SUM(Z$37:Z$48)</f>
        <v>224.1247815103805</v>
      </c>
      <c r="G111" s="100">
        <f>SUM(AB$37:AB$48)+SUM(AD$37:AD$48)+SUM(AF$37:AF$48)+SUM(AH$37:AH$48)</f>
        <v>268.38457304725398</v>
      </c>
      <c r="H111" s="100">
        <f>SUM(AJ$37:AJ$48)+SUM(AL$37:AL$48)+SUM(AN$37:AN$48)+SUM(AP$37:AP$48)</f>
        <v>234.71868498571439</v>
      </c>
      <c r="I111" s="100">
        <f>SUM(AR$37:AR$48)+SUM(AT$37:AT$48)+SUM(AV$37:AV$48)+SUM(AX$37:AX$48)</f>
        <v>292.76000611027632</v>
      </c>
      <c r="J111" s="100">
        <f>SUM(AZ$37:AZ$48)+SUM(BB$37:BB$48)+SUM(BD$37:BD$48)+SUM(BF$37:BF$48)</f>
        <v>197.70905801295908</v>
      </c>
      <c r="K111" s="100">
        <f>SUM(BH$37:BH$48)+SUM(BJ$37:BJ$48)+SUM(BL$37:BL$48)+SUM(BN$37:BN$48)</f>
        <v>235.18044910787498</v>
      </c>
      <c r="L111" s="100">
        <f>SUM(BP$37:BP$48)+SUM(BR$37:BR$48)+SUM(BT$37:BT$48)+SUM(BV$37:BV$48)</f>
        <v>253.42504792160443</v>
      </c>
      <c r="M111" s="100">
        <f>SUM(BX$37:BX$48)+SUM(BZ$37:BZ$48)+SUM(CB$37:CB$48)+SUM(CD$37:CD$48)</f>
        <v>290.10766354599753</v>
      </c>
      <c r="N111" s="100">
        <f>SUM(CF$37:CF$48)+SUM(CH$37:CH$48)+SUM(CJ$37:CJ$48)+SUM(CL$37:CL$48)</f>
        <v>271.00575152649077</v>
      </c>
      <c r="O111" s="100">
        <f>SUM(CN$37:CN$48)+SUM(CP$37:CP$48)+SUM(CR$37:CR$48)+SUM(CT$37:CT$48)</f>
        <v>291.32338606716814</v>
      </c>
    </row>
    <row r="112" spans="2:99">
      <c r="C112" s="99" t="s">
        <v>129</v>
      </c>
      <c r="D112" s="100">
        <f>SUM(D$49:D$70)+SUM(F$49:F$70)+SUM(H$49:H$70)+SUM(J$49:J$70)</f>
        <v>363.10234651251608</v>
      </c>
      <c r="E112" s="100">
        <f>SUM(L$49:L$70)+SUM(N$49:N$70)+SUM(P$49:P$70)+SUM(R$49:R$70)</f>
        <v>429.08948322149843</v>
      </c>
      <c r="F112" s="100">
        <f>SUM(T$49:T$70)+SUM(V$49:V$70)+SUM(X$49:X$70)+SUM(Z$49:Z$70)</f>
        <v>410.50118211229596</v>
      </c>
      <c r="G112" s="100">
        <f>SUM(AB$49:AB$70)+SUM(AD$49:AD$70)+SUM(AF$49:AF$70)+SUM(AH$49:AH$70)</f>
        <v>366.79628725474373</v>
      </c>
      <c r="H112" s="100">
        <f>SUM(AJ$49:AJ$70)+SUM(AL$49:AL$70)+SUM(AN$49:AN$70)+SUM(AP$49:AP$70)</f>
        <v>357.3907380296871</v>
      </c>
      <c r="I112" s="100">
        <f>SUM(AR$49:AR$70)+SUM(AT$49:AT$70)+SUM(AV$49:AV$70)+SUM(AX$49:AX$70)</f>
        <v>478.10295574669192</v>
      </c>
      <c r="J112" s="100">
        <f>SUM(AZ$49:AZ$70)+SUM(BB$49:BB$70)+SUM(BD$49:BD$70)+SUM(BF$49:BF$70)</f>
        <v>311.05281955890257</v>
      </c>
      <c r="K112" s="100">
        <f>SUM(BH$49:BH$70)+SUM(BJ$49:BJ$70)+SUM(BL$49:BL$70)+SUM(BN$49:BN$70)</f>
        <v>346.21212355402992</v>
      </c>
      <c r="L112" s="100">
        <f>SUM(BP$49:BP$70)+SUM(BR$49:BR$70)+SUM(BT$49:BT$70)+SUM(BV$49:BV$70)</f>
        <v>319.79612026166535</v>
      </c>
      <c r="M112" s="100">
        <f>SUM(BX$49:BX$70)+SUM(BZ$49:BZ$70)+SUM(CB$49:CB$70)+SUM(CD$49:CD$70)</f>
        <v>362.00417074844711</v>
      </c>
      <c r="N112" s="100">
        <f>SUM(CF$49:CF$70)+SUM(CH$49:CH$70)+SUM(CJ$49:CJ$70)+SUM(CL$49:CL$70)</f>
        <v>363.3934436953175</v>
      </c>
      <c r="O112" s="100">
        <f>SUM(CN$49:CN$70)+SUM(CP$49:CP$70)+SUM(CR$49:CR$70)+SUM(CT$49:CT$70)</f>
        <v>435.11726249789831</v>
      </c>
    </row>
    <row r="113" spans="2:15">
      <c r="C113" s="99" t="s">
        <v>130</v>
      </c>
      <c r="D113" s="100">
        <f>SUM(D$71:D$86)+SUM(F$71:F$86)+SUM(H$71:H$86)+SUM(J$71:J$86)</f>
        <v>258.0041537652416</v>
      </c>
      <c r="E113" s="100">
        <f>SUM(L$71:L$86)+SUM(N$71:N$86)+SUM(P$71:P$86)+SUM(R$71:R$86)</f>
        <v>191.87562441926195</v>
      </c>
      <c r="F113" s="100">
        <f>SUM(T$71:T$86)+SUM(V$71:V$86)+SUM(X$71:X$86)+SUM(Z$71:Z$86)</f>
        <v>299</v>
      </c>
      <c r="G113" s="100">
        <f>SUM(AB$71:AB$86)+SUM(AD$71:AD$86)+SUM(AF$71:AF$86)+SUM(AH$71:AH$86)</f>
        <v>275</v>
      </c>
      <c r="H113" s="100">
        <f>SUM(AJ$71:AJ$86)+SUM(AL$71:AL$86)+SUM(AN$71:AN$86)+SUM(AP$71:AP$86)</f>
        <v>261</v>
      </c>
      <c r="I113" s="100">
        <f>SUM(AR$71:AR$86)+SUM(AT$71:AT$86)+SUM(AV$71:AV$86)+SUM(AX$71:AX$86)</f>
        <v>303</v>
      </c>
      <c r="J113" s="100">
        <f>SUM(AZ$71:AZ$86)+SUM(BB$71:BB$86)+SUM(BD$71:BD$86)+SUM(BF$71:BF$86)</f>
        <v>319.99699653921596</v>
      </c>
      <c r="K113" s="100">
        <f>SUM(BH$71:BH$86)+SUM(BJ$71:BJ$86)+SUM(BL$71:BL$86)+SUM(BN$71:BN$86)</f>
        <v>277.89105645416527</v>
      </c>
      <c r="L113" s="100">
        <f>SUM(BP$71:BP$86)+SUM(BR$71:BR$86)+SUM(BT$71:BT$86)+SUM(BV$71:BV$86)</f>
        <v>288</v>
      </c>
      <c r="M113" s="100">
        <f>SUM(BX$71:BX$86)+SUM(BZ$71:BZ$86)+SUM(CB$71:CB$86)+SUM(CD$71:CD$86)</f>
        <v>320</v>
      </c>
      <c r="N113" s="100">
        <f>SUM(CF$71:CF$86)+SUM(CH$71:CH$86)+SUM(CJ$71:CJ$86)+SUM(CL$71:CL$86)</f>
        <v>283</v>
      </c>
      <c r="O113" s="100">
        <f>SUM(CN$71:CN$86)+SUM(CP$71:CP$86)+SUM(CR$71:CR$86)+SUM(CT$71:CT$86)</f>
        <v>325</v>
      </c>
    </row>
    <row r="114" spans="2:15">
      <c r="C114" s="99" t="s">
        <v>131</v>
      </c>
      <c r="D114" s="100">
        <f>SUM(D$87:D$94)+SUM(F$87:F$94)+SUM(H$87:H$94)+SUM(J$87:J$94)</f>
        <v>134.59815578865332</v>
      </c>
      <c r="E114" s="100">
        <f>SUM(L$87:L$94)+SUM(N$87:N$94)+SUM(P$87:P$94)+SUM(R$87:R$94)</f>
        <v>115.89054450266786</v>
      </c>
      <c r="F114" s="100">
        <f>SUM(T$87:T$94)+SUM(V$87:V$94)+SUM(X$87:X$94)+SUM(Z$87:Z$94)</f>
        <v>142.95998563723154</v>
      </c>
      <c r="G114" s="100">
        <f>SUM(AB$87:AB$94)+SUM(AD$87:AD$94)+SUM(AF$87:AF$94)+SUM(AH$87:AH$94)</f>
        <v>151.450334463372</v>
      </c>
      <c r="H114" s="100">
        <f>SUM(AJ$87:AJ$94)+SUM(AL$87:AL$94)+SUM(AN$87:AN$94)+SUM(AP$87:AP$94)</f>
        <v>155.51956543559243</v>
      </c>
      <c r="I114" s="100">
        <f>SUM(AR$87:AR$94)+SUM(AT$87:AT$94)+SUM(AV$87:AV$94)+SUM(AX$87:AX$94)</f>
        <v>128.8740637741565</v>
      </c>
      <c r="J114" s="100">
        <f>SUM(AZ$87:AZ$94)+SUM(BB$87:BB$94)+SUM(BD$87:BD$94)+SUM(BF$87:BF$94)</f>
        <v>158.74268248733739</v>
      </c>
      <c r="K114" s="100">
        <f>SUM(BH$87:BH$94)+SUM(BJ$87:BJ$94)+SUM(BL$87:BL$94)+SUM(BN$87:BN$94)</f>
        <v>105.37611166093419</v>
      </c>
      <c r="L114" s="100">
        <f>SUM(BP$87:BP$94)+SUM(BR$87:BR$94)+SUM(BT$87:BT$94)+SUM(BV$87:BV$94)</f>
        <v>151.43315349457927</v>
      </c>
      <c r="M114" s="100">
        <f>SUM(BX$87:BX$94)+SUM(BZ$87:BZ$94)+SUM(CB$87:CB$94)+SUM(CD$87:CD$94)</f>
        <v>124.59796692060868</v>
      </c>
      <c r="N114" s="100">
        <f>SUM(CF$87:CF$94)+SUM(CH$87:CH$94)+SUM(CJ$87:CJ$94)+SUM(CL$87:CL$94)</f>
        <v>129.02028062197789</v>
      </c>
      <c r="O114" s="100">
        <f>SUM(CN$87:CN$94)+SUM(CP$87:CP$94)+SUM(CR$87:CR$94)+SUM(CT$87:CT$94)</f>
        <v>114.27093522393056</v>
      </c>
    </row>
    <row r="115" spans="2:15">
      <c r="C115" s="99" t="s">
        <v>132</v>
      </c>
      <c r="D115" s="100">
        <f>SUM(D$95:D$105)+SUM(F$95:F$105)+SUM(H$95:H$105)+SUM(J$95:J$105)</f>
        <v>292.53856901807842</v>
      </c>
      <c r="E115" s="100">
        <f>SUM(L$95:L$105)+SUM(N$95:N$105)+SUM(P$95:P$105)+SUM(R$95:R$105)</f>
        <v>328.48616487469735</v>
      </c>
      <c r="F115" s="100">
        <f>SUM(T$95:T$105)+SUM(V$95:V$105)+SUM(X$95:X$105)+SUM(Z$95:Z$105)</f>
        <v>307.25590262682715</v>
      </c>
      <c r="G115" s="100">
        <f>SUM(AB$95:AB$105)+SUM(AD$95:AD$105)+SUM(AF$95:AF$105)+SUM(AH$95:AH$105)</f>
        <v>223.36031056327846</v>
      </c>
      <c r="H115" s="100">
        <f>SUM(AJ$95:AJ$105)+SUM(AL$95:AL$105)+SUM(AN$95:AN$105)+SUM(AP$95:AP$105)</f>
        <v>374.71659320497929</v>
      </c>
      <c r="I115" s="100">
        <f>SUM(AR$95:AR$105)+SUM(AT$95:AT$105)+SUM(AV$95:AV$105)+SUM(AX$95:AX$105)</f>
        <v>314.5466040969518</v>
      </c>
      <c r="J115" s="100">
        <f>SUM(AZ$95:AZ$105)+SUM(BB$95:BB$105)+SUM(BD$95:BD$105)+SUM(BF$95:BF$105)</f>
        <v>304.48887866693678</v>
      </c>
      <c r="K115" s="100">
        <f>SUM(BH$95:BH$105)+SUM(BJ$95:BJ$105)+SUM(BL$95:BL$105)+SUM(BN$95:BN$105)</f>
        <v>281.74668746269822</v>
      </c>
      <c r="L115" s="100">
        <f>SUM(BP$95:BP$105)+SUM(BR$95:BR$105)+SUM(BT$95:BT$105)+SUM(BV$95:BV$105)</f>
        <v>359.44091043049224</v>
      </c>
      <c r="M115" s="100">
        <f>SUM(BX$95:BX$105)+SUM(BZ$95:BZ$105)+SUM(CB$95:CB$105)+SUM(CD$95:CD$105)</f>
        <v>340.30387709771964</v>
      </c>
      <c r="N115" s="100">
        <f>SUM(CF$95:CF$105)+SUM(CH$95:CH$105)+SUM(CJ$95:CJ$105)+SUM(CL$95:CL$105)</f>
        <v>265.24908195041218</v>
      </c>
      <c r="O115" s="100">
        <f>SUM(CN$95:CN$105)+SUM(CP$95:CP$105)+SUM(CR$95:CR$105)+SUM(CT$95:CT$105)</f>
        <v>201.48773052561805</v>
      </c>
    </row>
    <row r="116" spans="2:15">
      <c r="C116" s="99" t="s">
        <v>278</v>
      </c>
      <c r="D116" s="100">
        <f t="shared" ref="D116:O116" si="0">SUM(D$109:D$115)</f>
        <v>2177.0234257234174</v>
      </c>
      <c r="E116" s="100">
        <f t="shared" si="0"/>
        <v>2467.7119101902367</v>
      </c>
      <c r="F116" s="100">
        <f t="shared" si="0"/>
        <v>2217.4274798501506</v>
      </c>
      <c r="G116" s="100">
        <f t="shared" si="0"/>
        <v>2203.9344966997064</v>
      </c>
      <c r="H116" s="100">
        <f t="shared" si="0"/>
        <v>2294.34769130226</v>
      </c>
      <c r="I116" s="100">
        <f t="shared" si="0"/>
        <v>2655.4034415349765</v>
      </c>
      <c r="J116" s="100">
        <f t="shared" si="0"/>
        <v>2242.7170911403045</v>
      </c>
      <c r="K116" s="100">
        <f t="shared" si="0"/>
        <v>2138.4119470177475</v>
      </c>
      <c r="L116" s="100">
        <f t="shared" si="0"/>
        <v>2194.1793641876484</v>
      </c>
      <c r="M116" s="100">
        <f t="shared" si="0"/>
        <v>2594.5971192365764</v>
      </c>
      <c r="N116" s="100">
        <f t="shared" si="0"/>
        <v>2217.6906158463444</v>
      </c>
      <c r="O116" s="100">
        <f t="shared" si="0"/>
        <v>2488.3079418594366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D109*pricing!D24*2000</f>
        <v>2337256.0281247618</v>
      </c>
      <c r="E120" s="100">
        <f>E109*pricing!E24*2000</f>
        <v>2628134.8318468267</v>
      </c>
      <c r="F120" s="100">
        <f>F109*pricing!F24*2000</f>
        <v>2375535.8787175301</v>
      </c>
      <c r="G120" s="100">
        <f>G109*pricing!G24*2000</f>
        <v>2139181.299067846</v>
      </c>
      <c r="H120" s="100">
        <f>H109*pricing!H24*2000</f>
        <v>2315641.2225174652</v>
      </c>
      <c r="I120" s="100">
        <f>I109*pricing!I24*2000</f>
        <v>2734959.415224059</v>
      </c>
      <c r="J120" s="100">
        <f>J109*pricing!J24*2000</f>
        <v>2253630.1906543728</v>
      </c>
      <c r="K120" s="100">
        <f>K109*pricing!K24*2000</f>
        <v>2623994.2648389675</v>
      </c>
      <c r="L120" s="100">
        <f>L109*pricing!L24*2000</f>
        <v>2238615.6102068974</v>
      </c>
      <c r="M120" s="100">
        <f>M109*pricing!M24*2000</f>
        <v>2652706.9911944186</v>
      </c>
      <c r="N120" s="100">
        <f>N109*pricing!N24*2000</f>
        <v>2705653.7988939439</v>
      </c>
      <c r="O120" s="100">
        <f>O109*pricing!O24*2000</f>
        <v>3618670.4446934974</v>
      </c>
    </row>
    <row r="121" spans="2:15">
      <c r="C121" s="99" t="s">
        <v>127</v>
      </c>
      <c r="D121" s="100">
        <f>D110*pricing!D25*2000</f>
        <v>4207956.9676338593</v>
      </c>
      <c r="E121" s="100">
        <f>E110*pricing!E25*2000</f>
        <v>5440141.4418718098</v>
      </c>
      <c r="F121" s="100">
        <f>F110*pricing!F25*2000</f>
        <v>3959714.8938044277</v>
      </c>
      <c r="G121" s="100">
        <f>G110*pricing!G25*2000</f>
        <v>4844785.435352196</v>
      </c>
      <c r="H121" s="100">
        <f>H110*pricing!H25*2000</f>
        <v>4607974.8107943153</v>
      </c>
      <c r="I121" s="100">
        <f>I110*pricing!I25*2000</f>
        <v>5914751.1545083793</v>
      </c>
      <c r="J121" s="100">
        <f>J110*pricing!J25*2000</f>
        <v>4971892.3939952664</v>
      </c>
      <c r="K121" s="100">
        <f>K110*pricing!K25*2000</f>
        <v>4155247.6778741758</v>
      </c>
      <c r="L121" s="100">
        <f>L110*pricing!L25*2000</f>
        <v>4009223.7935958384</v>
      </c>
      <c r="M121" s="100">
        <f>M110*pricing!M25*2000</f>
        <v>6144927.1598264892</v>
      </c>
      <c r="N121" s="100">
        <f>N110*pricing!N25*2000</f>
        <v>4180113.8423023648</v>
      </c>
      <c r="O121" s="100">
        <f>O110*pricing!O25*2000</f>
        <v>4901755.1246471405</v>
      </c>
    </row>
    <row r="122" spans="2:15">
      <c r="C122" s="99" t="s">
        <v>128</v>
      </c>
      <c r="D122" s="100">
        <f>D111*pricing!D26*2000</f>
        <v>2033516.5290972311</v>
      </c>
      <c r="E122" s="100">
        <f>E111*pricing!E26*2000</f>
        <v>2589736.4343894054</v>
      </c>
      <c r="F122" s="100">
        <f>F111*pricing!F26*2000</f>
        <v>1703348.3394788918</v>
      </c>
      <c r="G122" s="100">
        <f>G111*pricing!G26*2000</f>
        <v>2039722.7551591301</v>
      </c>
      <c r="H122" s="100">
        <f>H111*pricing!H26*2000</f>
        <v>1783862.0058914293</v>
      </c>
      <c r="I122" s="100">
        <f>I111*pricing!I26*2000</f>
        <v>2224976.0464380998</v>
      </c>
      <c r="J122" s="100">
        <f>J111*pricing!J26*2000</f>
        <v>1502588.8408984889</v>
      </c>
      <c r="K122" s="100">
        <f>K111*pricing!K26*2000</f>
        <v>1787371.4132198498</v>
      </c>
      <c r="L122" s="100">
        <f>L111*pricing!L26*2000</f>
        <v>1926030.3642041935</v>
      </c>
      <c r="M122" s="100">
        <f>M111*pricing!M26*2000</f>
        <v>2204818.2429495808</v>
      </c>
      <c r="N122" s="100">
        <f>N111*pricing!N26*2000</f>
        <v>2059643.71160133</v>
      </c>
      <c r="O122" s="100">
        <f>O111*pricing!O26*2000</f>
        <v>2214057.7341104778</v>
      </c>
    </row>
    <row r="123" spans="2:15">
      <c r="C123" s="99" t="s">
        <v>129</v>
      </c>
      <c r="D123" s="100">
        <f>D112*pricing!D27*2000</f>
        <v>2759577.8334951219</v>
      </c>
      <c r="E123" s="100">
        <f>E112*pricing!E27*2000</f>
        <v>3261080.0724833878</v>
      </c>
      <c r="F123" s="100">
        <f>F112*pricing!F27*2000</f>
        <v>3119808.9840534488</v>
      </c>
      <c r="G123" s="100">
        <f>G112*pricing!G27*2000</f>
        <v>2787651.7831360521</v>
      </c>
      <c r="H123" s="100">
        <f>H112*pricing!H27*2000</f>
        <v>2716169.6090256218</v>
      </c>
      <c r="I123" s="100">
        <f>I112*pricing!I27*2000</f>
        <v>3633582.4636748582</v>
      </c>
      <c r="J123" s="100">
        <f>J112*pricing!J27*2000</f>
        <v>2364001.4286476593</v>
      </c>
      <c r="K123" s="100">
        <f>K112*pricing!K27*2000</f>
        <v>2631212.1390106273</v>
      </c>
      <c r="L123" s="100">
        <f>L112*pricing!L27*2000</f>
        <v>2430450.5139886565</v>
      </c>
      <c r="M123" s="100">
        <f>M112*pricing!M27*2000</f>
        <v>2751231.6976881982</v>
      </c>
      <c r="N123" s="100">
        <f>N112*pricing!N27*2000</f>
        <v>2761790.172084413</v>
      </c>
      <c r="O123" s="100">
        <f>O112*pricing!O27*2000</f>
        <v>3306891.1949840272</v>
      </c>
    </row>
    <row r="124" spans="2:15">
      <c r="C124" s="99" t="s">
        <v>130</v>
      </c>
      <c r="D124" s="100">
        <f>D113*pricing!D28*2000</f>
        <v>1960831.5686158361</v>
      </c>
      <c r="E124" s="100">
        <f>E113*pricing!E28*2000</f>
        <v>1458254.7455863908</v>
      </c>
      <c r="F124" s="100">
        <f>F113*pricing!F28*2000</f>
        <v>2272400</v>
      </c>
      <c r="G124" s="100">
        <f>G113*pricing!G28*2000</f>
        <v>2090000</v>
      </c>
      <c r="H124" s="100">
        <f>H113*pricing!H28*2000</f>
        <v>1983600</v>
      </c>
      <c r="I124" s="100">
        <f>I113*pricing!I28*2000</f>
        <v>2302799.9999999995</v>
      </c>
      <c r="J124" s="100">
        <f>J113*pricing!J28*2000</f>
        <v>2431977.1736980411</v>
      </c>
      <c r="K124" s="100">
        <f>K113*pricing!K28*2000</f>
        <v>2111972.0290516559</v>
      </c>
      <c r="L124" s="100">
        <f>L113*pricing!L28*2000</f>
        <v>2188799.9999999995</v>
      </c>
      <c r="M124" s="100">
        <f>M113*pricing!M28*2000</f>
        <v>2432000</v>
      </c>
      <c r="N124" s="100">
        <f>N113*pricing!N28*2000</f>
        <v>2150799.9999999995</v>
      </c>
      <c r="O124" s="100">
        <f>O113*pricing!O28*2000</f>
        <v>2470000</v>
      </c>
    </row>
    <row r="125" spans="2:15">
      <c r="C125" s="99" t="s">
        <v>131</v>
      </c>
      <c r="D125" s="100">
        <f>D114*pricing!D29*2000</f>
        <v>1022945.9839937651</v>
      </c>
      <c r="E125" s="100">
        <f>E114*pricing!E29*2000</f>
        <v>880768.13822027575</v>
      </c>
      <c r="F125" s="100">
        <f>F114*pricing!F29*2000</f>
        <v>1086495.8908429595</v>
      </c>
      <c r="G125" s="100">
        <f>G114*pricing!G29*2000</f>
        <v>1151022.5419216272</v>
      </c>
      <c r="H125" s="100">
        <f>H114*pricing!H29*2000</f>
        <v>1181948.6973105024</v>
      </c>
      <c r="I125" s="100">
        <f>I114*pricing!I29*2000</f>
        <v>979442.88468358933</v>
      </c>
      <c r="J125" s="100">
        <f>J114*pricing!J29*2000</f>
        <v>1206444.3869037642</v>
      </c>
      <c r="K125" s="100">
        <f>K114*pricing!K29*2000</f>
        <v>800858.44862309983</v>
      </c>
      <c r="L125" s="100">
        <f>L114*pricing!L29*2000</f>
        <v>1150891.9665588024</v>
      </c>
      <c r="M125" s="100">
        <f>M114*pricing!M29*2000</f>
        <v>946944.54859662591</v>
      </c>
      <c r="N125" s="100">
        <f>N114*pricing!N29*2000</f>
        <v>980554.13272703183</v>
      </c>
      <c r="O125" s="100">
        <f>O114*pricing!O29*2000</f>
        <v>868459.10770187224</v>
      </c>
    </row>
    <row r="126" spans="2:15">
      <c r="C126" s="99" t="s">
        <v>132</v>
      </c>
      <c r="D126" s="100">
        <f>D115*pricing!D30*2000</f>
        <v>2223293.1245373958</v>
      </c>
      <c r="E126" s="100">
        <f>E115*pricing!E30*2000</f>
        <v>2496494.8530477001</v>
      </c>
      <c r="F126" s="100">
        <f>F115*pricing!F30*2000</f>
        <v>2335144.859963886</v>
      </c>
      <c r="G126" s="100">
        <f>G115*pricing!G30*2000</f>
        <v>1697538.3602809163</v>
      </c>
      <c r="H126" s="100">
        <f>H115*pricing!H30*2000</f>
        <v>2847846.1083578425</v>
      </c>
      <c r="I126" s="100">
        <f>I115*pricing!I30*2000</f>
        <v>2390554.1911368337</v>
      </c>
      <c r="J126" s="100">
        <f>J115*pricing!J30*2000</f>
        <v>2314115.4778687195</v>
      </c>
      <c r="K126" s="100">
        <f>K115*pricing!K30*2000</f>
        <v>2141274.8247165065</v>
      </c>
      <c r="L126" s="100">
        <f>L115*pricing!L30*2000</f>
        <v>2731750.9192717406</v>
      </c>
      <c r="M126" s="100">
        <f>M115*pricing!M30*2000</f>
        <v>2586309.4659426692</v>
      </c>
      <c r="N126" s="100">
        <f>N115*pricing!N30*2000</f>
        <v>2015893.0228231326</v>
      </c>
      <c r="O126" s="100">
        <f>O115*pricing!O30*2000</f>
        <v>1531306.7519946971</v>
      </c>
    </row>
    <row r="127" spans="2:15">
      <c r="C127" s="99" t="s">
        <v>278</v>
      </c>
      <c r="D127" s="100">
        <f t="shared" ref="D127:O127" si="1">SUM(D$120:D$126)</f>
        <v>16545378.035497969</v>
      </c>
      <c r="E127" s="100">
        <f t="shared" si="1"/>
        <v>18754610.517445795</v>
      </c>
      <c r="F127" s="100">
        <f t="shared" si="1"/>
        <v>16852448.846861143</v>
      </c>
      <c r="G127" s="100">
        <f t="shared" si="1"/>
        <v>16749902.174917769</v>
      </c>
      <c r="H127" s="100">
        <f t="shared" si="1"/>
        <v>17437042.453897174</v>
      </c>
      <c r="I127" s="100">
        <f t="shared" si="1"/>
        <v>20181066.155665819</v>
      </c>
      <c r="J127" s="100">
        <f t="shared" si="1"/>
        <v>17044649.892666314</v>
      </c>
      <c r="K127" s="100">
        <f t="shared" si="1"/>
        <v>16251930.797334883</v>
      </c>
      <c r="L127" s="100">
        <f t="shared" si="1"/>
        <v>16675763.167826129</v>
      </c>
      <c r="M127" s="100">
        <f t="shared" si="1"/>
        <v>19718938.106197979</v>
      </c>
      <c r="N127" s="100">
        <f t="shared" si="1"/>
        <v>16854448.680432215</v>
      </c>
      <c r="O127" s="100">
        <f t="shared" si="1"/>
        <v>18911140.35813171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154239.91467528531</v>
      </c>
      <c r="E131" s="106">
        <f>SUM(M$6:M$19)+SUM(O$6:O$19)+SUM(Q$6:Q$19)+SUM(S$6:S$19)</f>
        <v>174623.03845977661</v>
      </c>
      <c r="F131" s="106">
        <f>SUM(U$6:U$19)+SUM(W$6:W$19)+SUM(Y$6:Y$19)+SUM(AA$6:AA$19)</f>
        <v>157623.15201904031</v>
      </c>
      <c r="G131" s="106">
        <f>SUM(AC$6:AC$19)+SUM(AE$6:AE$19)+SUM(AG$6:AG$19)+SUM(AI$6:AI$19)</f>
        <v>142250.19704870175</v>
      </c>
      <c r="H131" s="106">
        <f>SUM(AK$6:AK$19)+SUM(AM$6:AM$19)+SUM(AO$6:AO$19)+SUM(AQ$6:AQ$19)</f>
        <v>154120.27316598871</v>
      </c>
      <c r="I131" s="106">
        <f>SUM(AS$6:AS$19)+SUM(AU$6:AU$19)+SUM(AW$6:AW$19)+SUM(AY$6:AY$19)</f>
        <v>183102.26884029651</v>
      </c>
      <c r="J131" s="106">
        <f>SUM(BA$6:BA$19)+SUM(BC$6:BC$19)+SUM(BE$6:BE$19)+SUM(BG$6:BG$19)</f>
        <v>149276.12015975924</v>
      </c>
      <c r="K131" s="106">
        <f>SUM(BI$6:BI$19)+SUM(BK$6:BK$19)+SUM(BM$6:BM$19)+SUM(BO$6:BO$19)</f>
        <v>175164.11336588257</v>
      </c>
      <c r="L131" s="106">
        <f>SUM(BQ$6:BQ$19)+SUM(BS$6:BS$19)+SUM(BU$6:BU$19)+SUM(BW$6:BW$19)</f>
        <v>149347.58225936204</v>
      </c>
      <c r="M131" s="106">
        <f>SUM(BY$6:BY$19)+SUM(CA$6:CA$19)+SUM(CC$6:CC$19)+SUM(CE$6:CE$19)</f>
        <v>177012.06461958055</v>
      </c>
      <c r="N131" s="106">
        <f>SUM(CG$6:CG$19)+SUM(CI$6:CI$19)+SUM(CK$6:CK$19)+SUM(CM$6:CM$19)</f>
        <v>180760.76157273597</v>
      </c>
      <c r="O131" s="106">
        <f>SUM(CO$6:CO$19)+SUM(CQ$6:CQ$19)+SUM(CS$6:CS$19)+SUM(CU$6:CU$19)</f>
        <v>240578.03545977623</v>
      </c>
    </row>
    <row r="132" spans="2:15">
      <c r="C132" s="105" t="s">
        <v>127</v>
      </c>
      <c r="D132" s="106">
        <f>SUM(E$20:E$36)+SUM(G$20:G$36)+SUM(I$20:I$36)+SUM(K$20:K$36)</f>
        <v>237697.9090608104</v>
      </c>
      <c r="E132" s="106">
        <f>SUM(M$20:M$36)+SUM(O$20:O$36)+SUM(Q$20:Q$36)+SUM(S$20:S$36)</f>
        <v>308501.13166338869</v>
      </c>
      <c r="F132" s="106">
        <f>SUM(U$20:U$36)+SUM(W$20:W$36)+SUM(Y$20:Y$36)+SUM(AA$20:AA$36)</f>
        <v>224019.17014956265</v>
      </c>
      <c r="G132" s="106">
        <f>SUM(AC$20:AC$36)+SUM(AE$20:AE$36)+SUM(AG$20:AG$36)+SUM(AI$20:AI$36)</f>
        <v>272414.72229955875</v>
      </c>
      <c r="H132" s="106">
        <f>SUM(AK$20:AK$36)+SUM(AM$20:AM$36)+SUM(AO$20:AO$36)+SUM(AQ$20:AQ$36)</f>
        <v>260061.41585354117</v>
      </c>
      <c r="I132" s="106">
        <f>SUM(AS$20:AS$36)+SUM(AU$20:AU$36)+SUM(AW$20:AW$36)+SUM(AY$20:AY$36)</f>
        <v>335580.74552009819</v>
      </c>
      <c r="J132" s="106">
        <f>SUM(BA$20:BA$36)+SUM(BC$20:BC$36)+SUM(BE$20:BE$36)+SUM(BG$20:BG$36)</f>
        <v>279395.37895116553</v>
      </c>
      <c r="K132" s="106">
        <f>SUM(BI$20:BI$36)+SUM(BK$20:BK$36)+SUM(BM$20:BM$36)+SUM(BO$20:BO$36)</f>
        <v>235444.83247192303</v>
      </c>
      <c r="L132" s="106">
        <f>SUM(BQ$20:BQ$36)+SUM(BS$20:BS$36)+SUM(BU$20:BU$36)+SUM(BW$20:BW$36)</f>
        <v>225463.39133896198</v>
      </c>
      <c r="M132" s="106">
        <f>SUM(BY$20:BY$36)+SUM(CA$20:CA$36)+SUM(CC$20:CC$36)+SUM(CE$20:CE$36)</f>
        <v>344683.38842929946</v>
      </c>
      <c r="N132" s="106">
        <f>SUM(CG$20:CG$36)+SUM(CI$20:CI$36)+SUM(CK$20:CK$36)+SUM(CM$20:CM$36)</f>
        <v>235053.97903699201</v>
      </c>
      <c r="O132" s="106">
        <f>SUM(CO$20:CO$36)+SUM(CQ$20:CQ$36)+SUM(CS$20:CS$36)+SUM(CU$20:CU$36)</f>
        <v>278470.76989384938</v>
      </c>
    </row>
    <row r="133" spans="2:15">
      <c r="C133" s="105" t="s">
        <v>128</v>
      </c>
      <c r="D133" s="106">
        <f>SUM(E$37:E$48)+SUM(G$37:G$48)+SUM(I$37:I$48)+SUM(K$37:K$48)</f>
        <v>282593.28313425562</v>
      </c>
      <c r="E133" s="106">
        <f>SUM(M$37:M$48)+SUM(O$37:O$48)+SUM(Q$37:Q$48)+SUM(S$37:S$48)</f>
        <v>358899.52253386943</v>
      </c>
      <c r="F133" s="106">
        <f>SUM(U$37:U$48)+SUM(W$37:W$48)+SUM(Y$37:Y$48)+SUM(AA$37:AA$48)</f>
        <v>235249.31683522463</v>
      </c>
      <c r="G133" s="106">
        <f>SUM(AC$37:AC$48)+SUM(AE$37:AE$48)+SUM(AG$37:AG$48)+SUM(AI$37:AI$48)</f>
        <v>283308.17156486702</v>
      </c>
      <c r="H133" s="106">
        <f>SUM(AK$37:AK$48)+SUM(AM$37:AM$48)+SUM(AO$37:AO$48)+SUM(AQ$37:AQ$48)</f>
        <v>246992.56658242253</v>
      </c>
      <c r="I133" s="106">
        <f>SUM(AS$37:AS$48)+SUM(AU$37:AU$48)+SUM(AW$37:AW$48)+SUM(AY$37:AY$48)</f>
        <v>307332.24841238756</v>
      </c>
      <c r="J133" s="106">
        <f>SUM(BA$37:BA$48)+SUM(BC$37:BC$48)+SUM(BE$37:BE$48)+SUM(BG$37:BG$48)</f>
        <v>208468.68597717411</v>
      </c>
      <c r="K133" s="106">
        <f>SUM(BI$37:BI$48)+SUM(BK$37:BK$48)+SUM(BM$37:BM$48)+SUM(BO$37:BO$48)</f>
        <v>246797.06669419559</v>
      </c>
      <c r="L133" s="106">
        <f>SUM(BQ$37:BQ$48)+SUM(BS$37:BS$48)+SUM(BU$37:BU$48)+SUM(BW$37:BW$48)</f>
        <v>266310.25816246733</v>
      </c>
      <c r="M133" s="106">
        <f>SUM(BY$37:BY$48)+SUM(CA$37:CA$48)+SUM(CC$37:CC$48)+SUM(CE$37:CE$48)</f>
        <v>305233.19477697322</v>
      </c>
      <c r="N133" s="106">
        <f>SUM(CG$37:CG$48)+SUM(CI$37:CI$48)+SUM(CK$37:CK$48)+SUM(CM$37:CM$48)</f>
        <v>284662.85396829911</v>
      </c>
      <c r="O133" s="106">
        <f>SUM(CO$37:CO$48)+SUM(CQ$37:CQ$48)+SUM(CS$37:CS$48)+SUM(CU$37:CU$48)</f>
        <v>306555.14310053486</v>
      </c>
    </row>
    <row r="134" spans="2:15">
      <c r="C134" s="105" t="s">
        <v>129</v>
      </c>
      <c r="D134" s="106">
        <f>SUM(E$49:E$70)+SUM(G$49:G$70)+SUM(I$49:I$70)+SUM(K$49:K$70)</f>
        <v>303287.16046441568</v>
      </c>
      <c r="E134" s="106">
        <f>SUM(M$49:M$70)+SUM(O$49:O$70)+SUM(Q$49:Q$70)+SUM(S$49:S$70)</f>
        <v>358824.4400346452</v>
      </c>
      <c r="F134" s="106">
        <f>SUM(U$49:U$70)+SUM(W$49:W$70)+SUM(Y$49:Y$70)+SUM(AA$49:AA$70)</f>
        <v>354053.02612364962</v>
      </c>
      <c r="G134" s="106">
        <f>SUM(AC$49:AC$70)+SUM(AE$49:AE$70)+SUM(AG$49:AG$70)+SUM(AI$49:AI$70)</f>
        <v>312206.16035263945</v>
      </c>
      <c r="H134" s="106">
        <f>SUM(AK$49:AK$70)+SUM(AM$49:AM$70)+SUM(AO$49:AO$70)+SUM(AQ$49:AQ$70)</f>
        <v>309218.45809446339</v>
      </c>
      <c r="I134" s="106">
        <f>SUM(AS$49:AS$70)+SUM(AU$49:AU$70)+SUM(AW$49:AW$70)+SUM(AY$49:AY$70)</f>
        <v>404973.60062623327</v>
      </c>
      <c r="J134" s="106">
        <f>SUM(BA$49:BA$70)+SUM(BC$49:BC$70)+SUM(BE$49:BE$70)+SUM(BG$49:BG$70)</f>
        <v>269375.63153935166</v>
      </c>
      <c r="K134" s="106">
        <f>SUM(BI$49:BI$70)+SUM(BK$49:BK$70)+SUM(BM$49:BM$70)+SUM(BO$49:BO$70)</f>
        <v>291476.845312174</v>
      </c>
      <c r="L134" s="106">
        <f>SUM(BQ$49:BQ$70)+SUM(BS$49:BS$70)+SUM(BU$49:BU$70)+SUM(BW$49:BW$70)</f>
        <v>272399.39694679156</v>
      </c>
      <c r="M134" s="106">
        <f>SUM(BY$49:BY$70)+SUM(CA$49:CA$70)+SUM(CC$49:CC$70)+SUM(CE$49:CE$70)</f>
        <v>302521.14153692254</v>
      </c>
      <c r="N134" s="106">
        <f>SUM(CG$49:CG$70)+SUM(CI$49:CI$70)+SUM(CK$49:CK$70)+SUM(CM$49:CM$70)</f>
        <v>307266.40691703965</v>
      </c>
      <c r="O134" s="106">
        <f>SUM(CO$49:CO$70)+SUM(CQ$49:CQ$70)+SUM(CS$49:CS$70)+SUM(CU$49:CU$70)</f>
        <v>361369.96512622142</v>
      </c>
    </row>
    <row r="135" spans="2:15">
      <c r="C135" s="105" t="s">
        <v>130</v>
      </c>
      <c r="D135" s="106">
        <f>SUM(E$71:E$86)+SUM(G$71:G$86)+SUM(I$71:I$86)+SUM(K$71:K$86)</f>
        <v>143973.45747236002</v>
      </c>
      <c r="E135" s="106">
        <f>SUM(M$71:M$86)+SUM(O$71:O$86)+SUM(Q$71:Q$86)+SUM(S$71:S$86)</f>
        <v>106875.62225744643</v>
      </c>
      <c r="F135" s="106">
        <f>SUM(U$71:U$86)+SUM(W$71:W$86)+SUM(Y$71:Y$86)+SUM(AA$71:AA$86)</f>
        <v>168073.2</v>
      </c>
      <c r="G135" s="106">
        <f>SUM(AC$71:AC$86)+SUM(AE$71:AE$86)+SUM(AG$71:AG$86)+SUM(AI$71:AI$86)</f>
        <v>154444.79999999999</v>
      </c>
      <c r="H135" s="106">
        <f>SUM(AK$71:AK$86)+SUM(AM$71:AM$86)+SUM(AO$71:AO$86)+SUM(AQ$71:AQ$86)</f>
        <v>146991.6</v>
      </c>
      <c r="I135" s="106">
        <f>SUM(AS$71:AS$86)+SUM(AU$71:AU$86)+SUM(AW$71:AW$86)+SUM(AY$71:AY$86)</f>
        <v>169310.40000000002</v>
      </c>
      <c r="J135" s="106">
        <f>SUM(BA$71:BA$86)+SUM(BC$71:BC$86)+SUM(BE$71:BE$86)+SUM(BG$71:BG$86)</f>
        <v>179614.17220962851</v>
      </c>
      <c r="K135" s="106">
        <f>SUM(BI$71:BI$86)+SUM(BK$71:BK$86)+SUM(BM$71:BM$86)+SUM(BO$71:BO$86)</f>
        <v>156161.67764368639</v>
      </c>
      <c r="L135" s="106">
        <f>SUM(BQ$71:BQ$86)+SUM(BS$71:BS$86)+SUM(BU$71:BU$86)+SUM(BW$71:BW$86)</f>
        <v>161224.80000000002</v>
      </c>
      <c r="M135" s="106">
        <f>SUM(BY$71:BY$86)+SUM(CA$71:CA$86)+SUM(CC$71:CC$86)+SUM(CE$71:CE$86)</f>
        <v>179499.6</v>
      </c>
      <c r="N135" s="106">
        <f>SUM(CG$71:CG$86)+SUM(CI$71:CI$86)+SUM(CK$71:CK$86)+SUM(CM$71:CM$86)</f>
        <v>156799.20000000001</v>
      </c>
      <c r="O135" s="106">
        <f>SUM(CO$71:CO$86)+SUM(CQ$71:CQ$86)+SUM(CS$71:CS$86)+SUM(CU$71:CU$86)</f>
        <v>180946.80000000002</v>
      </c>
    </row>
    <row r="136" spans="2:15">
      <c r="C136" s="105" t="s">
        <v>131</v>
      </c>
      <c r="D136" s="106">
        <f>SUM(E$87:E$94)+SUM(G$87:G$94)+SUM(I$87:I$94)+SUM(K$87:K$94)</f>
        <v>134810.32950077063</v>
      </c>
      <c r="E136" s="106">
        <f>SUM(M$87:M$94)+SUM(O$87:O$94)+SUM(Q$87:Q$94)+SUM(S$87:S$94)</f>
        <v>115597.40917501596</v>
      </c>
      <c r="F136" s="106">
        <f>SUM(U$87:U$94)+SUM(W$87:W$94)+SUM(Y$87:Y$94)+SUM(AA$87:AA$94)</f>
        <v>143831.75475560001</v>
      </c>
      <c r="G136" s="106">
        <f>SUM(AC$87:AC$94)+SUM(AE$87:AE$94)+SUM(AG$87:AG$94)+SUM(AI$87:AI$94)</f>
        <v>152164.81844929879</v>
      </c>
      <c r="H136" s="106">
        <f>SUM(AK$87:AK$94)+SUM(AM$87:AM$94)+SUM(AO$87:AO$94)+SUM(AQ$87:AQ$94)</f>
        <v>156004.6288443949</v>
      </c>
      <c r="I136" s="106">
        <f>SUM(AS$87:AS$94)+SUM(AU$87:AU$94)+SUM(AW$87:AW$94)+SUM(AY$87:AY$94)</f>
        <v>129938.96196127537</v>
      </c>
      <c r="J136" s="106">
        <f>SUM(BA$87:BA$94)+SUM(BC$87:BC$94)+SUM(BE$87:BE$94)+SUM(BG$87:BG$94)</f>
        <v>159680.72345671552</v>
      </c>
      <c r="K136" s="106">
        <f>SUM(BI$87:BI$94)+SUM(BK$87:BK$94)+SUM(BM$87:BM$94)+SUM(BO$87:BO$94)</f>
        <v>106011.91587547868</v>
      </c>
      <c r="L136" s="106">
        <f>SUM(BQ$87:BQ$94)+SUM(BS$87:BS$94)+SUM(BU$87:BU$94)+SUM(BW$87:BW$94)</f>
        <v>152034.59070578881</v>
      </c>
      <c r="M136" s="106">
        <f>SUM(BY$87:BY$94)+SUM(CA$87:CA$94)+SUM(CC$87:CC$94)+SUM(CE$87:CE$94)</f>
        <v>125167.01272906689</v>
      </c>
      <c r="N136" s="106">
        <f>SUM(CG$87:CG$94)+SUM(CI$87:CI$94)+SUM(CK$87:CK$94)+SUM(CM$87:CM$94)</f>
        <v>129235.73197845383</v>
      </c>
      <c r="O136" s="106">
        <f>SUM(CO$87:CO$94)+SUM(CQ$87:CQ$94)+SUM(CS$87:CS$94)+SUM(CU$87:CU$94)</f>
        <v>114572.97794247959</v>
      </c>
    </row>
    <row r="137" spans="2:15">
      <c r="C137" s="105" t="s">
        <v>132</v>
      </c>
      <c r="D137" s="106">
        <f>SUM(E$95:E$105)+SUM(G$95:G$105)+SUM(I$95:I$105)+SUM(K$95:K$105)</f>
        <v>233981.43768651466</v>
      </c>
      <c r="E137" s="106">
        <f>SUM(M$95:M$105)+SUM(O$95:O$105)+SUM(Q$95:Q$105)+SUM(S$95:S$105)</f>
        <v>267757.47376209719</v>
      </c>
      <c r="F137" s="106">
        <f>SUM(U$95:U$105)+SUM(W$95:W$105)+SUM(Y$95:Y$105)+SUM(AA$95:AA$105)</f>
        <v>253192.96238377597</v>
      </c>
      <c r="G137" s="106">
        <f>SUM(AC$95:AC$105)+SUM(AE$95:AE$105)+SUM(AG$95:AG$105)+SUM(AI$95:AI$105)</f>
        <v>178165.55259839786</v>
      </c>
      <c r="H137" s="106">
        <f>SUM(AK$95:AK$105)+SUM(AM$95:AM$105)+SUM(AO$95:AO$105)+SUM(AQ$95:AQ$105)</f>
        <v>303940.99438767537</v>
      </c>
      <c r="I137" s="106">
        <f>SUM(AS$95:AS$105)+SUM(AU$95:AU$105)+SUM(AW$95:AW$105)+SUM(AY$95:AY$105)</f>
        <v>253292.3097527489</v>
      </c>
      <c r="J137" s="106">
        <f>SUM(BA$95:BA$105)+SUM(BC$95:BC$105)+SUM(BE$95:BE$105)+SUM(BG$95:BG$105)</f>
        <v>242811.91330399236</v>
      </c>
      <c r="K137" s="106">
        <f>SUM(BI$95:BI$105)+SUM(BK$95:BK$105)+SUM(BM$95:BM$105)+SUM(BO$95:BO$105)</f>
        <v>227027.40573799127</v>
      </c>
      <c r="L137" s="106">
        <f>SUM(BQ$95:BQ$105)+SUM(BS$95:BS$105)+SUM(BU$95:BU$105)+SUM(BW$95:BW$105)</f>
        <v>295975.10239075084</v>
      </c>
      <c r="M137" s="106">
        <f>SUM(BY$95:BY$105)+SUM(CA$95:CA$105)+SUM(CC$95:CC$105)+SUM(CE$95:CE$105)</f>
        <v>275232.9843714236</v>
      </c>
      <c r="N137" s="106">
        <f>SUM(CG$95:CG$105)+SUM(CI$95:CI$105)+SUM(CK$95:CK$105)+SUM(CM$95:CM$105)</f>
        <v>214154.8277821473</v>
      </c>
      <c r="O137" s="106">
        <f>SUM(CO$95:CO$105)+SUM(CQ$95:CQ$105)+SUM(CS$95:CS$105)+SUM(CU$95:CU$105)</f>
        <v>162974.20068248961</v>
      </c>
    </row>
    <row r="138" spans="2:15">
      <c r="C138" s="105" t="s">
        <v>278</v>
      </c>
      <c r="D138" s="100">
        <f t="shared" ref="D138:O138" si="2">SUM(D$131:D$137)</f>
        <v>1490583.4919944124</v>
      </c>
      <c r="E138" s="100">
        <f t="shared" si="2"/>
        <v>1691078.6378862397</v>
      </c>
      <c r="F138" s="100">
        <f t="shared" si="2"/>
        <v>1536042.5822668532</v>
      </c>
      <c r="G138" s="100">
        <f t="shared" si="2"/>
        <v>1494954.4223134639</v>
      </c>
      <c r="H138" s="100">
        <f t="shared" si="2"/>
        <v>1577329.936928486</v>
      </c>
      <c r="I138" s="100">
        <f t="shared" si="2"/>
        <v>1783530.5351130399</v>
      </c>
      <c r="J138" s="100">
        <f t="shared" si="2"/>
        <v>1488622.6255977871</v>
      </c>
      <c r="K138" s="100">
        <f t="shared" si="2"/>
        <v>1438083.8571013315</v>
      </c>
      <c r="L138" s="100">
        <f t="shared" si="2"/>
        <v>1522755.1218041223</v>
      </c>
      <c r="M138" s="100">
        <f t="shared" si="2"/>
        <v>1709349.3864632663</v>
      </c>
      <c r="N138" s="100">
        <f t="shared" si="2"/>
        <v>1507933.761255668</v>
      </c>
      <c r="O138" s="100">
        <f t="shared" si="2"/>
        <v>1645467.892205351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1" spans="1:99">
      <c r="A1" s="101"/>
    </row>
    <row r="2" spans="1:99">
      <c r="B2" s="102" t="s">
        <v>272</v>
      </c>
    </row>
    <row r="3" spans="1:99">
      <c r="B3" s="103" t="s">
        <v>273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5.2520997934079752</v>
      </c>
      <c r="E6" s="100">
        <v>3037.8145205071728</v>
      </c>
      <c r="F6" s="100">
        <v>6.4475511227331168</v>
      </c>
      <c r="G6" s="100">
        <v>3729.2635693888346</v>
      </c>
      <c r="H6" s="100">
        <v>8.9436766131971286</v>
      </c>
      <c r="I6" s="100">
        <v>5173.0225530732187</v>
      </c>
      <c r="J6" s="100">
        <v>5.0342030223638723</v>
      </c>
      <c r="K6" s="100">
        <v>2911.7830281352635</v>
      </c>
      <c r="L6" s="100">
        <v>4.8852317084367778</v>
      </c>
      <c r="M6" s="100">
        <v>2825.6180201598322</v>
      </c>
      <c r="N6" s="100">
        <v>2.0620694252222846</v>
      </c>
      <c r="O6" s="100">
        <v>1192.7009555485695</v>
      </c>
      <c r="P6" s="100">
        <v>9.7879022797270103</v>
      </c>
      <c r="Q6" s="100">
        <v>5661.3226785941024</v>
      </c>
      <c r="R6" s="100">
        <v>3.9870011845295528</v>
      </c>
      <c r="S6" s="100">
        <v>2306.0814851318933</v>
      </c>
      <c r="T6" s="100">
        <v>6.9866997696275144</v>
      </c>
      <c r="U6" s="100">
        <v>4041.1071467525539</v>
      </c>
      <c r="V6" s="100">
        <v>4.6721560983496326</v>
      </c>
      <c r="W6" s="100">
        <v>2702.3750872854275</v>
      </c>
      <c r="X6" s="100">
        <v>3.5285873374116803E-4</v>
      </c>
      <c r="Y6" s="100">
        <v>0.20409349159589157</v>
      </c>
      <c r="Z6" s="100">
        <v>5.8457422281283211</v>
      </c>
      <c r="AA6" s="100">
        <v>3381.1773047494207</v>
      </c>
      <c r="AB6" s="100">
        <v>3.0250235107649037</v>
      </c>
      <c r="AC6" s="100">
        <v>1749.6735986264202</v>
      </c>
      <c r="AD6" s="100">
        <v>8.2143283944321155</v>
      </c>
      <c r="AE6" s="100">
        <v>4751.1675433395358</v>
      </c>
      <c r="AF6" s="100">
        <v>5.2611426480061212</v>
      </c>
      <c r="AG6" s="100">
        <v>3043.0449076067403</v>
      </c>
      <c r="AH6" s="100">
        <v>7.7931447546160317</v>
      </c>
      <c r="AI6" s="100">
        <v>4507.5549260699127</v>
      </c>
      <c r="AJ6" s="100">
        <v>4.0372327351222781</v>
      </c>
      <c r="AK6" s="100">
        <v>2335.1354139947257</v>
      </c>
      <c r="AL6" s="100">
        <v>4.422988678018854E-4</v>
      </c>
      <c r="AM6" s="100">
        <v>0.25582566513661048</v>
      </c>
      <c r="AN6" s="100">
        <v>6.0002953023309784</v>
      </c>
      <c r="AO6" s="100">
        <v>3470.5708028682379</v>
      </c>
      <c r="AP6" s="100">
        <v>7</v>
      </c>
      <c r="AQ6" s="100">
        <v>4048.7999999999997</v>
      </c>
      <c r="AR6" s="100">
        <v>5.6081998186417703</v>
      </c>
      <c r="AS6" s="100">
        <v>3243.7827751023997</v>
      </c>
      <c r="AT6" s="100">
        <v>5.0742205344653328</v>
      </c>
      <c r="AU6" s="100">
        <v>2934.9291571347485</v>
      </c>
      <c r="AV6" s="100">
        <v>6.4454818164660361</v>
      </c>
      <c r="AW6" s="100">
        <v>3728.0666826439551</v>
      </c>
      <c r="AX6" s="100">
        <v>5.5028656977021697</v>
      </c>
      <c r="AY6" s="100">
        <v>3182.8575195509347</v>
      </c>
      <c r="AZ6" s="100">
        <v>1.5990019166535576</v>
      </c>
      <c r="BA6" s="100">
        <v>924.86270859241768</v>
      </c>
      <c r="BB6" s="100">
        <v>7.9917231717625432</v>
      </c>
      <c r="BC6" s="100">
        <v>4622.412682547455</v>
      </c>
      <c r="BD6" s="100">
        <v>4.4705873890159848</v>
      </c>
      <c r="BE6" s="100">
        <v>2585.7877458068456</v>
      </c>
      <c r="BF6" s="100">
        <v>5.0381763475591077</v>
      </c>
      <c r="BG6" s="100">
        <v>2914.0811994281876</v>
      </c>
      <c r="BH6" s="100">
        <v>1.6022721720215873</v>
      </c>
      <c r="BI6" s="100">
        <v>926.7542242972861</v>
      </c>
      <c r="BJ6" s="100">
        <v>10.104406888601764</v>
      </c>
      <c r="BK6" s="100">
        <v>5844.3889443672597</v>
      </c>
      <c r="BL6" s="100">
        <v>4.6684808135232005</v>
      </c>
      <c r="BM6" s="100">
        <v>2700.2493025418189</v>
      </c>
      <c r="BN6" s="100">
        <v>7.3186991886693296</v>
      </c>
      <c r="BO6" s="100">
        <v>4233.13561072634</v>
      </c>
      <c r="BP6" s="100">
        <v>7.5572645213386611</v>
      </c>
      <c r="BQ6" s="100">
        <v>4371.1217991422818</v>
      </c>
      <c r="BR6" s="100">
        <v>4.9244419725522244E-4</v>
      </c>
      <c r="BS6" s="100">
        <v>0.28482972369242066</v>
      </c>
      <c r="BT6" s="100">
        <v>6.6960609689309054</v>
      </c>
      <c r="BU6" s="100">
        <v>3873.0016644296356</v>
      </c>
      <c r="BV6" s="100">
        <v>12.643944701678684</v>
      </c>
      <c r="BW6" s="100">
        <v>7313.2576154509507</v>
      </c>
      <c r="BX6" s="100">
        <v>6</v>
      </c>
      <c r="BY6" s="100">
        <v>3470.3999999999996</v>
      </c>
      <c r="BZ6" s="100">
        <v>6.9674953896849461</v>
      </c>
      <c r="CA6" s="100">
        <v>4029.9993333937728</v>
      </c>
      <c r="CB6" s="100">
        <v>2.5939217042090044</v>
      </c>
      <c r="CC6" s="100">
        <v>1500.324313714488</v>
      </c>
      <c r="CD6" s="100">
        <v>6.466518441796558E-4</v>
      </c>
      <c r="CE6" s="100">
        <v>0.3740234266735129</v>
      </c>
      <c r="CF6" s="100">
        <v>9.000309678006273</v>
      </c>
      <c r="CG6" s="100">
        <v>5205.7791177588279</v>
      </c>
      <c r="CH6" s="100">
        <v>10</v>
      </c>
      <c r="CI6" s="100">
        <v>5784</v>
      </c>
      <c r="CJ6" s="100">
        <v>8.1336627520692453</v>
      </c>
      <c r="CK6" s="100">
        <v>4704.5105357968514</v>
      </c>
      <c r="CL6" s="100">
        <v>7.9296514687669433</v>
      </c>
      <c r="CM6" s="100">
        <v>4586.5104095347997</v>
      </c>
      <c r="CN6" s="100">
        <v>5.6640367634049591</v>
      </c>
      <c r="CO6" s="100">
        <v>3276.078863953428</v>
      </c>
      <c r="CP6" s="100">
        <v>4.8249202058634841</v>
      </c>
      <c r="CQ6" s="100">
        <v>2790.733847071439</v>
      </c>
      <c r="CR6" s="100">
        <v>1.9319825797053678</v>
      </c>
      <c r="CS6" s="100">
        <v>1117.4587241015847</v>
      </c>
      <c r="CT6" s="100">
        <v>3.6762449969367736</v>
      </c>
      <c r="CU6" s="100">
        <v>2126.3401062282296</v>
      </c>
    </row>
    <row r="7" spans="1:99">
      <c r="C7" s="99" t="s">
        <v>173</v>
      </c>
      <c r="D7" s="100">
        <v>5.254064611338686</v>
      </c>
      <c r="E7" s="100">
        <v>4142.3045395794197</v>
      </c>
      <c r="F7" s="100">
        <v>6.4475511227331168</v>
      </c>
      <c r="G7" s="100">
        <v>5083.2493051627889</v>
      </c>
      <c r="H7" s="100">
        <v>7.9499347672863365</v>
      </c>
      <c r="I7" s="100">
        <v>6267.7285705285476</v>
      </c>
      <c r="J7" s="100">
        <v>5.7533748827015678</v>
      </c>
      <c r="K7" s="100">
        <v>4535.9607575219161</v>
      </c>
      <c r="L7" s="100">
        <v>4.8852317084367778</v>
      </c>
      <c r="M7" s="100">
        <v>3851.5166789315554</v>
      </c>
      <c r="N7" s="100">
        <v>2.0620694252222846</v>
      </c>
      <c r="O7" s="100">
        <v>1625.7355348452493</v>
      </c>
      <c r="P7" s="100">
        <v>7.7879022797270112</v>
      </c>
      <c r="Q7" s="100">
        <v>6139.9821573367753</v>
      </c>
      <c r="R7" s="100">
        <v>3.957541832481168</v>
      </c>
      <c r="S7" s="100">
        <v>3120.1259807281526</v>
      </c>
      <c r="T7" s="100">
        <v>5.8222498080229288</v>
      </c>
      <c r="U7" s="100">
        <v>4590.2617486452773</v>
      </c>
      <c r="V7" s="100">
        <v>3.7377248786797064</v>
      </c>
      <c r="W7" s="100">
        <v>2946.8222943510805</v>
      </c>
      <c r="X7" s="100">
        <v>3.5878218664006422E-4</v>
      </c>
      <c r="Y7" s="100">
        <v>0.28286387594702661</v>
      </c>
      <c r="Z7" s="100">
        <v>6.1181593992145373</v>
      </c>
      <c r="AA7" s="100">
        <v>4823.5568703407407</v>
      </c>
      <c r="AB7" s="100">
        <v>3.0250235107649037</v>
      </c>
      <c r="AC7" s="100">
        <v>2384.9285358870502</v>
      </c>
      <c r="AD7" s="100">
        <v>8.33264906360127</v>
      </c>
      <c r="AE7" s="100">
        <v>6569.4605217432409</v>
      </c>
      <c r="AF7" s="100">
        <v>5.2611426480061212</v>
      </c>
      <c r="AG7" s="100">
        <v>4147.8848636880257</v>
      </c>
      <c r="AH7" s="100">
        <v>6.7931447546160317</v>
      </c>
      <c r="AI7" s="100">
        <v>5355.7153245392792</v>
      </c>
      <c r="AJ7" s="100">
        <v>4.0372327351222781</v>
      </c>
      <c r="AK7" s="100">
        <v>3182.9542883704039</v>
      </c>
      <c r="AL7" s="100">
        <v>5.0404233932075781E-4</v>
      </c>
      <c r="AM7" s="100">
        <v>0.39738698032048547</v>
      </c>
      <c r="AN7" s="100">
        <v>6.0002953023309784</v>
      </c>
      <c r="AO7" s="100">
        <v>4730.6328163577436</v>
      </c>
      <c r="AP7" s="100">
        <v>7</v>
      </c>
      <c r="AQ7" s="100">
        <v>5518.8</v>
      </c>
      <c r="AR7" s="100">
        <v>4.6734998488681416</v>
      </c>
      <c r="AS7" s="100">
        <v>3684.5872808476429</v>
      </c>
      <c r="AT7" s="100">
        <v>5.0742205344653328</v>
      </c>
      <c r="AU7" s="100">
        <v>4000.5154693724685</v>
      </c>
      <c r="AV7" s="100">
        <v>5.5141303093699205</v>
      </c>
      <c r="AW7" s="100">
        <v>4347.3403359072454</v>
      </c>
      <c r="AX7" s="100">
        <v>5.5028656977021697</v>
      </c>
      <c r="AY7" s="100">
        <v>4338.4593160683908</v>
      </c>
      <c r="AZ7" s="100">
        <v>1.59090088278994</v>
      </c>
      <c r="BA7" s="100">
        <v>1254.2662559915887</v>
      </c>
      <c r="BB7" s="100">
        <v>7.9917231717625432</v>
      </c>
      <c r="BC7" s="100">
        <v>6300.6745486175887</v>
      </c>
      <c r="BD7" s="100">
        <v>5.3647048668191823</v>
      </c>
      <c r="BE7" s="100">
        <v>4229.5333170002432</v>
      </c>
      <c r="BF7" s="100">
        <v>5.0381763475591077</v>
      </c>
      <c r="BG7" s="100">
        <v>3972.0982324156003</v>
      </c>
      <c r="BH7" s="100">
        <v>1.611609325100392</v>
      </c>
      <c r="BI7" s="100">
        <v>1270.5927919091491</v>
      </c>
      <c r="BJ7" s="100">
        <v>12.102063528038782</v>
      </c>
      <c r="BK7" s="100">
        <v>9541.2668855057746</v>
      </c>
      <c r="BL7" s="100">
        <v>5.4465609491104008</v>
      </c>
      <c r="BM7" s="100">
        <v>4294.06865227864</v>
      </c>
      <c r="BN7" s="100">
        <v>6.5868292698023971</v>
      </c>
      <c r="BO7" s="100">
        <v>5193.05619631221</v>
      </c>
      <c r="BP7" s="100">
        <v>6.7175684634121442</v>
      </c>
      <c r="BQ7" s="100">
        <v>5296.1309765541346</v>
      </c>
      <c r="BR7" s="100">
        <v>4.2597202684276959E-4</v>
      </c>
      <c r="BS7" s="100">
        <v>0.33583634596283951</v>
      </c>
      <c r="BT7" s="100">
        <v>6.059496128212345</v>
      </c>
      <c r="BU7" s="100">
        <v>4777.306747482613</v>
      </c>
      <c r="BV7" s="100">
        <v>11.751268818625132</v>
      </c>
      <c r="BW7" s="100">
        <v>9264.7003366040535</v>
      </c>
      <c r="BX7" s="100">
        <v>5</v>
      </c>
      <c r="BY7" s="100">
        <v>3942</v>
      </c>
      <c r="BZ7" s="100">
        <v>6.9674953896849461</v>
      </c>
      <c r="CA7" s="100">
        <v>5493.1733652276116</v>
      </c>
      <c r="CB7" s="100">
        <v>2.3648385787410695</v>
      </c>
      <c r="CC7" s="100">
        <v>1864.4387354794592</v>
      </c>
      <c r="CD7" s="100">
        <v>6.466518441796558E-4</v>
      </c>
      <c r="CE7" s="100">
        <v>0.50982031395124061</v>
      </c>
      <c r="CF7" s="100">
        <v>9.0003539177214549</v>
      </c>
      <c r="CG7" s="100">
        <v>7095.8790287315951</v>
      </c>
      <c r="CH7" s="100">
        <v>10</v>
      </c>
      <c r="CI7" s="100">
        <v>7884</v>
      </c>
      <c r="CJ7" s="100">
        <v>8.9470290272761712</v>
      </c>
      <c r="CK7" s="100">
        <v>7053.8376851045332</v>
      </c>
      <c r="CL7" s="100">
        <v>7.1366863218902497</v>
      </c>
      <c r="CM7" s="100">
        <v>5626.5634961782725</v>
      </c>
      <c r="CN7" s="100">
        <v>4.9560321679793393</v>
      </c>
      <c r="CO7" s="100">
        <v>3907.3357612349109</v>
      </c>
      <c r="CP7" s="100">
        <v>4.0207668382195703</v>
      </c>
      <c r="CQ7" s="100">
        <v>3169.9725752523091</v>
      </c>
      <c r="CR7" s="100">
        <v>1.9319825797053678</v>
      </c>
      <c r="CS7" s="100">
        <v>1523.175065839712</v>
      </c>
      <c r="CT7" s="100">
        <v>3.6614633356337736</v>
      </c>
      <c r="CU7" s="100">
        <v>2886.6976938136672</v>
      </c>
    </row>
    <row r="8" spans="1:99">
      <c r="C8" s="99" t="s">
        <v>174</v>
      </c>
      <c r="D8" s="100">
        <v>5.377825115390924</v>
      </c>
      <c r="E8" s="100">
        <v>1664.9746557250298</v>
      </c>
      <c r="F8" s="100">
        <v>6.559438903416396</v>
      </c>
      <c r="G8" s="100">
        <v>2030.8022844977161</v>
      </c>
      <c r="H8" s="100">
        <v>7.9499347672863365</v>
      </c>
      <c r="I8" s="100">
        <v>2461.2998039518493</v>
      </c>
      <c r="J8" s="100">
        <v>5.0342030223638723</v>
      </c>
      <c r="K8" s="100">
        <v>1558.5892557238546</v>
      </c>
      <c r="L8" s="100">
        <v>4.8852317084367778</v>
      </c>
      <c r="M8" s="100">
        <v>1512.4677369320261</v>
      </c>
      <c r="N8" s="100">
        <v>2.0620694252222846</v>
      </c>
      <c r="O8" s="100">
        <v>638.41669404881929</v>
      </c>
      <c r="P8" s="100">
        <v>9.7879022797270103</v>
      </c>
      <c r="Q8" s="100">
        <v>3030.3345458034819</v>
      </c>
      <c r="R8" s="100">
        <v>3.957541832481168</v>
      </c>
      <c r="S8" s="100">
        <v>1225.2549513361694</v>
      </c>
      <c r="T8" s="100">
        <v>6.9866997696275144</v>
      </c>
      <c r="U8" s="100">
        <v>2163.0822486766783</v>
      </c>
      <c r="V8" s="100">
        <v>4.6721560983496326</v>
      </c>
      <c r="W8" s="100">
        <v>1446.4995280490461</v>
      </c>
      <c r="X8" s="100">
        <v>3.5285873374116803E-4</v>
      </c>
      <c r="Y8" s="100">
        <v>0.10924506396626561</v>
      </c>
      <c r="Z8" s="100">
        <v>6.1181593992145373</v>
      </c>
      <c r="AA8" s="100">
        <v>1894.1821499968205</v>
      </c>
      <c r="AB8" s="100">
        <v>3.630028212917884</v>
      </c>
      <c r="AC8" s="100">
        <v>1123.8567347193768</v>
      </c>
      <c r="AD8" s="100">
        <v>8.33264906360127</v>
      </c>
      <c r="AE8" s="100">
        <v>2579.788150090953</v>
      </c>
      <c r="AF8" s="100">
        <v>4.7350283832055089</v>
      </c>
      <c r="AG8" s="100">
        <v>1465.9647874404254</v>
      </c>
      <c r="AH8" s="100">
        <v>7.7931447546160317</v>
      </c>
      <c r="AI8" s="100">
        <v>2412.7576160291233</v>
      </c>
      <c r="AJ8" s="100">
        <v>4.0372327351222781</v>
      </c>
      <c r="AK8" s="100">
        <v>1249.9272547938572</v>
      </c>
      <c r="AL8" s="100">
        <v>4.4342048637630537E-4</v>
      </c>
      <c r="AM8" s="100">
        <v>0.13728298258210411</v>
      </c>
      <c r="AN8" s="100">
        <v>6.0003543627971743</v>
      </c>
      <c r="AO8" s="100">
        <v>1857.709710722005</v>
      </c>
      <c r="AP8" s="100">
        <v>7</v>
      </c>
      <c r="AQ8" s="100">
        <v>2167.1999999999998</v>
      </c>
      <c r="AR8" s="100">
        <v>4.6734998488681416</v>
      </c>
      <c r="AS8" s="100">
        <v>1446.9155532095765</v>
      </c>
      <c r="AT8" s="100">
        <v>5.7991091822460961</v>
      </c>
      <c r="AU8" s="100">
        <v>1795.4042028233912</v>
      </c>
      <c r="AV8" s="100">
        <v>7.2815696820188931</v>
      </c>
      <c r="AW8" s="100">
        <v>2254.3739735530489</v>
      </c>
      <c r="AX8" s="100">
        <v>6.320178002004722</v>
      </c>
      <c r="AY8" s="100">
        <v>1956.7271094206617</v>
      </c>
      <c r="AZ8" s="100">
        <v>1.5990019166535576</v>
      </c>
      <c r="BA8" s="100">
        <v>495.05099339594136</v>
      </c>
      <c r="BB8" s="100">
        <v>8.1156885682328603</v>
      </c>
      <c r="BC8" s="100">
        <v>2512.6171807248934</v>
      </c>
      <c r="BD8" s="100">
        <v>6.258822344622379</v>
      </c>
      <c r="BE8" s="100">
        <v>1937.7313978950883</v>
      </c>
      <c r="BF8" s="100">
        <v>5.0381763475591077</v>
      </c>
      <c r="BG8" s="100">
        <v>1559.8193972042995</v>
      </c>
      <c r="BH8" s="100">
        <v>1.6022721720215873</v>
      </c>
      <c r="BI8" s="100">
        <v>496.06346445788341</v>
      </c>
      <c r="BJ8" s="100">
        <v>11.962694526646885</v>
      </c>
      <c r="BK8" s="100">
        <v>3703.6502254498751</v>
      </c>
      <c r="BL8" s="100">
        <v>4.6684808135232005</v>
      </c>
      <c r="BM8" s="100">
        <v>1445.3616598667827</v>
      </c>
      <c r="BN8" s="100">
        <v>8.0505691075362638</v>
      </c>
      <c r="BO8" s="100">
        <v>2492.4561956932271</v>
      </c>
      <c r="BP8" s="100">
        <v>6.7175684634121442</v>
      </c>
      <c r="BQ8" s="100">
        <v>2079.7591962723995</v>
      </c>
      <c r="BR8" s="100">
        <v>5.6051277968932557E-4</v>
      </c>
      <c r="BS8" s="100">
        <v>0.17353475659181516</v>
      </c>
      <c r="BT8" s="100">
        <v>6.6960609689309054</v>
      </c>
      <c r="BU8" s="100">
        <v>2073.100475981008</v>
      </c>
      <c r="BV8" s="100">
        <v>12.751268818625132</v>
      </c>
      <c r="BW8" s="100">
        <v>3947.7928262463402</v>
      </c>
      <c r="BX8" s="100">
        <v>6</v>
      </c>
      <c r="BY8" s="100">
        <v>1857.6</v>
      </c>
      <c r="BZ8" s="100">
        <v>6.9674953896849461</v>
      </c>
      <c r="CA8" s="100">
        <v>2157.1365726464592</v>
      </c>
      <c r="CB8" s="100">
        <v>2.3754110536070292</v>
      </c>
      <c r="CC8" s="100">
        <v>735.42726219673614</v>
      </c>
      <c r="CD8" s="100">
        <v>6.466518441796558E-4</v>
      </c>
      <c r="CE8" s="100">
        <v>0.20020341095802141</v>
      </c>
      <c r="CF8" s="100">
        <v>9.000309678006273</v>
      </c>
      <c r="CG8" s="100">
        <v>2786.495876310742</v>
      </c>
      <c r="CH8" s="100">
        <v>11</v>
      </c>
      <c r="CI8" s="100">
        <v>3405.5999999999995</v>
      </c>
      <c r="CJ8" s="100">
        <v>8.9470290272761712</v>
      </c>
      <c r="CK8" s="100">
        <v>2770.0001868447025</v>
      </c>
      <c r="CL8" s="100">
        <v>7.9296514687669433</v>
      </c>
      <c r="CM8" s="100">
        <v>2455.0200947302455</v>
      </c>
      <c r="CN8" s="100">
        <v>5.6640367634049591</v>
      </c>
      <c r="CO8" s="100">
        <v>1753.585781950175</v>
      </c>
      <c r="CP8" s="100">
        <v>4.0207668382195703</v>
      </c>
      <c r="CQ8" s="100">
        <v>1244.8294131127789</v>
      </c>
      <c r="CR8" s="100">
        <v>1.9319825797053678</v>
      </c>
      <c r="CS8" s="100">
        <v>598.14180667678181</v>
      </c>
      <c r="CT8" s="100">
        <v>4.1803061946377413</v>
      </c>
      <c r="CU8" s="100">
        <v>1294.2227978598446</v>
      </c>
    </row>
    <row r="9" spans="1:99">
      <c r="C9" s="99" t="s">
        <v>175</v>
      </c>
      <c r="D9" s="100">
        <v>5.377825115390924</v>
      </c>
      <c r="E9" s="100">
        <v>3775.2332310044285</v>
      </c>
      <c r="F9" s="100">
        <v>6.4475511227331168</v>
      </c>
      <c r="G9" s="100">
        <v>4526.1808881586476</v>
      </c>
      <c r="H9" s="100">
        <v>8.9436766131971286</v>
      </c>
      <c r="I9" s="100">
        <v>6278.460982464384</v>
      </c>
      <c r="J9" s="100">
        <v>5.0342030223638723</v>
      </c>
      <c r="K9" s="100">
        <v>3534.0105216994384</v>
      </c>
      <c r="L9" s="100">
        <v>5.6994369931762412</v>
      </c>
      <c r="M9" s="100">
        <v>4001.0047692097214</v>
      </c>
      <c r="N9" s="100">
        <v>1.7815136332363577</v>
      </c>
      <c r="O9" s="100">
        <v>1250.6225705319232</v>
      </c>
      <c r="P9" s="100">
        <v>7.7879022797270112</v>
      </c>
      <c r="Q9" s="100">
        <v>5467.1074003683616</v>
      </c>
      <c r="R9" s="100">
        <v>3.9722715085053601</v>
      </c>
      <c r="S9" s="100">
        <v>2788.534598970763</v>
      </c>
      <c r="T9" s="100">
        <v>6.9866997696275144</v>
      </c>
      <c r="U9" s="100">
        <v>4904.6632382785147</v>
      </c>
      <c r="V9" s="100">
        <v>4.6721560983496326</v>
      </c>
      <c r="W9" s="100">
        <v>3279.8535810414419</v>
      </c>
      <c r="X9" s="100">
        <v>3.5285873374116803E-4</v>
      </c>
      <c r="Y9" s="100">
        <v>0.24770683108629996</v>
      </c>
      <c r="Z9" s="100">
        <v>5.9819508136714283</v>
      </c>
      <c r="AA9" s="100">
        <v>4199.3294711973431</v>
      </c>
      <c r="AB9" s="100">
        <v>3.0250235107649037</v>
      </c>
      <c r="AC9" s="100">
        <v>2123.5665045569626</v>
      </c>
      <c r="AD9" s="100">
        <v>8.2143283944321155</v>
      </c>
      <c r="AE9" s="100">
        <v>5766.4585328913454</v>
      </c>
      <c r="AF9" s="100">
        <v>5.2611426480061212</v>
      </c>
      <c r="AG9" s="100">
        <v>3693.322138900297</v>
      </c>
      <c r="AH9" s="100">
        <v>6.7931447546160317</v>
      </c>
      <c r="AI9" s="100">
        <v>4768.7876177404542</v>
      </c>
      <c r="AJ9" s="100">
        <v>4.0372327351222781</v>
      </c>
      <c r="AK9" s="100">
        <v>2834.137380055839</v>
      </c>
      <c r="AL9" s="100">
        <v>4.422988678018854E-4</v>
      </c>
      <c r="AM9" s="100">
        <v>0.31049380519692354</v>
      </c>
      <c r="AN9" s="100">
        <v>6.0002953023309784</v>
      </c>
      <c r="AO9" s="100">
        <v>4212.2073022363465</v>
      </c>
      <c r="AP9" s="100">
        <v>8</v>
      </c>
      <c r="AQ9" s="100">
        <v>5616</v>
      </c>
      <c r="AR9" s="100">
        <v>4.6734998488681416</v>
      </c>
      <c r="AS9" s="100">
        <v>3280.7968939054354</v>
      </c>
      <c r="AT9" s="100">
        <v>5.0742205344653328</v>
      </c>
      <c r="AU9" s="100">
        <v>3562.1028151946634</v>
      </c>
      <c r="AV9" s="100">
        <v>6.3502181749227766</v>
      </c>
      <c r="AW9" s="100">
        <v>4457.8531587957896</v>
      </c>
      <c r="AX9" s="100">
        <v>6.320178002004722</v>
      </c>
      <c r="AY9" s="100">
        <v>4436.7649574073148</v>
      </c>
      <c r="AZ9" s="100">
        <v>1.59090088278994</v>
      </c>
      <c r="BA9" s="100">
        <v>1116.812419718538</v>
      </c>
      <c r="BB9" s="100">
        <v>8.2396539647031783</v>
      </c>
      <c r="BC9" s="100">
        <v>5784.2370832216311</v>
      </c>
      <c r="BD9" s="100">
        <v>5.3647048668191823</v>
      </c>
      <c r="BE9" s="100">
        <v>3766.0228165070662</v>
      </c>
      <c r="BF9" s="100">
        <v>5.8778724054856255</v>
      </c>
      <c r="BG9" s="100">
        <v>4126.2664286509089</v>
      </c>
      <c r="BH9" s="100">
        <v>1.611609325100392</v>
      </c>
      <c r="BI9" s="100">
        <v>1131.3497462204753</v>
      </c>
      <c r="BJ9" s="100">
        <v>11.103235208320273</v>
      </c>
      <c r="BK9" s="100">
        <v>7794.4711162408312</v>
      </c>
      <c r="BL9" s="100">
        <v>4.6684808135232005</v>
      </c>
      <c r="BM9" s="100">
        <v>3277.2735310932867</v>
      </c>
      <c r="BN9" s="100">
        <v>7.3186991886693296</v>
      </c>
      <c r="BO9" s="100">
        <v>5137.7268304458694</v>
      </c>
      <c r="BP9" s="100">
        <v>6.7175684634121442</v>
      </c>
      <c r="BQ9" s="100">
        <v>4715.7330613153254</v>
      </c>
      <c r="BR9" s="100">
        <v>4.9404060927687261E-4</v>
      </c>
      <c r="BS9" s="100">
        <v>0.34681650771236455</v>
      </c>
      <c r="BT9" s="100">
        <v>5.3696204343316776</v>
      </c>
      <c r="BU9" s="100">
        <v>3769.4735449008376</v>
      </c>
      <c r="BV9" s="100">
        <v>10.751268818625132</v>
      </c>
      <c r="BW9" s="100">
        <v>7547.3907106748429</v>
      </c>
      <c r="BX9" s="100">
        <v>6</v>
      </c>
      <c r="BY9" s="100">
        <v>4212</v>
      </c>
      <c r="BZ9" s="100">
        <v>5.9721389054442398</v>
      </c>
      <c r="CA9" s="100">
        <v>4192.4415116218561</v>
      </c>
      <c r="CB9" s="100">
        <v>2.3648385787410695</v>
      </c>
      <c r="CC9" s="100">
        <v>1660.1166822762309</v>
      </c>
      <c r="CD9" s="100">
        <v>6.466518441796558E-4</v>
      </c>
      <c r="CE9" s="100">
        <v>0.45394959461411838</v>
      </c>
      <c r="CF9" s="100">
        <v>8.0003539177214549</v>
      </c>
      <c r="CG9" s="100">
        <v>5616.2484502404614</v>
      </c>
      <c r="CH9" s="100">
        <v>10</v>
      </c>
      <c r="CI9" s="100">
        <v>7020</v>
      </c>
      <c r="CJ9" s="100">
        <v>8.9470290272761712</v>
      </c>
      <c r="CK9" s="100">
        <v>6280.8143771478726</v>
      </c>
      <c r="CL9" s="100">
        <v>7.1366863218902497</v>
      </c>
      <c r="CM9" s="100">
        <v>5009.9537979669549</v>
      </c>
      <c r="CN9" s="100">
        <v>4.9560321679793393</v>
      </c>
      <c r="CO9" s="100">
        <v>3479.1345819214962</v>
      </c>
      <c r="CP9" s="100">
        <v>4.8249202058634841</v>
      </c>
      <c r="CQ9" s="100">
        <v>3387.0939845161661</v>
      </c>
      <c r="CR9" s="100">
        <v>1.9319825797053678</v>
      </c>
      <c r="CS9" s="100">
        <v>1356.2517709531683</v>
      </c>
      <c r="CT9" s="100">
        <v>4.2569339222085221</v>
      </c>
      <c r="CU9" s="100">
        <v>2988.3676133903823</v>
      </c>
    </row>
    <row r="10" spans="1:99">
      <c r="C10" s="99" t="s">
        <v>176</v>
      </c>
      <c r="D10" s="100">
        <v>5.377825115390924</v>
      </c>
      <c r="E10" s="100">
        <v>2929.8391228649753</v>
      </c>
      <c r="F10" s="100">
        <v>5.4475511227331168</v>
      </c>
      <c r="G10" s="100">
        <v>2967.8258516650017</v>
      </c>
      <c r="H10" s="100">
        <v>7.9499347672863365</v>
      </c>
      <c r="I10" s="100">
        <v>4331.124461217596</v>
      </c>
      <c r="J10" s="100">
        <v>5.0342030223638723</v>
      </c>
      <c r="K10" s="100">
        <v>2742.6338065838372</v>
      </c>
      <c r="L10" s="100">
        <v>5.6994369931762412</v>
      </c>
      <c r="M10" s="100">
        <v>3105.0532738824159</v>
      </c>
      <c r="N10" s="100">
        <v>2.0620694252222846</v>
      </c>
      <c r="O10" s="100">
        <v>1123.4154228611005</v>
      </c>
      <c r="P10" s="100">
        <v>8.7879022797270103</v>
      </c>
      <c r="Q10" s="100">
        <v>4787.6491619952749</v>
      </c>
      <c r="R10" s="100">
        <v>3.9722715085053601</v>
      </c>
      <c r="S10" s="100">
        <v>2164.0935178337199</v>
      </c>
      <c r="T10" s="100">
        <v>6.9866997696275144</v>
      </c>
      <c r="U10" s="100">
        <v>3806.3540344930693</v>
      </c>
      <c r="V10" s="100">
        <v>4.6721560983496326</v>
      </c>
      <c r="W10" s="100">
        <v>2545.3906423808799</v>
      </c>
      <c r="X10" s="100">
        <v>3.5878218664006422E-4</v>
      </c>
      <c r="Y10" s="100">
        <v>0.19546453528150698</v>
      </c>
      <c r="Z10" s="100">
        <v>6.1181593992145373</v>
      </c>
      <c r="AA10" s="100">
        <v>3333.1732406920796</v>
      </c>
      <c r="AB10" s="100">
        <v>3.0250235107649037</v>
      </c>
      <c r="AC10" s="100">
        <v>1648.0328086647194</v>
      </c>
      <c r="AD10" s="100">
        <v>8.33264906360127</v>
      </c>
      <c r="AE10" s="100">
        <v>4539.6272098499712</v>
      </c>
      <c r="AF10" s="100">
        <v>5.2611426480061212</v>
      </c>
      <c r="AG10" s="100">
        <v>2866.2705146337344</v>
      </c>
      <c r="AH10" s="100">
        <v>7.7931447546160317</v>
      </c>
      <c r="AI10" s="100">
        <v>4245.7052623148138</v>
      </c>
      <c r="AJ10" s="100">
        <v>4.0372327351222781</v>
      </c>
      <c r="AK10" s="100">
        <v>2199.4843940946171</v>
      </c>
      <c r="AL10" s="100">
        <v>4.422988678018854E-4</v>
      </c>
      <c r="AM10" s="100">
        <v>0.24096442317846714</v>
      </c>
      <c r="AN10" s="100">
        <v>7.0002953023309784</v>
      </c>
      <c r="AO10" s="100">
        <v>3813.7608807099168</v>
      </c>
      <c r="AP10" s="100">
        <v>7</v>
      </c>
      <c r="AQ10" s="100">
        <v>3813.5999999999995</v>
      </c>
      <c r="AR10" s="100">
        <v>5.6081998186417703</v>
      </c>
      <c r="AS10" s="100">
        <v>3055.347261196036</v>
      </c>
      <c r="AT10" s="100">
        <v>5.0742205344653328</v>
      </c>
      <c r="AU10" s="100">
        <v>2764.4353471767131</v>
      </c>
      <c r="AV10" s="100">
        <v>6.3502181749227766</v>
      </c>
      <c r="AW10" s="100">
        <v>3459.5988616979284</v>
      </c>
      <c r="AX10" s="100">
        <v>5.6120259139100162</v>
      </c>
      <c r="AY10" s="100">
        <v>3057.4317178981764</v>
      </c>
      <c r="AZ10" s="100">
        <v>1.5990019166535576</v>
      </c>
      <c r="BA10" s="100">
        <v>871.13624419285816</v>
      </c>
      <c r="BB10" s="100">
        <v>8.1156885682328603</v>
      </c>
      <c r="BC10" s="100">
        <v>4421.4271319732616</v>
      </c>
      <c r="BD10" s="100">
        <v>5.3647048668191823</v>
      </c>
      <c r="BE10" s="100">
        <v>2922.6912114430902</v>
      </c>
      <c r="BF10" s="100">
        <v>5.0381763475591077</v>
      </c>
      <c r="BG10" s="100">
        <v>2744.7984741502019</v>
      </c>
      <c r="BH10" s="100">
        <v>1.6022721720215873</v>
      </c>
      <c r="BI10" s="100">
        <v>872.91787931736076</v>
      </c>
      <c r="BJ10" s="100">
        <v>10.963866206928374</v>
      </c>
      <c r="BK10" s="100">
        <v>5973.1143095345778</v>
      </c>
      <c r="BL10" s="100">
        <v>4.6684808135232005</v>
      </c>
      <c r="BM10" s="100">
        <v>2543.3883472074394</v>
      </c>
      <c r="BN10" s="100">
        <v>7.3186991886693296</v>
      </c>
      <c r="BO10" s="100">
        <v>3987.2273179870504</v>
      </c>
      <c r="BP10" s="100">
        <v>6.7175684634121442</v>
      </c>
      <c r="BQ10" s="100">
        <v>3659.731298866936</v>
      </c>
      <c r="BR10" s="100">
        <v>4.2597202684276959E-4</v>
      </c>
      <c r="BS10" s="100">
        <v>0.23206956022394085</v>
      </c>
      <c r="BT10" s="100">
        <v>6.6981704574854382</v>
      </c>
      <c r="BU10" s="100">
        <v>3649.1632652380663</v>
      </c>
      <c r="BV10" s="100">
        <v>10.643944701678684</v>
      </c>
      <c r="BW10" s="100">
        <v>5798.8210734745471</v>
      </c>
      <c r="BX10" s="100">
        <v>6</v>
      </c>
      <c r="BY10" s="100">
        <v>3268.7999999999997</v>
      </c>
      <c r="BZ10" s="100">
        <v>6.9674953896849461</v>
      </c>
      <c r="CA10" s="100">
        <v>3795.8914883003581</v>
      </c>
      <c r="CB10" s="100">
        <v>2.3754110536070292</v>
      </c>
      <c r="CC10" s="100">
        <v>1294.1239420051095</v>
      </c>
      <c r="CD10" s="100">
        <v>6.466518441796558E-4</v>
      </c>
      <c r="CE10" s="100">
        <v>0.35229592470907645</v>
      </c>
      <c r="CF10" s="100">
        <v>8.0003539177214549</v>
      </c>
      <c r="CG10" s="100">
        <v>4358.5928143746487</v>
      </c>
      <c r="CH10" s="100">
        <v>11</v>
      </c>
      <c r="CI10" s="100">
        <v>5992.7999999999993</v>
      </c>
      <c r="CJ10" s="100">
        <v>8.1336627520692453</v>
      </c>
      <c r="CK10" s="100">
        <v>4431.2194673273243</v>
      </c>
      <c r="CL10" s="100">
        <v>7.9296514687669433</v>
      </c>
      <c r="CM10" s="100">
        <v>4320.0741201842302</v>
      </c>
      <c r="CN10" s="100">
        <v>5.6640367634049591</v>
      </c>
      <c r="CO10" s="100">
        <v>3085.7672287030214</v>
      </c>
      <c r="CP10" s="100">
        <v>4.8249202058634841</v>
      </c>
      <c r="CQ10" s="100">
        <v>2628.6165281544259</v>
      </c>
      <c r="CR10" s="100">
        <v>2.1734804021685386</v>
      </c>
      <c r="CS10" s="100">
        <v>1184.1121231014197</v>
      </c>
      <c r="CT10" s="100">
        <v>4.1803061946377413</v>
      </c>
      <c r="CU10" s="100">
        <v>2277.4308148386413</v>
      </c>
    </row>
    <row r="11" spans="1:99">
      <c r="C11" s="99" t="s">
        <v>177</v>
      </c>
      <c r="D11" s="100">
        <v>6.1261398803554954</v>
      </c>
      <c r="E11" s="100">
        <v>3264.0073282534076</v>
      </c>
      <c r="F11" s="100">
        <v>6.559438903416396</v>
      </c>
      <c r="G11" s="100">
        <v>3494.8690477402556</v>
      </c>
      <c r="H11" s="100">
        <v>8.9436766131971286</v>
      </c>
      <c r="I11" s="100">
        <v>4765.19089951143</v>
      </c>
      <c r="J11" s="100">
        <v>5.0342030223638723</v>
      </c>
      <c r="K11" s="100">
        <v>2682.2233703154711</v>
      </c>
      <c r="L11" s="100">
        <v>4.8852317084367778</v>
      </c>
      <c r="M11" s="100">
        <v>2602.8514542551152</v>
      </c>
      <c r="N11" s="100">
        <v>2.0480438707478852</v>
      </c>
      <c r="O11" s="100">
        <v>1091.197774334473</v>
      </c>
      <c r="P11" s="100">
        <v>8.7879022797270103</v>
      </c>
      <c r="Q11" s="100">
        <v>4682.1943346385506</v>
      </c>
      <c r="R11" s="100">
        <v>3.5423644222458024</v>
      </c>
      <c r="S11" s="100">
        <v>1887.3717641725634</v>
      </c>
      <c r="T11" s="100">
        <v>6.9866997696275144</v>
      </c>
      <c r="U11" s="100">
        <v>3722.5136372575394</v>
      </c>
      <c r="V11" s="100">
        <v>4.6721560983496326</v>
      </c>
      <c r="W11" s="100">
        <v>2489.3247692006839</v>
      </c>
      <c r="X11" s="100">
        <v>3.5878218664006422E-4</v>
      </c>
      <c r="Y11" s="100">
        <v>0.19115914904182621</v>
      </c>
      <c r="Z11" s="100">
        <v>5.9819508136714283</v>
      </c>
      <c r="AA11" s="100">
        <v>3187.1833935241366</v>
      </c>
      <c r="AB11" s="100">
        <v>3.630028212917884</v>
      </c>
      <c r="AC11" s="100">
        <v>1934.0790318426484</v>
      </c>
      <c r="AD11" s="100">
        <v>8.33264906360127</v>
      </c>
      <c r="AE11" s="100">
        <v>4439.6354210867567</v>
      </c>
      <c r="AF11" s="100">
        <v>4.7713508034491499</v>
      </c>
      <c r="AG11" s="100">
        <v>2542.175708077707</v>
      </c>
      <c r="AH11" s="100">
        <v>7.7931447546160317</v>
      </c>
      <c r="AI11" s="100">
        <v>4152.1875252594209</v>
      </c>
      <c r="AJ11" s="100">
        <v>4.0372327351222781</v>
      </c>
      <c r="AK11" s="100">
        <v>2151.0376012731494</v>
      </c>
      <c r="AL11" s="100">
        <v>4.4342048637630537E-4</v>
      </c>
      <c r="AM11" s="100">
        <v>0.23625443514129549</v>
      </c>
      <c r="AN11" s="100">
        <v>6.0002953023309784</v>
      </c>
      <c r="AO11" s="100">
        <v>3196.9573370819448</v>
      </c>
      <c r="AP11" s="100">
        <v>8</v>
      </c>
      <c r="AQ11" s="100">
        <v>4262.3999999999996</v>
      </c>
      <c r="AR11" s="100">
        <v>5.6081998186417703</v>
      </c>
      <c r="AS11" s="100">
        <v>2988.0488633723348</v>
      </c>
      <c r="AT11" s="100">
        <v>5.7991091822460961</v>
      </c>
      <c r="AU11" s="100">
        <v>3089.7653723007197</v>
      </c>
      <c r="AV11" s="100">
        <v>6.3502181749227766</v>
      </c>
      <c r="AW11" s="100">
        <v>3383.3962435988551</v>
      </c>
      <c r="AX11" s="100">
        <v>5.611718713824847</v>
      </c>
      <c r="AY11" s="100">
        <v>2989.9237307258782</v>
      </c>
      <c r="AZ11" s="100">
        <v>1.5990019166535576</v>
      </c>
      <c r="BA11" s="100">
        <v>851.94822119301546</v>
      </c>
      <c r="BB11" s="100">
        <v>8.1156885682328603</v>
      </c>
      <c r="BC11" s="100">
        <v>4324.0388691544676</v>
      </c>
      <c r="BD11" s="100">
        <v>5.3647048668191823</v>
      </c>
      <c r="BE11" s="100">
        <v>2858.3147530412602</v>
      </c>
      <c r="BF11" s="100">
        <v>5.8778724054856255</v>
      </c>
      <c r="BG11" s="100">
        <v>3131.730417642741</v>
      </c>
      <c r="BH11" s="100">
        <v>1.611609325100392</v>
      </c>
      <c r="BI11" s="100">
        <v>858.66544841348878</v>
      </c>
      <c r="BJ11" s="100">
        <v>12.102063528038782</v>
      </c>
      <c r="BK11" s="100">
        <v>6447.9794477390624</v>
      </c>
      <c r="BL11" s="100">
        <v>4.6684808135232005</v>
      </c>
      <c r="BM11" s="100">
        <v>2487.3665774451611</v>
      </c>
      <c r="BN11" s="100">
        <v>8.0505691075362638</v>
      </c>
      <c r="BO11" s="100">
        <v>4289.3432204953206</v>
      </c>
      <c r="BP11" s="100">
        <v>7.5572645213386611</v>
      </c>
      <c r="BQ11" s="100">
        <v>4026.5105369692383</v>
      </c>
      <c r="BR11" s="100">
        <v>4.9404060927687261E-4</v>
      </c>
      <c r="BS11" s="100">
        <v>0.26322483662271773</v>
      </c>
      <c r="BT11" s="100">
        <v>6.6960609689309054</v>
      </c>
      <c r="BU11" s="100">
        <v>3567.661284246386</v>
      </c>
      <c r="BV11" s="100">
        <v>11.643944701678684</v>
      </c>
      <c r="BW11" s="100">
        <v>6203.8937370544027</v>
      </c>
      <c r="BX11" s="100">
        <v>6</v>
      </c>
      <c r="BY11" s="100">
        <v>3196.7999999999997</v>
      </c>
      <c r="BZ11" s="100">
        <v>6.9674953896849461</v>
      </c>
      <c r="CA11" s="100">
        <v>3712.281543624139</v>
      </c>
      <c r="CB11" s="100">
        <v>2.6044941790749641</v>
      </c>
      <c r="CC11" s="100">
        <v>1387.6744986111407</v>
      </c>
      <c r="CD11" s="100">
        <v>5.8786531289059616E-4</v>
      </c>
      <c r="CE11" s="100">
        <v>0.31321463870810962</v>
      </c>
      <c r="CF11" s="100">
        <v>9.0003539177214549</v>
      </c>
      <c r="CG11" s="100">
        <v>4795.3885673619907</v>
      </c>
      <c r="CH11" s="100">
        <v>10</v>
      </c>
      <c r="CI11" s="100">
        <v>5328</v>
      </c>
      <c r="CJ11" s="100">
        <v>8.1336627520692453</v>
      </c>
      <c r="CK11" s="100">
        <v>4333.6155143024935</v>
      </c>
      <c r="CL11" s="100">
        <v>7.1366863218902497</v>
      </c>
      <c r="CM11" s="100">
        <v>3802.4264723031247</v>
      </c>
      <c r="CN11" s="100">
        <v>5.6640367634049591</v>
      </c>
      <c r="CO11" s="100">
        <v>3017.7987875421618</v>
      </c>
      <c r="CP11" s="100">
        <v>4.0207668382195703</v>
      </c>
      <c r="CQ11" s="100">
        <v>2142.264571403387</v>
      </c>
      <c r="CR11" s="100">
        <v>1.9319825797053678</v>
      </c>
      <c r="CS11" s="100">
        <v>1029.3603184670199</v>
      </c>
      <c r="CT11" s="100">
        <v>4.1803061946377413</v>
      </c>
      <c r="CU11" s="100">
        <v>2227.2671405029882</v>
      </c>
    </row>
    <row r="12" spans="1:99">
      <c r="C12" s="99" t="s">
        <v>178</v>
      </c>
      <c r="D12" s="100">
        <v>5.2520997934079752</v>
      </c>
      <c r="E12" s="100">
        <v>2955.8817637300081</v>
      </c>
      <c r="F12" s="100">
        <v>6.4475511227331168</v>
      </c>
      <c r="G12" s="100">
        <v>3628.6817718741977</v>
      </c>
      <c r="H12" s="100">
        <v>7.9499347672863365</v>
      </c>
      <c r="I12" s="100">
        <v>4474.2232870287498</v>
      </c>
      <c r="J12" s="100">
        <v>5.0342030223638723</v>
      </c>
      <c r="K12" s="100">
        <v>2833.249460986387</v>
      </c>
      <c r="L12" s="100">
        <v>4.8852317084367778</v>
      </c>
      <c r="M12" s="100">
        <v>2749.4084055082185</v>
      </c>
      <c r="N12" s="100">
        <v>1.7815136332363577</v>
      </c>
      <c r="O12" s="100">
        <v>1002.6358727854221</v>
      </c>
      <c r="P12" s="100">
        <v>8.7879022797270103</v>
      </c>
      <c r="Q12" s="100">
        <v>4945.8314030303609</v>
      </c>
      <c r="R12" s="100">
        <v>3.9722715085053601</v>
      </c>
      <c r="S12" s="100">
        <v>2235.5944049868167</v>
      </c>
      <c r="T12" s="100">
        <v>6.9866997696275144</v>
      </c>
      <c r="U12" s="100">
        <v>3932.1146303463647</v>
      </c>
      <c r="V12" s="100">
        <v>3.7377248786797064</v>
      </c>
      <c r="W12" s="100">
        <v>2103.5915617209384</v>
      </c>
      <c r="X12" s="100">
        <v>3.5878218664006422E-4</v>
      </c>
      <c r="Y12" s="100">
        <v>0.20192261464102812</v>
      </c>
      <c r="Z12" s="100">
        <v>5.9819508136714283</v>
      </c>
      <c r="AA12" s="100">
        <v>3366.6419179342797</v>
      </c>
      <c r="AB12" s="100">
        <v>3.0250235107649037</v>
      </c>
      <c r="AC12" s="100">
        <v>1702.4832318584877</v>
      </c>
      <c r="AD12" s="100">
        <v>7.4988263547771394</v>
      </c>
      <c r="AE12" s="100">
        <v>4220.3394724685741</v>
      </c>
      <c r="AF12" s="100">
        <v>4.7350283832055089</v>
      </c>
      <c r="AG12" s="100">
        <v>2664.8739740680603</v>
      </c>
      <c r="AH12" s="100">
        <v>7.9517737055392379</v>
      </c>
      <c r="AI12" s="100">
        <v>4475.2582414774824</v>
      </c>
      <c r="AJ12" s="100">
        <v>4.7101048576426567</v>
      </c>
      <c r="AK12" s="100">
        <v>2650.8470138812868</v>
      </c>
      <c r="AL12" s="100">
        <v>4.422988678018854E-4</v>
      </c>
      <c r="AM12" s="100">
        <v>0.24892580279890109</v>
      </c>
      <c r="AN12" s="100">
        <v>6.0002953023309784</v>
      </c>
      <c r="AO12" s="100">
        <v>3376.9661961518746</v>
      </c>
      <c r="AP12" s="100">
        <v>8</v>
      </c>
      <c r="AQ12" s="100">
        <v>4502.3999999999996</v>
      </c>
      <c r="AR12" s="100">
        <v>5.6081998186417703</v>
      </c>
      <c r="AS12" s="100">
        <v>3156.294857931588</v>
      </c>
      <c r="AT12" s="100">
        <v>5.0742205344653328</v>
      </c>
      <c r="AU12" s="100">
        <v>2855.7713167970892</v>
      </c>
      <c r="AV12" s="100">
        <v>6.3502181749227766</v>
      </c>
      <c r="AW12" s="100">
        <v>3573.9027888465384</v>
      </c>
      <c r="AX12" s="100">
        <v>6.3198708019195529</v>
      </c>
      <c r="AY12" s="100">
        <v>3556.8232873203242</v>
      </c>
      <c r="AZ12" s="100">
        <v>1.5990019166535576</v>
      </c>
      <c r="BA12" s="100">
        <v>899.91827869262215</v>
      </c>
      <c r="BB12" s="100">
        <v>8.9917231717625423</v>
      </c>
      <c r="BC12" s="100">
        <v>5060.5418010679587</v>
      </c>
      <c r="BD12" s="100">
        <v>5.3647048668191823</v>
      </c>
      <c r="BE12" s="100">
        <v>3019.2558990458356</v>
      </c>
      <c r="BF12" s="100">
        <v>5.0381763475591077</v>
      </c>
      <c r="BG12" s="100">
        <v>2835.4856484062657</v>
      </c>
      <c r="BH12" s="100">
        <v>1.4206624566764983</v>
      </c>
      <c r="BI12" s="100">
        <v>799.54883061753321</v>
      </c>
      <c r="BJ12" s="100">
        <v>11.962694526646885</v>
      </c>
      <c r="BK12" s="100">
        <v>6732.6044795968664</v>
      </c>
      <c r="BL12" s="100">
        <v>4.6684808135232005</v>
      </c>
      <c r="BM12" s="100">
        <v>2627.421001850857</v>
      </c>
      <c r="BN12" s="100">
        <v>8.0505691075362638</v>
      </c>
      <c r="BO12" s="100">
        <v>4530.8602937214091</v>
      </c>
      <c r="BP12" s="100">
        <v>6.7175684634121442</v>
      </c>
      <c r="BQ12" s="100">
        <v>3780.6475312083544</v>
      </c>
      <c r="BR12" s="100">
        <v>4.9563702129852268E-4</v>
      </c>
      <c r="BS12" s="100">
        <v>0.27894451558680855</v>
      </c>
      <c r="BT12" s="100">
        <v>6.059496128212345</v>
      </c>
      <c r="BU12" s="100">
        <v>3410.2844209579075</v>
      </c>
      <c r="BV12" s="100">
        <v>11.751268818625132</v>
      </c>
      <c r="BW12" s="100">
        <v>6613.6140911222237</v>
      </c>
      <c r="BX12" s="100">
        <v>6</v>
      </c>
      <c r="BY12" s="100">
        <v>3376.7999999999997</v>
      </c>
      <c r="BZ12" s="100">
        <v>5.9721389054442398</v>
      </c>
      <c r="CA12" s="100">
        <v>3361.1197759840179</v>
      </c>
      <c r="CB12" s="100">
        <v>2.3648385787410695</v>
      </c>
      <c r="CC12" s="100">
        <v>1330.9311521154739</v>
      </c>
      <c r="CD12" s="100">
        <v>6.466518441796558E-4</v>
      </c>
      <c r="CE12" s="100">
        <v>0.36393565790431026</v>
      </c>
      <c r="CF12" s="100">
        <v>9.0003539177214549</v>
      </c>
      <c r="CG12" s="100">
        <v>5065.3991848936348</v>
      </c>
      <c r="CH12" s="100">
        <v>11</v>
      </c>
      <c r="CI12" s="100">
        <v>6190.7999999999993</v>
      </c>
      <c r="CJ12" s="100">
        <v>8.9470290272761712</v>
      </c>
      <c r="CK12" s="100">
        <v>5035.3879365510284</v>
      </c>
      <c r="CL12" s="100">
        <v>7.1366863218902497</v>
      </c>
      <c r="CM12" s="100">
        <v>4016.5270619598323</v>
      </c>
      <c r="CN12" s="100">
        <v>4.9560321679793393</v>
      </c>
      <c r="CO12" s="100">
        <v>2789.254904138772</v>
      </c>
      <c r="CP12" s="100">
        <v>4.8249202058634841</v>
      </c>
      <c r="CQ12" s="100">
        <v>2715.4650918599687</v>
      </c>
      <c r="CR12" s="100">
        <v>1.9319825797053678</v>
      </c>
      <c r="CS12" s="100">
        <v>1087.3197958581809</v>
      </c>
      <c r="CT12" s="100">
        <v>4.1655245333347413</v>
      </c>
      <c r="CU12" s="100">
        <v>2344.357207360792</v>
      </c>
    </row>
    <row r="13" spans="1:99">
      <c r="C13" s="99" t="s">
        <v>179</v>
      </c>
      <c r="D13" s="100">
        <v>5.3817547512523465</v>
      </c>
      <c r="E13" s="100">
        <v>458.52550480669993</v>
      </c>
      <c r="F13" s="100">
        <v>7.559438903416396</v>
      </c>
      <c r="G13" s="100">
        <v>644.064194571077</v>
      </c>
      <c r="H13" s="100">
        <v>8.9436766131971286</v>
      </c>
      <c r="I13" s="100">
        <v>762.0012474443954</v>
      </c>
      <c r="J13" s="100">
        <v>6.4725467430392642</v>
      </c>
      <c r="K13" s="100">
        <v>551.46098250694536</v>
      </c>
      <c r="L13" s="100">
        <v>5.6994369931762412</v>
      </c>
      <c r="M13" s="100">
        <v>485.59203181861579</v>
      </c>
      <c r="N13" s="100">
        <v>2.0620694252222846</v>
      </c>
      <c r="O13" s="100">
        <v>175.68831502893866</v>
      </c>
      <c r="P13" s="100">
        <v>8.7879022797270103</v>
      </c>
      <c r="Q13" s="100">
        <v>748.72927423274132</v>
      </c>
      <c r="R13" s="100">
        <v>3.9722715085053601</v>
      </c>
      <c r="S13" s="100">
        <v>338.43753252465672</v>
      </c>
      <c r="T13" s="100">
        <v>6.9866997696275144</v>
      </c>
      <c r="U13" s="100">
        <v>595.26682037226419</v>
      </c>
      <c r="V13" s="100">
        <v>4.6721560983496326</v>
      </c>
      <c r="W13" s="100">
        <v>398.06769957938872</v>
      </c>
      <c r="X13" s="100">
        <v>3.5878218664006422E-4</v>
      </c>
      <c r="Y13" s="100">
        <v>3.0568242301733474E-2</v>
      </c>
      <c r="Z13" s="100">
        <v>6.1181593992145373</v>
      </c>
      <c r="AA13" s="100">
        <v>521.26718081307865</v>
      </c>
      <c r="AB13" s="100">
        <v>3.0250235107649037</v>
      </c>
      <c r="AC13" s="100">
        <v>257.73200311716982</v>
      </c>
      <c r="AD13" s="100">
        <v>8.33264906360127</v>
      </c>
      <c r="AE13" s="100">
        <v>709.94170021882826</v>
      </c>
      <c r="AF13" s="100">
        <v>5.2611426480061212</v>
      </c>
      <c r="AG13" s="100">
        <v>448.24935361012155</v>
      </c>
      <c r="AH13" s="100">
        <v>7.7931447546160317</v>
      </c>
      <c r="AI13" s="100">
        <v>663.9759330932859</v>
      </c>
      <c r="AJ13" s="100">
        <v>4.0372327351222781</v>
      </c>
      <c r="AK13" s="100">
        <v>343.97222903241811</v>
      </c>
      <c r="AL13" s="100">
        <v>5.0404233932075781E-4</v>
      </c>
      <c r="AM13" s="100">
        <v>4.2944407310128566E-2</v>
      </c>
      <c r="AN13" s="100">
        <v>6.0003543627971743</v>
      </c>
      <c r="AO13" s="100">
        <v>511.23019171031927</v>
      </c>
      <c r="AP13" s="100">
        <v>7</v>
      </c>
      <c r="AQ13" s="100">
        <v>596.4</v>
      </c>
      <c r="AR13" s="100">
        <v>5.6081998186417703</v>
      </c>
      <c r="AS13" s="100">
        <v>477.81862454827882</v>
      </c>
      <c r="AT13" s="100">
        <v>5.0742205344653328</v>
      </c>
      <c r="AU13" s="100">
        <v>432.32358953644638</v>
      </c>
      <c r="AV13" s="100">
        <v>6.3502181749227766</v>
      </c>
      <c r="AW13" s="100">
        <v>541.03858850342056</v>
      </c>
      <c r="AX13" s="100">
        <v>5.6123331139951853</v>
      </c>
      <c r="AY13" s="100">
        <v>478.17078131238981</v>
      </c>
      <c r="AZ13" s="100">
        <v>1.59090088278994</v>
      </c>
      <c r="BA13" s="100">
        <v>135.5447552137029</v>
      </c>
      <c r="BB13" s="100">
        <v>8.1156885682328603</v>
      </c>
      <c r="BC13" s="100">
        <v>691.45666601343976</v>
      </c>
      <c r="BD13" s="100">
        <v>5.3647048668191823</v>
      </c>
      <c r="BE13" s="100">
        <v>457.07285465299435</v>
      </c>
      <c r="BF13" s="100">
        <v>5.0381763475591077</v>
      </c>
      <c r="BG13" s="100">
        <v>429.252624812036</v>
      </c>
      <c r="BH13" s="100">
        <v>1.6022721720215873</v>
      </c>
      <c r="BI13" s="100">
        <v>136.51358905623925</v>
      </c>
      <c r="BJ13" s="100">
        <v>12.961522846365396</v>
      </c>
      <c r="BK13" s="100">
        <v>1104.3217465103319</v>
      </c>
      <c r="BL13" s="100">
        <v>5.4465609491104008</v>
      </c>
      <c r="BM13" s="100">
        <v>464.04699286420617</v>
      </c>
      <c r="BN13" s="100">
        <v>7.3186991886693296</v>
      </c>
      <c r="BO13" s="100">
        <v>623.55317087462686</v>
      </c>
      <c r="BP13" s="100">
        <v>6.7175684634121442</v>
      </c>
      <c r="BQ13" s="100">
        <v>572.33683308271475</v>
      </c>
      <c r="BR13" s="100">
        <v>5.6370560373262581E-4</v>
      </c>
      <c r="BS13" s="100">
        <v>4.8027717438019722E-2</v>
      </c>
      <c r="BT13" s="100">
        <v>6.6427501157687976</v>
      </c>
      <c r="BU13" s="100">
        <v>565.96230986350156</v>
      </c>
      <c r="BV13" s="100">
        <v>11.751268818625132</v>
      </c>
      <c r="BW13" s="100">
        <v>1001.2081033468612</v>
      </c>
      <c r="BX13" s="100">
        <v>6</v>
      </c>
      <c r="BY13" s="100">
        <v>511.20000000000005</v>
      </c>
      <c r="BZ13" s="100">
        <v>6.9674953896849461</v>
      </c>
      <c r="CA13" s="100">
        <v>593.63060720115743</v>
      </c>
      <c r="CB13" s="100">
        <v>2.8230048296769392</v>
      </c>
      <c r="CC13" s="100">
        <v>240.52001148847523</v>
      </c>
      <c r="CD13" s="100">
        <v>5.8786531289059616E-4</v>
      </c>
      <c r="CE13" s="100">
        <v>5.0086124658278795E-2</v>
      </c>
      <c r="CF13" s="100">
        <v>9.0003981574366367</v>
      </c>
      <c r="CG13" s="100">
        <v>766.83392301360152</v>
      </c>
      <c r="CH13" s="100">
        <v>11</v>
      </c>
      <c r="CI13" s="100">
        <v>937.2</v>
      </c>
      <c r="CJ13" s="100">
        <v>8.9470290272761712</v>
      </c>
      <c r="CK13" s="100">
        <v>762.28687312392981</v>
      </c>
      <c r="CL13" s="100">
        <v>7.9296514687669433</v>
      </c>
      <c r="CM13" s="100">
        <v>675.60630513894364</v>
      </c>
      <c r="CN13" s="100">
        <v>5.6640367634049591</v>
      </c>
      <c r="CO13" s="100">
        <v>482.57593224210251</v>
      </c>
      <c r="CP13" s="100">
        <v>4.8249202058634841</v>
      </c>
      <c r="CQ13" s="100">
        <v>411.08320153956885</v>
      </c>
      <c r="CR13" s="100">
        <v>1.9319825797053678</v>
      </c>
      <c r="CS13" s="100">
        <v>164.60491579089734</v>
      </c>
      <c r="CT13" s="100">
        <v>3.6910266582397733</v>
      </c>
      <c r="CU13" s="100">
        <v>314.47547128202871</v>
      </c>
    </row>
    <row r="14" spans="1:99">
      <c r="C14" s="99" t="s">
        <v>180</v>
      </c>
      <c r="D14" s="100">
        <v>5.3797899333216348</v>
      </c>
      <c r="E14" s="100">
        <v>2627.4894034342865</v>
      </c>
      <c r="F14" s="100">
        <v>6.559438903416396</v>
      </c>
      <c r="G14" s="100">
        <v>3203.6299604285678</v>
      </c>
      <c r="H14" s="100">
        <v>8.9436766131971286</v>
      </c>
      <c r="I14" s="100">
        <v>4368.0916578854776</v>
      </c>
      <c r="J14" s="100">
        <v>5.7533748827015678</v>
      </c>
      <c r="K14" s="100">
        <v>2809.9482927114454</v>
      </c>
      <c r="L14" s="100">
        <v>4.8852317084367778</v>
      </c>
      <c r="M14" s="100">
        <v>2385.9471664005223</v>
      </c>
      <c r="N14" s="100">
        <v>2.0480438707478852</v>
      </c>
      <c r="O14" s="100">
        <v>1000.2646264732671</v>
      </c>
      <c r="P14" s="100">
        <v>9.7879022797270103</v>
      </c>
      <c r="Q14" s="100">
        <v>4780.4114734186714</v>
      </c>
      <c r="R14" s="100">
        <v>3.9722715085053601</v>
      </c>
      <c r="S14" s="100">
        <v>1940.0574047540179</v>
      </c>
      <c r="T14" s="100">
        <v>6.9866997696275144</v>
      </c>
      <c r="U14" s="100">
        <v>3412.3041674860779</v>
      </c>
      <c r="V14" s="100">
        <v>4.6721560983496326</v>
      </c>
      <c r="W14" s="100">
        <v>2281.8810384339604</v>
      </c>
      <c r="X14" s="100">
        <v>3.5285873374116803E-4</v>
      </c>
      <c r="Y14" s="100">
        <v>0.17233620555918647</v>
      </c>
      <c r="Z14" s="100">
        <v>5.9819508136714283</v>
      </c>
      <c r="AA14" s="100">
        <v>2921.5847773971254</v>
      </c>
      <c r="AB14" s="100">
        <v>3.0250235107649037</v>
      </c>
      <c r="AC14" s="100">
        <v>1477.421482657579</v>
      </c>
      <c r="AD14" s="100">
        <v>8.2143283944321155</v>
      </c>
      <c r="AE14" s="100">
        <v>4011.8779878406449</v>
      </c>
      <c r="AF14" s="100">
        <v>4.7350283832055089</v>
      </c>
      <c r="AG14" s="100">
        <v>2312.5878623575704</v>
      </c>
      <c r="AH14" s="100">
        <v>6.7931447546160317</v>
      </c>
      <c r="AI14" s="100">
        <v>3317.7718981544699</v>
      </c>
      <c r="AJ14" s="100">
        <v>4.7101048576426567</v>
      </c>
      <c r="AK14" s="100">
        <v>2300.4152124726734</v>
      </c>
      <c r="AL14" s="100">
        <v>5.0404233932075781E-4</v>
      </c>
      <c r="AM14" s="100">
        <v>0.24617427852425811</v>
      </c>
      <c r="AN14" s="100">
        <v>6.0002953023309784</v>
      </c>
      <c r="AO14" s="100">
        <v>2930.5442256584497</v>
      </c>
      <c r="AP14" s="100">
        <v>8</v>
      </c>
      <c r="AQ14" s="100">
        <v>3907.2</v>
      </c>
      <c r="AR14" s="100">
        <v>5.6081998186417703</v>
      </c>
      <c r="AS14" s="100">
        <v>2739.0447914246406</v>
      </c>
      <c r="AT14" s="100">
        <v>5.0742205344653328</v>
      </c>
      <c r="AU14" s="100">
        <v>2478.2493090328685</v>
      </c>
      <c r="AV14" s="100">
        <v>6.3502181749227766</v>
      </c>
      <c r="AW14" s="100">
        <v>3101.4465566322838</v>
      </c>
      <c r="AX14" s="100">
        <v>5.6120259139100162</v>
      </c>
      <c r="AY14" s="100">
        <v>2740.9134563536518</v>
      </c>
      <c r="AZ14" s="100">
        <v>1.59090088278994</v>
      </c>
      <c r="BA14" s="100">
        <v>776.99599115460671</v>
      </c>
      <c r="BB14" s="100">
        <v>9.1156885682328603</v>
      </c>
      <c r="BC14" s="100">
        <v>4452.1022967249291</v>
      </c>
      <c r="BD14" s="100">
        <v>5.3647048668191823</v>
      </c>
      <c r="BE14" s="100">
        <v>2620.1218569544885</v>
      </c>
      <c r="BF14" s="100">
        <v>5.0381763475591077</v>
      </c>
      <c r="BG14" s="100">
        <v>2460.645328147868</v>
      </c>
      <c r="BH14" s="100">
        <v>1.6022721720215873</v>
      </c>
      <c r="BI14" s="100">
        <v>782.5497288153432</v>
      </c>
      <c r="BJ14" s="100">
        <v>11.103235208320273</v>
      </c>
      <c r="BK14" s="100">
        <v>5422.8200757436207</v>
      </c>
      <c r="BL14" s="100">
        <v>4.6684808135232005</v>
      </c>
      <c r="BM14" s="100">
        <v>2280.086029324731</v>
      </c>
      <c r="BN14" s="100">
        <v>8.0505691075362638</v>
      </c>
      <c r="BO14" s="100">
        <v>3931.8979521207111</v>
      </c>
      <c r="BP14" s="100">
        <v>6.7175684634121442</v>
      </c>
      <c r="BQ14" s="100">
        <v>3280.8604375304913</v>
      </c>
      <c r="BR14" s="100">
        <v>4.9404060927687261E-4</v>
      </c>
      <c r="BS14" s="100">
        <v>0.24128943357082458</v>
      </c>
      <c r="BT14" s="100">
        <v>5.4292597531573845</v>
      </c>
      <c r="BU14" s="100">
        <v>2651.6504634420667</v>
      </c>
      <c r="BV14" s="100">
        <v>11.643944701678684</v>
      </c>
      <c r="BW14" s="100">
        <v>5686.902592299869</v>
      </c>
      <c r="BX14" s="100">
        <v>6</v>
      </c>
      <c r="BY14" s="100">
        <v>2930.3999999999996</v>
      </c>
      <c r="BZ14" s="100">
        <v>6.9674953896849461</v>
      </c>
      <c r="CA14" s="100">
        <v>3402.9247483221275</v>
      </c>
      <c r="CB14" s="100">
        <v>2.8335773045428989</v>
      </c>
      <c r="CC14" s="100">
        <v>1383.9191555387517</v>
      </c>
      <c r="CD14" s="100">
        <v>5.8786531289059616E-4</v>
      </c>
      <c r="CE14" s="100">
        <v>0.28711341881576713</v>
      </c>
      <c r="CF14" s="100">
        <v>9.0003539177214549</v>
      </c>
      <c r="CG14" s="100">
        <v>4395.7728534151584</v>
      </c>
      <c r="CH14" s="100">
        <v>11</v>
      </c>
      <c r="CI14" s="100">
        <v>5372.4</v>
      </c>
      <c r="CJ14" s="100">
        <v>9.7603953024830954</v>
      </c>
      <c r="CK14" s="100">
        <v>4766.9770657327435</v>
      </c>
      <c r="CL14" s="100">
        <v>7.1366863218902497</v>
      </c>
      <c r="CM14" s="100">
        <v>3485.5575996111979</v>
      </c>
      <c r="CN14" s="100">
        <v>5.6640367634049591</v>
      </c>
      <c r="CO14" s="100">
        <v>2766.3155552469821</v>
      </c>
      <c r="CP14" s="100">
        <v>4.8249202058634841</v>
      </c>
      <c r="CQ14" s="100">
        <v>2356.4910285437254</v>
      </c>
      <c r="CR14" s="100">
        <v>1.9319825797053678</v>
      </c>
      <c r="CS14" s="100">
        <v>943.58029192810159</v>
      </c>
      <c r="CT14" s="100">
        <v>4.2569339222085221</v>
      </c>
      <c r="CU14" s="100">
        <v>2079.086527606642</v>
      </c>
    </row>
    <row r="15" spans="1:99">
      <c r="C15" s="99" t="s">
        <v>181</v>
      </c>
      <c r="D15" s="100">
        <v>5.2520997934079752</v>
      </c>
      <c r="E15" s="100">
        <v>4008.4025623289663</v>
      </c>
      <c r="F15" s="100">
        <v>5.559438903416396</v>
      </c>
      <c r="G15" s="100">
        <v>4242.9637710873931</v>
      </c>
      <c r="H15" s="100">
        <v>7.9499347672863365</v>
      </c>
      <c r="I15" s="100">
        <v>6067.3902143929317</v>
      </c>
      <c r="J15" s="100">
        <v>5.0342030223638723</v>
      </c>
      <c r="K15" s="100">
        <v>3842.1037466681069</v>
      </c>
      <c r="L15" s="100">
        <v>5.6994369931762412</v>
      </c>
      <c r="M15" s="100">
        <v>4349.8103131921071</v>
      </c>
      <c r="N15" s="100">
        <v>2.0480438707478852</v>
      </c>
      <c r="O15" s="100">
        <v>1563.0670821547858</v>
      </c>
      <c r="P15" s="100">
        <v>8.7879022797270103</v>
      </c>
      <c r="Q15" s="100">
        <v>6706.9270198876538</v>
      </c>
      <c r="R15" s="100">
        <v>3.9722715085053601</v>
      </c>
      <c r="S15" s="100">
        <v>3031.6376152912908</v>
      </c>
      <c r="T15" s="100">
        <v>6.9866997696275144</v>
      </c>
      <c r="U15" s="100">
        <v>5332.2492641797189</v>
      </c>
      <c r="V15" s="100">
        <v>4.6721560983496326</v>
      </c>
      <c r="W15" s="100">
        <v>3565.7895342604393</v>
      </c>
      <c r="X15" s="100">
        <v>2.8939513047160988E-4</v>
      </c>
      <c r="Y15" s="100">
        <v>0.22086636357593264</v>
      </c>
      <c r="Z15" s="100">
        <v>6.1181593992145373</v>
      </c>
      <c r="AA15" s="100">
        <v>4669.3792534805343</v>
      </c>
      <c r="AB15" s="100">
        <v>3.0250235107649037</v>
      </c>
      <c r="AC15" s="100">
        <v>2308.6979434157743</v>
      </c>
      <c r="AD15" s="100">
        <v>8.2143283944321155</v>
      </c>
      <c r="AE15" s="100">
        <v>6269.1754306305902</v>
      </c>
      <c r="AF15" s="100">
        <v>4.7350283832055089</v>
      </c>
      <c r="AG15" s="100">
        <v>3613.7736620624441</v>
      </c>
      <c r="AH15" s="100">
        <v>7.9517737055392379</v>
      </c>
      <c r="AI15" s="100">
        <v>6068.7936920675456</v>
      </c>
      <c r="AJ15" s="100">
        <v>4.0372327351222781</v>
      </c>
      <c r="AK15" s="100">
        <v>3081.2160234453222</v>
      </c>
      <c r="AL15" s="100">
        <v>4.4342048637630537E-4</v>
      </c>
      <c r="AM15" s="100">
        <v>0.33841851520239624</v>
      </c>
      <c r="AN15" s="100">
        <v>6.0003543627971743</v>
      </c>
      <c r="AO15" s="100">
        <v>4579.4704496868026</v>
      </c>
      <c r="AP15" s="100">
        <v>7</v>
      </c>
      <c r="AQ15" s="100">
        <v>5342.4</v>
      </c>
      <c r="AR15" s="100">
        <v>5.6081998186417703</v>
      </c>
      <c r="AS15" s="100">
        <v>4280.1781015873985</v>
      </c>
      <c r="AT15" s="100">
        <v>4.3493318866845714</v>
      </c>
      <c r="AU15" s="100">
        <v>3319.4100959176644</v>
      </c>
      <c r="AV15" s="100">
        <v>6.3502181749227766</v>
      </c>
      <c r="AW15" s="100">
        <v>4846.4865111010631</v>
      </c>
      <c r="AX15" s="100">
        <v>5.5028656977021697</v>
      </c>
      <c r="AY15" s="100">
        <v>4199.7871004862955</v>
      </c>
      <c r="AZ15" s="100">
        <v>1.8054422414028182</v>
      </c>
      <c r="BA15" s="100">
        <v>1377.9135186386306</v>
      </c>
      <c r="BB15" s="100">
        <v>7.1156885682328603</v>
      </c>
      <c r="BC15" s="100">
        <v>5430.6935152753185</v>
      </c>
      <c r="BD15" s="100">
        <v>5.3647048668191823</v>
      </c>
      <c r="BE15" s="100">
        <v>4094.3427543563994</v>
      </c>
      <c r="BF15" s="100">
        <v>5.8778724054856255</v>
      </c>
      <c r="BG15" s="100">
        <v>4485.9922198666291</v>
      </c>
      <c r="BH15" s="100">
        <v>1.6022721720215873</v>
      </c>
      <c r="BI15" s="100">
        <v>1222.8541216868753</v>
      </c>
      <c r="BJ15" s="100">
        <v>9.9650378872098653</v>
      </c>
      <c r="BK15" s="100">
        <v>7605.3169155185687</v>
      </c>
      <c r="BL15" s="100">
        <v>4.6684808135232005</v>
      </c>
      <c r="BM15" s="100">
        <v>3562.9845568809064</v>
      </c>
      <c r="BN15" s="100">
        <v>6.5868292698023971</v>
      </c>
      <c r="BO15" s="100">
        <v>5027.0680987131891</v>
      </c>
      <c r="BP15" s="100">
        <v>6.7175684634121442</v>
      </c>
      <c r="BQ15" s="100">
        <v>5126.8482512761484</v>
      </c>
      <c r="BR15" s="100">
        <v>4.9404060927687261E-4</v>
      </c>
      <c r="BS15" s="100">
        <v>0.37705179300010916</v>
      </c>
      <c r="BT15" s="100">
        <v>6.0040757864957044</v>
      </c>
      <c r="BU15" s="100">
        <v>4582.3106402535213</v>
      </c>
      <c r="BV15" s="100">
        <v>11.751268818625132</v>
      </c>
      <c r="BW15" s="100">
        <v>8968.5683623746991</v>
      </c>
      <c r="BX15" s="100">
        <v>5</v>
      </c>
      <c r="BY15" s="100">
        <v>3815.9999999999995</v>
      </c>
      <c r="BZ15" s="100">
        <v>6.9674953896849461</v>
      </c>
      <c r="CA15" s="100">
        <v>5317.5924814075506</v>
      </c>
      <c r="CB15" s="100">
        <v>2.1357554532731342</v>
      </c>
      <c r="CC15" s="100">
        <v>1630.0085619380559</v>
      </c>
      <c r="CD15" s="100">
        <v>5.8786531289059616E-4</v>
      </c>
      <c r="CE15" s="100">
        <v>0.44865880679810294</v>
      </c>
      <c r="CF15" s="100">
        <v>8.0003539177214549</v>
      </c>
      <c r="CG15" s="100">
        <v>6105.8701100050139</v>
      </c>
      <c r="CH15" s="100">
        <v>10</v>
      </c>
      <c r="CI15" s="100">
        <v>7631.9999999999991</v>
      </c>
      <c r="CJ15" s="100">
        <v>8.9470290272761712</v>
      </c>
      <c r="CK15" s="100">
        <v>6828.3725536171733</v>
      </c>
      <c r="CL15" s="100">
        <v>6.3437211750135551</v>
      </c>
      <c r="CM15" s="100">
        <v>4841.528000770345</v>
      </c>
      <c r="CN15" s="100">
        <v>4.9560321679793393</v>
      </c>
      <c r="CO15" s="100">
        <v>3782.4437506018317</v>
      </c>
      <c r="CP15" s="100">
        <v>4.8249202058634841</v>
      </c>
      <c r="CQ15" s="100">
        <v>3682.3791011150106</v>
      </c>
      <c r="CR15" s="100">
        <v>1.9319825797053678</v>
      </c>
      <c r="CS15" s="100">
        <v>1474.4891048311365</v>
      </c>
      <c r="CT15" s="100">
        <v>4.1803061946377413</v>
      </c>
      <c r="CU15" s="100">
        <v>3190.409687747524</v>
      </c>
    </row>
    <row r="16" spans="1:99">
      <c r="C16" s="99" t="s">
        <v>182</v>
      </c>
      <c r="D16" s="100">
        <v>5.3797899333216348</v>
      </c>
      <c r="E16" s="100">
        <v>1833.4324092760132</v>
      </c>
      <c r="F16" s="100">
        <v>7.559438903416396</v>
      </c>
      <c r="G16" s="100">
        <v>2576.256778284308</v>
      </c>
      <c r="H16" s="100">
        <v>8.9436766131971286</v>
      </c>
      <c r="I16" s="100">
        <v>3048.0049897775816</v>
      </c>
      <c r="J16" s="100">
        <v>5.7533748827015678</v>
      </c>
      <c r="K16" s="100">
        <v>1960.7501600246944</v>
      </c>
      <c r="L16" s="100">
        <v>5.6994369931762412</v>
      </c>
      <c r="M16" s="100">
        <v>1942.3681272744632</v>
      </c>
      <c r="N16" s="100">
        <v>1.7815136332363577</v>
      </c>
      <c r="O16" s="100">
        <v>607.13984620695078</v>
      </c>
      <c r="P16" s="100">
        <v>8.9454827356724138</v>
      </c>
      <c r="Q16" s="100">
        <v>3048.6205163171589</v>
      </c>
      <c r="R16" s="100">
        <v>4.4021785947649175</v>
      </c>
      <c r="S16" s="100">
        <v>1500.262465095884</v>
      </c>
      <c r="T16" s="100">
        <v>6.9866997696275144</v>
      </c>
      <c r="U16" s="100">
        <v>2381.0672814890568</v>
      </c>
      <c r="V16" s="100">
        <v>4.6721560983496326</v>
      </c>
      <c r="W16" s="100">
        <v>1592.2707983175549</v>
      </c>
      <c r="X16" s="100">
        <v>3.5582046019061616E-4</v>
      </c>
      <c r="Y16" s="100">
        <v>0.12126361283296198</v>
      </c>
      <c r="Z16" s="100">
        <v>5.9819508136714283</v>
      </c>
      <c r="AA16" s="100">
        <v>2038.6488372992228</v>
      </c>
      <c r="AB16" s="100">
        <v>3.0250235107649037</v>
      </c>
      <c r="AC16" s="100">
        <v>1030.9280124686793</v>
      </c>
      <c r="AD16" s="100">
        <v>8.33264906360127</v>
      </c>
      <c r="AE16" s="100">
        <v>2839.766800875313</v>
      </c>
      <c r="AF16" s="100">
        <v>5.2611426480061212</v>
      </c>
      <c r="AG16" s="100">
        <v>1792.9974144404862</v>
      </c>
      <c r="AH16" s="100">
        <v>7.7931447546160317</v>
      </c>
      <c r="AI16" s="100">
        <v>2655.9037323731436</v>
      </c>
      <c r="AJ16" s="100">
        <v>4.0372327351222781</v>
      </c>
      <c r="AK16" s="100">
        <v>1375.8889161296725</v>
      </c>
      <c r="AL16" s="100">
        <v>4.411772492274655E-4</v>
      </c>
      <c r="AM16" s="100">
        <v>0.15035320653672024</v>
      </c>
      <c r="AN16" s="100">
        <v>6.0003543627971743</v>
      </c>
      <c r="AO16" s="100">
        <v>2044.9207668412771</v>
      </c>
      <c r="AP16" s="100">
        <v>7</v>
      </c>
      <c r="AQ16" s="100">
        <v>2385.6</v>
      </c>
      <c r="AR16" s="100">
        <v>5.6081998186417703</v>
      </c>
      <c r="AS16" s="100">
        <v>1911.2744981931153</v>
      </c>
      <c r="AT16" s="100">
        <v>5.7991091822460961</v>
      </c>
      <c r="AU16" s="100">
        <v>1976.3364093094697</v>
      </c>
      <c r="AV16" s="100">
        <v>6.3502181749227766</v>
      </c>
      <c r="AW16" s="100">
        <v>2164.1543540136822</v>
      </c>
      <c r="AX16" s="100">
        <v>6.2107105857117073</v>
      </c>
      <c r="AY16" s="100">
        <v>2116.61016761055</v>
      </c>
      <c r="AZ16" s="100">
        <v>1.8216443091300532</v>
      </c>
      <c r="BA16" s="100">
        <v>620.81638055152212</v>
      </c>
      <c r="BB16" s="100">
        <v>7.9917231717625432</v>
      </c>
      <c r="BC16" s="100">
        <v>2723.5792569366749</v>
      </c>
      <c r="BD16" s="100">
        <v>5.3647048668191823</v>
      </c>
      <c r="BE16" s="100">
        <v>1828.2914186119774</v>
      </c>
      <c r="BF16" s="100">
        <v>5.0381763475591077</v>
      </c>
      <c r="BG16" s="100">
        <v>1717.010499248144</v>
      </c>
      <c r="BH16" s="100">
        <v>1.6022721720215873</v>
      </c>
      <c r="BI16" s="100">
        <v>546.05435622495702</v>
      </c>
      <c r="BJ16" s="100">
        <v>11.962694526646885</v>
      </c>
      <c r="BK16" s="100">
        <v>4076.8862946812587</v>
      </c>
      <c r="BL16" s="100">
        <v>4.6684808135232005</v>
      </c>
      <c r="BM16" s="100">
        <v>1591.0182612487067</v>
      </c>
      <c r="BN16" s="100">
        <v>7.3186991886693296</v>
      </c>
      <c r="BO16" s="100">
        <v>2494.2126834985074</v>
      </c>
      <c r="BP16" s="100">
        <v>6.7175684634121442</v>
      </c>
      <c r="BQ16" s="100">
        <v>2289.347332330859</v>
      </c>
      <c r="BR16" s="100">
        <v>5.6370560373262581E-4</v>
      </c>
      <c r="BS16" s="100">
        <v>0.19211086975207889</v>
      </c>
      <c r="BT16" s="100">
        <v>6.6981704574854382</v>
      </c>
      <c r="BU16" s="100">
        <v>2282.7364919110373</v>
      </c>
      <c r="BV16" s="100">
        <v>11.751268818625132</v>
      </c>
      <c r="BW16" s="100">
        <v>4004.8324133874448</v>
      </c>
      <c r="BX16" s="100">
        <v>6</v>
      </c>
      <c r="BY16" s="100">
        <v>2044.8000000000002</v>
      </c>
      <c r="BZ16" s="100">
        <v>6.9674953896849461</v>
      </c>
      <c r="CA16" s="100">
        <v>2374.5224288046297</v>
      </c>
      <c r="CB16" s="100">
        <v>2.8230048296769392</v>
      </c>
      <c r="CC16" s="100">
        <v>962.08004595390094</v>
      </c>
      <c r="CD16" s="100">
        <v>7.0543837546871533E-4</v>
      </c>
      <c r="CE16" s="100">
        <v>0.24041339835973818</v>
      </c>
      <c r="CF16" s="100">
        <v>8.0003981574366367</v>
      </c>
      <c r="CG16" s="100">
        <v>2726.5356920544059</v>
      </c>
      <c r="CH16" s="100">
        <v>10</v>
      </c>
      <c r="CI16" s="100">
        <v>3408</v>
      </c>
      <c r="CJ16" s="100">
        <v>9.7603953024830954</v>
      </c>
      <c r="CK16" s="100">
        <v>3326.342719086239</v>
      </c>
      <c r="CL16" s="100">
        <v>7.9296514687669433</v>
      </c>
      <c r="CM16" s="100">
        <v>2702.4252205557746</v>
      </c>
      <c r="CN16" s="100">
        <v>5.6640367634049591</v>
      </c>
      <c r="CO16" s="100">
        <v>1930.30372896841</v>
      </c>
      <c r="CP16" s="100">
        <v>4.8249202058634841</v>
      </c>
      <c r="CQ16" s="100">
        <v>1644.3328061582754</v>
      </c>
      <c r="CR16" s="100">
        <v>1.9319825797053678</v>
      </c>
      <c r="CS16" s="100">
        <v>658.41966316358935</v>
      </c>
      <c r="CT16" s="100">
        <v>4.2569339222085221</v>
      </c>
      <c r="CU16" s="100">
        <v>1450.7630806886643</v>
      </c>
    </row>
    <row r="17" spans="2:99">
      <c r="C17" s="99" t="s">
        <v>183</v>
      </c>
      <c r="D17" s="100">
        <v>5.2520997934079752</v>
      </c>
      <c r="E17" s="100">
        <v>2218.4869527355286</v>
      </c>
      <c r="F17" s="100">
        <v>6.559438903416396</v>
      </c>
      <c r="G17" s="100">
        <v>2770.7069928030855</v>
      </c>
      <c r="H17" s="100">
        <v>8.9436766131971286</v>
      </c>
      <c r="I17" s="100">
        <v>3777.8090014144668</v>
      </c>
      <c r="J17" s="100">
        <v>5.0342030223638723</v>
      </c>
      <c r="K17" s="100">
        <v>2126.4473566464994</v>
      </c>
      <c r="L17" s="100">
        <v>5.6994369931762412</v>
      </c>
      <c r="M17" s="100">
        <v>2407.4421859176441</v>
      </c>
      <c r="N17" s="100">
        <v>2.0620694252222846</v>
      </c>
      <c r="O17" s="100">
        <v>871.01812521389297</v>
      </c>
      <c r="P17" s="100">
        <v>7.7879022797270112</v>
      </c>
      <c r="Q17" s="100">
        <v>3289.6099229566894</v>
      </c>
      <c r="R17" s="100">
        <v>3.5423644222458024</v>
      </c>
      <c r="S17" s="100">
        <v>1496.2947319566269</v>
      </c>
      <c r="T17" s="100">
        <v>6.8222498080229288</v>
      </c>
      <c r="U17" s="100">
        <v>2881.7183189088851</v>
      </c>
      <c r="V17" s="100">
        <v>4.6721560983496326</v>
      </c>
      <c r="W17" s="100">
        <v>1973.5187359428846</v>
      </c>
      <c r="X17" s="100">
        <v>3.5878218664006422E-4</v>
      </c>
      <c r="Y17" s="100">
        <v>0.15154959563676312</v>
      </c>
      <c r="Z17" s="100">
        <v>5.9819508136714283</v>
      </c>
      <c r="AA17" s="100">
        <v>2526.7760236948111</v>
      </c>
      <c r="AB17" s="100">
        <v>3.0250235107649037</v>
      </c>
      <c r="AC17" s="100">
        <v>1277.7699309470952</v>
      </c>
      <c r="AD17" s="100">
        <v>8.33264906360127</v>
      </c>
      <c r="AE17" s="100">
        <v>3519.7109644651764</v>
      </c>
      <c r="AF17" s="100">
        <v>4.7350283832055089</v>
      </c>
      <c r="AG17" s="100">
        <v>2000.0759890660067</v>
      </c>
      <c r="AH17" s="100">
        <v>7.7931447546160317</v>
      </c>
      <c r="AI17" s="100">
        <v>3291.8243443498118</v>
      </c>
      <c r="AJ17" s="100">
        <v>4.7101048576426567</v>
      </c>
      <c r="AK17" s="100">
        <v>1989.548291868258</v>
      </c>
      <c r="AL17" s="100">
        <v>4.422988678018854E-4</v>
      </c>
      <c r="AM17" s="100">
        <v>0.18682704175951639</v>
      </c>
      <c r="AN17" s="100">
        <v>6.0003543627971743</v>
      </c>
      <c r="AO17" s="100">
        <v>2534.5496828455261</v>
      </c>
      <c r="AP17" s="100">
        <v>8</v>
      </c>
      <c r="AQ17" s="100">
        <v>3379.2</v>
      </c>
      <c r="AR17" s="100">
        <v>5.6081998186417703</v>
      </c>
      <c r="AS17" s="100">
        <v>2368.9036033942834</v>
      </c>
      <c r="AT17" s="100">
        <v>5.0742205344653328</v>
      </c>
      <c r="AU17" s="100">
        <v>2143.3507537581563</v>
      </c>
      <c r="AV17" s="100">
        <v>6.3502181749227766</v>
      </c>
      <c r="AW17" s="100">
        <v>2682.3321570873809</v>
      </c>
      <c r="AX17" s="100">
        <v>5.6123331139951853</v>
      </c>
      <c r="AY17" s="100">
        <v>2370.6495073515662</v>
      </c>
      <c r="AZ17" s="100">
        <v>1.6071029505171754</v>
      </c>
      <c r="BA17" s="100">
        <v>678.84028629845488</v>
      </c>
      <c r="BB17" s="100">
        <v>7.9917231717625432</v>
      </c>
      <c r="BC17" s="100">
        <v>3375.7038677524979</v>
      </c>
      <c r="BD17" s="100">
        <v>5.3647048668191823</v>
      </c>
      <c r="BE17" s="100">
        <v>2266.0513357444224</v>
      </c>
      <c r="BF17" s="100">
        <v>5.8778724054856255</v>
      </c>
      <c r="BG17" s="100">
        <v>2482.8133040771281</v>
      </c>
      <c r="BH17" s="100">
        <v>1.4113253035976936</v>
      </c>
      <c r="BI17" s="100">
        <v>596.14380823966576</v>
      </c>
      <c r="BJ17" s="100">
        <v>11.962694526646885</v>
      </c>
      <c r="BK17" s="100">
        <v>5053.0421680556437</v>
      </c>
      <c r="BL17" s="100">
        <v>4.6684808135232005</v>
      </c>
      <c r="BM17" s="100">
        <v>1971.9662956321997</v>
      </c>
      <c r="BN17" s="100">
        <v>7.3186991886693296</v>
      </c>
      <c r="BO17" s="100">
        <v>3091.4185372939246</v>
      </c>
      <c r="BP17" s="100">
        <v>7.5572645213386611</v>
      </c>
      <c r="BQ17" s="100">
        <v>3192.1885338134502</v>
      </c>
      <c r="BR17" s="100">
        <v>4.9563702129852268E-4</v>
      </c>
      <c r="BS17" s="100">
        <v>0.20935707779649596</v>
      </c>
      <c r="BT17" s="100">
        <v>6.0616056167668786</v>
      </c>
      <c r="BU17" s="100">
        <v>2560.4222125223296</v>
      </c>
      <c r="BV17" s="100">
        <v>11.751268818625132</v>
      </c>
      <c r="BW17" s="100">
        <v>4963.7359489872551</v>
      </c>
      <c r="BX17" s="100">
        <v>6</v>
      </c>
      <c r="BY17" s="100">
        <v>2534.3999999999996</v>
      </c>
      <c r="BZ17" s="100">
        <v>5.9721389054442398</v>
      </c>
      <c r="CA17" s="100">
        <v>2522.6314736596469</v>
      </c>
      <c r="CB17" s="100">
        <v>2.8230048296769392</v>
      </c>
      <c r="CC17" s="100">
        <v>1192.437240055539</v>
      </c>
      <c r="CD17" s="100">
        <v>5.8786531289059616E-4</v>
      </c>
      <c r="CE17" s="100">
        <v>0.24831430816498781</v>
      </c>
      <c r="CF17" s="100">
        <v>9.0003539177214549</v>
      </c>
      <c r="CG17" s="100">
        <v>3801.7494948455424</v>
      </c>
      <c r="CH17" s="100">
        <v>10</v>
      </c>
      <c r="CI17" s="100">
        <v>4224</v>
      </c>
      <c r="CJ17" s="100">
        <v>8.9470290272761712</v>
      </c>
      <c r="CK17" s="100">
        <v>3779.2250611214545</v>
      </c>
      <c r="CL17" s="100">
        <v>7.1366863218902497</v>
      </c>
      <c r="CM17" s="100">
        <v>3014.5363023664413</v>
      </c>
      <c r="CN17" s="100">
        <v>4.9560321679793393</v>
      </c>
      <c r="CO17" s="100">
        <v>2093.4279877544727</v>
      </c>
      <c r="CP17" s="100">
        <v>4.8249202058634841</v>
      </c>
      <c r="CQ17" s="100">
        <v>2038.0462949567357</v>
      </c>
      <c r="CR17" s="100">
        <v>1.9319825797053678</v>
      </c>
      <c r="CS17" s="100">
        <v>816.06944166754727</v>
      </c>
      <c r="CT17" s="100">
        <v>4.1655245333347413</v>
      </c>
      <c r="CU17" s="100">
        <v>1759.5175628805946</v>
      </c>
    </row>
    <row r="18" spans="2:99">
      <c r="C18" s="99" t="s">
        <v>184</v>
      </c>
      <c r="D18" s="100">
        <v>5.3797899333216348</v>
      </c>
      <c r="E18" s="100">
        <v>3511.9268684723629</v>
      </c>
      <c r="F18" s="100">
        <v>6.4475511227331168</v>
      </c>
      <c r="G18" s="100">
        <v>4208.9613729201783</v>
      </c>
      <c r="H18" s="100">
        <v>7.9499347672863365</v>
      </c>
      <c r="I18" s="100">
        <v>5189.7174160845198</v>
      </c>
      <c r="J18" s="100">
        <v>5.0342030223638723</v>
      </c>
      <c r="K18" s="100">
        <v>3286.3277329991356</v>
      </c>
      <c r="L18" s="100">
        <v>4.8852317084367778</v>
      </c>
      <c r="M18" s="100">
        <v>3189.0792592675284</v>
      </c>
      <c r="N18" s="100">
        <v>2.0620694252222846</v>
      </c>
      <c r="O18" s="100">
        <v>1346.1189207851073</v>
      </c>
      <c r="P18" s="100">
        <v>7.7879022797270112</v>
      </c>
      <c r="Q18" s="100">
        <v>5083.9426082057926</v>
      </c>
      <c r="R18" s="100">
        <v>3.9722715085053601</v>
      </c>
      <c r="S18" s="100">
        <v>2593.0988407522991</v>
      </c>
      <c r="T18" s="100">
        <v>5.9866997696275144</v>
      </c>
      <c r="U18" s="100">
        <v>3908.1176096128411</v>
      </c>
      <c r="V18" s="100">
        <v>3.7377248786797064</v>
      </c>
      <c r="W18" s="100">
        <v>2439.9868008021122</v>
      </c>
      <c r="X18" s="100">
        <v>3.5878218664006422E-4</v>
      </c>
      <c r="Y18" s="100">
        <v>0.23421301143863391</v>
      </c>
      <c r="Z18" s="100">
        <v>5.9819508136714283</v>
      </c>
      <c r="AA18" s="100">
        <v>3905.0174911647082</v>
      </c>
      <c r="AB18" s="100">
        <v>3.0250235107649037</v>
      </c>
      <c r="AC18" s="100">
        <v>1974.735347827329</v>
      </c>
      <c r="AD18" s="100">
        <v>7.4988263547771394</v>
      </c>
      <c r="AE18" s="100">
        <v>4895.2338443985163</v>
      </c>
      <c r="AF18" s="100">
        <v>4.7350283832055089</v>
      </c>
      <c r="AG18" s="100">
        <v>3091.0265285565561</v>
      </c>
      <c r="AH18" s="100">
        <v>6.7931447546160317</v>
      </c>
      <c r="AI18" s="100">
        <v>4434.5648958133452</v>
      </c>
      <c r="AJ18" s="100">
        <v>4.0372327351222781</v>
      </c>
      <c r="AK18" s="100">
        <v>2635.505529487823</v>
      </c>
      <c r="AL18" s="100">
        <v>4.4342048637630537E-4</v>
      </c>
      <c r="AM18" s="100">
        <v>0.2894648935064521</v>
      </c>
      <c r="AN18" s="100">
        <v>7.0002953023309784</v>
      </c>
      <c r="AO18" s="100">
        <v>4569.7927733616625</v>
      </c>
      <c r="AP18" s="100">
        <v>8</v>
      </c>
      <c r="AQ18" s="100">
        <v>5222.3999999999996</v>
      </c>
      <c r="AR18" s="100">
        <v>5.6081998186417703</v>
      </c>
      <c r="AS18" s="100">
        <v>3661.0328416093475</v>
      </c>
      <c r="AT18" s="100">
        <v>5.0742205344653328</v>
      </c>
      <c r="AU18" s="100">
        <v>3312.4511648989692</v>
      </c>
      <c r="AV18" s="100">
        <v>6.3502181749227766</v>
      </c>
      <c r="AW18" s="100">
        <v>4145.4224245895884</v>
      </c>
      <c r="AX18" s="100">
        <v>5.6120259139100162</v>
      </c>
      <c r="AY18" s="100">
        <v>3663.5305166004582</v>
      </c>
      <c r="AZ18" s="100">
        <v>1.5990019166535576</v>
      </c>
      <c r="BA18" s="100">
        <v>1043.8284511914424</v>
      </c>
      <c r="BB18" s="100">
        <v>7.9917231717625432</v>
      </c>
      <c r="BC18" s="100">
        <v>5216.9968865265882</v>
      </c>
      <c r="BD18" s="100">
        <v>4.4705873890159848</v>
      </c>
      <c r="BE18" s="100">
        <v>2918.3994475496347</v>
      </c>
      <c r="BF18" s="100">
        <v>5.8778724054856255</v>
      </c>
      <c r="BG18" s="100">
        <v>3837.0751063010161</v>
      </c>
      <c r="BH18" s="100">
        <v>1.6022721720215873</v>
      </c>
      <c r="BI18" s="100">
        <v>1045.9632738956921</v>
      </c>
      <c r="BJ18" s="100">
        <v>12.102063528038782</v>
      </c>
      <c r="BK18" s="100">
        <v>7900.2270711037163</v>
      </c>
      <c r="BL18" s="100">
        <v>4.6684808135232005</v>
      </c>
      <c r="BM18" s="100">
        <v>3047.5842750679453</v>
      </c>
      <c r="BN18" s="100">
        <v>7.3186991886693296</v>
      </c>
      <c r="BO18" s="100">
        <v>4777.6468303633383</v>
      </c>
      <c r="BP18" s="100">
        <v>6.7175684634121442</v>
      </c>
      <c r="BQ18" s="100">
        <v>4385.228692915447</v>
      </c>
      <c r="BR18" s="100">
        <v>4.9563702129852268E-4</v>
      </c>
      <c r="BS18" s="100">
        <v>0.3235518475036756</v>
      </c>
      <c r="BT18" s="100">
        <v>6.006185275050238</v>
      </c>
      <c r="BU18" s="100">
        <v>3920.837747552795</v>
      </c>
      <c r="BV18" s="100">
        <v>10.751268818625132</v>
      </c>
      <c r="BW18" s="100">
        <v>7018.4282847984859</v>
      </c>
      <c r="BX18" s="100">
        <v>6</v>
      </c>
      <c r="BY18" s="100">
        <v>3916.7999999999997</v>
      </c>
      <c r="BZ18" s="100">
        <v>5.9721389054442398</v>
      </c>
      <c r="CA18" s="100">
        <v>3898.6122774739993</v>
      </c>
      <c r="CB18" s="100">
        <v>2.3648385787410695</v>
      </c>
      <c r="CC18" s="100">
        <v>1543.7666242021701</v>
      </c>
      <c r="CD18" s="100">
        <v>6.466518441796558E-4</v>
      </c>
      <c r="CE18" s="100">
        <v>0.42213432388047928</v>
      </c>
      <c r="CF18" s="100">
        <v>9.0003539177214549</v>
      </c>
      <c r="CG18" s="100">
        <v>5875.4310374885654</v>
      </c>
      <c r="CH18" s="100">
        <v>10</v>
      </c>
      <c r="CI18" s="100">
        <v>6528</v>
      </c>
      <c r="CJ18" s="100">
        <v>9.7603953024830954</v>
      </c>
      <c r="CK18" s="100">
        <v>6371.5860534609646</v>
      </c>
      <c r="CL18" s="100">
        <v>7.1366863218902497</v>
      </c>
      <c r="CM18" s="100">
        <v>4658.8288309299551</v>
      </c>
      <c r="CN18" s="100">
        <v>4.9560321679793393</v>
      </c>
      <c r="CO18" s="100">
        <v>3235.2977992569126</v>
      </c>
      <c r="CP18" s="100">
        <v>4.8249202058634841</v>
      </c>
      <c r="CQ18" s="100">
        <v>3149.7079103876822</v>
      </c>
      <c r="CR18" s="100">
        <v>1.9319825797053678</v>
      </c>
      <c r="CS18" s="100">
        <v>1261.198228031664</v>
      </c>
      <c r="CT18" s="100">
        <v>4.1950878559407405</v>
      </c>
      <c r="CU18" s="100">
        <v>2738.5533523581153</v>
      </c>
    </row>
    <row r="19" spans="2:99">
      <c r="C19" s="99" t="s">
        <v>185</v>
      </c>
      <c r="D19" s="100">
        <v>6.1241750624247846</v>
      </c>
      <c r="E19" s="100">
        <v>2020.9777706001789</v>
      </c>
      <c r="F19" s="100">
        <v>7.559438903416396</v>
      </c>
      <c r="G19" s="100">
        <v>2494.6148381274106</v>
      </c>
      <c r="H19" s="100">
        <v>8.9436766131971286</v>
      </c>
      <c r="I19" s="100">
        <v>2951.4132823550526</v>
      </c>
      <c r="J19" s="100">
        <v>5.7533748827015678</v>
      </c>
      <c r="K19" s="100">
        <v>1898.6137112915173</v>
      </c>
      <c r="L19" s="100">
        <v>4.8852317084367778</v>
      </c>
      <c r="M19" s="100">
        <v>1612.1264637841366</v>
      </c>
      <c r="N19" s="100">
        <v>2.0620694252222846</v>
      </c>
      <c r="O19" s="100">
        <v>680.48291032335396</v>
      </c>
      <c r="P19" s="100">
        <v>8.7879022797270103</v>
      </c>
      <c r="Q19" s="100">
        <v>2900.0077523099135</v>
      </c>
      <c r="R19" s="100">
        <v>3.9870011845295528</v>
      </c>
      <c r="S19" s="100">
        <v>1315.7103908947524</v>
      </c>
      <c r="T19" s="100">
        <v>6.8222498080229288</v>
      </c>
      <c r="U19" s="100">
        <v>2251.3424366475665</v>
      </c>
      <c r="V19" s="100">
        <v>4.6721560983496326</v>
      </c>
      <c r="W19" s="100">
        <v>1541.8115124553788</v>
      </c>
      <c r="X19" s="100">
        <v>3.5285873374116803E-4</v>
      </c>
      <c r="Y19" s="100">
        <v>0.11644338213458545</v>
      </c>
      <c r="Z19" s="100">
        <v>6.1181593992145373</v>
      </c>
      <c r="AA19" s="100">
        <v>2018.9926017407972</v>
      </c>
      <c r="AB19" s="100">
        <v>3.0250235107649037</v>
      </c>
      <c r="AC19" s="100">
        <v>998.25775855241818</v>
      </c>
      <c r="AD19" s="100">
        <v>7.4988263547771394</v>
      </c>
      <c r="AE19" s="100">
        <v>2474.6126970764558</v>
      </c>
      <c r="AF19" s="100">
        <v>4.7350283832055089</v>
      </c>
      <c r="AG19" s="100">
        <v>1562.559366457818</v>
      </c>
      <c r="AH19" s="100">
        <v>7.7931447546160317</v>
      </c>
      <c r="AI19" s="100">
        <v>2571.7377690232906</v>
      </c>
      <c r="AJ19" s="100">
        <v>4.0372327351222781</v>
      </c>
      <c r="AK19" s="100">
        <v>1332.2868025903517</v>
      </c>
      <c r="AL19" s="100">
        <v>5.0404233932075781E-4</v>
      </c>
      <c r="AM19" s="100">
        <v>0.16633397197585006</v>
      </c>
      <c r="AN19" s="100">
        <v>6.0002953023309784</v>
      </c>
      <c r="AO19" s="100">
        <v>1980.097449769223</v>
      </c>
      <c r="AP19" s="100">
        <v>8</v>
      </c>
      <c r="AQ19" s="100">
        <v>2640</v>
      </c>
      <c r="AR19" s="100">
        <v>5.6081998186417703</v>
      </c>
      <c r="AS19" s="100">
        <v>1850.7059401517843</v>
      </c>
      <c r="AT19" s="100">
        <v>5.7991091822460961</v>
      </c>
      <c r="AU19" s="100">
        <v>1913.7060301412116</v>
      </c>
      <c r="AV19" s="100">
        <v>6.3502181749227766</v>
      </c>
      <c r="AW19" s="100">
        <v>2095.5719977245162</v>
      </c>
      <c r="AX19" s="100">
        <v>5.6120259139100162</v>
      </c>
      <c r="AY19" s="100">
        <v>1851.9685515903054</v>
      </c>
      <c r="AZ19" s="100">
        <v>1.5990019166535576</v>
      </c>
      <c r="BA19" s="100">
        <v>527.670632495674</v>
      </c>
      <c r="BB19" s="100">
        <v>8.1156885682328603</v>
      </c>
      <c r="BC19" s="100">
        <v>2678.1772275168437</v>
      </c>
      <c r="BD19" s="100">
        <v>5.3647048668191823</v>
      </c>
      <c r="BE19" s="100">
        <v>1770.3526060503302</v>
      </c>
      <c r="BF19" s="100">
        <v>5.8778724054856255</v>
      </c>
      <c r="BG19" s="100">
        <v>1939.6978938102563</v>
      </c>
      <c r="BH19" s="100">
        <v>1.6022721720215873</v>
      </c>
      <c r="BI19" s="100">
        <v>528.74981676712378</v>
      </c>
      <c r="BJ19" s="100">
        <v>11.962694526646885</v>
      </c>
      <c r="BK19" s="100">
        <v>3947.689193793472</v>
      </c>
      <c r="BL19" s="100">
        <v>4.6684808135232005</v>
      </c>
      <c r="BM19" s="100">
        <v>1540.5986684626562</v>
      </c>
      <c r="BN19" s="100">
        <v>8.0505691075362638</v>
      </c>
      <c r="BO19" s="100">
        <v>2656.6878054869671</v>
      </c>
      <c r="BP19" s="100">
        <v>6.7175684634121442</v>
      </c>
      <c r="BQ19" s="100">
        <v>2216.7975929260074</v>
      </c>
      <c r="BR19" s="100">
        <v>5.6051277968932557E-4</v>
      </c>
      <c r="BS19" s="100">
        <v>0.18496921729747745</v>
      </c>
      <c r="BT19" s="100">
        <v>6.0616056167668786</v>
      </c>
      <c r="BU19" s="100">
        <v>2000.32985353307</v>
      </c>
      <c r="BV19" s="100">
        <v>12.751268818625132</v>
      </c>
      <c r="BW19" s="100">
        <v>4207.9187101462931</v>
      </c>
      <c r="BX19" s="100">
        <v>6</v>
      </c>
      <c r="BY19" s="100">
        <v>1980</v>
      </c>
      <c r="BZ19" s="100">
        <v>6.9674953896849461</v>
      </c>
      <c r="CA19" s="100">
        <v>2299.2734785960324</v>
      </c>
      <c r="CB19" s="100">
        <v>2.3648385787410695</v>
      </c>
      <c r="CC19" s="100">
        <v>780.39673098455296</v>
      </c>
      <c r="CD19" s="100">
        <v>6.466518441796558E-4</v>
      </c>
      <c r="CE19" s="100">
        <v>0.21339510857928642</v>
      </c>
      <c r="CF19" s="100">
        <v>9.0003539177214549</v>
      </c>
      <c r="CG19" s="100">
        <v>2970.11679284808</v>
      </c>
      <c r="CH19" s="100">
        <v>10</v>
      </c>
      <c r="CI19" s="100">
        <v>3300</v>
      </c>
      <c r="CJ19" s="100">
        <v>9.7603953024830954</v>
      </c>
      <c r="CK19" s="100">
        <v>3220.9304498194215</v>
      </c>
      <c r="CL19" s="100">
        <v>7.1366863218902497</v>
      </c>
      <c r="CM19" s="100">
        <v>2355.1064862237822</v>
      </c>
      <c r="CN19" s="100">
        <v>5.6640367634049591</v>
      </c>
      <c r="CO19" s="100">
        <v>1869.1321319236365</v>
      </c>
      <c r="CP19" s="100">
        <v>4.8249202058634841</v>
      </c>
      <c r="CQ19" s="100">
        <v>1592.2236679349498</v>
      </c>
      <c r="CR19" s="100">
        <v>1.6904847572421968</v>
      </c>
      <c r="CS19" s="100">
        <v>557.85996988992497</v>
      </c>
      <c r="CT19" s="100">
        <v>3.6910266582397733</v>
      </c>
      <c r="CU19" s="100">
        <v>1218.0387972191252</v>
      </c>
    </row>
    <row r="20" spans="2:99">
      <c r="B20" s="99" t="s">
        <v>127</v>
      </c>
      <c r="C20" s="99" t="s">
        <v>186</v>
      </c>
      <c r="D20" s="100">
        <v>8.3730489931799248</v>
      </c>
      <c r="E20" s="100">
        <v>2401.3904512440026</v>
      </c>
      <c r="F20" s="100">
        <v>9.3426533681993504</v>
      </c>
      <c r="G20" s="100">
        <v>2679.4729859995737</v>
      </c>
      <c r="H20" s="100">
        <v>5.9624510754647515</v>
      </c>
      <c r="I20" s="100">
        <v>1710.0309684432907</v>
      </c>
      <c r="J20" s="100">
        <v>7.1917186033769598</v>
      </c>
      <c r="K20" s="100">
        <v>2062.5848954485123</v>
      </c>
      <c r="L20" s="100">
        <v>5.6994369931762412</v>
      </c>
      <c r="M20" s="100">
        <v>1634.598529642946</v>
      </c>
      <c r="N20" s="100">
        <v>2.7914876628869316</v>
      </c>
      <c r="O20" s="100">
        <v>800.59866171597207</v>
      </c>
      <c r="P20" s="100">
        <v>7.5758045594540215</v>
      </c>
      <c r="Q20" s="100">
        <v>2172.7407476514136</v>
      </c>
      <c r="R20" s="100">
        <v>3.2744837722523594</v>
      </c>
      <c r="S20" s="100">
        <v>939.12194588197667</v>
      </c>
      <c r="T20" s="100">
        <v>9.9733995392550288</v>
      </c>
      <c r="U20" s="100">
        <v>2860.3709878583422</v>
      </c>
      <c r="V20" s="100">
        <v>9.3443121966992653</v>
      </c>
      <c r="W20" s="100">
        <v>2679.9487380133496</v>
      </c>
      <c r="X20" s="100">
        <v>5.0940320477476546E-4</v>
      </c>
      <c r="Y20" s="100">
        <v>0.14609683912940274</v>
      </c>
      <c r="Z20" s="100">
        <v>10.440610859305114</v>
      </c>
      <c r="AA20" s="100">
        <v>2994.3671944487069</v>
      </c>
      <c r="AB20" s="100">
        <v>3.630028212917884</v>
      </c>
      <c r="AC20" s="100">
        <v>1041.0920914648491</v>
      </c>
      <c r="AD20" s="100">
        <v>8.2087503697920674</v>
      </c>
      <c r="AE20" s="100">
        <v>2354.2696060563649</v>
      </c>
      <c r="AF20" s="100">
        <v>4.7350283832055089</v>
      </c>
      <c r="AG20" s="100">
        <v>1358.0061403033401</v>
      </c>
      <c r="AH20" s="100">
        <v>9.5862895092320635</v>
      </c>
      <c r="AI20" s="100">
        <v>2749.3478312477559</v>
      </c>
      <c r="AJ20" s="100">
        <v>6.0558491026834167</v>
      </c>
      <c r="AK20" s="100">
        <v>1736.8175226496039</v>
      </c>
      <c r="AL20" s="100">
        <v>6.3986708667712155E-4</v>
      </c>
      <c r="AM20" s="100">
        <v>0.18351388045899847</v>
      </c>
      <c r="AN20" s="100">
        <v>8.000413423263371</v>
      </c>
      <c r="AO20" s="100">
        <v>2294.5185697919351</v>
      </c>
      <c r="AP20" s="100">
        <v>9</v>
      </c>
      <c r="AQ20" s="100">
        <v>2581.2000000000003</v>
      </c>
      <c r="AR20" s="100">
        <v>7.4775997581890268</v>
      </c>
      <c r="AS20" s="100">
        <v>2144.5756106486128</v>
      </c>
      <c r="AT20" s="100">
        <v>7.9737751255883804</v>
      </c>
      <c r="AU20" s="100">
        <v>2286.8787060187474</v>
      </c>
      <c r="AV20" s="100">
        <v>6.5407454580092965</v>
      </c>
      <c r="AW20" s="100">
        <v>1875.8857973570664</v>
      </c>
      <c r="AX20" s="100">
        <v>8.0144584369920651</v>
      </c>
      <c r="AY20" s="100">
        <v>2298.5466797293243</v>
      </c>
      <c r="AZ20" s="100">
        <v>2.2912321956738979</v>
      </c>
      <c r="BA20" s="100">
        <v>657.12539371927392</v>
      </c>
      <c r="BB20" s="100">
        <v>9.7355155505844504</v>
      </c>
      <c r="BC20" s="100">
        <v>2792.1458599076204</v>
      </c>
      <c r="BD20" s="100">
        <v>8.9411747780319697</v>
      </c>
      <c r="BE20" s="100">
        <v>2564.3289263395691</v>
      </c>
      <c r="BF20" s="100">
        <v>5.0381763475591077</v>
      </c>
      <c r="BG20" s="100">
        <v>1444.9489764799521</v>
      </c>
      <c r="BH20" s="100">
        <v>2.3058329203965342</v>
      </c>
      <c r="BI20" s="100">
        <v>661.31288156972607</v>
      </c>
      <c r="BJ20" s="100">
        <v>11.939449216671655</v>
      </c>
      <c r="BK20" s="100">
        <v>3424.2340353414306</v>
      </c>
      <c r="BL20" s="100">
        <v>7.0027212202848004</v>
      </c>
      <c r="BM20" s="100">
        <v>2008.3804459776809</v>
      </c>
      <c r="BN20" s="100">
        <v>7.3186991886693296</v>
      </c>
      <c r="BO20" s="100">
        <v>2099.0029273103637</v>
      </c>
      <c r="BP20" s="100">
        <v>5.0381763475591077</v>
      </c>
      <c r="BQ20" s="100">
        <v>1444.9489764799521</v>
      </c>
      <c r="BR20" s="100">
        <v>6.381598342533293E-4</v>
      </c>
      <c r="BS20" s="100">
        <v>0.18302424046385485</v>
      </c>
      <c r="BT20" s="100">
        <v>7.4777919492540592</v>
      </c>
      <c r="BU20" s="100">
        <v>2144.6307310460643</v>
      </c>
      <c r="BV20" s="100">
        <v>10.180565286410921</v>
      </c>
      <c r="BW20" s="100">
        <v>2919.7861241426522</v>
      </c>
      <c r="BX20" s="100">
        <v>9</v>
      </c>
      <c r="BY20" s="100">
        <v>2581.2000000000003</v>
      </c>
      <c r="BZ20" s="100">
        <v>6.9674953896849461</v>
      </c>
      <c r="CA20" s="100">
        <v>1998.2776777616425</v>
      </c>
      <c r="CB20" s="100">
        <v>1.6035818782755444</v>
      </c>
      <c r="CC20" s="100">
        <v>459.90728268942615</v>
      </c>
      <c r="CD20" s="100">
        <v>5.8786531289059616E-4</v>
      </c>
      <c r="CE20" s="100">
        <v>0.16859977173702298</v>
      </c>
      <c r="CF20" s="100">
        <v>11.000619356012548</v>
      </c>
      <c r="CG20" s="100">
        <v>3154.977631304399</v>
      </c>
      <c r="CH20" s="100">
        <v>10</v>
      </c>
      <c r="CI20" s="100">
        <v>2868</v>
      </c>
      <c r="CJ20" s="100">
        <v>8.9470290272761712</v>
      </c>
      <c r="CK20" s="100">
        <v>2566.0079250228059</v>
      </c>
      <c r="CL20" s="100">
        <v>6.3437211750135551</v>
      </c>
      <c r="CM20" s="100">
        <v>1819.3792329938876</v>
      </c>
      <c r="CN20" s="100">
        <v>5.6640367634049591</v>
      </c>
      <c r="CO20" s="100">
        <v>1624.4457437445424</v>
      </c>
      <c r="CP20" s="100">
        <v>5.629073573507398</v>
      </c>
      <c r="CQ20" s="100">
        <v>1614.4183008819218</v>
      </c>
      <c r="CR20" s="100">
        <v>1.6904847572421968</v>
      </c>
      <c r="CS20" s="100">
        <v>484.83102837706207</v>
      </c>
      <c r="CT20" s="100">
        <v>6.2088134862356865</v>
      </c>
      <c r="CU20" s="100">
        <v>1780.6877078523949</v>
      </c>
    </row>
    <row r="21" spans="2:99">
      <c r="C21" s="99" t="s">
        <v>187</v>
      </c>
      <c r="D21" s="100">
        <v>9.2431594442660234</v>
      </c>
      <c r="E21" s="100">
        <v>576.77314932219986</v>
      </c>
      <c r="F21" s="100">
        <v>10.34265336819935</v>
      </c>
      <c r="G21" s="100">
        <v>645.38157017563947</v>
      </c>
      <c r="H21" s="100">
        <v>6.9561929213755436</v>
      </c>
      <c r="I21" s="100">
        <v>434.06643829383393</v>
      </c>
      <c r="J21" s="100">
        <v>7.1917186033769598</v>
      </c>
      <c r="K21" s="100">
        <v>448.7632408507223</v>
      </c>
      <c r="L21" s="100">
        <v>5.6994369931762412</v>
      </c>
      <c r="M21" s="100">
        <v>355.64486837419742</v>
      </c>
      <c r="N21" s="100">
        <v>2.5109318709010044</v>
      </c>
      <c r="O21" s="100">
        <v>156.68214874422267</v>
      </c>
      <c r="P21" s="100">
        <v>7.4182241035086198</v>
      </c>
      <c r="Q21" s="100">
        <v>462.89718405893785</v>
      </c>
      <c r="R21" s="100">
        <v>3.6896611824877246</v>
      </c>
      <c r="S21" s="100">
        <v>230.23485778723401</v>
      </c>
      <c r="T21" s="100">
        <v>9.1378495008596161</v>
      </c>
      <c r="U21" s="100">
        <v>570.20180885364005</v>
      </c>
      <c r="V21" s="100">
        <v>9.3443121966992653</v>
      </c>
      <c r="W21" s="100">
        <v>583.08508107403418</v>
      </c>
      <c r="X21" s="100">
        <v>5.0644147832531734E-4</v>
      </c>
      <c r="Y21" s="100">
        <v>3.1601948247499803E-2</v>
      </c>
      <c r="Z21" s="100">
        <v>10.304402273762006</v>
      </c>
      <c r="AA21" s="100">
        <v>642.99470188274915</v>
      </c>
      <c r="AB21" s="100">
        <v>3.630028212917884</v>
      </c>
      <c r="AC21" s="100">
        <v>226.51376048607597</v>
      </c>
      <c r="AD21" s="100">
        <v>9.9947164566094866</v>
      </c>
      <c r="AE21" s="100">
        <v>623.670306892432</v>
      </c>
      <c r="AF21" s="100">
        <v>5.2611426480061212</v>
      </c>
      <c r="AG21" s="100">
        <v>328.29530123558197</v>
      </c>
      <c r="AH21" s="100">
        <v>10.744918460155269</v>
      </c>
      <c r="AI21" s="100">
        <v>670.48291191368878</v>
      </c>
      <c r="AJ21" s="100">
        <v>6.0558491026834167</v>
      </c>
      <c r="AK21" s="100">
        <v>377.88498400744521</v>
      </c>
      <c r="AL21" s="100">
        <v>5.8036685230708918E-4</v>
      </c>
      <c r="AM21" s="100">
        <v>3.6214891583962364E-2</v>
      </c>
      <c r="AN21" s="100">
        <v>8.0004724837295669</v>
      </c>
      <c r="AO21" s="100">
        <v>499.22948298472494</v>
      </c>
      <c r="AP21" s="100">
        <v>8</v>
      </c>
      <c r="AQ21" s="100">
        <v>499.2</v>
      </c>
      <c r="AR21" s="100">
        <v>7.4775997581890268</v>
      </c>
      <c r="AS21" s="100">
        <v>466.60222491099523</v>
      </c>
      <c r="AT21" s="100">
        <v>7.9737751255883804</v>
      </c>
      <c r="AU21" s="100">
        <v>497.56356783671492</v>
      </c>
      <c r="AV21" s="100">
        <v>6.6360090995525569</v>
      </c>
      <c r="AW21" s="100">
        <v>414.08696781207954</v>
      </c>
      <c r="AX21" s="100">
        <v>7.1974533327746837</v>
      </c>
      <c r="AY21" s="100">
        <v>449.12108796514025</v>
      </c>
      <c r="AZ21" s="100">
        <v>2.7122138790360357</v>
      </c>
      <c r="BA21" s="100">
        <v>169.24214605184864</v>
      </c>
      <c r="BB21" s="100">
        <v>9.8594809470547666</v>
      </c>
      <c r="BC21" s="100">
        <v>615.23161109621742</v>
      </c>
      <c r="BD21" s="100">
        <v>9.8352922558351672</v>
      </c>
      <c r="BE21" s="100">
        <v>613.72223676411443</v>
      </c>
      <c r="BF21" s="100">
        <v>4.1984802896325899</v>
      </c>
      <c r="BG21" s="100">
        <v>261.98517007307362</v>
      </c>
      <c r="BH21" s="100">
        <v>2.4874426357416231</v>
      </c>
      <c r="BI21" s="100">
        <v>155.21642047027728</v>
      </c>
      <c r="BJ21" s="100">
        <v>13.07764653778206</v>
      </c>
      <c r="BK21" s="100">
        <v>816.04514395760054</v>
      </c>
      <c r="BL21" s="100">
        <v>7.7808013558720015</v>
      </c>
      <c r="BM21" s="100">
        <v>485.52200460641291</v>
      </c>
      <c r="BN21" s="100">
        <v>8.0505691075362638</v>
      </c>
      <c r="BO21" s="100">
        <v>502.35551231026284</v>
      </c>
      <c r="BP21" s="100">
        <v>5.0381763475591077</v>
      </c>
      <c r="BQ21" s="100">
        <v>314.38220408768831</v>
      </c>
      <c r="BR21" s="100">
        <v>6.381598342533293E-4</v>
      </c>
      <c r="BS21" s="100">
        <v>3.9821173657407748E-2</v>
      </c>
      <c r="BT21" s="100">
        <v>8.1676676431347275</v>
      </c>
      <c r="BU21" s="100">
        <v>509.66246093160697</v>
      </c>
      <c r="BV21" s="100">
        <v>9.1805652864109213</v>
      </c>
      <c r="BW21" s="100">
        <v>572.86727387204144</v>
      </c>
      <c r="BX21" s="100">
        <v>7</v>
      </c>
      <c r="BY21" s="100">
        <v>436.8</v>
      </c>
      <c r="BZ21" s="100">
        <v>7.9628518739256524</v>
      </c>
      <c r="CA21" s="100">
        <v>496.88195693296069</v>
      </c>
      <c r="CB21" s="100">
        <v>1.6035818782755444</v>
      </c>
      <c r="CC21" s="100">
        <v>100.06350920439397</v>
      </c>
      <c r="CD21" s="100">
        <v>6.466518441796558E-4</v>
      </c>
      <c r="CE21" s="100">
        <v>4.0351075076810523E-2</v>
      </c>
      <c r="CF21" s="100">
        <v>10.000575116297366</v>
      </c>
      <c r="CG21" s="100">
        <v>624.03588725695568</v>
      </c>
      <c r="CH21" s="100">
        <v>9</v>
      </c>
      <c r="CI21" s="100">
        <v>561.6</v>
      </c>
      <c r="CJ21" s="100">
        <v>8.9470290272761712</v>
      </c>
      <c r="CK21" s="100">
        <v>558.2946113020331</v>
      </c>
      <c r="CL21" s="100">
        <v>6.3437211750135551</v>
      </c>
      <c r="CM21" s="100">
        <v>395.84820132084582</v>
      </c>
      <c r="CN21" s="100">
        <v>5.6640367634049591</v>
      </c>
      <c r="CO21" s="100">
        <v>353.43589403646945</v>
      </c>
      <c r="CP21" s="100">
        <v>6.4332269411513119</v>
      </c>
      <c r="CQ21" s="100">
        <v>401.43336112784186</v>
      </c>
      <c r="CR21" s="100">
        <v>1.6904847572421968</v>
      </c>
      <c r="CS21" s="100">
        <v>105.48624885191307</v>
      </c>
      <c r="CT21" s="100">
        <v>6.7875878705346624</v>
      </c>
      <c r="CU21" s="100">
        <v>423.54548312136291</v>
      </c>
    </row>
    <row r="22" spans="2:99">
      <c r="C22" s="99" t="s">
        <v>188</v>
      </c>
      <c r="D22" s="100">
        <v>9.1174341222830755</v>
      </c>
      <c r="E22" s="100">
        <v>1706.7836676913917</v>
      </c>
      <c r="F22" s="100">
        <v>10.566428929565907</v>
      </c>
      <c r="G22" s="100">
        <v>1978.0354956147378</v>
      </c>
      <c r="H22" s="100">
        <v>5.9624510754647515</v>
      </c>
      <c r="I22" s="100">
        <v>1116.1708413270014</v>
      </c>
      <c r="J22" s="100">
        <v>7.9108904637146553</v>
      </c>
      <c r="K22" s="100">
        <v>1480.9186948073834</v>
      </c>
      <c r="L22" s="100">
        <v>5.6994369931762412</v>
      </c>
      <c r="M22" s="100">
        <v>1066.9346051225923</v>
      </c>
      <c r="N22" s="100">
        <v>2.4688552074778061</v>
      </c>
      <c r="O22" s="100">
        <v>462.16969483984525</v>
      </c>
      <c r="P22" s="100">
        <v>7.5758045594540215</v>
      </c>
      <c r="Q22" s="100">
        <v>1418.1906135297927</v>
      </c>
      <c r="R22" s="100">
        <v>3.2597540962281673</v>
      </c>
      <c r="S22" s="100">
        <v>610.22596681391292</v>
      </c>
      <c r="T22" s="100">
        <v>10.137849500859616</v>
      </c>
      <c r="U22" s="100">
        <v>1897.8054265609201</v>
      </c>
      <c r="V22" s="100">
        <v>8.4098809770293386</v>
      </c>
      <c r="W22" s="100">
        <v>1574.329718899892</v>
      </c>
      <c r="X22" s="100">
        <v>5.0347975187586922E-4</v>
      </c>
      <c r="Y22" s="100">
        <v>9.4251409551162707E-2</v>
      </c>
      <c r="Z22" s="100">
        <v>9.3259458478966923</v>
      </c>
      <c r="AA22" s="100">
        <v>1745.8170627262607</v>
      </c>
      <c r="AB22" s="100">
        <v>4.2350329150708648</v>
      </c>
      <c r="AC22" s="100">
        <v>792.79816170126583</v>
      </c>
      <c r="AD22" s="100">
        <v>9.0425730786162006</v>
      </c>
      <c r="AE22" s="100">
        <v>1692.7696803169526</v>
      </c>
      <c r="AF22" s="100">
        <v>5.7872569128067335</v>
      </c>
      <c r="AG22" s="100">
        <v>1083.3744940774204</v>
      </c>
      <c r="AH22" s="100">
        <v>9.7449184601552687</v>
      </c>
      <c r="AI22" s="100">
        <v>1824.2487357410662</v>
      </c>
      <c r="AJ22" s="100">
        <v>6.0558491026834167</v>
      </c>
      <c r="AK22" s="100">
        <v>1133.6549520223355</v>
      </c>
      <c r="AL22" s="100">
        <v>6.3986708667712155E-4</v>
      </c>
      <c r="AM22" s="100">
        <v>0.11978311862595714</v>
      </c>
      <c r="AN22" s="100">
        <v>8.0004724837295669</v>
      </c>
      <c r="AO22" s="100">
        <v>1497.6884489541749</v>
      </c>
      <c r="AP22" s="100">
        <v>9</v>
      </c>
      <c r="AQ22" s="100">
        <v>1684.8</v>
      </c>
      <c r="AR22" s="100">
        <v>8.4122997279626546</v>
      </c>
      <c r="AS22" s="100">
        <v>1574.7825090746089</v>
      </c>
      <c r="AT22" s="100">
        <v>7.9737751255883804</v>
      </c>
      <c r="AU22" s="100">
        <v>1492.6907035101447</v>
      </c>
      <c r="AV22" s="100">
        <v>6.5407454580092965</v>
      </c>
      <c r="AW22" s="100">
        <v>1224.4275497393403</v>
      </c>
      <c r="AX22" s="100">
        <v>7.1971461326895136</v>
      </c>
      <c r="AY22" s="100">
        <v>1347.3057560394768</v>
      </c>
      <c r="AZ22" s="100">
        <v>2.2831311618102799</v>
      </c>
      <c r="BA22" s="100">
        <v>427.40215349088436</v>
      </c>
      <c r="BB22" s="100">
        <v>9.9834463435250864</v>
      </c>
      <c r="BC22" s="100">
        <v>1868.901155507896</v>
      </c>
      <c r="BD22" s="100">
        <v>8.9411747780319697</v>
      </c>
      <c r="BE22" s="100">
        <v>1673.7879184475846</v>
      </c>
      <c r="BF22" s="100">
        <v>5.0381763475591077</v>
      </c>
      <c r="BG22" s="100">
        <v>943.14661226306487</v>
      </c>
      <c r="BH22" s="100">
        <v>2.2871586142389249</v>
      </c>
      <c r="BI22" s="100">
        <v>428.15609258552672</v>
      </c>
      <c r="BJ22" s="100">
        <v>12.078818218063551</v>
      </c>
      <c r="BK22" s="100">
        <v>2261.1547704214968</v>
      </c>
      <c r="BL22" s="100">
        <v>6.224641084697601</v>
      </c>
      <c r="BM22" s="100">
        <v>1165.2528110553908</v>
      </c>
      <c r="BN22" s="100">
        <v>7.3186991886693296</v>
      </c>
      <c r="BO22" s="100">
        <v>1370.0604881188983</v>
      </c>
      <c r="BP22" s="100">
        <v>5.0381763475591077</v>
      </c>
      <c r="BQ22" s="100">
        <v>943.14661226306487</v>
      </c>
      <c r="BR22" s="100">
        <v>7.0942124073073256E-4</v>
      </c>
      <c r="BS22" s="100">
        <v>0.13280365626479312</v>
      </c>
      <c r="BT22" s="100">
        <v>7.4777919492540592</v>
      </c>
      <c r="BU22" s="100">
        <v>1399.8426529003598</v>
      </c>
      <c r="BV22" s="100">
        <v>9.1805652864109213</v>
      </c>
      <c r="BW22" s="100">
        <v>1718.6018216161244</v>
      </c>
      <c r="BX22" s="100">
        <v>8</v>
      </c>
      <c r="BY22" s="100">
        <v>1497.6</v>
      </c>
      <c r="BZ22" s="100">
        <v>7.9628518739256524</v>
      </c>
      <c r="CA22" s="100">
        <v>1490.645870798882</v>
      </c>
      <c r="CB22" s="100">
        <v>1.3744987528076096</v>
      </c>
      <c r="CC22" s="100">
        <v>257.3061665255845</v>
      </c>
      <c r="CD22" s="100">
        <v>5.8786531289059616E-4</v>
      </c>
      <c r="CE22" s="100">
        <v>0.11004838657311959</v>
      </c>
      <c r="CF22" s="100">
        <v>11.00066359572773</v>
      </c>
      <c r="CG22" s="100">
        <v>2059.3242251202309</v>
      </c>
      <c r="CH22" s="100">
        <v>9</v>
      </c>
      <c r="CI22" s="100">
        <v>1684.8</v>
      </c>
      <c r="CJ22" s="100">
        <v>8.1336627520692453</v>
      </c>
      <c r="CK22" s="100">
        <v>1522.6216671873626</v>
      </c>
      <c r="CL22" s="100">
        <v>7.1366863218902497</v>
      </c>
      <c r="CM22" s="100">
        <v>1335.9876794578547</v>
      </c>
      <c r="CN22" s="100">
        <v>6.3720413588305798</v>
      </c>
      <c r="CO22" s="100">
        <v>1192.8461423730844</v>
      </c>
      <c r="CP22" s="100">
        <v>5.629073573507398</v>
      </c>
      <c r="CQ22" s="100">
        <v>1053.7625729605847</v>
      </c>
      <c r="CR22" s="100">
        <v>1.4489869347790258</v>
      </c>
      <c r="CS22" s="100">
        <v>271.25035419063363</v>
      </c>
      <c r="CT22" s="100">
        <v>6.2814570808694343</v>
      </c>
      <c r="CU22" s="100">
        <v>1175.888765538758</v>
      </c>
    </row>
    <row r="23" spans="2:99">
      <c r="C23" s="99" t="s">
        <v>189</v>
      </c>
      <c r="D23" s="100">
        <v>9.1233285760752096</v>
      </c>
      <c r="E23" s="100">
        <v>2682.2586013661116</v>
      </c>
      <c r="F23" s="100">
        <v>9.2307655875160712</v>
      </c>
      <c r="G23" s="100">
        <v>2713.8450827297252</v>
      </c>
      <c r="H23" s="100">
        <v>6.9561929213755436</v>
      </c>
      <c r="I23" s="100">
        <v>2045.1207188844098</v>
      </c>
      <c r="J23" s="100">
        <v>7.9108904637146553</v>
      </c>
      <c r="K23" s="100">
        <v>2325.8017963321086</v>
      </c>
      <c r="L23" s="100">
        <v>4.8852317084367778</v>
      </c>
      <c r="M23" s="100">
        <v>1436.2581222804126</v>
      </c>
      <c r="N23" s="100">
        <v>2.7914876628869316</v>
      </c>
      <c r="O23" s="100">
        <v>820.69737288875785</v>
      </c>
      <c r="P23" s="100">
        <v>8.5758045594540224</v>
      </c>
      <c r="Q23" s="100">
        <v>2521.2865404794825</v>
      </c>
      <c r="R23" s="100">
        <v>3.0093496038169008</v>
      </c>
      <c r="S23" s="100">
        <v>884.74878352216888</v>
      </c>
      <c r="T23" s="100">
        <v>8.9733995392550288</v>
      </c>
      <c r="U23" s="100">
        <v>2638.1794645409786</v>
      </c>
      <c r="V23" s="100">
        <v>8.4098809770293386</v>
      </c>
      <c r="W23" s="100">
        <v>2472.5050072466256</v>
      </c>
      <c r="X23" s="100">
        <v>5.0347975187586922E-4</v>
      </c>
      <c r="Y23" s="100">
        <v>0.14802304705150554</v>
      </c>
      <c r="Z23" s="100">
        <v>10.304402273762006</v>
      </c>
      <c r="AA23" s="100">
        <v>3029.4942684860298</v>
      </c>
      <c r="AB23" s="100">
        <v>4.2350329150708648</v>
      </c>
      <c r="AC23" s="100">
        <v>1245.0996770308343</v>
      </c>
      <c r="AD23" s="100">
        <v>9.0425730786162006</v>
      </c>
      <c r="AE23" s="100">
        <v>2658.5164851131631</v>
      </c>
      <c r="AF23" s="100">
        <v>5.2611426480061212</v>
      </c>
      <c r="AG23" s="100">
        <v>1546.7759385137997</v>
      </c>
      <c r="AH23" s="100">
        <v>9.7449184601552687</v>
      </c>
      <c r="AI23" s="100">
        <v>2865.006027285649</v>
      </c>
      <c r="AJ23" s="100">
        <v>6.0558491026834167</v>
      </c>
      <c r="AK23" s="100">
        <v>1780.4196361889244</v>
      </c>
      <c r="AL23" s="100">
        <v>6.3986708667712155E-4</v>
      </c>
      <c r="AM23" s="100">
        <v>0.18812092348307374</v>
      </c>
      <c r="AN23" s="100">
        <v>9.000413423263371</v>
      </c>
      <c r="AO23" s="100">
        <v>2646.1215464394309</v>
      </c>
      <c r="AP23" s="100">
        <v>8</v>
      </c>
      <c r="AQ23" s="100">
        <v>2352</v>
      </c>
      <c r="AR23" s="100">
        <v>7.4775997581890268</v>
      </c>
      <c r="AS23" s="100">
        <v>2198.4143289075737</v>
      </c>
      <c r="AT23" s="100">
        <v>8.6986637733691428</v>
      </c>
      <c r="AU23" s="100">
        <v>2557.4071493705278</v>
      </c>
      <c r="AV23" s="100">
        <v>7.5673606066486725</v>
      </c>
      <c r="AW23" s="100">
        <v>2224.8040183547096</v>
      </c>
      <c r="AX23" s="100">
        <v>7.1910021309861349</v>
      </c>
      <c r="AY23" s="100">
        <v>2114.1546265099237</v>
      </c>
      <c r="AZ23" s="100">
        <v>2.4895714865595404</v>
      </c>
      <c r="BA23" s="100">
        <v>731.93401704850487</v>
      </c>
      <c r="BB23" s="100">
        <v>9.7355155505844504</v>
      </c>
      <c r="BC23" s="100">
        <v>2862.2415718718285</v>
      </c>
      <c r="BD23" s="100">
        <v>8.9411747780319697</v>
      </c>
      <c r="BE23" s="100">
        <v>2628.705384741399</v>
      </c>
      <c r="BF23" s="100">
        <v>5.0381763475591077</v>
      </c>
      <c r="BG23" s="100">
        <v>1481.2238461823777</v>
      </c>
      <c r="BH23" s="100">
        <v>2.4967797888204282</v>
      </c>
      <c r="BI23" s="100">
        <v>734.05325791320593</v>
      </c>
      <c r="BJ23" s="100">
        <v>12.078818218063551</v>
      </c>
      <c r="BK23" s="100">
        <v>3551.1725561106841</v>
      </c>
      <c r="BL23" s="100">
        <v>6.224641084697601</v>
      </c>
      <c r="BM23" s="100">
        <v>1830.0444789010946</v>
      </c>
      <c r="BN23" s="100">
        <v>6.5868292698023971</v>
      </c>
      <c r="BO23" s="100">
        <v>1936.5278053219047</v>
      </c>
      <c r="BP23" s="100">
        <v>5.0381763475591077</v>
      </c>
      <c r="BQ23" s="100">
        <v>1481.2238461823777</v>
      </c>
      <c r="BR23" s="100">
        <v>7.0942124073073256E-4</v>
      </c>
      <c r="BS23" s="100">
        <v>0.20856984477483537</v>
      </c>
      <c r="BT23" s="100">
        <v>8.0568269597014446</v>
      </c>
      <c r="BU23" s="100">
        <v>2368.7071261522246</v>
      </c>
      <c r="BV23" s="100">
        <v>9.2878894033573687</v>
      </c>
      <c r="BW23" s="100">
        <v>2730.6394845870664</v>
      </c>
      <c r="BX23" s="100">
        <v>9</v>
      </c>
      <c r="BY23" s="100">
        <v>2646</v>
      </c>
      <c r="BZ23" s="100">
        <v>8.9582083581663579</v>
      </c>
      <c r="CA23" s="100">
        <v>2633.7132573009094</v>
      </c>
      <c r="CB23" s="100">
        <v>1.6035818782755444</v>
      </c>
      <c r="CC23" s="100">
        <v>471.45307221301005</v>
      </c>
      <c r="CD23" s="100">
        <v>5.8786531289059616E-4</v>
      </c>
      <c r="CE23" s="100">
        <v>0.17283240198983527</v>
      </c>
      <c r="CF23" s="100">
        <v>11.000619356012548</v>
      </c>
      <c r="CG23" s="100">
        <v>3234.182090667689</v>
      </c>
      <c r="CH23" s="100">
        <v>9</v>
      </c>
      <c r="CI23" s="100">
        <v>2646</v>
      </c>
      <c r="CJ23" s="100">
        <v>7.320296476862322</v>
      </c>
      <c r="CK23" s="100">
        <v>2152.1671641975227</v>
      </c>
      <c r="CL23" s="100">
        <v>6.3437211750135551</v>
      </c>
      <c r="CM23" s="100">
        <v>1865.0540254539851</v>
      </c>
      <c r="CN23" s="100">
        <v>5.6640367634049591</v>
      </c>
      <c r="CO23" s="100">
        <v>1665.226808441058</v>
      </c>
      <c r="CP23" s="100">
        <v>5.629073573507398</v>
      </c>
      <c r="CQ23" s="100">
        <v>1654.9476306111751</v>
      </c>
      <c r="CR23" s="100">
        <v>1.4489869347790258</v>
      </c>
      <c r="CS23" s="100">
        <v>426.00215882503358</v>
      </c>
      <c r="CT23" s="100">
        <v>6.7834486866061425</v>
      </c>
      <c r="CU23" s="100">
        <v>1994.3339138622059</v>
      </c>
    </row>
    <row r="24" spans="2:99">
      <c r="C24" s="99" t="s">
        <v>190</v>
      </c>
      <c r="D24" s="100">
        <v>8.5007391330935871</v>
      </c>
      <c r="E24" s="100">
        <v>3121.4714096719649</v>
      </c>
      <c r="F24" s="100">
        <v>9.3426533681993504</v>
      </c>
      <c r="G24" s="100">
        <v>3430.6223168028014</v>
      </c>
      <c r="H24" s="100">
        <v>6.9561929213755436</v>
      </c>
      <c r="I24" s="100">
        <v>2554.3140407290994</v>
      </c>
      <c r="J24" s="100">
        <v>7.9108904637146553</v>
      </c>
      <c r="K24" s="100">
        <v>2904.8789782760214</v>
      </c>
      <c r="L24" s="100">
        <v>5.6994369931762412</v>
      </c>
      <c r="M24" s="100">
        <v>2092.8332638943157</v>
      </c>
      <c r="N24" s="100">
        <v>2.4969063164266054</v>
      </c>
      <c r="O24" s="100">
        <v>916.86399939184946</v>
      </c>
      <c r="P24" s="100">
        <v>8.4182241035086189</v>
      </c>
      <c r="Q24" s="100">
        <v>3091.1718908083649</v>
      </c>
      <c r="R24" s="100">
        <v>3.0093496038169008</v>
      </c>
      <c r="S24" s="100">
        <v>1105.033174521566</v>
      </c>
      <c r="T24" s="100">
        <v>8.9733995392550288</v>
      </c>
      <c r="U24" s="100">
        <v>3295.0323108144466</v>
      </c>
      <c r="V24" s="100">
        <v>8.4098809770293386</v>
      </c>
      <c r="W24" s="100">
        <v>3088.108294765173</v>
      </c>
      <c r="X24" s="100">
        <v>5.0644147832531734E-4</v>
      </c>
      <c r="Y24" s="100">
        <v>0.18596531084105652</v>
      </c>
      <c r="Z24" s="100">
        <v>10.304402273762006</v>
      </c>
      <c r="AA24" s="100">
        <v>3783.7765149254087</v>
      </c>
      <c r="AB24" s="100">
        <v>3.630028212917884</v>
      </c>
      <c r="AC24" s="100">
        <v>1332.946359783447</v>
      </c>
      <c r="AD24" s="100">
        <v>9.1608937477853551</v>
      </c>
      <c r="AE24" s="100">
        <v>3363.8801841867821</v>
      </c>
      <c r="AF24" s="100">
        <v>5.7872569128067335</v>
      </c>
      <c r="AG24" s="100">
        <v>2125.0807383826323</v>
      </c>
      <c r="AH24" s="100">
        <v>10.586289509232063</v>
      </c>
      <c r="AI24" s="100">
        <v>3887.2855077900135</v>
      </c>
      <c r="AJ24" s="100">
        <v>6.0558491026834167</v>
      </c>
      <c r="AK24" s="100">
        <v>2223.7077905053507</v>
      </c>
      <c r="AL24" s="100">
        <v>6.4211032382596137E-4</v>
      </c>
      <c r="AM24" s="100">
        <v>0.235782910908893</v>
      </c>
      <c r="AN24" s="100">
        <v>9.000413423263371</v>
      </c>
      <c r="AO24" s="100">
        <v>3304.9518090223096</v>
      </c>
      <c r="AP24" s="100">
        <v>8</v>
      </c>
      <c r="AQ24" s="100">
        <v>2937.6</v>
      </c>
      <c r="AR24" s="100">
        <v>7.4775997581890268</v>
      </c>
      <c r="AS24" s="100">
        <v>2745.7746312070108</v>
      </c>
      <c r="AT24" s="100">
        <v>7.9737751255883804</v>
      </c>
      <c r="AU24" s="100">
        <v>2927.9702261160533</v>
      </c>
      <c r="AV24" s="100">
        <v>6.6360090995525569</v>
      </c>
      <c r="AW24" s="100">
        <v>2436.7425413556989</v>
      </c>
      <c r="AX24" s="100">
        <v>7.3059991488121918</v>
      </c>
      <c r="AY24" s="100">
        <v>2682.7628874438369</v>
      </c>
      <c r="AZ24" s="100">
        <v>2.2912321956738979</v>
      </c>
      <c r="BA24" s="100">
        <v>841.34046225145528</v>
      </c>
      <c r="BB24" s="100">
        <v>9.7355155505844504</v>
      </c>
      <c r="BC24" s="100">
        <v>3574.88131017461</v>
      </c>
      <c r="BD24" s="100">
        <v>9.8352922558351672</v>
      </c>
      <c r="BE24" s="100">
        <v>3611.5193163426734</v>
      </c>
      <c r="BF24" s="100">
        <v>5.0381763475591077</v>
      </c>
      <c r="BG24" s="100">
        <v>1850.0183548237044</v>
      </c>
      <c r="BH24" s="100">
        <v>2.4874426357416231</v>
      </c>
      <c r="BI24" s="100">
        <v>913.38893584432401</v>
      </c>
      <c r="BJ24" s="100">
        <v>11.939449216671655</v>
      </c>
      <c r="BK24" s="100">
        <v>4384.1657523618314</v>
      </c>
      <c r="BL24" s="100">
        <v>7.0027212202848004</v>
      </c>
      <c r="BM24" s="100">
        <v>2571.3992320885786</v>
      </c>
      <c r="BN24" s="100">
        <v>7.3186991886693296</v>
      </c>
      <c r="BO24" s="100">
        <v>2687.4263420793777</v>
      </c>
      <c r="BP24" s="100">
        <v>5.0381763475591077</v>
      </c>
      <c r="BQ24" s="100">
        <v>1850.0183548237044</v>
      </c>
      <c r="BR24" s="100">
        <v>6.3975624627497936E-4</v>
      </c>
      <c r="BS24" s="100">
        <v>0.2349184936321724</v>
      </c>
      <c r="BT24" s="100">
        <v>8.1607655381723383</v>
      </c>
      <c r="BU24" s="100">
        <v>2996.6331056168824</v>
      </c>
      <c r="BV24" s="100">
        <v>9.1805652864109213</v>
      </c>
      <c r="BW24" s="100">
        <v>3371.1035731700904</v>
      </c>
      <c r="BX24" s="100">
        <v>8</v>
      </c>
      <c r="BY24" s="100">
        <v>2937.6</v>
      </c>
      <c r="BZ24" s="100">
        <v>7.9628518739256524</v>
      </c>
      <c r="CA24" s="100">
        <v>2923.9592081054993</v>
      </c>
      <c r="CB24" s="100">
        <v>1.6035818782755444</v>
      </c>
      <c r="CC24" s="100">
        <v>588.83526570277991</v>
      </c>
      <c r="CD24" s="100">
        <v>6.466518441796558E-4</v>
      </c>
      <c r="CE24" s="100">
        <v>0.23745055718276961</v>
      </c>
      <c r="CF24" s="100">
        <v>10.000575116297366</v>
      </c>
      <c r="CG24" s="100">
        <v>3672.2111827043927</v>
      </c>
      <c r="CH24" s="100">
        <v>8</v>
      </c>
      <c r="CI24" s="100">
        <v>2937.6</v>
      </c>
      <c r="CJ24" s="100">
        <v>8.1336627520692453</v>
      </c>
      <c r="CK24" s="100">
        <v>2986.6809625598266</v>
      </c>
      <c r="CL24" s="100">
        <v>6.3437211750135551</v>
      </c>
      <c r="CM24" s="100">
        <v>2329.4144154649775</v>
      </c>
      <c r="CN24" s="100">
        <v>6.3720413588305798</v>
      </c>
      <c r="CO24" s="100">
        <v>2339.8135869625889</v>
      </c>
      <c r="CP24" s="100">
        <v>5.629073573507398</v>
      </c>
      <c r="CQ24" s="100">
        <v>2066.9958161919167</v>
      </c>
      <c r="CR24" s="100">
        <v>1.4489869347790258</v>
      </c>
      <c r="CS24" s="100">
        <v>532.06800245085833</v>
      </c>
      <c r="CT24" s="100">
        <v>5.7773958831684666</v>
      </c>
      <c r="CU24" s="100">
        <v>2121.4597682994608</v>
      </c>
    </row>
    <row r="25" spans="2:99">
      <c r="C25" s="99" t="s">
        <v>191</v>
      </c>
      <c r="D25" s="100">
        <v>9.2470890801274468</v>
      </c>
      <c r="E25" s="100">
        <v>4904.6560480995977</v>
      </c>
      <c r="F25" s="100">
        <v>10.230765587516071</v>
      </c>
      <c r="G25" s="100">
        <v>5426.3980676185238</v>
      </c>
      <c r="H25" s="100">
        <v>6.9561929213755436</v>
      </c>
      <c r="I25" s="100">
        <v>3689.5647254975884</v>
      </c>
      <c r="J25" s="100">
        <v>6.4725467430392642</v>
      </c>
      <c r="K25" s="100">
        <v>3433.0387925080258</v>
      </c>
      <c r="L25" s="100">
        <v>4.8852317084367778</v>
      </c>
      <c r="M25" s="100">
        <v>2591.1268981548669</v>
      </c>
      <c r="N25" s="100">
        <v>2.5109318709010044</v>
      </c>
      <c r="O25" s="100">
        <v>1331.7982643258927</v>
      </c>
      <c r="P25" s="100">
        <v>7.5758045594540215</v>
      </c>
      <c r="Q25" s="100">
        <v>4018.2067383344129</v>
      </c>
      <c r="R25" s="100">
        <v>3.2892134482765516</v>
      </c>
      <c r="S25" s="100">
        <v>1744.5988129658829</v>
      </c>
      <c r="T25" s="100">
        <v>8.9733995392550288</v>
      </c>
      <c r="U25" s="100">
        <v>4759.4911156208673</v>
      </c>
      <c r="V25" s="100">
        <v>8.4098809770293386</v>
      </c>
      <c r="W25" s="100">
        <v>4460.6008702163608</v>
      </c>
      <c r="X25" s="100">
        <v>5.0347975187586922E-4</v>
      </c>
      <c r="Y25" s="100">
        <v>0.26704566039496103</v>
      </c>
      <c r="Z25" s="100">
        <v>9.3259458478966923</v>
      </c>
      <c r="AA25" s="100">
        <v>4946.481677724405</v>
      </c>
      <c r="AB25" s="100">
        <v>3.630028212917884</v>
      </c>
      <c r="AC25" s="100">
        <v>1925.3669641316455</v>
      </c>
      <c r="AD25" s="100">
        <v>9.1608937477853551</v>
      </c>
      <c r="AE25" s="100">
        <v>4858.938043825352</v>
      </c>
      <c r="AF25" s="100">
        <v>4.7350283832055089</v>
      </c>
      <c r="AG25" s="100">
        <v>2511.4590544522016</v>
      </c>
      <c r="AH25" s="100">
        <v>10.586289509232063</v>
      </c>
      <c r="AI25" s="100">
        <v>5614.9679556966867</v>
      </c>
      <c r="AJ25" s="100">
        <v>5.3829769801630372</v>
      </c>
      <c r="AK25" s="100">
        <v>2855.1309902784747</v>
      </c>
      <c r="AL25" s="100">
        <v>6.4098870525154152E-4</v>
      </c>
      <c r="AM25" s="100">
        <v>0.33998040926541762</v>
      </c>
      <c r="AN25" s="100">
        <v>8.0005315441957627</v>
      </c>
      <c r="AO25" s="100">
        <v>4243.4819310414323</v>
      </c>
      <c r="AP25" s="100">
        <v>8</v>
      </c>
      <c r="AQ25" s="100">
        <v>4243.2</v>
      </c>
      <c r="AR25" s="100">
        <v>7.4775997581890268</v>
      </c>
      <c r="AS25" s="100">
        <v>3966.1189117434596</v>
      </c>
      <c r="AT25" s="100">
        <v>7.248886477807619</v>
      </c>
      <c r="AU25" s="100">
        <v>3844.8093878291611</v>
      </c>
      <c r="AV25" s="100">
        <v>7.4720969651054112</v>
      </c>
      <c r="AW25" s="100">
        <v>3963.20023029191</v>
      </c>
      <c r="AX25" s="100">
        <v>7.4093225634018278</v>
      </c>
      <c r="AY25" s="100">
        <v>3929.9046876283292</v>
      </c>
      <c r="AZ25" s="100">
        <v>2.4895714865595404</v>
      </c>
      <c r="BA25" s="100">
        <v>1320.4687164711802</v>
      </c>
      <c r="BB25" s="100">
        <v>9.8594809470547666</v>
      </c>
      <c r="BC25" s="100">
        <v>5229.4686943178476</v>
      </c>
      <c r="BD25" s="100">
        <v>8.9411747780319697</v>
      </c>
      <c r="BE25" s="100">
        <v>4742.3991022681566</v>
      </c>
      <c r="BF25" s="100">
        <v>4.1984802896325899</v>
      </c>
      <c r="BG25" s="100">
        <v>2226.8739456211256</v>
      </c>
      <c r="BH25" s="100">
        <v>2.4874426357416231</v>
      </c>
      <c r="BI25" s="100">
        <v>1319.3395739973569</v>
      </c>
      <c r="BJ25" s="100">
        <v>11.800080215279758</v>
      </c>
      <c r="BK25" s="100">
        <v>6258.7625461843836</v>
      </c>
      <c r="BL25" s="100">
        <v>6.224641084697601</v>
      </c>
      <c r="BM25" s="100">
        <v>3301.5496313236076</v>
      </c>
      <c r="BN25" s="100">
        <v>6.5868292698023971</v>
      </c>
      <c r="BO25" s="100">
        <v>3493.6542447031911</v>
      </c>
      <c r="BP25" s="100">
        <v>5.0381763475591077</v>
      </c>
      <c r="BQ25" s="100">
        <v>2672.2487347453507</v>
      </c>
      <c r="BR25" s="100">
        <v>7.0782482870908239E-4</v>
      </c>
      <c r="BS25" s="100">
        <v>0.37543028914729726</v>
      </c>
      <c r="BT25" s="100">
        <v>6.8433365970900333</v>
      </c>
      <c r="BU25" s="100">
        <v>3629.7057310965533</v>
      </c>
      <c r="BV25" s="100">
        <v>9.1805652864109213</v>
      </c>
      <c r="BW25" s="100">
        <v>4869.3718279123523</v>
      </c>
      <c r="BX25" s="100">
        <v>8</v>
      </c>
      <c r="BY25" s="100">
        <v>4243.2</v>
      </c>
      <c r="BZ25" s="100">
        <v>7.9628518739256524</v>
      </c>
      <c r="CA25" s="100">
        <v>4223.4966339301654</v>
      </c>
      <c r="CB25" s="100">
        <v>1.6035818782755444</v>
      </c>
      <c r="CC25" s="100">
        <v>850.53982823734873</v>
      </c>
      <c r="CD25" s="100">
        <v>5.8786531289059616E-4</v>
      </c>
      <c r="CE25" s="100">
        <v>0.31180376195717219</v>
      </c>
      <c r="CF25" s="100">
        <v>11.000619356012548</v>
      </c>
      <c r="CG25" s="100">
        <v>5834.7285064290554</v>
      </c>
      <c r="CH25" s="100">
        <v>9</v>
      </c>
      <c r="CI25" s="100">
        <v>4773.5999999999995</v>
      </c>
      <c r="CJ25" s="100">
        <v>7.320296476862322</v>
      </c>
      <c r="CK25" s="100">
        <v>3882.6852513277754</v>
      </c>
      <c r="CL25" s="100">
        <v>6.3437211750135551</v>
      </c>
      <c r="CM25" s="100">
        <v>3364.7097112271895</v>
      </c>
      <c r="CN25" s="100">
        <v>6.3720413588305798</v>
      </c>
      <c r="CO25" s="100">
        <v>3379.7307367237395</v>
      </c>
      <c r="CP25" s="100">
        <v>5.629073573507398</v>
      </c>
      <c r="CQ25" s="100">
        <v>2985.660623388324</v>
      </c>
      <c r="CR25" s="100">
        <v>1.4489869347790258</v>
      </c>
      <c r="CS25" s="100">
        <v>768.54267020679526</v>
      </c>
      <c r="CT25" s="100">
        <v>5.7753262912042072</v>
      </c>
      <c r="CU25" s="100">
        <v>3063.2330648547113</v>
      </c>
    </row>
    <row r="26" spans="2:99">
      <c r="C26" s="99" t="s">
        <v>192</v>
      </c>
      <c r="D26" s="100">
        <v>8.4968094972321619</v>
      </c>
      <c r="E26" s="100">
        <v>4129.4494156548308</v>
      </c>
      <c r="F26" s="100">
        <v>10.45454114888263</v>
      </c>
      <c r="G26" s="100">
        <v>5080.906998356958</v>
      </c>
      <c r="H26" s="100">
        <v>6.9561929213755436</v>
      </c>
      <c r="I26" s="100">
        <v>3380.709759788514</v>
      </c>
      <c r="J26" s="100">
        <v>7.1917186033769598</v>
      </c>
      <c r="K26" s="100">
        <v>3495.1752412412025</v>
      </c>
      <c r="L26" s="100">
        <v>4.8852317084367778</v>
      </c>
      <c r="M26" s="100">
        <v>2374.222610300274</v>
      </c>
      <c r="N26" s="100">
        <v>2.7914876628869316</v>
      </c>
      <c r="O26" s="100">
        <v>1356.6630041630488</v>
      </c>
      <c r="P26" s="100">
        <v>7.4182241035086198</v>
      </c>
      <c r="Q26" s="100">
        <v>3605.2569143051892</v>
      </c>
      <c r="R26" s="100">
        <v>3.0093496038169008</v>
      </c>
      <c r="S26" s="100">
        <v>1462.5439074550138</v>
      </c>
      <c r="T26" s="100">
        <v>8.9733995392550288</v>
      </c>
      <c r="U26" s="100">
        <v>4361.0721760779443</v>
      </c>
      <c r="V26" s="100">
        <v>8.4098809770293386</v>
      </c>
      <c r="W26" s="100">
        <v>4087.2021548362586</v>
      </c>
      <c r="X26" s="100">
        <v>4.4297787505575913E-4</v>
      </c>
      <c r="Y26" s="100">
        <v>0.21528724727709894</v>
      </c>
      <c r="Z26" s="100">
        <v>8.34748942203138</v>
      </c>
      <c r="AA26" s="100">
        <v>4056.8798591072505</v>
      </c>
      <c r="AB26" s="100">
        <v>4.2350329150708648</v>
      </c>
      <c r="AC26" s="100">
        <v>2058.2259967244404</v>
      </c>
      <c r="AD26" s="100">
        <v>8.3270710389612237</v>
      </c>
      <c r="AE26" s="100">
        <v>4046.9565249351549</v>
      </c>
      <c r="AF26" s="100">
        <v>5.2611426480061212</v>
      </c>
      <c r="AG26" s="100">
        <v>2556.915326930975</v>
      </c>
      <c r="AH26" s="100">
        <v>10.744918460155269</v>
      </c>
      <c r="AI26" s="100">
        <v>5222.0303716354611</v>
      </c>
      <c r="AJ26" s="100">
        <v>5.3829769801630372</v>
      </c>
      <c r="AK26" s="100">
        <v>2616.1268123592363</v>
      </c>
      <c r="AL26" s="100">
        <v>5.8036685230708918E-4</v>
      </c>
      <c r="AM26" s="100">
        <v>0.28205829022124534</v>
      </c>
      <c r="AN26" s="100">
        <v>9.0004724837295669</v>
      </c>
      <c r="AO26" s="100">
        <v>4374.2296270925699</v>
      </c>
      <c r="AP26" s="100">
        <v>8</v>
      </c>
      <c r="AQ26" s="100">
        <v>3888</v>
      </c>
      <c r="AR26" s="100">
        <v>6.542899788415399</v>
      </c>
      <c r="AS26" s="100">
        <v>3179.8492971698838</v>
      </c>
      <c r="AT26" s="100">
        <v>7.9737751255883804</v>
      </c>
      <c r="AU26" s="100">
        <v>3875.2547110359528</v>
      </c>
      <c r="AV26" s="100">
        <v>6.6360090995525569</v>
      </c>
      <c r="AW26" s="100">
        <v>3225.1004223825425</v>
      </c>
      <c r="AX26" s="100">
        <v>7.3059991488121918</v>
      </c>
      <c r="AY26" s="100">
        <v>3550.7155863227254</v>
      </c>
      <c r="AZ26" s="100">
        <v>2.2912321956738979</v>
      </c>
      <c r="BA26" s="100">
        <v>1113.5388470975145</v>
      </c>
      <c r="BB26" s="100">
        <v>9.7355155505844504</v>
      </c>
      <c r="BC26" s="100">
        <v>4731.4605575840433</v>
      </c>
      <c r="BD26" s="100">
        <v>9.8352922558351672</v>
      </c>
      <c r="BE26" s="100">
        <v>4779.9520363358915</v>
      </c>
      <c r="BF26" s="100">
        <v>4.1984802896325899</v>
      </c>
      <c r="BG26" s="100">
        <v>2040.4614207614386</v>
      </c>
      <c r="BH26" s="100">
        <v>2.3058329203965342</v>
      </c>
      <c r="BI26" s="100">
        <v>1120.6347993127156</v>
      </c>
      <c r="BJ26" s="100">
        <v>13.07764653778206</v>
      </c>
      <c r="BK26" s="100">
        <v>6355.7362173620813</v>
      </c>
      <c r="BL26" s="100">
        <v>6.224641084697601</v>
      </c>
      <c r="BM26" s="100">
        <v>3025.175567163034</v>
      </c>
      <c r="BN26" s="100">
        <v>7.3186991886693296</v>
      </c>
      <c r="BO26" s="100">
        <v>3556.887805693294</v>
      </c>
      <c r="BP26" s="100">
        <v>5.0381763475591077</v>
      </c>
      <c r="BQ26" s="100">
        <v>2448.5537049137265</v>
      </c>
      <c r="BR26" s="100">
        <v>6.3975624627497936E-4</v>
      </c>
      <c r="BS26" s="100">
        <v>0.31092153568963998</v>
      </c>
      <c r="BT26" s="100">
        <v>7.4777919492540592</v>
      </c>
      <c r="BU26" s="100">
        <v>3634.2068873374728</v>
      </c>
      <c r="BV26" s="100">
        <v>10.287889403357369</v>
      </c>
      <c r="BW26" s="100">
        <v>4999.9142500316811</v>
      </c>
      <c r="BX26" s="100">
        <v>8</v>
      </c>
      <c r="BY26" s="100">
        <v>3888</v>
      </c>
      <c r="BZ26" s="100">
        <v>6.9674953896849461</v>
      </c>
      <c r="CA26" s="100">
        <v>3386.2027593868838</v>
      </c>
      <c r="CB26" s="100">
        <v>1.6035818782755444</v>
      </c>
      <c r="CC26" s="100">
        <v>779.34079284191455</v>
      </c>
      <c r="CD26" s="100">
        <v>5.8786531289059616E-4</v>
      </c>
      <c r="CE26" s="100">
        <v>0.28570254206482976</v>
      </c>
      <c r="CF26" s="100">
        <v>9.000575116297366</v>
      </c>
      <c r="CG26" s="100">
        <v>4374.27950652052</v>
      </c>
      <c r="CH26" s="100">
        <v>9</v>
      </c>
      <c r="CI26" s="100">
        <v>4374</v>
      </c>
      <c r="CJ26" s="100">
        <v>8.1336627520692453</v>
      </c>
      <c r="CK26" s="100">
        <v>3952.9600975056533</v>
      </c>
      <c r="CL26" s="100">
        <v>7.1366863218902497</v>
      </c>
      <c r="CM26" s="100">
        <v>3468.4295524386612</v>
      </c>
      <c r="CN26" s="100">
        <v>5.6640367634049591</v>
      </c>
      <c r="CO26" s="100">
        <v>2752.72186701481</v>
      </c>
      <c r="CP26" s="100">
        <v>4.8249202058634841</v>
      </c>
      <c r="CQ26" s="100">
        <v>2344.9112200496534</v>
      </c>
      <c r="CR26" s="100">
        <v>1.4489869347790258</v>
      </c>
      <c r="CS26" s="100">
        <v>704.20765030260657</v>
      </c>
      <c r="CT26" s="100">
        <v>6.2814570808694343</v>
      </c>
      <c r="CU26" s="100">
        <v>3052.7881413025452</v>
      </c>
    </row>
    <row r="27" spans="2:99">
      <c r="C27" s="99" t="s">
        <v>193</v>
      </c>
      <c r="D27" s="100">
        <v>7.7543891860597247</v>
      </c>
      <c r="E27" s="100">
        <v>3312.6750602847142</v>
      </c>
      <c r="F27" s="100">
        <v>10.34265336819935</v>
      </c>
      <c r="G27" s="100">
        <v>4418.3815188947619</v>
      </c>
      <c r="H27" s="100">
        <v>6.9561929213755436</v>
      </c>
      <c r="I27" s="100">
        <v>2971.6856160116322</v>
      </c>
      <c r="J27" s="100">
        <v>7.1917186033769598</v>
      </c>
      <c r="K27" s="100">
        <v>3072.3021873626371</v>
      </c>
      <c r="L27" s="100">
        <v>5.6994369931762412</v>
      </c>
      <c r="M27" s="100">
        <v>2434.7994834848901</v>
      </c>
      <c r="N27" s="100">
        <v>2.7634365539381327</v>
      </c>
      <c r="O27" s="100">
        <v>1180.5400958423702</v>
      </c>
      <c r="P27" s="100">
        <v>7.5758045594540215</v>
      </c>
      <c r="Q27" s="100">
        <v>3236.3837077987578</v>
      </c>
      <c r="R27" s="100">
        <v>3.0093496038169008</v>
      </c>
      <c r="S27" s="100">
        <v>1285.59415075058</v>
      </c>
      <c r="T27" s="100">
        <v>9.1378495008596161</v>
      </c>
      <c r="U27" s="100">
        <v>3903.6893067672281</v>
      </c>
      <c r="V27" s="100">
        <v>8.4098809770293386</v>
      </c>
      <c r="W27" s="100">
        <v>3592.7011533869331</v>
      </c>
      <c r="X27" s="100">
        <v>5.1236493122421359E-4</v>
      </c>
      <c r="Y27" s="100">
        <v>0.21888229861898403</v>
      </c>
      <c r="Z27" s="100">
        <v>9.4621544334397996</v>
      </c>
      <c r="AA27" s="100">
        <v>4042.2323739654821</v>
      </c>
      <c r="AB27" s="100">
        <v>3.630028212917884</v>
      </c>
      <c r="AC27" s="100">
        <v>1550.7480525585199</v>
      </c>
      <c r="AD27" s="100">
        <v>9.0425730786162006</v>
      </c>
      <c r="AE27" s="100">
        <v>3862.9872191848408</v>
      </c>
      <c r="AF27" s="100">
        <v>5.2611426480061212</v>
      </c>
      <c r="AG27" s="100">
        <v>2247.5601392282151</v>
      </c>
      <c r="AH27" s="100">
        <v>10.586289509232063</v>
      </c>
      <c r="AI27" s="100">
        <v>4522.4628783439375</v>
      </c>
      <c r="AJ27" s="100">
        <v>6.0558491026834167</v>
      </c>
      <c r="AK27" s="100">
        <v>2587.0587366663553</v>
      </c>
      <c r="AL27" s="100">
        <v>6.3874546810270159E-4</v>
      </c>
      <c r="AM27" s="100">
        <v>0.27287206397347413</v>
      </c>
      <c r="AN27" s="100">
        <v>8.0004724837295669</v>
      </c>
      <c r="AO27" s="100">
        <v>3417.8018450492709</v>
      </c>
      <c r="AP27" s="100">
        <v>9</v>
      </c>
      <c r="AQ27" s="100">
        <v>3844.7999999999997</v>
      </c>
      <c r="AR27" s="100">
        <v>7.4775997581890268</v>
      </c>
      <c r="AS27" s="100">
        <v>3194.430616698352</v>
      </c>
      <c r="AT27" s="100">
        <v>7.248886477807619</v>
      </c>
      <c r="AU27" s="100">
        <v>3096.724303319415</v>
      </c>
      <c r="AV27" s="100">
        <v>6.5407454580092965</v>
      </c>
      <c r="AW27" s="100">
        <v>2794.2064596615714</v>
      </c>
      <c r="AX27" s="100">
        <v>7.1910021309861349</v>
      </c>
      <c r="AY27" s="100">
        <v>3071.9961103572768</v>
      </c>
      <c r="AZ27" s="100">
        <v>2.4814704526959228</v>
      </c>
      <c r="BA27" s="100">
        <v>1060.0841773916982</v>
      </c>
      <c r="BB27" s="100">
        <v>9.7355155505844504</v>
      </c>
      <c r="BC27" s="100">
        <v>4159.0122432096769</v>
      </c>
      <c r="BD27" s="100">
        <v>9.8352922558351672</v>
      </c>
      <c r="BE27" s="100">
        <v>4201.6368516927832</v>
      </c>
      <c r="BF27" s="100">
        <v>5.0381763475591077</v>
      </c>
      <c r="BG27" s="100">
        <v>2152.3089356772507</v>
      </c>
      <c r="BH27" s="100">
        <v>2.4781054826628188</v>
      </c>
      <c r="BI27" s="100">
        <v>1058.6466621935563</v>
      </c>
      <c r="BJ27" s="100">
        <v>11.079989898345042</v>
      </c>
      <c r="BK27" s="100">
        <v>4733.3716845730023</v>
      </c>
      <c r="BL27" s="100">
        <v>7.0027212202848004</v>
      </c>
      <c r="BM27" s="100">
        <v>2991.5625053056665</v>
      </c>
      <c r="BN27" s="100">
        <v>7.3186991886693296</v>
      </c>
      <c r="BO27" s="100">
        <v>3126.5482933995377</v>
      </c>
      <c r="BP27" s="100">
        <v>5.0381763475591077</v>
      </c>
      <c r="BQ27" s="100">
        <v>2152.3089356772507</v>
      </c>
      <c r="BR27" s="100">
        <v>7.0782482870908239E-4</v>
      </c>
      <c r="BS27" s="100">
        <v>0.30238276682451998</v>
      </c>
      <c r="BT27" s="100">
        <v>6.8343250035731122</v>
      </c>
      <c r="BU27" s="100">
        <v>2919.6236415264334</v>
      </c>
      <c r="BV27" s="100">
        <v>9.2878894033573687</v>
      </c>
      <c r="BW27" s="100">
        <v>3967.786353114268</v>
      </c>
      <c r="BX27" s="100">
        <v>8</v>
      </c>
      <c r="BY27" s="100">
        <v>3417.6</v>
      </c>
      <c r="BZ27" s="100">
        <v>7.9628518739256524</v>
      </c>
      <c r="CA27" s="100">
        <v>3401.7303205410385</v>
      </c>
      <c r="CB27" s="100">
        <v>1.6035818782755444</v>
      </c>
      <c r="CC27" s="100">
        <v>685.05017839931259</v>
      </c>
      <c r="CD27" s="100">
        <v>5.8786531289059616E-4</v>
      </c>
      <c r="CE27" s="100">
        <v>0.2511360616668627</v>
      </c>
      <c r="CF27" s="100">
        <v>9.0006193560125478</v>
      </c>
      <c r="CG27" s="100">
        <v>3845.0645888885601</v>
      </c>
      <c r="CH27" s="100">
        <v>10</v>
      </c>
      <c r="CI27" s="100">
        <v>4272</v>
      </c>
      <c r="CJ27" s="100">
        <v>8.9470290272761712</v>
      </c>
      <c r="CK27" s="100">
        <v>3822.1708004523803</v>
      </c>
      <c r="CL27" s="100">
        <v>6.3437211750135551</v>
      </c>
      <c r="CM27" s="100">
        <v>2710.0376859657908</v>
      </c>
      <c r="CN27" s="100">
        <v>5.6640367634049591</v>
      </c>
      <c r="CO27" s="100">
        <v>2419.6765053265985</v>
      </c>
      <c r="CP27" s="100">
        <v>5.629073573507398</v>
      </c>
      <c r="CQ27" s="100">
        <v>2404.7402306023605</v>
      </c>
      <c r="CR27" s="100">
        <v>1.4489869347790258</v>
      </c>
      <c r="CS27" s="100">
        <v>619.00721853759978</v>
      </c>
      <c r="CT27" s="100">
        <v>6.2793874889051748</v>
      </c>
      <c r="CU27" s="100">
        <v>2682.5543352602908</v>
      </c>
    </row>
    <row r="28" spans="2:99">
      <c r="C28" s="99" t="s">
        <v>194</v>
      </c>
      <c r="D28" s="100">
        <v>8.3730489931799248</v>
      </c>
      <c r="E28" s="100">
        <v>6179.3101569667842</v>
      </c>
      <c r="F28" s="100">
        <v>8.3426533681993504</v>
      </c>
      <c r="G28" s="100">
        <v>6156.8781857311205</v>
      </c>
      <c r="H28" s="100">
        <v>5.9624510754647515</v>
      </c>
      <c r="I28" s="100">
        <v>4400.2888936929867</v>
      </c>
      <c r="J28" s="100">
        <v>7.9108904637146553</v>
      </c>
      <c r="K28" s="100">
        <v>5838.2371622214159</v>
      </c>
      <c r="L28" s="100">
        <v>4.8852317084367778</v>
      </c>
      <c r="M28" s="100">
        <v>3605.3010008263418</v>
      </c>
      <c r="N28" s="100">
        <v>2.7634365539381327</v>
      </c>
      <c r="O28" s="100">
        <v>2039.416176806342</v>
      </c>
      <c r="P28" s="100">
        <v>7.4182241035086198</v>
      </c>
      <c r="Q28" s="100">
        <v>5474.6493883893618</v>
      </c>
      <c r="R28" s="100">
        <v>2.8298470099686099</v>
      </c>
      <c r="S28" s="100">
        <v>2088.4270933568341</v>
      </c>
      <c r="T28" s="100">
        <v>8.9733995392550288</v>
      </c>
      <c r="U28" s="100">
        <v>6622.3688599702109</v>
      </c>
      <c r="V28" s="100">
        <v>7.4754497573594128</v>
      </c>
      <c r="W28" s="100">
        <v>5516.8819209312469</v>
      </c>
      <c r="X28" s="100">
        <v>4.3705442215686294E-4</v>
      </c>
      <c r="Y28" s="100">
        <v>0.32254616355176485</v>
      </c>
      <c r="Z28" s="100">
        <v>9.1897372623535851</v>
      </c>
      <c r="AA28" s="100">
        <v>6782.0260996169454</v>
      </c>
      <c r="AB28" s="100">
        <v>3.630028212917884</v>
      </c>
      <c r="AC28" s="100">
        <v>2678.9608211333984</v>
      </c>
      <c r="AD28" s="100">
        <v>8.3270710389612237</v>
      </c>
      <c r="AE28" s="100">
        <v>6145.3784267533829</v>
      </c>
      <c r="AF28" s="100">
        <v>4.7350283832055089</v>
      </c>
      <c r="AG28" s="100">
        <v>3494.4509468056654</v>
      </c>
      <c r="AH28" s="100">
        <v>9.7449184601552687</v>
      </c>
      <c r="AI28" s="100">
        <v>7191.7498235945886</v>
      </c>
      <c r="AJ28" s="100">
        <v>5.3829769801630372</v>
      </c>
      <c r="AK28" s="100">
        <v>3972.6370113603216</v>
      </c>
      <c r="AL28" s="100">
        <v>5.8036685230708918E-4</v>
      </c>
      <c r="AM28" s="100">
        <v>0.42831073700263184</v>
      </c>
      <c r="AN28" s="100">
        <v>8.0004724837295669</v>
      </c>
      <c r="AO28" s="100">
        <v>5904.3486929924202</v>
      </c>
      <c r="AP28" s="100">
        <v>9</v>
      </c>
      <c r="AQ28" s="100">
        <v>6642</v>
      </c>
      <c r="AR28" s="100">
        <v>6.542899788415399</v>
      </c>
      <c r="AS28" s="100">
        <v>4828.6600438505648</v>
      </c>
      <c r="AT28" s="100">
        <v>8.6986637733691428</v>
      </c>
      <c r="AU28" s="100">
        <v>6419.6138647464277</v>
      </c>
      <c r="AV28" s="100">
        <v>6.5407454580092965</v>
      </c>
      <c r="AW28" s="100">
        <v>4827.070148010861</v>
      </c>
      <c r="AX28" s="100">
        <v>7.3059991488121918</v>
      </c>
      <c r="AY28" s="100">
        <v>5391.8273718233977</v>
      </c>
      <c r="AZ28" s="100">
        <v>2.2750301279466623</v>
      </c>
      <c r="BA28" s="100">
        <v>1678.9722344246368</v>
      </c>
      <c r="BB28" s="100">
        <v>9.7355155505844504</v>
      </c>
      <c r="BC28" s="100">
        <v>7184.810476331324</v>
      </c>
      <c r="BD28" s="100">
        <v>8.9411747780319697</v>
      </c>
      <c r="BE28" s="100">
        <v>6598.5869861875935</v>
      </c>
      <c r="BF28" s="100">
        <v>4.1984802896325899</v>
      </c>
      <c r="BG28" s="100">
        <v>3098.4784537488513</v>
      </c>
      <c r="BH28" s="100">
        <v>2.0868745927362262</v>
      </c>
      <c r="BI28" s="100">
        <v>1540.113449439335</v>
      </c>
      <c r="BJ28" s="100">
        <v>12.218187219455451</v>
      </c>
      <c r="BK28" s="100">
        <v>9017.0221679581227</v>
      </c>
      <c r="BL28" s="100">
        <v>7.0027212202848004</v>
      </c>
      <c r="BM28" s="100">
        <v>5168.0082605701828</v>
      </c>
      <c r="BN28" s="100">
        <v>6.5868292698023971</v>
      </c>
      <c r="BO28" s="100">
        <v>4861.0800011141691</v>
      </c>
      <c r="BP28" s="100">
        <v>5.0381763475591077</v>
      </c>
      <c r="BQ28" s="100">
        <v>3718.1741444986214</v>
      </c>
      <c r="BR28" s="100">
        <v>6.3656342223167924E-4</v>
      </c>
      <c r="BS28" s="100">
        <v>0.4697838056069793</v>
      </c>
      <c r="BT28" s="100">
        <v>6.8322155150185795</v>
      </c>
      <c r="BU28" s="100">
        <v>5042.1750500837115</v>
      </c>
      <c r="BV28" s="100">
        <v>8.0732411694644739</v>
      </c>
      <c r="BW28" s="100">
        <v>5958.0519830647818</v>
      </c>
      <c r="BX28" s="100">
        <v>7</v>
      </c>
      <c r="BY28" s="100">
        <v>5166</v>
      </c>
      <c r="BZ28" s="100">
        <v>7.9628518739256524</v>
      </c>
      <c r="CA28" s="100">
        <v>5876.5846829571319</v>
      </c>
      <c r="CB28" s="100">
        <v>1.3744987528076096</v>
      </c>
      <c r="CC28" s="100">
        <v>1014.3800795720159</v>
      </c>
      <c r="CD28" s="100">
        <v>6.466518441796558E-4</v>
      </c>
      <c r="CE28" s="100">
        <v>0.47722906100458595</v>
      </c>
      <c r="CF28" s="100">
        <v>11.000575116297366</v>
      </c>
      <c r="CG28" s="100">
        <v>8118.4244358274564</v>
      </c>
      <c r="CH28" s="100">
        <v>9</v>
      </c>
      <c r="CI28" s="100">
        <v>6642</v>
      </c>
      <c r="CJ28" s="100">
        <v>7.320296476862322</v>
      </c>
      <c r="CK28" s="100">
        <v>5402.3787999243932</v>
      </c>
      <c r="CL28" s="100">
        <v>6.3437211750135551</v>
      </c>
      <c r="CM28" s="100">
        <v>4681.6662271600035</v>
      </c>
      <c r="CN28" s="100">
        <v>5.6640367634049591</v>
      </c>
      <c r="CO28" s="100">
        <v>4180.0591313928599</v>
      </c>
      <c r="CP28" s="100">
        <v>5.629073573507398</v>
      </c>
      <c r="CQ28" s="100">
        <v>4154.2562972484593</v>
      </c>
      <c r="CR28" s="100">
        <v>1.4489869347790258</v>
      </c>
      <c r="CS28" s="100">
        <v>1069.352357866921</v>
      </c>
      <c r="CT28" s="100">
        <v>6.2835266728336947</v>
      </c>
      <c r="CU28" s="100">
        <v>4637.2426845512664</v>
      </c>
    </row>
    <row r="29" spans="2:99">
      <c r="C29" s="99" t="s">
        <v>195</v>
      </c>
      <c r="D29" s="100">
        <v>8.3750138111106374</v>
      </c>
      <c r="E29" s="100">
        <v>2834.1046736798394</v>
      </c>
      <c r="F29" s="100">
        <v>9.4545411488826296</v>
      </c>
      <c r="G29" s="100">
        <v>3199.4167247818818</v>
      </c>
      <c r="H29" s="100">
        <v>6.9561929213755436</v>
      </c>
      <c r="I29" s="100">
        <v>2353.9756845934839</v>
      </c>
      <c r="J29" s="100">
        <v>7.1917186033769598</v>
      </c>
      <c r="K29" s="100">
        <v>2433.6775753827628</v>
      </c>
      <c r="L29" s="100">
        <v>5.6994369931762412</v>
      </c>
      <c r="M29" s="100">
        <v>1928.68947849084</v>
      </c>
      <c r="N29" s="100">
        <v>2.7634365539381327</v>
      </c>
      <c r="O29" s="100">
        <v>935.14692985266402</v>
      </c>
      <c r="P29" s="100">
        <v>7.5758045594540215</v>
      </c>
      <c r="Q29" s="100">
        <v>2563.6522629192409</v>
      </c>
      <c r="R29" s="100">
        <v>3.2597540962281673</v>
      </c>
      <c r="S29" s="100">
        <v>1103.1007861636117</v>
      </c>
      <c r="T29" s="100">
        <v>7.9733995392550296</v>
      </c>
      <c r="U29" s="100">
        <v>2698.198404083902</v>
      </c>
      <c r="V29" s="100">
        <v>9.3443121966992653</v>
      </c>
      <c r="W29" s="100">
        <v>3162.1152473630314</v>
      </c>
      <c r="X29" s="100">
        <v>5.0940320477476546E-4</v>
      </c>
      <c r="Y29" s="100">
        <v>0.17238204449578062</v>
      </c>
      <c r="Z29" s="100">
        <v>10.304402273762006</v>
      </c>
      <c r="AA29" s="100">
        <v>3487.009729441063</v>
      </c>
      <c r="AB29" s="100">
        <v>3.630028212917884</v>
      </c>
      <c r="AC29" s="100">
        <v>1228.4015472514118</v>
      </c>
      <c r="AD29" s="100">
        <v>8.4453917081303782</v>
      </c>
      <c r="AE29" s="100">
        <v>2857.9205540313196</v>
      </c>
      <c r="AF29" s="100">
        <v>5.7872569128067335</v>
      </c>
      <c r="AG29" s="100">
        <v>1958.4077392937984</v>
      </c>
      <c r="AH29" s="100">
        <v>10.586289509232063</v>
      </c>
      <c r="AI29" s="100">
        <v>3582.4003699241302</v>
      </c>
      <c r="AJ29" s="100">
        <v>5.3829769801630372</v>
      </c>
      <c r="AK29" s="100">
        <v>1821.5994100871717</v>
      </c>
      <c r="AL29" s="100">
        <v>6.3986708667712155E-4</v>
      </c>
      <c r="AM29" s="100">
        <v>0.21653102213153791</v>
      </c>
      <c r="AN29" s="100">
        <v>9.0005315441957627</v>
      </c>
      <c r="AO29" s="100">
        <v>3045.7798745558457</v>
      </c>
      <c r="AP29" s="100">
        <v>8</v>
      </c>
      <c r="AQ29" s="100">
        <v>2707.2</v>
      </c>
      <c r="AR29" s="100">
        <v>7.4775997581890268</v>
      </c>
      <c r="AS29" s="100">
        <v>2530.4197581711664</v>
      </c>
      <c r="AT29" s="100">
        <v>7.248886477807619</v>
      </c>
      <c r="AU29" s="100">
        <v>2453.0231840900983</v>
      </c>
      <c r="AV29" s="100">
        <v>6.5407454580092965</v>
      </c>
      <c r="AW29" s="100">
        <v>2213.388262990346</v>
      </c>
      <c r="AX29" s="100">
        <v>7.3059991488121918</v>
      </c>
      <c r="AY29" s="100">
        <v>2472.3501119580455</v>
      </c>
      <c r="AZ29" s="100">
        <v>2.5057735542867756</v>
      </c>
      <c r="BA29" s="100">
        <v>847.95377077064484</v>
      </c>
      <c r="BB29" s="100">
        <v>9.9834463435250864</v>
      </c>
      <c r="BC29" s="100">
        <v>3378.3982426488892</v>
      </c>
      <c r="BD29" s="100">
        <v>8.9411747780319697</v>
      </c>
      <c r="BE29" s="100">
        <v>3025.6935448860181</v>
      </c>
      <c r="BF29" s="100">
        <v>5.0381763475591077</v>
      </c>
      <c r="BG29" s="100">
        <v>1704.9188760140019</v>
      </c>
      <c r="BH29" s="100">
        <v>2.2778214611601202</v>
      </c>
      <c r="BI29" s="100">
        <v>770.81478245658457</v>
      </c>
      <c r="BJ29" s="100">
        <v>11.219358899736941</v>
      </c>
      <c r="BK29" s="100">
        <v>3796.6310516709805</v>
      </c>
      <c r="BL29" s="100">
        <v>7.0027212202848004</v>
      </c>
      <c r="BM29" s="100">
        <v>2369.7208609443765</v>
      </c>
      <c r="BN29" s="100">
        <v>7.3186991886693296</v>
      </c>
      <c r="BO29" s="100">
        <v>2476.6478054457011</v>
      </c>
      <c r="BP29" s="100">
        <v>5.0381763475591077</v>
      </c>
      <c r="BQ29" s="100">
        <v>1704.9188760140019</v>
      </c>
      <c r="BR29" s="100">
        <v>6.381598342533293E-4</v>
      </c>
      <c r="BS29" s="100">
        <v>0.21595328791132662</v>
      </c>
      <c r="BT29" s="100">
        <v>8.1565465610632728</v>
      </c>
      <c r="BU29" s="100">
        <v>2760.1753562638114</v>
      </c>
      <c r="BV29" s="100">
        <v>9.2878894033573687</v>
      </c>
      <c r="BW29" s="100">
        <v>3143.0217740961334</v>
      </c>
      <c r="BX29" s="100">
        <v>7</v>
      </c>
      <c r="BY29" s="100">
        <v>2368.7999999999997</v>
      </c>
      <c r="BZ29" s="100">
        <v>7.9628518739256524</v>
      </c>
      <c r="CA29" s="100">
        <v>2694.6290741364405</v>
      </c>
      <c r="CB29" s="100">
        <v>1.6035818782755444</v>
      </c>
      <c r="CC29" s="100">
        <v>542.65210760844423</v>
      </c>
      <c r="CD29" s="100">
        <v>5.8786531289059616E-4</v>
      </c>
      <c r="CE29" s="100">
        <v>0.19893362188217772</v>
      </c>
      <c r="CF29" s="100">
        <v>9.000575116297366</v>
      </c>
      <c r="CG29" s="100">
        <v>3045.7946193550283</v>
      </c>
      <c r="CH29" s="100">
        <v>8</v>
      </c>
      <c r="CI29" s="100">
        <v>2707.2</v>
      </c>
      <c r="CJ29" s="100">
        <v>8.1336627520692453</v>
      </c>
      <c r="CK29" s="100">
        <v>2752.4314753002323</v>
      </c>
      <c r="CL29" s="100">
        <v>5.5507560281368606</v>
      </c>
      <c r="CM29" s="100">
        <v>1878.3758399215135</v>
      </c>
      <c r="CN29" s="100">
        <v>6.3720413588305798</v>
      </c>
      <c r="CO29" s="100">
        <v>2156.2987958282679</v>
      </c>
      <c r="CP29" s="100">
        <v>5.629073573507398</v>
      </c>
      <c r="CQ29" s="100">
        <v>1904.8784972749033</v>
      </c>
      <c r="CR29" s="100">
        <v>1.6904847572421968</v>
      </c>
      <c r="CS29" s="100">
        <v>572.06004185075938</v>
      </c>
      <c r="CT29" s="100">
        <v>6.7834486866061425</v>
      </c>
      <c r="CU29" s="100">
        <v>2295.5190355475183</v>
      </c>
    </row>
    <row r="30" spans="2:99">
      <c r="C30" s="99" t="s">
        <v>196</v>
      </c>
      <c r="D30" s="100">
        <v>9.1233285760752096</v>
      </c>
      <c r="E30" s="100">
        <v>1269.967337789669</v>
      </c>
      <c r="F30" s="100">
        <v>10.34265336819935</v>
      </c>
      <c r="G30" s="100">
        <v>1439.6973488533495</v>
      </c>
      <c r="H30" s="100">
        <v>6.9561929213755436</v>
      </c>
      <c r="I30" s="100">
        <v>968.30205465547556</v>
      </c>
      <c r="J30" s="100">
        <v>7.9108904637146553</v>
      </c>
      <c r="K30" s="100">
        <v>1101.1959525490799</v>
      </c>
      <c r="L30" s="100">
        <v>4.8852317084367778</v>
      </c>
      <c r="M30" s="100">
        <v>680.02425381439946</v>
      </c>
      <c r="N30" s="100">
        <v>3.0580179003984589</v>
      </c>
      <c r="O30" s="100">
        <v>425.67609173546543</v>
      </c>
      <c r="P30" s="100">
        <v>8.5758045594540224</v>
      </c>
      <c r="Q30" s="100">
        <v>1193.7519946759999</v>
      </c>
      <c r="R30" s="100">
        <v>3.6896611824877246</v>
      </c>
      <c r="S30" s="100">
        <v>513.60083660229122</v>
      </c>
      <c r="T30" s="100">
        <v>9.1378495008596161</v>
      </c>
      <c r="U30" s="100">
        <v>1271.9886505196584</v>
      </c>
      <c r="V30" s="100">
        <v>9.3443121966992653</v>
      </c>
      <c r="W30" s="100">
        <v>1300.7282577805377</v>
      </c>
      <c r="X30" s="100">
        <v>5.0940320477476546E-4</v>
      </c>
      <c r="Y30" s="100">
        <v>7.0908926104647343E-2</v>
      </c>
      <c r="Z30" s="100">
        <v>10.304402273762006</v>
      </c>
      <c r="AA30" s="100">
        <v>1434.3727965076712</v>
      </c>
      <c r="AB30" s="100">
        <v>3.630028212917884</v>
      </c>
      <c r="AC30" s="100">
        <v>505.2999272381694</v>
      </c>
      <c r="AD30" s="100">
        <v>8.3270710389612237</v>
      </c>
      <c r="AE30" s="100">
        <v>1159.1282886234023</v>
      </c>
      <c r="AF30" s="100">
        <v>5.7872569128067335</v>
      </c>
      <c r="AG30" s="100">
        <v>805.58616226269726</v>
      </c>
      <c r="AH30" s="100">
        <v>11.586289509232063</v>
      </c>
      <c r="AI30" s="100">
        <v>1612.8114996851032</v>
      </c>
      <c r="AJ30" s="100">
        <v>5.3829769801630372</v>
      </c>
      <c r="AK30" s="100">
        <v>749.31039563869467</v>
      </c>
      <c r="AL30" s="100">
        <v>6.3874546810270159E-4</v>
      </c>
      <c r="AM30" s="100">
        <v>8.8913369159896061E-2</v>
      </c>
      <c r="AN30" s="100">
        <v>8.0004724837295669</v>
      </c>
      <c r="AO30" s="100">
        <v>1113.6657697351557</v>
      </c>
      <c r="AP30" s="100">
        <v>8</v>
      </c>
      <c r="AQ30" s="100">
        <v>1113.5999999999999</v>
      </c>
      <c r="AR30" s="100">
        <v>8.4122997279626546</v>
      </c>
      <c r="AS30" s="100">
        <v>1170.9921221324014</v>
      </c>
      <c r="AT30" s="100">
        <v>7.9737751255883804</v>
      </c>
      <c r="AU30" s="100">
        <v>1109.9494974819024</v>
      </c>
      <c r="AV30" s="100">
        <v>7.5673606066486725</v>
      </c>
      <c r="AW30" s="100">
        <v>1053.3765964454951</v>
      </c>
      <c r="AX30" s="100">
        <v>7.8988470189956734</v>
      </c>
      <c r="AY30" s="100">
        <v>1099.5195050441976</v>
      </c>
      <c r="AZ30" s="100">
        <v>2.497672520423158</v>
      </c>
      <c r="BA30" s="100">
        <v>347.67601484290356</v>
      </c>
      <c r="BB30" s="100">
        <v>9.7355155505844504</v>
      </c>
      <c r="BC30" s="100">
        <v>1355.1837646413553</v>
      </c>
      <c r="BD30" s="100">
        <v>8.9411747780319697</v>
      </c>
      <c r="BE30" s="100">
        <v>1244.6115291020501</v>
      </c>
      <c r="BF30" s="100">
        <v>5.0381763475591077</v>
      </c>
      <c r="BG30" s="100">
        <v>701.31414758022777</v>
      </c>
      <c r="BH30" s="100">
        <v>2.2778214611601202</v>
      </c>
      <c r="BI30" s="100">
        <v>317.07274739348873</v>
      </c>
      <c r="BJ30" s="100">
        <v>12.938277536390165</v>
      </c>
      <c r="BK30" s="100">
        <v>1801.0082330655109</v>
      </c>
      <c r="BL30" s="100">
        <v>7.0027212202848004</v>
      </c>
      <c r="BM30" s="100">
        <v>974.77879386364418</v>
      </c>
      <c r="BN30" s="100">
        <v>8.0505691075362638</v>
      </c>
      <c r="BO30" s="100">
        <v>1120.6392197690477</v>
      </c>
      <c r="BP30" s="100">
        <v>5.0381763475591077</v>
      </c>
      <c r="BQ30" s="100">
        <v>701.31414758022777</v>
      </c>
      <c r="BR30" s="100">
        <v>6.3975624627497936E-4</v>
      </c>
      <c r="BS30" s="100">
        <v>8.9054069481477122E-2</v>
      </c>
      <c r="BT30" s="100">
        <v>6.7879162553733918</v>
      </c>
      <c r="BU30" s="100">
        <v>944.87794274797602</v>
      </c>
      <c r="BV30" s="100">
        <v>8.1805652864109213</v>
      </c>
      <c r="BW30" s="100">
        <v>1138.7346878684002</v>
      </c>
      <c r="BX30" s="100">
        <v>8</v>
      </c>
      <c r="BY30" s="100">
        <v>1113.5999999999999</v>
      </c>
      <c r="BZ30" s="100">
        <v>6.9674953896849461</v>
      </c>
      <c r="CA30" s="100">
        <v>969.87535824414442</v>
      </c>
      <c r="CB30" s="100">
        <v>1.3744987528076096</v>
      </c>
      <c r="CC30" s="100">
        <v>191.33022639081923</v>
      </c>
      <c r="CD30" s="100">
        <v>7.0543837546871533E-4</v>
      </c>
      <c r="CE30" s="100">
        <v>9.8197021865245163E-2</v>
      </c>
      <c r="CF30" s="100">
        <v>11.000707835442912</v>
      </c>
      <c r="CG30" s="100">
        <v>1531.2985306936532</v>
      </c>
      <c r="CH30" s="100">
        <v>10</v>
      </c>
      <c r="CI30" s="100">
        <v>1392</v>
      </c>
      <c r="CJ30" s="100">
        <v>8.1336627520692453</v>
      </c>
      <c r="CK30" s="100">
        <v>1132.2058550880388</v>
      </c>
      <c r="CL30" s="100">
        <v>6.3437211750135551</v>
      </c>
      <c r="CM30" s="100">
        <v>883.04598756188682</v>
      </c>
      <c r="CN30" s="100">
        <v>6.3720413588305798</v>
      </c>
      <c r="CO30" s="100">
        <v>886.98815714921659</v>
      </c>
      <c r="CP30" s="100">
        <v>5.629073573507398</v>
      </c>
      <c r="CQ30" s="100">
        <v>783.56704143222976</v>
      </c>
      <c r="CR30" s="100">
        <v>1.6904847572421968</v>
      </c>
      <c r="CS30" s="100">
        <v>235.31547820811377</v>
      </c>
      <c r="CT30" s="100">
        <v>6.2793874889051748</v>
      </c>
      <c r="CU30" s="100">
        <v>874.09073845560022</v>
      </c>
    </row>
    <row r="31" spans="2:99">
      <c r="C31" s="99" t="s">
        <v>197</v>
      </c>
      <c r="D31" s="100">
        <v>9.2470890801274468</v>
      </c>
      <c r="E31" s="100">
        <v>3151.4079585074342</v>
      </c>
      <c r="F31" s="100">
        <v>9.2307655875160712</v>
      </c>
      <c r="G31" s="100">
        <v>3145.8449122254774</v>
      </c>
      <c r="H31" s="100">
        <v>5.9624510754647515</v>
      </c>
      <c r="I31" s="100">
        <v>2032.0033265183874</v>
      </c>
      <c r="J31" s="100">
        <v>7.1917186033769598</v>
      </c>
      <c r="K31" s="100">
        <v>2450.9377000308682</v>
      </c>
      <c r="L31" s="100">
        <v>5.6994369931762412</v>
      </c>
      <c r="M31" s="100">
        <v>1942.3681272744632</v>
      </c>
      <c r="N31" s="100">
        <v>2.4969063164266054</v>
      </c>
      <c r="O31" s="100">
        <v>850.94567263818715</v>
      </c>
      <c r="P31" s="100">
        <v>7.4182241035086198</v>
      </c>
      <c r="Q31" s="100">
        <v>2528.1307744757378</v>
      </c>
      <c r="R31" s="100">
        <v>3.0093496038169008</v>
      </c>
      <c r="S31" s="100">
        <v>1025.5863449807998</v>
      </c>
      <c r="T31" s="100">
        <v>8.9733995392550288</v>
      </c>
      <c r="U31" s="100">
        <v>3058.134562978114</v>
      </c>
      <c r="V31" s="100">
        <v>8.4098809770293386</v>
      </c>
      <c r="W31" s="100">
        <v>2866.0874369715989</v>
      </c>
      <c r="X31" s="100">
        <v>5.0940320477476546E-4</v>
      </c>
      <c r="Y31" s="100">
        <v>0.17360461218724008</v>
      </c>
      <c r="Z31" s="100">
        <v>10.304402273762006</v>
      </c>
      <c r="AA31" s="100">
        <v>3511.7402948980921</v>
      </c>
      <c r="AB31" s="100">
        <v>3.630028212917884</v>
      </c>
      <c r="AC31" s="100">
        <v>1237.1136149624149</v>
      </c>
      <c r="AD31" s="100">
        <v>8.4453917081303782</v>
      </c>
      <c r="AE31" s="100">
        <v>2878.1894941308328</v>
      </c>
      <c r="AF31" s="100">
        <v>5.2611426480061212</v>
      </c>
      <c r="AG31" s="100">
        <v>1792.9974144404862</v>
      </c>
      <c r="AH31" s="100">
        <v>9.5862895092320635</v>
      </c>
      <c r="AI31" s="100">
        <v>3267.0074647462875</v>
      </c>
      <c r="AJ31" s="100">
        <v>5.3829769801630372</v>
      </c>
      <c r="AK31" s="100">
        <v>1834.5185548395632</v>
      </c>
      <c r="AL31" s="100">
        <v>5.8036685230708918E-4</v>
      </c>
      <c r="AM31" s="100">
        <v>0.197789023266256</v>
      </c>
      <c r="AN31" s="100">
        <v>9.0004724837295669</v>
      </c>
      <c r="AO31" s="100">
        <v>3067.3610224550366</v>
      </c>
      <c r="AP31" s="100">
        <v>8</v>
      </c>
      <c r="AQ31" s="100">
        <v>2726.4</v>
      </c>
      <c r="AR31" s="100">
        <v>7.4775997581890268</v>
      </c>
      <c r="AS31" s="100">
        <v>2548.3659975908204</v>
      </c>
      <c r="AT31" s="100">
        <v>7.9737751255883804</v>
      </c>
      <c r="AU31" s="100">
        <v>2717.4625628005201</v>
      </c>
      <c r="AV31" s="100">
        <v>6.5407454580092965</v>
      </c>
      <c r="AW31" s="100">
        <v>2229.0860520895685</v>
      </c>
      <c r="AX31" s="100">
        <v>7.1910021309861349</v>
      </c>
      <c r="AY31" s="100">
        <v>2450.6935262400748</v>
      </c>
      <c r="AZ31" s="100">
        <v>2.2750301279466623</v>
      </c>
      <c r="BA31" s="100">
        <v>775.33026760422251</v>
      </c>
      <c r="BB31" s="100">
        <v>10.611550154114132</v>
      </c>
      <c r="BC31" s="100">
        <v>3616.4162925220962</v>
      </c>
      <c r="BD31" s="100">
        <v>8.9411747780319697</v>
      </c>
      <c r="BE31" s="100">
        <v>3047.1523643532955</v>
      </c>
      <c r="BF31" s="100">
        <v>5.0381763475591077</v>
      </c>
      <c r="BG31" s="100">
        <v>1717.010499248144</v>
      </c>
      <c r="BH31" s="100">
        <v>2.4687683295840142</v>
      </c>
      <c r="BI31" s="100">
        <v>841.35624672223207</v>
      </c>
      <c r="BJ31" s="100">
        <v>11.939449216671655</v>
      </c>
      <c r="BK31" s="100">
        <v>4068.9642930416999</v>
      </c>
      <c r="BL31" s="100">
        <v>6.224641084697601</v>
      </c>
      <c r="BM31" s="100">
        <v>2121.3576816649424</v>
      </c>
      <c r="BN31" s="100">
        <v>7.3186991886693296</v>
      </c>
      <c r="BO31" s="100">
        <v>2494.2126834985074</v>
      </c>
      <c r="BP31" s="100">
        <v>5.0381763475591077</v>
      </c>
      <c r="BQ31" s="100">
        <v>1717.010499248144</v>
      </c>
      <c r="BR31" s="100">
        <v>6.381598342533293E-4</v>
      </c>
      <c r="BS31" s="100">
        <v>0.21748487151353463</v>
      </c>
      <c r="BT31" s="100">
        <v>8.0568269597014446</v>
      </c>
      <c r="BU31" s="100">
        <v>2745.7666278662523</v>
      </c>
      <c r="BV31" s="100">
        <v>9.1805652864109213</v>
      </c>
      <c r="BW31" s="100">
        <v>3128.7366496088421</v>
      </c>
      <c r="BX31" s="100">
        <v>8</v>
      </c>
      <c r="BY31" s="100">
        <v>2726.4</v>
      </c>
      <c r="BZ31" s="100">
        <v>7.9628518739256524</v>
      </c>
      <c r="CA31" s="100">
        <v>2713.7399186338625</v>
      </c>
      <c r="CB31" s="100">
        <v>1.6035818782755444</v>
      </c>
      <c r="CC31" s="100">
        <v>546.50070411630554</v>
      </c>
      <c r="CD31" s="100">
        <v>7.0543837546871533E-4</v>
      </c>
      <c r="CE31" s="100">
        <v>0.24041339835973818</v>
      </c>
      <c r="CF31" s="100">
        <v>10.000619356012548</v>
      </c>
      <c r="CG31" s="100">
        <v>3408.2110765290763</v>
      </c>
      <c r="CH31" s="100">
        <v>9</v>
      </c>
      <c r="CI31" s="100">
        <v>3067.2000000000003</v>
      </c>
      <c r="CJ31" s="100">
        <v>8.9470290272761712</v>
      </c>
      <c r="CK31" s="100">
        <v>3049.1474924957192</v>
      </c>
      <c r="CL31" s="100">
        <v>6.3437211750135551</v>
      </c>
      <c r="CM31" s="100">
        <v>2161.9401764446197</v>
      </c>
      <c r="CN31" s="100">
        <v>5.6640367634049591</v>
      </c>
      <c r="CO31" s="100">
        <v>1930.30372896841</v>
      </c>
      <c r="CP31" s="100">
        <v>5.629073573507398</v>
      </c>
      <c r="CQ31" s="100">
        <v>1918.3882738513214</v>
      </c>
      <c r="CR31" s="100">
        <v>1.4489869347790258</v>
      </c>
      <c r="CS31" s="100">
        <v>493.81474737269201</v>
      </c>
      <c r="CT31" s="100">
        <v>6.2835266728336947</v>
      </c>
      <c r="CU31" s="100">
        <v>2141.4258901017233</v>
      </c>
    </row>
    <row r="32" spans="2:99">
      <c r="C32" s="99" t="s">
        <v>198</v>
      </c>
      <c r="D32" s="100">
        <v>7.6286638640767768</v>
      </c>
      <c r="E32" s="100">
        <v>6408.0776458244927</v>
      </c>
      <c r="F32" s="100">
        <v>9.3426533681993504</v>
      </c>
      <c r="G32" s="100">
        <v>7847.828829287454</v>
      </c>
      <c r="H32" s="100">
        <v>5.9624510754647515</v>
      </c>
      <c r="I32" s="100">
        <v>5008.4589033903912</v>
      </c>
      <c r="J32" s="100">
        <v>7.1917186033769598</v>
      </c>
      <c r="K32" s="100">
        <v>6041.0436268366466</v>
      </c>
      <c r="L32" s="100">
        <v>4.8852317084367778</v>
      </c>
      <c r="M32" s="100">
        <v>4103.5946350868935</v>
      </c>
      <c r="N32" s="100">
        <v>2.4688552074778061</v>
      </c>
      <c r="O32" s="100">
        <v>2073.8383742813571</v>
      </c>
      <c r="P32" s="100">
        <v>6.5758045594540215</v>
      </c>
      <c r="Q32" s="100">
        <v>5523.6758299413777</v>
      </c>
      <c r="R32" s="100">
        <v>2.8151173339444182</v>
      </c>
      <c r="S32" s="100">
        <v>2364.6985605133113</v>
      </c>
      <c r="T32" s="100">
        <v>8.9733995392550288</v>
      </c>
      <c r="U32" s="100">
        <v>7537.6556129742239</v>
      </c>
      <c r="V32" s="100">
        <v>7.4754497573594128</v>
      </c>
      <c r="W32" s="100">
        <v>6279.3777961819069</v>
      </c>
      <c r="X32" s="100">
        <v>5.0347975187586922E-4</v>
      </c>
      <c r="Y32" s="100">
        <v>0.42292299157573016</v>
      </c>
      <c r="Z32" s="100">
        <v>9.3259458478966923</v>
      </c>
      <c r="AA32" s="100">
        <v>7833.7945122332212</v>
      </c>
      <c r="AB32" s="100">
        <v>3.630028212917884</v>
      </c>
      <c r="AC32" s="100">
        <v>3049.2236988510226</v>
      </c>
      <c r="AD32" s="100">
        <v>8.2087503697920674</v>
      </c>
      <c r="AE32" s="100">
        <v>6895.3503106253365</v>
      </c>
      <c r="AF32" s="100">
        <v>4.7350283832055089</v>
      </c>
      <c r="AG32" s="100">
        <v>3977.4238418926275</v>
      </c>
      <c r="AH32" s="100">
        <v>9.5862895092320635</v>
      </c>
      <c r="AI32" s="100">
        <v>8052.4831877549332</v>
      </c>
      <c r="AJ32" s="100">
        <v>6.0558491026834167</v>
      </c>
      <c r="AK32" s="100">
        <v>5086.9132462540701</v>
      </c>
      <c r="AL32" s="100">
        <v>6.4098870525154152E-4</v>
      </c>
      <c r="AM32" s="100">
        <v>0.53843051241129491</v>
      </c>
      <c r="AN32" s="100">
        <v>8.0004724837295669</v>
      </c>
      <c r="AO32" s="100">
        <v>6720.3968863328364</v>
      </c>
      <c r="AP32" s="100">
        <v>8</v>
      </c>
      <c r="AQ32" s="100">
        <v>6720</v>
      </c>
      <c r="AR32" s="100">
        <v>7.4775997581890268</v>
      </c>
      <c r="AS32" s="100">
        <v>6281.1837968787822</v>
      </c>
      <c r="AT32" s="100">
        <v>8.6986637733691428</v>
      </c>
      <c r="AU32" s="100">
        <v>7306.87756963008</v>
      </c>
      <c r="AV32" s="100">
        <v>6.6360090995525569</v>
      </c>
      <c r="AW32" s="100">
        <v>5574.2476436241477</v>
      </c>
      <c r="AX32" s="100">
        <v>7.9049910206990504</v>
      </c>
      <c r="AY32" s="100">
        <v>6640.192457387202</v>
      </c>
      <c r="AZ32" s="100">
        <v>2.2912321956738979</v>
      </c>
      <c r="BA32" s="100">
        <v>1924.6350443660742</v>
      </c>
      <c r="BB32" s="100">
        <v>9.7355155505844504</v>
      </c>
      <c r="BC32" s="100">
        <v>8177.8330624909386</v>
      </c>
      <c r="BD32" s="100">
        <v>8.9411747780319697</v>
      </c>
      <c r="BE32" s="100">
        <v>7510.5868135468545</v>
      </c>
      <c r="BF32" s="100">
        <v>4.1984802896325899</v>
      </c>
      <c r="BG32" s="100">
        <v>3526.7234432913756</v>
      </c>
      <c r="BH32" s="100">
        <v>2.4687683295840142</v>
      </c>
      <c r="BI32" s="100">
        <v>2073.765396850572</v>
      </c>
      <c r="BJ32" s="100">
        <v>11.079989898345042</v>
      </c>
      <c r="BK32" s="100">
        <v>9307.1915146098363</v>
      </c>
      <c r="BL32" s="100">
        <v>6.224641084697601</v>
      </c>
      <c r="BM32" s="100">
        <v>5228.6985111459844</v>
      </c>
      <c r="BN32" s="100">
        <v>6.5868292698023971</v>
      </c>
      <c r="BO32" s="100">
        <v>5532.936586634014</v>
      </c>
      <c r="BP32" s="100">
        <v>5.0381763475591077</v>
      </c>
      <c r="BQ32" s="100">
        <v>4232.0681319496507</v>
      </c>
      <c r="BR32" s="100">
        <v>7.0463200466578215E-4</v>
      </c>
      <c r="BS32" s="100">
        <v>0.59189088391925704</v>
      </c>
      <c r="BT32" s="100">
        <v>7.4777919492540592</v>
      </c>
      <c r="BU32" s="100">
        <v>6281.3452373734099</v>
      </c>
      <c r="BV32" s="100">
        <v>8.1805652864109213</v>
      </c>
      <c r="BW32" s="100">
        <v>6871.674840585174</v>
      </c>
      <c r="BX32" s="100">
        <v>8</v>
      </c>
      <c r="BY32" s="100">
        <v>6720</v>
      </c>
      <c r="BZ32" s="100">
        <v>7.9628518739256524</v>
      </c>
      <c r="CA32" s="100">
        <v>6688.7955740975476</v>
      </c>
      <c r="CB32" s="100">
        <v>1.3744987528076096</v>
      </c>
      <c r="CC32" s="100">
        <v>1154.5789523583921</v>
      </c>
      <c r="CD32" s="100">
        <v>5.8786531289059616E-4</v>
      </c>
      <c r="CE32" s="100">
        <v>0.49380686282810077</v>
      </c>
      <c r="CF32" s="100">
        <v>10.000575116297366</v>
      </c>
      <c r="CG32" s="100">
        <v>8400.4830976897865</v>
      </c>
      <c r="CH32" s="100">
        <v>9</v>
      </c>
      <c r="CI32" s="100">
        <v>7560</v>
      </c>
      <c r="CJ32" s="100">
        <v>7.320296476862322</v>
      </c>
      <c r="CK32" s="100">
        <v>6149.0490405643504</v>
      </c>
      <c r="CL32" s="100">
        <v>6.3437211750135551</v>
      </c>
      <c r="CM32" s="100">
        <v>5328.7257870113863</v>
      </c>
      <c r="CN32" s="100">
        <v>5.6640367634049591</v>
      </c>
      <c r="CO32" s="100">
        <v>4757.7908812601654</v>
      </c>
      <c r="CP32" s="100">
        <v>5.629073573507398</v>
      </c>
      <c r="CQ32" s="100">
        <v>4728.4218017462144</v>
      </c>
      <c r="CR32" s="100">
        <v>1.4489869347790258</v>
      </c>
      <c r="CS32" s="100">
        <v>1217.1490252143817</v>
      </c>
      <c r="CT32" s="100">
        <v>5.7753262912042072</v>
      </c>
      <c r="CU32" s="100">
        <v>4851.2740846115339</v>
      </c>
    </row>
    <row r="33" spans="2:99">
      <c r="C33" s="99" t="s">
        <v>199</v>
      </c>
      <c r="D33" s="100">
        <v>8.4968094972321619</v>
      </c>
      <c r="E33" s="100">
        <v>4027.4877016880446</v>
      </c>
      <c r="F33" s="100">
        <v>9.3426533681993504</v>
      </c>
      <c r="G33" s="100">
        <v>4428.4176965264924</v>
      </c>
      <c r="H33" s="100">
        <v>6.9561929213755436</v>
      </c>
      <c r="I33" s="100">
        <v>3297.2354447320076</v>
      </c>
      <c r="J33" s="100">
        <v>7.9108904637146553</v>
      </c>
      <c r="K33" s="100">
        <v>3749.7620798007465</v>
      </c>
      <c r="L33" s="100">
        <v>4.8852317084367778</v>
      </c>
      <c r="M33" s="100">
        <v>2315.5998297990327</v>
      </c>
      <c r="N33" s="100">
        <v>2.7774621084125317</v>
      </c>
      <c r="O33" s="100">
        <v>1316.5170393875401</v>
      </c>
      <c r="P33" s="100">
        <v>6.4182241035086198</v>
      </c>
      <c r="Q33" s="100">
        <v>3042.2382250630858</v>
      </c>
      <c r="R33" s="100">
        <v>3.0093496038169008</v>
      </c>
      <c r="S33" s="100">
        <v>1426.4317122092109</v>
      </c>
      <c r="T33" s="100">
        <v>8.9733995392550288</v>
      </c>
      <c r="U33" s="100">
        <v>4253.3913816068834</v>
      </c>
      <c r="V33" s="100">
        <v>8.4098809770293386</v>
      </c>
      <c r="W33" s="100">
        <v>3986.2835831119064</v>
      </c>
      <c r="X33" s="100">
        <v>4.4001614860631101E-4</v>
      </c>
      <c r="Y33" s="100">
        <v>0.20856765443939143</v>
      </c>
      <c r="Z33" s="100">
        <v>9.3259458478966923</v>
      </c>
      <c r="AA33" s="100">
        <v>4420.4983319030325</v>
      </c>
      <c r="AB33" s="100">
        <v>3.630028212917884</v>
      </c>
      <c r="AC33" s="100">
        <v>1720.6333729230771</v>
      </c>
      <c r="AD33" s="100">
        <v>9.0425730786162006</v>
      </c>
      <c r="AE33" s="100">
        <v>4286.179639264079</v>
      </c>
      <c r="AF33" s="100">
        <v>4.7350283832055089</v>
      </c>
      <c r="AG33" s="100">
        <v>2244.4034536394111</v>
      </c>
      <c r="AH33" s="100">
        <v>10.586289509232063</v>
      </c>
      <c r="AI33" s="100">
        <v>5017.9012273759981</v>
      </c>
      <c r="AJ33" s="100">
        <v>6.0558491026834167</v>
      </c>
      <c r="AK33" s="100">
        <v>2870.4724746719394</v>
      </c>
      <c r="AL33" s="100">
        <v>5.7924523373266922E-4</v>
      </c>
      <c r="AM33" s="100">
        <v>0.27456224078928521</v>
      </c>
      <c r="AN33" s="100">
        <v>8.000413423263371</v>
      </c>
      <c r="AO33" s="100">
        <v>3792.1959626268381</v>
      </c>
      <c r="AP33" s="100">
        <v>9</v>
      </c>
      <c r="AQ33" s="100">
        <v>4266</v>
      </c>
      <c r="AR33" s="100">
        <v>6.542899788415399</v>
      </c>
      <c r="AS33" s="100">
        <v>3101.3344997088993</v>
      </c>
      <c r="AT33" s="100">
        <v>7.248886477807619</v>
      </c>
      <c r="AU33" s="100">
        <v>3435.9721904808116</v>
      </c>
      <c r="AV33" s="100">
        <v>6.4454818164660361</v>
      </c>
      <c r="AW33" s="100">
        <v>3055.158381004901</v>
      </c>
      <c r="AX33" s="100">
        <v>7.1968389326043445</v>
      </c>
      <c r="AY33" s="100">
        <v>3411.3016540544595</v>
      </c>
      <c r="AZ33" s="100">
        <v>2.0766908370610198</v>
      </c>
      <c r="BA33" s="100">
        <v>984.35145676692332</v>
      </c>
      <c r="BB33" s="100">
        <v>9.7355155505844504</v>
      </c>
      <c r="BC33" s="100">
        <v>4614.6343709770299</v>
      </c>
      <c r="BD33" s="100">
        <v>8.9411747780319697</v>
      </c>
      <c r="BE33" s="100">
        <v>4238.1168447871532</v>
      </c>
      <c r="BF33" s="100">
        <v>5.0381763475591077</v>
      </c>
      <c r="BG33" s="100">
        <v>2388.0955887430168</v>
      </c>
      <c r="BH33" s="100">
        <v>2.3058329203965342</v>
      </c>
      <c r="BI33" s="100">
        <v>1092.9648042679571</v>
      </c>
      <c r="BJ33" s="100">
        <v>11.219358899736941</v>
      </c>
      <c r="BK33" s="100">
        <v>5317.9761184753097</v>
      </c>
      <c r="BL33" s="100">
        <v>7.0027212202848004</v>
      </c>
      <c r="BM33" s="100">
        <v>3319.2898584149953</v>
      </c>
      <c r="BN33" s="100">
        <v>7.3186991886693296</v>
      </c>
      <c r="BO33" s="100">
        <v>3469.063415429262</v>
      </c>
      <c r="BP33" s="100">
        <v>5.0381763475591077</v>
      </c>
      <c r="BQ33" s="100">
        <v>2388.0955887430168</v>
      </c>
      <c r="BR33" s="100">
        <v>7.0463200466578215E-4</v>
      </c>
      <c r="BS33" s="100">
        <v>0.33399557021158072</v>
      </c>
      <c r="BT33" s="100">
        <v>6.8322155150185795</v>
      </c>
      <c r="BU33" s="100">
        <v>3238.4701541188065</v>
      </c>
      <c r="BV33" s="100">
        <v>9.2878894033573687</v>
      </c>
      <c r="BW33" s="100">
        <v>4402.4595771913928</v>
      </c>
      <c r="BX33" s="100">
        <v>8</v>
      </c>
      <c r="BY33" s="100">
        <v>3792</v>
      </c>
      <c r="BZ33" s="100">
        <v>7.9628518739256524</v>
      </c>
      <c r="CA33" s="100">
        <v>3774.3917882407591</v>
      </c>
      <c r="CB33" s="100">
        <v>1.3744987528076096</v>
      </c>
      <c r="CC33" s="100">
        <v>651.51240883080698</v>
      </c>
      <c r="CD33" s="100">
        <v>5.8786531289059616E-4</v>
      </c>
      <c r="CE33" s="100">
        <v>0.27864815831014256</v>
      </c>
      <c r="CF33" s="100">
        <v>11.00066359572773</v>
      </c>
      <c r="CG33" s="100">
        <v>5214.3145443749436</v>
      </c>
      <c r="CH33" s="100">
        <v>9</v>
      </c>
      <c r="CI33" s="100">
        <v>4266</v>
      </c>
      <c r="CJ33" s="100">
        <v>8.1336627520692453</v>
      </c>
      <c r="CK33" s="100">
        <v>3855.3561444808224</v>
      </c>
      <c r="CL33" s="100">
        <v>7.1366863218902497</v>
      </c>
      <c r="CM33" s="100">
        <v>3382.7893165759783</v>
      </c>
      <c r="CN33" s="100">
        <v>4.9560321679793393</v>
      </c>
      <c r="CO33" s="100">
        <v>2349.1592476222067</v>
      </c>
      <c r="CP33" s="100">
        <v>5.629073573507398</v>
      </c>
      <c r="CQ33" s="100">
        <v>2668.1808738425066</v>
      </c>
      <c r="CR33" s="100">
        <v>1.6904847572421968</v>
      </c>
      <c r="CS33" s="100">
        <v>801.28977493280127</v>
      </c>
      <c r="CT33" s="100">
        <v>6.7834486866061425</v>
      </c>
      <c r="CU33" s="100">
        <v>3215.3546774513115</v>
      </c>
    </row>
    <row r="34" spans="2:99">
      <c r="C34" s="99" t="s">
        <v>200</v>
      </c>
      <c r="D34" s="100">
        <v>8.4968094972321619</v>
      </c>
      <c r="E34" s="100">
        <v>4659.6503282821177</v>
      </c>
      <c r="F34" s="100">
        <v>9.3426533681993504</v>
      </c>
      <c r="G34" s="100">
        <v>5123.5111071205238</v>
      </c>
      <c r="H34" s="100">
        <v>5.9624510754647515</v>
      </c>
      <c r="I34" s="100">
        <v>3269.8081697848697</v>
      </c>
      <c r="J34" s="100">
        <v>7.9108904637146553</v>
      </c>
      <c r="K34" s="100">
        <v>4338.3323303011166</v>
      </c>
      <c r="L34" s="100">
        <v>4.8852317084367778</v>
      </c>
      <c r="M34" s="100">
        <v>2679.0610689067289</v>
      </c>
      <c r="N34" s="100">
        <v>2.4969063164266054</v>
      </c>
      <c r="O34" s="100">
        <v>1369.3034239283504</v>
      </c>
      <c r="P34" s="100">
        <v>6.5758045594540215</v>
      </c>
      <c r="Q34" s="100">
        <v>3606.1712204045853</v>
      </c>
      <c r="R34" s="100">
        <v>3.2597540962281673</v>
      </c>
      <c r="S34" s="100">
        <v>1787.6491463715267</v>
      </c>
      <c r="T34" s="100">
        <v>8.1378495008596161</v>
      </c>
      <c r="U34" s="100">
        <v>4462.7966662714134</v>
      </c>
      <c r="V34" s="100">
        <v>9.3443121966992653</v>
      </c>
      <c r="W34" s="100">
        <v>5124.4208086698773</v>
      </c>
      <c r="X34" s="100">
        <v>4.4001614860631101E-4</v>
      </c>
      <c r="Y34" s="100">
        <v>0.24130485589570094</v>
      </c>
      <c r="Z34" s="100">
        <v>9.3259458478966923</v>
      </c>
      <c r="AA34" s="100">
        <v>5114.3487029865455</v>
      </c>
      <c r="AB34" s="100">
        <v>3.630028212917884</v>
      </c>
      <c r="AC34" s="100">
        <v>1990.7074719641676</v>
      </c>
      <c r="AD34" s="100">
        <v>8.3270710389612237</v>
      </c>
      <c r="AE34" s="100">
        <v>4566.5657577663351</v>
      </c>
      <c r="AF34" s="100">
        <v>4.7350283832055089</v>
      </c>
      <c r="AG34" s="100">
        <v>2596.6895653499009</v>
      </c>
      <c r="AH34" s="100">
        <v>9.5862895092320635</v>
      </c>
      <c r="AI34" s="100">
        <v>5257.121166862863</v>
      </c>
      <c r="AJ34" s="100">
        <v>6.0558491026834167</v>
      </c>
      <c r="AK34" s="100">
        <v>3321.0276479115855</v>
      </c>
      <c r="AL34" s="100">
        <v>5.770019965838293E-4</v>
      </c>
      <c r="AM34" s="100">
        <v>0.31642789492657197</v>
      </c>
      <c r="AN34" s="100">
        <v>8.000413423263371</v>
      </c>
      <c r="AO34" s="100">
        <v>4387.4267213176327</v>
      </c>
      <c r="AP34" s="100">
        <v>8</v>
      </c>
      <c r="AQ34" s="100">
        <v>4387.2</v>
      </c>
      <c r="AR34" s="100">
        <v>7.4775997581890268</v>
      </c>
      <c r="AS34" s="100">
        <v>4100.715707390862</v>
      </c>
      <c r="AT34" s="100">
        <v>7.248886477807619</v>
      </c>
      <c r="AU34" s="100">
        <v>3975.2893444296983</v>
      </c>
      <c r="AV34" s="100">
        <v>6.5407454580092965</v>
      </c>
      <c r="AW34" s="100">
        <v>3586.9448091722979</v>
      </c>
      <c r="AX34" s="100">
        <v>8.0141512369068959</v>
      </c>
      <c r="AY34" s="100">
        <v>4394.9605383197413</v>
      </c>
      <c r="AZ34" s="100">
        <v>2.0685898031974017</v>
      </c>
      <c r="BA34" s="100">
        <v>1134.4146480734551</v>
      </c>
      <c r="BB34" s="100">
        <v>9.7355155505844504</v>
      </c>
      <c r="BC34" s="100">
        <v>5338.9567279405128</v>
      </c>
      <c r="BD34" s="100">
        <v>8.9411747780319697</v>
      </c>
      <c r="BE34" s="100">
        <v>4903.3402482727324</v>
      </c>
      <c r="BF34" s="100">
        <v>4.1984802896325899</v>
      </c>
      <c r="BG34" s="100">
        <v>2302.4465908345123</v>
      </c>
      <c r="BH34" s="100">
        <v>2.0868745927362262</v>
      </c>
      <c r="BI34" s="100">
        <v>1144.4420266565464</v>
      </c>
      <c r="BJ34" s="100">
        <v>11.939449216671655</v>
      </c>
      <c r="BK34" s="100">
        <v>6547.5939504227354</v>
      </c>
      <c r="BL34" s="100">
        <v>6.224641084697601</v>
      </c>
      <c r="BM34" s="100">
        <v>3413.5931708481644</v>
      </c>
      <c r="BN34" s="100">
        <v>6.5868292698023971</v>
      </c>
      <c r="BO34" s="100">
        <v>3612.2171715596346</v>
      </c>
      <c r="BP34" s="100">
        <v>5.0381763475591077</v>
      </c>
      <c r="BQ34" s="100">
        <v>2762.9359090014145</v>
      </c>
      <c r="BR34" s="100">
        <v>6.3975624627497936E-4</v>
      </c>
      <c r="BS34" s="100">
        <v>0.35084232545719868</v>
      </c>
      <c r="BT34" s="100">
        <v>8.1586560496178056</v>
      </c>
      <c r="BU34" s="100">
        <v>4474.2069776104045</v>
      </c>
      <c r="BV34" s="100">
        <v>8.0732411694644739</v>
      </c>
      <c r="BW34" s="100">
        <v>4427.3654573343174</v>
      </c>
      <c r="BX34" s="100">
        <v>8</v>
      </c>
      <c r="BY34" s="100">
        <v>4387.2</v>
      </c>
      <c r="BZ34" s="100">
        <v>7.9628518739256524</v>
      </c>
      <c r="CA34" s="100">
        <v>4366.8279676608272</v>
      </c>
      <c r="CB34" s="100">
        <v>1.3744987528076096</v>
      </c>
      <c r="CC34" s="100">
        <v>753.7751160396931</v>
      </c>
      <c r="CD34" s="100">
        <v>5.8786531289059616E-4</v>
      </c>
      <c r="CE34" s="100">
        <v>0.3223853375892029</v>
      </c>
      <c r="CF34" s="100">
        <v>9.0006635957277297</v>
      </c>
      <c r="CG34" s="100">
        <v>4935.9639158970867</v>
      </c>
      <c r="CH34" s="100">
        <v>9</v>
      </c>
      <c r="CI34" s="100">
        <v>4935.5999999999995</v>
      </c>
      <c r="CJ34" s="100">
        <v>8.1336627520692453</v>
      </c>
      <c r="CK34" s="100">
        <v>4460.5006532347743</v>
      </c>
      <c r="CL34" s="100">
        <v>5.5507560281368606</v>
      </c>
      <c r="CM34" s="100">
        <v>3044.0346058302543</v>
      </c>
      <c r="CN34" s="100">
        <v>4.9560321679793393</v>
      </c>
      <c r="CO34" s="100">
        <v>2717.8880409198696</v>
      </c>
      <c r="CP34" s="100">
        <v>5.629073573507398</v>
      </c>
      <c r="CQ34" s="100">
        <v>3086.9839477114569</v>
      </c>
      <c r="CR34" s="100">
        <v>1.4489869347790258</v>
      </c>
      <c r="CS34" s="100">
        <v>794.6244350328177</v>
      </c>
      <c r="CT34" s="100">
        <v>6.8581618732041507</v>
      </c>
      <c r="CU34" s="100">
        <v>3761.0159712651562</v>
      </c>
    </row>
    <row r="35" spans="2:99">
      <c r="C35" s="99" t="s">
        <v>201</v>
      </c>
      <c r="D35" s="100">
        <v>7.7543891860597247</v>
      </c>
      <c r="E35" s="100">
        <v>3898.9068827508286</v>
      </c>
      <c r="F35" s="100">
        <v>9.4545411488826296</v>
      </c>
      <c r="G35" s="100">
        <v>4753.7432896581849</v>
      </c>
      <c r="H35" s="100">
        <v>5.9624510754647515</v>
      </c>
      <c r="I35" s="100">
        <v>2997.9204007436765</v>
      </c>
      <c r="J35" s="100">
        <v>7.1917186033769598</v>
      </c>
      <c r="K35" s="100">
        <v>3615.9961137779346</v>
      </c>
      <c r="L35" s="100">
        <v>5.6994369931762412</v>
      </c>
      <c r="M35" s="100">
        <v>2865.6769201690136</v>
      </c>
      <c r="N35" s="100">
        <v>2.7914876628869316</v>
      </c>
      <c r="O35" s="100">
        <v>1403.5599968995489</v>
      </c>
      <c r="P35" s="100">
        <v>6.5758045594540215</v>
      </c>
      <c r="Q35" s="100">
        <v>3306.3145324934812</v>
      </c>
      <c r="R35" s="100">
        <v>3.2892134482765516</v>
      </c>
      <c r="S35" s="100">
        <v>1653.8165217934497</v>
      </c>
      <c r="T35" s="100">
        <v>9.1378495008596161</v>
      </c>
      <c r="U35" s="100">
        <v>4594.5107290322139</v>
      </c>
      <c r="V35" s="100">
        <v>8.4098809770293386</v>
      </c>
      <c r="W35" s="100">
        <v>4228.4881552503502</v>
      </c>
      <c r="X35" s="100">
        <v>5.0940320477476546E-4</v>
      </c>
      <c r="Y35" s="100">
        <v>0.25612793136075201</v>
      </c>
      <c r="Z35" s="100">
        <v>9.4621544334397996</v>
      </c>
      <c r="AA35" s="100">
        <v>4757.5712491335298</v>
      </c>
      <c r="AB35" s="100">
        <v>3.0250235107649037</v>
      </c>
      <c r="AC35" s="100">
        <v>1520.9818212125933</v>
      </c>
      <c r="AD35" s="100">
        <v>9.1608937477853551</v>
      </c>
      <c r="AE35" s="100">
        <v>4606.0973763864758</v>
      </c>
      <c r="AF35" s="100">
        <v>5.2611426480061212</v>
      </c>
      <c r="AG35" s="100">
        <v>2645.302523417477</v>
      </c>
      <c r="AH35" s="100">
        <v>10.586289509232063</v>
      </c>
      <c r="AI35" s="100">
        <v>5322.78636524188</v>
      </c>
      <c r="AJ35" s="100">
        <v>6.0558491026834167</v>
      </c>
      <c r="AK35" s="100">
        <v>3044.8809288292214</v>
      </c>
      <c r="AL35" s="100">
        <v>5.8036685230708918E-4</v>
      </c>
      <c r="AM35" s="100">
        <v>0.29180845334000438</v>
      </c>
      <c r="AN35" s="100">
        <v>8.000413423263371</v>
      </c>
      <c r="AO35" s="100">
        <v>4022.6078692168221</v>
      </c>
      <c r="AP35" s="100">
        <v>8</v>
      </c>
      <c r="AQ35" s="100">
        <v>4022.3999999999992</v>
      </c>
      <c r="AR35" s="100">
        <v>7.4775997581890268</v>
      </c>
      <c r="AS35" s="100">
        <v>3759.7371584174421</v>
      </c>
      <c r="AT35" s="100">
        <v>7.9737751255883804</v>
      </c>
      <c r="AU35" s="100">
        <v>4009.214133145837</v>
      </c>
      <c r="AV35" s="100">
        <v>6.6360090995525569</v>
      </c>
      <c r="AW35" s="100">
        <v>3336.5853752550252</v>
      </c>
      <c r="AX35" s="100">
        <v>7.8988470189956734</v>
      </c>
      <c r="AY35" s="100">
        <v>3971.5402811510239</v>
      </c>
      <c r="AZ35" s="100">
        <v>2.0766908370610198</v>
      </c>
      <c r="BA35" s="100">
        <v>1044.1601528742806</v>
      </c>
      <c r="BB35" s="100">
        <v>8.6115501541141324</v>
      </c>
      <c r="BC35" s="100">
        <v>4329.887417488585</v>
      </c>
      <c r="BD35" s="100">
        <v>8.047057300228774</v>
      </c>
      <c r="BE35" s="100">
        <v>4046.0604105550269</v>
      </c>
      <c r="BF35" s="100">
        <v>5.0381763475591077</v>
      </c>
      <c r="BG35" s="100">
        <v>2533.1950675527187</v>
      </c>
      <c r="BH35" s="100">
        <v>2.4967797888204282</v>
      </c>
      <c r="BI35" s="100">
        <v>1255.3808778189111</v>
      </c>
      <c r="BJ35" s="100">
        <v>11.939449216671655</v>
      </c>
      <c r="BK35" s="100">
        <v>6003.1550661425063</v>
      </c>
      <c r="BL35" s="100">
        <v>6.224641084697601</v>
      </c>
      <c r="BM35" s="100">
        <v>3129.7495373859533</v>
      </c>
      <c r="BN35" s="100">
        <v>6.5868292698023971</v>
      </c>
      <c r="BO35" s="100">
        <v>3311.8577568566448</v>
      </c>
      <c r="BP35" s="100">
        <v>5.0381763475591077</v>
      </c>
      <c r="BQ35" s="100">
        <v>2533.1950675527187</v>
      </c>
      <c r="BR35" s="100">
        <v>6.381598342533293E-4</v>
      </c>
      <c r="BS35" s="100">
        <v>0.32086676466257391</v>
      </c>
      <c r="BT35" s="100">
        <v>6.7879162553733918</v>
      </c>
      <c r="BU35" s="100">
        <v>3412.9642932017409</v>
      </c>
      <c r="BV35" s="100">
        <v>8.1805652864109213</v>
      </c>
      <c r="BW35" s="100">
        <v>4113.1882260074108</v>
      </c>
      <c r="BX35" s="100">
        <v>8</v>
      </c>
      <c r="BY35" s="100">
        <v>4022.3999999999992</v>
      </c>
      <c r="BZ35" s="100">
        <v>7.9628518739256524</v>
      </c>
      <c r="CA35" s="100">
        <v>4003.7219222098174</v>
      </c>
      <c r="CB35" s="100">
        <v>1.3744987528076096</v>
      </c>
      <c r="CC35" s="100">
        <v>691.09797291166592</v>
      </c>
      <c r="CD35" s="100">
        <v>6.466518441796558E-4</v>
      </c>
      <c r="CE35" s="100">
        <v>0.32513654725353086</v>
      </c>
      <c r="CF35" s="100">
        <v>11.00066359572773</v>
      </c>
      <c r="CG35" s="100">
        <v>5531.1336559319016</v>
      </c>
      <c r="CH35" s="100">
        <v>10</v>
      </c>
      <c r="CI35" s="100">
        <v>5027.9999999999991</v>
      </c>
      <c r="CJ35" s="100">
        <v>7.320296476862322</v>
      </c>
      <c r="CK35" s="100">
        <v>3680.6450685663749</v>
      </c>
      <c r="CL35" s="100">
        <v>6.3437211750135551</v>
      </c>
      <c r="CM35" s="100">
        <v>3189.6230067968149</v>
      </c>
      <c r="CN35" s="100">
        <v>5.6640367634049591</v>
      </c>
      <c r="CO35" s="100">
        <v>2847.8776846400128</v>
      </c>
      <c r="CP35" s="100">
        <v>5.629073573507398</v>
      </c>
      <c r="CQ35" s="100">
        <v>2830.2981927595192</v>
      </c>
      <c r="CR35" s="100">
        <v>1.4489869347790258</v>
      </c>
      <c r="CS35" s="100">
        <v>728.55063080689399</v>
      </c>
      <c r="CT35" s="100">
        <v>6.785518278570402</v>
      </c>
      <c r="CU35" s="100">
        <v>3411.7585904651974</v>
      </c>
    </row>
    <row r="36" spans="2:99">
      <c r="C36" s="99" t="s">
        <v>202</v>
      </c>
      <c r="D36" s="100">
        <v>8.4968094972321619</v>
      </c>
      <c r="E36" s="100">
        <v>6464.3726654942284</v>
      </c>
      <c r="F36" s="100">
        <v>9.3426533681993504</v>
      </c>
      <c r="G36" s="100">
        <v>7107.8906825260656</v>
      </c>
      <c r="H36" s="100">
        <v>6.9561929213755436</v>
      </c>
      <c r="I36" s="100">
        <v>5292.2715745825135</v>
      </c>
      <c r="J36" s="100">
        <v>7.9108904637146553</v>
      </c>
      <c r="K36" s="100">
        <v>6018.6054647941091</v>
      </c>
      <c r="L36" s="100">
        <v>4.8852317084367778</v>
      </c>
      <c r="M36" s="100">
        <v>3716.6842837787003</v>
      </c>
      <c r="N36" s="100">
        <v>2.4969063164266054</v>
      </c>
      <c r="O36" s="100">
        <v>1899.6463255373612</v>
      </c>
      <c r="P36" s="100">
        <v>7.4182241035086198</v>
      </c>
      <c r="Q36" s="100">
        <v>5643.7848979493574</v>
      </c>
      <c r="R36" s="100">
        <v>3.2597540962281673</v>
      </c>
      <c r="S36" s="100">
        <v>2480.0209164103894</v>
      </c>
      <c r="T36" s="100">
        <v>7.9733995392550296</v>
      </c>
      <c r="U36" s="100">
        <v>6066.1623694652262</v>
      </c>
      <c r="V36" s="100">
        <v>8.4098809770293386</v>
      </c>
      <c r="W36" s="100">
        <v>6398.2374473239206</v>
      </c>
      <c r="X36" s="100">
        <v>4.4001614860631101E-4</v>
      </c>
      <c r="Y36" s="100">
        <v>0.33476428585968138</v>
      </c>
      <c r="Z36" s="100">
        <v>8.211280836488271</v>
      </c>
      <c r="AA36" s="100">
        <v>6247.1424604002759</v>
      </c>
      <c r="AB36" s="100">
        <v>3.0250235107649037</v>
      </c>
      <c r="AC36" s="100">
        <v>2301.4378869899388</v>
      </c>
      <c r="AD36" s="100">
        <v>8.9242524094470443</v>
      </c>
      <c r="AE36" s="100">
        <v>6789.5712331073109</v>
      </c>
      <c r="AF36" s="100">
        <v>4.7350283832055089</v>
      </c>
      <c r="AG36" s="100">
        <v>3602.4095939427511</v>
      </c>
      <c r="AH36" s="100">
        <v>9.4276605583088564</v>
      </c>
      <c r="AI36" s="100">
        <v>7172.564152761378</v>
      </c>
      <c r="AJ36" s="100">
        <v>6.0558491026834167</v>
      </c>
      <c r="AK36" s="100">
        <v>4607.2899973215435</v>
      </c>
      <c r="AL36" s="100">
        <v>5.770019965838293E-4</v>
      </c>
      <c r="AM36" s="100">
        <v>0.43898311900097731</v>
      </c>
      <c r="AN36" s="100">
        <v>7.0005315441957618</v>
      </c>
      <c r="AO36" s="100">
        <v>5326.004398824135</v>
      </c>
      <c r="AP36" s="100">
        <v>8</v>
      </c>
      <c r="AQ36" s="100">
        <v>6086.4</v>
      </c>
      <c r="AR36" s="100">
        <v>6.542899788415399</v>
      </c>
      <c r="AS36" s="100">
        <v>4977.8381590264353</v>
      </c>
      <c r="AT36" s="100">
        <v>7.248886477807619</v>
      </c>
      <c r="AU36" s="100">
        <v>5514.9528323160366</v>
      </c>
      <c r="AV36" s="100">
        <v>6.5407454580092965</v>
      </c>
      <c r="AW36" s="100">
        <v>4976.1991444534724</v>
      </c>
      <c r="AX36" s="100">
        <v>7.0818419147782903</v>
      </c>
      <c r="AY36" s="100">
        <v>5387.8653287633233</v>
      </c>
      <c r="AZ36" s="100">
        <v>2.497672520423158</v>
      </c>
      <c r="BA36" s="100">
        <v>1900.2292535379386</v>
      </c>
      <c r="BB36" s="100">
        <v>8.7355155505844504</v>
      </c>
      <c r="BC36" s="100">
        <v>6645.9802308846492</v>
      </c>
      <c r="BD36" s="100">
        <v>8.047057300228774</v>
      </c>
      <c r="BE36" s="100">
        <v>6122.201194014051</v>
      </c>
      <c r="BF36" s="100">
        <v>5.0381763475591077</v>
      </c>
      <c r="BG36" s="100">
        <v>3833.0445652229687</v>
      </c>
      <c r="BH36" s="100">
        <v>2.29649576731773</v>
      </c>
      <c r="BI36" s="100">
        <v>1747.1739797753289</v>
      </c>
      <c r="BJ36" s="100">
        <v>12.078818218063551</v>
      </c>
      <c r="BK36" s="100">
        <v>9189.5649003027484</v>
      </c>
      <c r="BL36" s="100">
        <v>6.224641084697601</v>
      </c>
      <c r="BM36" s="100">
        <v>4735.7069372379347</v>
      </c>
      <c r="BN36" s="100">
        <v>7.3186991886693296</v>
      </c>
      <c r="BO36" s="100">
        <v>5568.0663427396257</v>
      </c>
      <c r="BP36" s="100">
        <v>5.0381763475591077</v>
      </c>
      <c r="BQ36" s="100">
        <v>3833.0445652229687</v>
      </c>
      <c r="BR36" s="100">
        <v>7.0622841668743232E-4</v>
      </c>
      <c r="BS36" s="100">
        <v>0.53729857941579851</v>
      </c>
      <c r="BT36" s="100">
        <v>7.4777919492540592</v>
      </c>
      <c r="BU36" s="100">
        <v>5689.1041149924877</v>
      </c>
      <c r="BV36" s="100">
        <v>9.1805652864109213</v>
      </c>
      <c r="BW36" s="100">
        <v>6984.5740699014286</v>
      </c>
      <c r="BX36" s="100">
        <v>7</v>
      </c>
      <c r="BY36" s="100">
        <v>5325.5999999999995</v>
      </c>
      <c r="BZ36" s="100">
        <v>6.9674953896849461</v>
      </c>
      <c r="CA36" s="100">
        <v>5300.870492472307</v>
      </c>
      <c r="CB36" s="100">
        <v>1.1454156273396745</v>
      </c>
      <c r="CC36" s="100">
        <v>871.43220928002427</v>
      </c>
      <c r="CD36" s="100">
        <v>5.2907878160153663E-4</v>
      </c>
      <c r="CE36" s="100">
        <v>0.40252313704244902</v>
      </c>
      <c r="CF36" s="100">
        <v>11.000575116297366</v>
      </c>
      <c r="CG36" s="100">
        <v>8369.2375484790355</v>
      </c>
      <c r="CH36" s="100">
        <v>9</v>
      </c>
      <c r="CI36" s="100">
        <v>6847.2</v>
      </c>
      <c r="CJ36" s="100">
        <v>7.320296476862322</v>
      </c>
      <c r="CK36" s="100">
        <v>5569.2815595968541</v>
      </c>
      <c r="CL36" s="100">
        <v>6.3437211750135551</v>
      </c>
      <c r="CM36" s="100">
        <v>4826.3030699503124</v>
      </c>
      <c r="CN36" s="100">
        <v>5.6640367634049591</v>
      </c>
      <c r="CO36" s="100">
        <v>4309.1991695984925</v>
      </c>
      <c r="CP36" s="100">
        <v>4.8249202058634841</v>
      </c>
      <c r="CQ36" s="100">
        <v>3670.7992926209386</v>
      </c>
      <c r="CR36" s="100">
        <v>1.4489869347790258</v>
      </c>
      <c r="CS36" s="100">
        <v>1102.3892599798828</v>
      </c>
      <c r="CT36" s="100">
        <v>5.7753262912042072</v>
      </c>
      <c r="CU36" s="100">
        <v>4393.8682423481605</v>
      </c>
    </row>
    <row r="37" spans="2:99">
      <c r="B37" s="99" t="s">
        <v>128</v>
      </c>
      <c r="C37" s="99" t="s">
        <v>203</v>
      </c>
      <c r="D37" s="100">
        <v>9.1056452146988072</v>
      </c>
      <c r="E37" s="100">
        <v>7834.4971427268538</v>
      </c>
      <c r="F37" s="100">
        <v>16.006990026149513</v>
      </c>
      <c r="G37" s="100">
        <v>13772.41421849904</v>
      </c>
      <c r="H37" s="100">
        <v>14.906127688661879</v>
      </c>
      <c r="I37" s="100">
        <v>12825.23226332468</v>
      </c>
      <c r="J37" s="100">
        <v>12.225921625740831</v>
      </c>
      <c r="K37" s="100">
        <v>10519.182966787412</v>
      </c>
      <c r="L37" s="100">
        <v>15.469900410049794</v>
      </c>
      <c r="M37" s="100">
        <v>13310.302312806842</v>
      </c>
      <c r="N37" s="100">
        <v>3.1983181476403915</v>
      </c>
      <c r="O37" s="100">
        <v>2751.832934229793</v>
      </c>
      <c r="P37" s="100">
        <v>19.945482735672414</v>
      </c>
      <c r="Q37" s="100">
        <v>17161.093345772544</v>
      </c>
      <c r="R37" s="100">
        <v>4.4316379468133018</v>
      </c>
      <c r="S37" s="100">
        <v>3812.9812894381648</v>
      </c>
      <c r="T37" s="100">
        <v>16.986699769627513</v>
      </c>
      <c r="U37" s="100">
        <v>14615.356481787512</v>
      </c>
      <c r="V37" s="100">
        <v>18.688624393398531</v>
      </c>
      <c r="W37" s="100">
        <v>16079.692428080096</v>
      </c>
      <c r="X37" s="100">
        <v>1.3610855853240552E-3</v>
      </c>
      <c r="Y37" s="100">
        <v>1.1710780376128171</v>
      </c>
      <c r="Z37" s="100">
        <v>13.400976463964613</v>
      </c>
      <c r="AA37" s="100">
        <v>11530.200149595152</v>
      </c>
      <c r="AB37" s="100">
        <v>7.8650611279887483</v>
      </c>
      <c r="AC37" s="100">
        <v>6767.0985945215189</v>
      </c>
      <c r="AD37" s="100">
        <v>15.7187327738493</v>
      </c>
      <c r="AE37" s="100">
        <v>13524.397678619938</v>
      </c>
      <c r="AF37" s="100">
        <v>7.8917139720091809</v>
      </c>
      <c r="AG37" s="100">
        <v>6790.0307015166991</v>
      </c>
      <c r="AH37" s="100">
        <v>19.951773705539239</v>
      </c>
      <c r="AI37" s="100">
        <v>17166.506096245961</v>
      </c>
      <c r="AJ37" s="100">
        <v>12.111698205366833</v>
      </c>
      <c r="AK37" s="100">
        <v>10420.905135897623</v>
      </c>
      <c r="AL37" s="100">
        <v>1.2505720904193247E-3</v>
      </c>
      <c r="AM37" s="100">
        <v>1.0759922265967869</v>
      </c>
      <c r="AN37" s="100">
        <v>9.0004724837295669</v>
      </c>
      <c r="AO37" s="100">
        <v>7744.0065250009193</v>
      </c>
      <c r="AP37" s="100">
        <v>15</v>
      </c>
      <c r="AQ37" s="100">
        <v>12906</v>
      </c>
      <c r="AR37" s="100">
        <v>15.88989948615168</v>
      </c>
      <c r="AS37" s="100">
        <v>13671.669517884906</v>
      </c>
      <c r="AT37" s="100">
        <v>9.4235524211499051</v>
      </c>
      <c r="AU37" s="100">
        <v>8108.0245031573777</v>
      </c>
      <c r="AV37" s="100">
        <v>10.911712068860099</v>
      </c>
      <c r="AW37" s="100">
        <v>9388.4370640472298</v>
      </c>
      <c r="AX37" s="100">
        <v>10.786489362733143</v>
      </c>
      <c r="AY37" s="100">
        <v>9280.6954476955962</v>
      </c>
      <c r="AZ37" s="100">
        <v>3.5460762118966951</v>
      </c>
      <c r="BA37" s="100">
        <v>3051.0439727159164</v>
      </c>
      <c r="BB37" s="100">
        <v>13.743792378821908</v>
      </c>
      <c r="BC37" s="100">
        <v>11825.158962738369</v>
      </c>
      <c r="BD37" s="100">
        <v>12.517644689244758</v>
      </c>
      <c r="BE37" s="100">
        <v>10770.18149062619</v>
      </c>
      <c r="BF37" s="100">
        <v>13.435136926824288</v>
      </c>
      <c r="BG37" s="100">
        <v>11559.591811839617</v>
      </c>
      <c r="BH37" s="100">
        <v>4.1032557676898156</v>
      </c>
      <c r="BI37" s="100">
        <v>3530.4412625203172</v>
      </c>
      <c r="BJ37" s="100">
        <v>22.949806043550492</v>
      </c>
      <c r="BK37" s="100">
        <v>19746.013119870844</v>
      </c>
      <c r="BL37" s="100">
        <v>11.671202033808001</v>
      </c>
      <c r="BM37" s="100">
        <v>10041.902229888403</v>
      </c>
      <c r="BN37" s="100">
        <v>12.441788620737862</v>
      </c>
      <c r="BO37" s="100">
        <v>10704.914929282855</v>
      </c>
      <c r="BP37" s="100">
        <v>9.2366566371916985</v>
      </c>
      <c r="BQ37" s="100">
        <v>7947.2193706397375</v>
      </c>
      <c r="BR37" s="100">
        <v>8.4076916953398819E-4</v>
      </c>
      <c r="BS37" s="100">
        <v>0.72339779346704347</v>
      </c>
      <c r="BT37" s="100">
        <v>8.0758123566922393</v>
      </c>
      <c r="BU37" s="100">
        <v>6948.4289516980025</v>
      </c>
      <c r="BV37" s="100">
        <v>14</v>
      </c>
      <c r="BW37" s="100">
        <v>12045.6</v>
      </c>
      <c r="BX37" s="100">
        <v>13</v>
      </c>
      <c r="BY37" s="100">
        <v>11185.199999999999</v>
      </c>
      <c r="BZ37" s="100">
        <v>13.934990779369892</v>
      </c>
      <c r="CA37" s="100">
        <v>11989.666066569855</v>
      </c>
      <c r="CB37" s="100">
        <v>3.7816272310125187</v>
      </c>
      <c r="CC37" s="100">
        <v>3253.7120695631711</v>
      </c>
      <c r="CD37" s="100">
        <v>8.8179796933589424E-4</v>
      </c>
      <c r="CE37" s="100">
        <v>0.75869897281660337</v>
      </c>
      <c r="CF37" s="100">
        <v>21.000353917721455</v>
      </c>
      <c r="CG37" s="100">
        <v>18068.70451080754</v>
      </c>
      <c r="CH37" s="100">
        <v>15</v>
      </c>
      <c r="CI37" s="100">
        <v>12906</v>
      </c>
      <c r="CJ37" s="100">
        <v>10.573761577690021</v>
      </c>
      <c r="CK37" s="100">
        <v>9097.664461444494</v>
      </c>
      <c r="CL37" s="100">
        <v>12.68744235002711</v>
      </c>
      <c r="CM37" s="100">
        <v>10916.275397963325</v>
      </c>
      <c r="CN37" s="100">
        <v>11.328073526809918</v>
      </c>
      <c r="CO37" s="100">
        <v>9746.6744624672538</v>
      </c>
      <c r="CP37" s="100">
        <v>12.866453882302624</v>
      </c>
      <c r="CQ37" s="100">
        <v>11070.296920333178</v>
      </c>
      <c r="CR37" s="100">
        <v>4.5884586268002483</v>
      </c>
      <c r="CS37" s="100">
        <v>3947.9098024989335</v>
      </c>
      <c r="CT37" s="100">
        <v>6.4285090812944388</v>
      </c>
      <c r="CU37" s="100">
        <v>5531.0892135457352</v>
      </c>
    </row>
    <row r="38" spans="2:99">
      <c r="C38" s="99" t="s">
        <v>204</v>
      </c>
      <c r="D38" s="100">
        <v>7.6129453206310842</v>
      </c>
      <c r="E38" s="100">
        <v>9455.2780882238058</v>
      </c>
      <c r="F38" s="100">
        <v>17.895102245466234</v>
      </c>
      <c r="G38" s="100">
        <v>22225.716988869062</v>
      </c>
      <c r="H38" s="100">
        <v>14.906127688661879</v>
      </c>
      <c r="I38" s="100">
        <v>18513.410589318053</v>
      </c>
      <c r="J38" s="100">
        <v>12.225921625740831</v>
      </c>
      <c r="K38" s="100">
        <v>15184.594659170112</v>
      </c>
      <c r="L38" s="100">
        <v>13.027284555831407</v>
      </c>
      <c r="M38" s="100">
        <v>16179.887418342609</v>
      </c>
      <c r="N38" s="100">
        <v>3.1983181476403915</v>
      </c>
      <c r="O38" s="100">
        <v>3972.3111393693662</v>
      </c>
      <c r="P38" s="100">
        <v>19.945482735672414</v>
      </c>
      <c r="Q38" s="100">
        <v>24772.289557705139</v>
      </c>
      <c r="R38" s="100">
        <v>4.4169082707891096</v>
      </c>
      <c r="S38" s="100">
        <v>5485.8000723200739</v>
      </c>
      <c r="T38" s="100">
        <v>16.822249808022928</v>
      </c>
      <c r="U38" s="100">
        <v>20893.234261564477</v>
      </c>
      <c r="V38" s="100">
        <v>17.754193173728606</v>
      </c>
      <c r="W38" s="100">
        <v>22050.707921770929</v>
      </c>
      <c r="X38" s="100">
        <v>1.2916985291556004E-3</v>
      </c>
      <c r="Y38" s="100">
        <v>1.6042895732112556</v>
      </c>
      <c r="Z38" s="100">
        <v>13.400976463964613</v>
      </c>
      <c r="AA38" s="100">
        <v>16644.012768244047</v>
      </c>
      <c r="AB38" s="100">
        <v>7.260056425835768</v>
      </c>
      <c r="AC38" s="100">
        <v>9016.9900808880247</v>
      </c>
      <c r="AD38" s="100">
        <v>14.884910065025171</v>
      </c>
      <c r="AE38" s="100">
        <v>18487.058300761262</v>
      </c>
      <c r="AF38" s="100">
        <v>6.3133711776073449</v>
      </c>
      <c r="AG38" s="100">
        <v>7841.2070025883222</v>
      </c>
      <c r="AH38" s="100">
        <v>19.951773705539239</v>
      </c>
      <c r="AI38" s="100">
        <v>24780.102942279733</v>
      </c>
      <c r="AJ38" s="100">
        <v>11.438826082846454</v>
      </c>
      <c r="AK38" s="100">
        <v>14207.021994895296</v>
      </c>
      <c r="AL38" s="100">
        <v>1.1270851473815804E-3</v>
      </c>
      <c r="AM38" s="100">
        <v>1.3998397530479227</v>
      </c>
      <c r="AN38" s="100">
        <v>9.000413423263371</v>
      </c>
      <c r="AO38" s="100">
        <v>11178.513471693106</v>
      </c>
      <c r="AP38" s="100">
        <v>17</v>
      </c>
      <c r="AQ38" s="100">
        <v>21114</v>
      </c>
      <c r="AR38" s="100">
        <v>15.88989948615168</v>
      </c>
      <c r="AS38" s="100">
        <v>19735.255161800385</v>
      </c>
      <c r="AT38" s="100">
        <v>9.4235524211499051</v>
      </c>
      <c r="AU38" s="100">
        <v>11704.052107068183</v>
      </c>
      <c r="AV38" s="100">
        <v>9.9803605617639821</v>
      </c>
      <c r="AW38" s="100">
        <v>12395.607817710867</v>
      </c>
      <c r="AX38" s="100">
        <v>9.3701851865437309</v>
      </c>
      <c r="AY38" s="100">
        <v>11637.770001687313</v>
      </c>
      <c r="AZ38" s="100">
        <v>3.5460762118966951</v>
      </c>
      <c r="BA38" s="100">
        <v>4404.2266551756957</v>
      </c>
      <c r="BB38" s="100">
        <v>14.743792378821908</v>
      </c>
      <c r="BC38" s="100">
        <v>18311.790134496809</v>
      </c>
      <c r="BD38" s="100">
        <v>13.411762167047955</v>
      </c>
      <c r="BE38" s="100">
        <v>16657.408611473562</v>
      </c>
      <c r="BF38" s="100">
        <v>11.755744810971251</v>
      </c>
      <c r="BG38" s="100">
        <v>14600.635055226294</v>
      </c>
      <c r="BH38" s="100">
        <v>4.1125929207686198</v>
      </c>
      <c r="BI38" s="100">
        <v>5107.8404075946255</v>
      </c>
      <c r="BJ38" s="100">
        <v>21.811608722440084</v>
      </c>
      <c r="BK38" s="100">
        <v>27090.018033270586</v>
      </c>
      <c r="BL38" s="100">
        <v>10.893121898220802</v>
      </c>
      <c r="BM38" s="100">
        <v>13529.257397590236</v>
      </c>
      <c r="BN38" s="100">
        <v>13.905528458471727</v>
      </c>
      <c r="BO38" s="100">
        <v>17270.666345421883</v>
      </c>
      <c r="BP38" s="100">
        <v>9.2366566371916985</v>
      </c>
      <c r="BQ38" s="100">
        <v>11471.92754339209</v>
      </c>
      <c r="BR38" s="100">
        <v>8.3757634549068785E-4</v>
      </c>
      <c r="BS38" s="100">
        <v>1.0402698210994343</v>
      </c>
      <c r="BT38" s="100">
        <v>8.7656880505729067</v>
      </c>
      <c r="BU38" s="100">
        <v>10886.98455881155</v>
      </c>
      <c r="BV38" s="100">
        <v>14.965917052518027</v>
      </c>
      <c r="BW38" s="100">
        <v>18587.66897922739</v>
      </c>
      <c r="BX38" s="100">
        <v>11</v>
      </c>
      <c r="BY38" s="100">
        <v>13662</v>
      </c>
      <c r="BZ38" s="100">
        <v>10.948921326647771</v>
      </c>
      <c r="CA38" s="100">
        <v>13598.560287696531</v>
      </c>
      <c r="CB38" s="100">
        <v>3.5525441055445839</v>
      </c>
      <c r="CC38" s="100">
        <v>4412.2597790863729</v>
      </c>
      <c r="CD38" s="100">
        <v>8.2301143804683471E-4</v>
      </c>
      <c r="CE38" s="100">
        <v>1.0221802060541687</v>
      </c>
      <c r="CF38" s="100">
        <v>16.000353917721455</v>
      </c>
      <c r="CG38" s="100">
        <v>19872.439565810047</v>
      </c>
      <c r="CH38" s="100">
        <v>15</v>
      </c>
      <c r="CI38" s="100">
        <v>18630</v>
      </c>
      <c r="CJ38" s="100">
        <v>9.7603953024830954</v>
      </c>
      <c r="CK38" s="100">
        <v>12122.410965684005</v>
      </c>
      <c r="CL38" s="100">
        <v>11.101512056273721</v>
      </c>
      <c r="CM38" s="100">
        <v>13788.077973891961</v>
      </c>
      <c r="CN38" s="100">
        <v>12.74408271766116</v>
      </c>
      <c r="CO38" s="100">
        <v>15828.150735335161</v>
      </c>
      <c r="CP38" s="100">
        <v>12.062300514658709</v>
      </c>
      <c r="CQ38" s="100">
        <v>14981.377239206116</v>
      </c>
      <c r="CR38" s="100">
        <v>4.1054629818739068</v>
      </c>
      <c r="CS38" s="100">
        <v>5098.985023487392</v>
      </c>
      <c r="CT38" s="100">
        <v>6.4264394893301784</v>
      </c>
      <c r="CU38" s="100">
        <v>7981.6378457480814</v>
      </c>
    </row>
    <row r="39" spans="2:99">
      <c r="C39" s="99" t="s">
        <v>205</v>
      </c>
      <c r="D39" s="100">
        <v>8.3612600855956565</v>
      </c>
      <c r="E39" s="100">
        <v>11899.745353819739</v>
      </c>
      <c r="F39" s="100">
        <v>18.006990026149513</v>
      </c>
      <c r="G39" s="100">
        <v>25627.548205215986</v>
      </c>
      <c r="H39" s="100">
        <v>16.893611380483463</v>
      </c>
      <c r="I39" s="100">
        <v>24042.987716704065</v>
      </c>
      <c r="J39" s="100">
        <v>10.787577905065438</v>
      </c>
      <c r="K39" s="100">
        <v>15352.880874489132</v>
      </c>
      <c r="L39" s="100">
        <v>13.027284555831407</v>
      </c>
      <c r="M39" s="100">
        <v>18540.431379859259</v>
      </c>
      <c r="N39" s="100">
        <v>3.1983181476403915</v>
      </c>
      <c r="O39" s="100">
        <v>4551.8463877218055</v>
      </c>
      <c r="P39" s="100">
        <v>18.945482735672414</v>
      </c>
      <c r="Q39" s="100">
        <v>26963.21102940898</v>
      </c>
      <c r="R39" s="100">
        <v>4.4316379468133018</v>
      </c>
      <c r="S39" s="100">
        <v>6307.1071259046912</v>
      </c>
      <c r="T39" s="100">
        <v>14.986699769627515</v>
      </c>
      <c r="U39" s="100">
        <v>21329.071112133879</v>
      </c>
      <c r="V39" s="100">
        <v>15.885330734388752</v>
      </c>
      <c r="W39" s="100">
        <v>22608.002701182071</v>
      </c>
      <c r="X39" s="100">
        <v>1.3581238588746068E-3</v>
      </c>
      <c r="Y39" s="100">
        <v>1.9328818759503403</v>
      </c>
      <c r="Z39" s="100">
        <v>13.400976463964613</v>
      </c>
      <c r="AA39" s="100">
        <v>19072.269703514437</v>
      </c>
      <c r="AB39" s="100">
        <v>7.260056425835768</v>
      </c>
      <c r="AC39" s="100">
        <v>10332.512305249465</v>
      </c>
      <c r="AD39" s="100">
        <v>13.098943978207751</v>
      </c>
      <c r="AE39" s="100">
        <v>18642.417069785271</v>
      </c>
      <c r="AF39" s="100">
        <v>6.3133711776073449</v>
      </c>
      <c r="AG39" s="100">
        <v>8985.1898599707729</v>
      </c>
      <c r="AH39" s="100">
        <v>18.951773705539239</v>
      </c>
      <c r="AI39" s="100">
        <v>26972.164337723447</v>
      </c>
      <c r="AJ39" s="100">
        <v>10.765953960326074</v>
      </c>
      <c r="AK39" s="100">
        <v>15322.10567633607</v>
      </c>
      <c r="AL39" s="100">
        <v>1.1259635288071602E-3</v>
      </c>
      <c r="AM39" s="100">
        <v>1.6024712941983503</v>
      </c>
      <c r="AN39" s="100">
        <v>10.000472483729567</v>
      </c>
      <c r="AO39" s="100">
        <v>14232.67243884392</v>
      </c>
      <c r="AP39" s="100">
        <v>15</v>
      </c>
      <c r="AQ39" s="100">
        <v>21348</v>
      </c>
      <c r="AR39" s="100">
        <v>14.955199516378054</v>
      </c>
      <c r="AS39" s="100">
        <v>21284.239951709245</v>
      </c>
      <c r="AT39" s="100">
        <v>8.6986637733691428</v>
      </c>
      <c r="AU39" s="100">
        <v>12379.938282258965</v>
      </c>
      <c r="AV39" s="100">
        <v>11.00697571040336</v>
      </c>
      <c r="AW39" s="100">
        <v>15665.127831046062</v>
      </c>
      <c r="AX39" s="100">
        <v>10.078337274638436</v>
      </c>
      <c r="AY39" s="100">
        <v>14343.489609265422</v>
      </c>
      <c r="AZ39" s="100">
        <v>3.3396358871474341</v>
      </c>
      <c r="BA39" s="100">
        <v>4752.9697945882281</v>
      </c>
      <c r="BB39" s="100">
        <v>13.61982698235159</v>
      </c>
      <c r="BC39" s="100">
        <v>19383.737761282784</v>
      </c>
      <c r="BD39" s="100">
        <v>11.623527211441562</v>
      </c>
      <c r="BE39" s="100">
        <v>16542.603927323631</v>
      </c>
      <c r="BF39" s="100">
        <v>11.755744810971251</v>
      </c>
      <c r="BG39" s="100">
        <v>16730.776014974286</v>
      </c>
      <c r="BH39" s="100">
        <v>4.1032557676898156</v>
      </c>
      <c r="BI39" s="100">
        <v>5839.7536085761458</v>
      </c>
      <c r="BJ39" s="100">
        <v>21.811608722440084</v>
      </c>
      <c r="BK39" s="100">
        <v>31042.281533776728</v>
      </c>
      <c r="BL39" s="100">
        <v>13.227362304982401</v>
      </c>
      <c r="BM39" s="100">
        <v>18825.182032450954</v>
      </c>
      <c r="BN39" s="100">
        <v>13.173658539604794</v>
      </c>
      <c r="BO39" s="100">
        <v>18748.750833565544</v>
      </c>
      <c r="BP39" s="100">
        <v>7.5572645213386611</v>
      </c>
      <c r="BQ39" s="100">
        <v>10755.498866769183</v>
      </c>
      <c r="BR39" s="100">
        <v>8.4076916953398819E-4</v>
      </c>
      <c r="BS39" s="100">
        <v>1.1965826820807721</v>
      </c>
      <c r="BT39" s="100">
        <v>8.1291232098543471</v>
      </c>
      <c r="BU39" s="100">
        <v>11569.368152264708</v>
      </c>
      <c r="BV39" s="100">
        <v>14.858592935571579</v>
      </c>
      <c r="BW39" s="100">
        <v>21146.749465905472</v>
      </c>
      <c r="BX39" s="100">
        <v>12</v>
      </c>
      <c r="BY39" s="100">
        <v>17078.400000000001</v>
      </c>
      <c r="BZ39" s="100">
        <v>10.948921326647771</v>
      </c>
      <c r="CA39" s="100">
        <v>15582.504832085107</v>
      </c>
      <c r="CB39" s="100">
        <v>4.0212828313464142</v>
      </c>
      <c r="CC39" s="100">
        <v>5723.0897255722166</v>
      </c>
      <c r="CD39" s="100">
        <v>7.6422490675777507E-4</v>
      </c>
      <c r="CE39" s="100">
        <v>1.0876448872976656</v>
      </c>
      <c r="CF39" s="100">
        <v>19.000353917721455</v>
      </c>
      <c r="CG39" s="100">
        <v>27041.303695701175</v>
      </c>
      <c r="CH39" s="100">
        <v>15</v>
      </c>
      <c r="CI39" s="100">
        <v>21348</v>
      </c>
      <c r="CJ39" s="100">
        <v>8.9470290272761712</v>
      </c>
      <c r="CK39" s="100">
        <v>12733.411711619447</v>
      </c>
      <c r="CL39" s="100">
        <v>12.68744235002711</v>
      </c>
      <c r="CM39" s="100">
        <v>18056.767952558585</v>
      </c>
      <c r="CN39" s="100">
        <v>11.328073526809918</v>
      </c>
      <c r="CO39" s="100">
        <v>16122.114243355876</v>
      </c>
      <c r="CP39" s="100">
        <v>12.062300514658709</v>
      </c>
      <c r="CQ39" s="100">
        <v>17167.066092462275</v>
      </c>
      <c r="CR39" s="100">
        <v>4.3469608043370771</v>
      </c>
      <c r="CS39" s="100">
        <v>6186.5946167325283</v>
      </c>
      <c r="CT39" s="100">
        <v>6.4243698973659189</v>
      </c>
      <c r="CU39" s="100">
        <v>9143.1632379311759</v>
      </c>
    </row>
    <row r="40" spans="2:99">
      <c r="C40" s="99" t="s">
        <v>206</v>
      </c>
      <c r="D40" s="100">
        <v>9.1056452146988072</v>
      </c>
      <c r="E40" s="100">
        <v>6599.7716516136952</v>
      </c>
      <c r="F40" s="100">
        <v>16</v>
      </c>
      <c r="G40" s="100">
        <v>11596.8</v>
      </c>
      <c r="H40" s="100">
        <v>16.893611380483463</v>
      </c>
      <c r="I40" s="100">
        <v>12244.489528574413</v>
      </c>
      <c r="J40" s="100">
        <v>11.506749765403136</v>
      </c>
      <c r="K40" s="100">
        <v>8340.0922299641916</v>
      </c>
      <c r="L40" s="100">
        <v>13.841489840570871</v>
      </c>
      <c r="M40" s="100">
        <v>10032.311836445766</v>
      </c>
      <c r="N40" s="100">
        <v>3.4788739396263186</v>
      </c>
      <c r="O40" s="100">
        <v>2521.4878314411558</v>
      </c>
      <c r="P40" s="100">
        <v>19.945482735672414</v>
      </c>
      <c r="Q40" s="100">
        <v>14456.485886815364</v>
      </c>
      <c r="R40" s="100">
        <v>4.446367622837494</v>
      </c>
      <c r="S40" s="100">
        <v>3222.7272530326154</v>
      </c>
      <c r="T40" s="100">
        <v>15.986699769627515</v>
      </c>
      <c r="U40" s="100">
        <v>11587.159993026022</v>
      </c>
      <c r="V40" s="100">
        <v>18.688624393398531</v>
      </c>
      <c r="W40" s="100">
        <v>13545.514960335255</v>
      </c>
      <c r="X40" s="100">
        <v>1.4245491885936129E-3</v>
      </c>
      <c r="Y40" s="100">
        <v>1.0325132518926505</v>
      </c>
      <c r="Z40" s="100">
        <v>13.400976463964613</v>
      </c>
      <c r="AA40" s="100">
        <v>9713.0277410815506</v>
      </c>
      <c r="AB40" s="100">
        <v>7.260056425835768</v>
      </c>
      <c r="AC40" s="100">
        <v>5262.0888974457639</v>
      </c>
      <c r="AD40" s="100">
        <v>16.552555482673434</v>
      </c>
      <c r="AE40" s="100">
        <v>11997.292213841703</v>
      </c>
      <c r="AF40" s="100">
        <v>6.8394854424079572</v>
      </c>
      <c r="AG40" s="100">
        <v>4957.2590486572872</v>
      </c>
      <c r="AH40" s="100">
        <v>17.951773705539239</v>
      </c>
      <c r="AI40" s="100">
        <v>13011.44558177484</v>
      </c>
      <c r="AJ40" s="100">
        <v>12.784570327887213</v>
      </c>
      <c r="AK40" s="100">
        <v>9266.2565736526522</v>
      </c>
      <c r="AL40" s="100">
        <v>1.0653416758627081E-3</v>
      </c>
      <c r="AM40" s="100">
        <v>0.7721596466652908</v>
      </c>
      <c r="AN40" s="100">
        <v>12.000413423263371</v>
      </c>
      <c r="AO40" s="100">
        <v>8697.8996491812904</v>
      </c>
      <c r="AP40" s="100">
        <v>17</v>
      </c>
      <c r="AQ40" s="100">
        <v>12321.599999999999</v>
      </c>
      <c r="AR40" s="100">
        <v>14.020499546604425</v>
      </c>
      <c r="AS40" s="100">
        <v>10162.058071378886</v>
      </c>
      <c r="AT40" s="100">
        <v>10.148441068930666</v>
      </c>
      <c r="AU40" s="100">
        <v>7355.5900867609462</v>
      </c>
      <c r="AV40" s="100">
        <v>11.102239351946618</v>
      </c>
      <c r="AW40" s="100">
        <v>8046.903082290909</v>
      </c>
      <c r="AX40" s="100">
        <v>10.895649578940988</v>
      </c>
      <c r="AY40" s="100">
        <v>7897.1668148164281</v>
      </c>
      <c r="AZ40" s="100">
        <v>3.1088924608073212</v>
      </c>
      <c r="BA40" s="100">
        <v>2253.3252555931463</v>
      </c>
      <c r="BB40" s="100">
        <v>13.743792378821908</v>
      </c>
      <c r="BC40" s="100">
        <v>9961.5007161701178</v>
      </c>
      <c r="BD40" s="100">
        <v>13.411762167047955</v>
      </c>
      <c r="BE40" s="100">
        <v>9720.845218676357</v>
      </c>
      <c r="BF40" s="100">
        <v>14.274832984750807</v>
      </c>
      <c r="BG40" s="100">
        <v>10346.398947347385</v>
      </c>
      <c r="BH40" s="100">
        <v>4.3035397891925138</v>
      </c>
      <c r="BI40" s="100">
        <v>3119.2056392067338</v>
      </c>
      <c r="BJ40" s="100">
        <v>22.810437042158597</v>
      </c>
      <c r="BK40" s="100">
        <v>16533.004768156548</v>
      </c>
      <c r="BL40" s="100">
        <v>14.005442440569601</v>
      </c>
      <c r="BM40" s="100">
        <v>10151.144680924846</v>
      </c>
      <c r="BN40" s="100">
        <v>12.441788620737862</v>
      </c>
      <c r="BO40" s="100">
        <v>9017.8083923108024</v>
      </c>
      <c r="BP40" s="100">
        <v>10.076352695118215</v>
      </c>
      <c r="BQ40" s="100">
        <v>7303.3404334216821</v>
      </c>
      <c r="BR40" s="100">
        <v>9.0724133994644115E-4</v>
      </c>
      <c r="BS40" s="100">
        <v>0.65756852319318049</v>
      </c>
      <c r="BT40" s="100">
        <v>8.8189989037350145</v>
      </c>
      <c r="BU40" s="100">
        <v>6392.0104054271378</v>
      </c>
      <c r="BV40" s="100">
        <v>15.965917052518027</v>
      </c>
      <c r="BW40" s="100">
        <v>11572.096679665065</v>
      </c>
      <c r="BX40" s="100">
        <v>13</v>
      </c>
      <c r="BY40" s="100">
        <v>9422.4</v>
      </c>
      <c r="BZ40" s="100">
        <v>11.94427781088848</v>
      </c>
      <c r="CA40" s="100">
        <v>8657.2125573319699</v>
      </c>
      <c r="CB40" s="100">
        <v>3.7921997058784789</v>
      </c>
      <c r="CC40" s="100">
        <v>2748.5863468207212</v>
      </c>
      <c r="CD40" s="100">
        <v>8.2301143804683471E-4</v>
      </c>
      <c r="CE40" s="100">
        <v>0.59651869029634574</v>
      </c>
      <c r="CF40" s="100">
        <v>18.000353917721455</v>
      </c>
      <c r="CG40" s="100">
        <v>13046.656519564509</v>
      </c>
      <c r="CH40" s="100">
        <v>17</v>
      </c>
      <c r="CI40" s="100">
        <v>12321.599999999999</v>
      </c>
      <c r="CJ40" s="100">
        <v>9.7603953024830954</v>
      </c>
      <c r="CK40" s="100">
        <v>7074.3345152397469</v>
      </c>
      <c r="CL40" s="100">
        <v>13.480407496903805</v>
      </c>
      <c r="CM40" s="100">
        <v>9770.599353755877</v>
      </c>
      <c r="CN40" s="100">
        <v>11.328073526809918</v>
      </c>
      <c r="CO40" s="100">
        <v>8210.5876922318275</v>
      </c>
      <c r="CP40" s="100">
        <v>12.062300514658709</v>
      </c>
      <c r="CQ40" s="100">
        <v>8742.7554130246317</v>
      </c>
      <c r="CR40" s="100">
        <v>4.1054629818739068</v>
      </c>
      <c r="CS40" s="100">
        <v>2975.6395692622073</v>
      </c>
      <c r="CT40" s="100">
        <v>6.9284310950668866</v>
      </c>
      <c r="CU40" s="100">
        <v>5021.7268577044788</v>
      </c>
    </row>
    <row r="41" spans="2:99">
      <c r="C41" s="99" t="s">
        <v>207</v>
      </c>
      <c r="D41" s="100">
        <v>9.107610032629518</v>
      </c>
      <c r="E41" s="100">
        <v>6011.0226215354814</v>
      </c>
      <c r="F41" s="100">
        <v>18.895102245466234</v>
      </c>
      <c r="G41" s="100">
        <v>12470.767482007714</v>
      </c>
      <c r="H41" s="100">
        <v>18.881095072305047</v>
      </c>
      <c r="I41" s="100">
        <v>12461.522747721332</v>
      </c>
      <c r="J41" s="100">
        <v>12.945093486078528</v>
      </c>
      <c r="K41" s="100">
        <v>8543.7617008118286</v>
      </c>
      <c r="L41" s="100">
        <v>13.841489840570871</v>
      </c>
      <c r="M41" s="100">
        <v>9135.3832947767751</v>
      </c>
      <c r="N41" s="100">
        <v>3.2123437021147914</v>
      </c>
      <c r="O41" s="100">
        <v>2120.1468433957625</v>
      </c>
      <c r="P41" s="100">
        <v>20.945482735672414</v>
      </c>
      <c r="Q41" s="100">
        <v>13824.018605543793</v>
      </c>
      <c r="R41" s="100">
        <v>4.8615450330728587</v>
      </c>
      <c r="S41" s="100">
        <v>3208.6197218280868</v>
      </c>
      <c r="T41" s="100">
        <v>17.822249808022928</v>
      </c>
      <c r="U41" s="100">
        <v>11762.684873295133</v>
      </c>
      <c r="V41" s="100">
        <v>19.623055613068459</v>
      </c>
      <c r="W41" s="100">
        <v>12951.216704625183</v>
      </c>
      <c r="X41" s="100">
        <v>1.2946602556050488E-3</v>
      </c>
      <c r="Y41" s="100">
        <v>0.85447576869933228</v>
      </c>
      <c r="Z41" s="100">
        <v>15.357889315695237</v>
      </c>
      <c r="AA41" s="100">
        <v>10136.206948358857</v>
      </c>
      <c r="AB41" s="100">
        <v>7.8650611279887483</v>
      </c>
      <c r="AC41" s="100">
        <v>5190.940344472574</v>
      </c>
      <c r="AD41" s="100">
        <v>15.7187327738493</v>
      </c>
      <c r="AE41" s="100">
        <v>10374.363630740538</v>
      </c>
      <c r="AF41" s="100">
        <v>6.8394854424079572</v>
      </c>
      <c r="AG41" s="100">
        <v>4514.0603919892519</v>
      </c>
      <c r="AH41" s="100">
        <v>19.110402656462444</v>
      </c>
      <c r="AI41" s="100">
        <v>12612.865753265212</v>
      </c>
      <c r="AJ41" s="100">
        <v>11.438826082846454</v>
      </c>
      <c r="AK41" s="100">
        <v>7549.6252146786592</v>
      </c>
      <c r="AL41" s="100">
        <v>1.0653416758627081E-3</v>
      </c>
      <c r="AM41" s="100">
        <v>0.70312550606938728</v>
      </c>
      <c r="AN41" s="100">
        <v>10.000413423263371</v>
      </c>
      <c r="AO41" s="100">
        <v>6600.272859353825</v>
      </c>
      <c r="AP41" s="100">
        <v>16</v>
      </c>
      <c r="AQ41" s="100">
        <v>10560</v>
      </c>
      <c r="AR41" s="100">
        <v>14.020499546604425</v>
      </c>
      <c r="AS41" s="100">
        <v>9253.5297007589197</v>
      </c>
      <c r="AT41" s="100">
        <v>10.148441068930666</v>
      </c>
      <c r="AU41" s="100">
        <v>6697.9711054942391</v>
      </c>
      <c r="AV41" s="100">
        <v>12.033590859042734</v>
      </c>
      <c r="AW41" s="100">
        <v>7942.1699669682048</v>
      </c>
      <c r="AX41" s="100">
        <v>10.187497490846281</v>
      </c>
      <c r="AY41" s="100">
        <v>6723.7483439585458</v>
      </c>
      <c r="AZ41" s="100">
        <v>3.7606175705095728</v>
      </c>
      <c r="BA41" s="100">
        <v>2482.007596536318</v>
      </c>
      <c r="BB41" s="100">
        <v>14.743792378821908</v>
      </c>
      <c r="BC41" s="100">
        <v>9730.9029700224601</v>
      </c>
      <c r="BD41" s="100">
        <v>13.411762167047955</v>
      </c>
      <c r="BE41" s="100">
        <v>8851.76303025165</v>
      </c>
      <c r="BF41" s="100">
        <v>13.435136926824288</v>
      </c>
      <c r="BG41" s="100">
        <v>8867.1903717040295</v>
      </c>
      <c r="BH41" s="100">
        <v>4.4944866576164078</v>
      </c>
      <c r="BI41" s="100">
        <v>2966.3611940268293</v>
      </c>
      <c r="BJ41" s="100">
        <v>19.813952083003066</v>
      </c>
      <c r="BK41" s="100">
        <v>13077.208374782023</v>
      </c>
      <c r="BL41" s="100">
        <v>13.227362304982401</v>
      </c>
      <c r="BM41" s="100">
        <v>8730.0591212883846</v>
      </c>
      <c r="BN41" s="100">
        <v>13.173658539604794</v>
      </c>
      <c r="BO41" s="100">
        <v>8694.6146361391638</v>
      </c>
      <c r="BP41" s="100">
        <v>10.076352695118215</v>
      </c>
      <c r="BQ41" s="100">
        <v>6650.3927787780221</v>
      </c>
      <c r="BR41" s="100">
        <v>9.73713510358894E-4</v>
      </c>
      <c r="BS41" s="100">
        <v>0.64265091683687003</v>
      </c>
      <c r="BT41" s="100">
        <v>8.1333421869634126</v>
      </c>
      <c r="BU41" s="100">
        <v>5368.005843395852</v>
      </c>
      <c r="BV41" s="100">
        <v>16.858592935571579</v>
      </c>
      <c r="BW41" s="100">
        <v>11126.671337477243</v>
      </c>
      <c r="BX41" s="100">
        <v>13</v>
      </c>
      <c r="BY41" s="100">
        <v>8580</v>
      </c>
      <c r="BZ41" s="100">
        <v>11.94427781088848</v>
      </c>
      <c r="CA41" s="100">
        <v>7883.2233551863965</v>
      </c>
      <c r="CB41" s="100">
        <v>4.2609384316803087</v>
      </c>
      <c r="CC41" s="100">
        <v>2812.2193649090036</v>
      </c>
      <c r="CD41" s="100">
        <v>8.8179796933589424E-4</v>
      </c>
      <c r="CE41" s="100">
        <v>0.58198665976169017</v>
      </c>
      <c r="CF41" s="100">
        <v>21.000353917721455</v>
      </c>
      <c r="CG41" s="100">
        <v>13860.23358569616</v>
      </c>
      <c r="CH41" s="100">
        <v>15</v>
      </c>
      <c r="CI41" s="100">
        <v>9900</v>
      </c>
      <c r="CJ41" s="100">
        <v>10.573761577690021</v>
      </c>
      <c r="CK41" s="100">
        <v>6978.6826412754144</v>
      </c>
      <c r="CL41" s="100">
        <v>11.894477203150414</v>
      </c>
      <c r="CM41" s="100">
        <v>7850.3549540792728</v>
      </c>
      <c r="CN41" s="100">
        <v>13.452087313086778</v>
      </c>
      <c r="CO41" s="100">
        <v>8878.3776266372734</v>
      </c>
      <c r="CP41" s="100">
        <v>13.670607249946539</v>
      </c>
      <c r="CQ41" s="100">
        <v>9022.6007849647158</v>
      </c>
      <c r="CR41" s="100">
        <v>4.1054629818739068</v>
      </c>
      <c r="CS41" s="100">
        <v>2709.6055680367785</v>
      </c>
      <c r="CT41" s="100">
        <v>7.436631476696375</v>
      </c>
      <c r="CU41" s="100">
        <v>4908.1767746196074</v>
      </c>
    </row>
    <row r="42" spans="2:99">
      <c r="C42" s="99" t="s">
        <v>208</v>
      </c>
      <c r="D42" s="100">
        <v>9.107610032629518</v>
      </c>
      <c r="E42" s="100">
        <v>7705.038087604572</v>
      </c>
      <c r="F42" s="100">
        <v>15.895102245466234</v>
      </c>
      <c r="G42" s="100">
        <v>13447.256499664434</v>
      </c>
      <c r="H42" s="100">
        <v>15.899869534572673</v>
      </c>
      <c r="I42" s="100">
        <v>13451.289626248481</v>
      </c>
      <c r="J42" s="100">
        <v>12.225921625740831</v>
      </c>
      <c r="K42" s="100">
        <v>10343.129695376743</v>
      </c>
      <c r="L42" s="100">
        <v>13.841489840570871</v>
      </c>
      <c r="M42" s="100">
        <v>11709.900405122957</v>
      </c>
      <c r="N42" s="100">
        <v>3.1983181476403915</v>
      </c>
      <c r="O42" s="100">
        <v>2705.7771529037714</v>
      </c>
      <c r="P42" s="100">
        <v>19.945482735672414</v>
      </c>
      <c r="Q42" s="100">
        <v>16873.878394378862</v>
      </c>
      <c r="R42" s="100">
        <v>4.4169082707891096</v>
      </c>
      <c r="S42" s="100">
        <v>3736.7043970875866</v>
      </c>
      <c r="T42" s="100">
        <v>15.986699769627515</v>
      </c>
      <c r="U42" s="100">
        <v>13524.748005104879</v>
      </c>
      <c r="V42" s="100">
        <v>17.754193173728606</v>
      </c>
      <c r="W42" s="100">
        <v>15020.0474249744</v>
      </c>
      <c r="X42" s="100">
        <v>1.2252731994365942E-3</v>
      </c>
      <c r="Y42" s="100">
        <v>1.0365811267233587</v>
      </c>
      <c r="Z42" s="100">
        <v>14.379432889829923</v>
      </c>
      <c r="AA42" s="100">
        <v>12165.000224796115</v>
      </c>
      <c r="AB42" s="100">
        <v>7.8650611279887483</v>
      </c>
      <c r="AC42" s="100">
        <v>6653.841714278481</v>
      </c>
      <c r="AD42" s="100">
        <v>14.051087356201037</v>
      </c>
      <c r="AE42" s="100">
        <v>11887.219903346078</v>
      </c>
      <c r="AF42" s="100">
        <v>6.8394854424079572</v>
      </c>
      <c r="AG42" s="100">
        <v>5786.2046842771315</v>
      </c>
      <c r="AH42" s="100">
        <v>17.951773705539239</v>
      </c>
      <c r="AI42" s="100">
        <v>15187.200554886196</v>
      </c>
      <c r="AJ42" s="100">
        <v>12.111698205366833</v>
      </c>
      <c r="AK42" s="100">
        <v>10246.496681740342</v>
      </c>
      <c r="AL42" s="100">
        <v>1.067584913011548E-3</v>
      </c>
      <c r="AM42" s="100">
        <v>0.90317683640776958</v>
      </c>
      <c r="AN42" s="100">
        <v>11.000413423263371</v>
      </c>
      <c r="AO42" s="100">
        <v>9306.3497560808119</v>
      </c>
      <c r="AP42" s="100">
        <v>16</v>
      </c>
      <c r="AQ42" s="100">
        <v>13536</v>
      </c>
      <c r="AR42" s="100">
        <v>14.955199516378054</v>
      </c>
      <c r="AS42" s="100">
        <v>12652.098790855833</v>
      </c>
      <c r="AT42" s="100">
        <v>9.4235524211499051</v>
      </c>
      <c r="AU42" s="100">
        <v>7972.3253482928194</v>
      </c>
      <c r="AV42" s="100">
        <v>10.075624203307243</v>
      </c>
      <c r="AW42" s="100">
        <v>8523.9780759979276</v>
      </c>
      <c r="AX42" s="100">
        <v>9.4799598029219148</v>
      </c>
      <c r="AY42" s="100">
        <v>8020.0459932719396</v>
      </c>
      <c r="AZ42" s="100">
        <v>3.3396358871474341</v>
      </c>
      <c r="BA42" s="100">
        <v>2825.3319605267293</v>
      </c>
      <c r="BB42" s="100">
        <v>13.743792378821908</v>
      </c>
      <c r="BC42" s="100">
        <v>11627.248352483335</v>
      </c>
      <c r="BD42" s="100">
        <v>14.305879644851151</v>
      </c>
      <c r="BE42" s="100">
        <v>12102.774179544074</v>
      </c>
      <c r="BF42" s="100">
        <v>11.755744810971251</v>
      </c>
      <c r="BG42" s="100">
        <v>9945.3601100816777</v>
      </c>
      <c r="BH42" s="100">
        <v>3.9123088992659221</v>
      </c>
      <c r="BI42" s="100">
        <v>3309.8133287789701</v>
      </c>
      <c r="BJ42" s="100">
        <v>21.811608722440084</v>
      </c>
      <c r="BK42" s="100">
        <v>18452.62097918431</v>
      </c>
      <c r="BL42" s="100">
        <v>13.227362304982401</v>
      </c>
      <c r="BM42" s="100">
        <v>11190.348510015112</v>
      </c>
      <c r="BN42" s="100">
        <v>13.173658539604794</v>
      </c>
      <c r="BO42" s="100">
        <v>11144.915124505656</v>
      </c>
      <c r="BP42" s="100">
        <v>9.2366566371916985</v>
      </c>
      <c r="BQ42" s="100">
        <v>7814.2115150641766</v>
      </c>
      <c r="BR42" s="100">
        <v>8.4076916953398819E-4</v>
      </c>
      <c r="BS42" s="100">
        <v>0.711290717425754</v>
      </c>
      <c r="BT42" s="100">
        <v>8.8189989037350145</v>
      </c>
      <c r="BU42" s="100">
        <v>7460.8730725598225</v>
      </c>
      <c r="BV42" s="100">
        <v>14.965917052518027</v>
      </c>
      <c r="BW42" s="100">
        <v>12661.16582643025</v>
      </c>
      <c r="BX42" s="100">
        <v>11</v>
      </c>
      <c r="BY42" s="100">
        <v>9306</v>
      </c>
      <c r="BZ42" s="100">
        <v>12.939634295129185</v>
      </c>
      <c r="CA42" s="100">
        <v>10946.930613679291</v>
      </c>
      <c r="CB42" s="100">
        <v>4.0107103564804536</v>
      </c>
      <c r="CC42" s="100">
        <v>3393.0609615824637</v>
      </c>
      <c r="CD42" s="100">
        <v>8.2301143804683471E-4</v>
      </c>
      <c r="CE42" s="100">
        <v>0.69626767658762212</v>
      </c>
      <c r="CF42" s="100">
        <v>18.000309678006275</v>
      </c>
      <c r="CG42" s="100">
        <v>15228.261987593309</v>
      </c>
      <c r="CH42" s="100">
        <v>16</v>
      </c>
      <c r="CI42" s="100">
        <v>13536</v>
      </c>
      <c r="CJ42" s="100">
        <v>10.573761577690021</v>
      </c>
      <c r="CK42" s="100">
        <v>8945.4022947257581</v>
      </c>
      <c r="CL42" s="100">
        <v>11.101512056273721</v>
      </c>
      <c r="CM42" s="100">
        <v>9391.8791996075688</v>
      </c>
      <c r="CN42" s="100">
        <v>11.328073526809918</v>
      </c>
      <c r="CO42" s="100">
        <v>9583.5502036811904</v>
      </c>
      <c r="CP42" s="100">
        <v>12.866453882302624</v>
      </c>
      <c r="CQ42" s="100">
        <v>10885.01998442802</v>
      </c>
      <c r="CR42" s="100">
        <v>4.1054629818739068</v>
      </c>
      <c r="CS42" s="100">
        <v>3473.2216826653253</v>
      </c>
      <c r="CT42" s="100">
        <v>6.9284310950668866</v>
      </c>
      <c r="CU42" s="100">
        <v>5861.4527064265858</v>
      </c>
    </row>
    <row r="43" spans="2:99">
      <c r="C43" s="99" t="s">
        <v>209</v>
      </c>
      <c r="D43" s="100">
        <v>8.3612600855956565</v>
      </c>
      <c r="E43" s="100">
        <v>8548.5523115129981</v>
      </c>
      <c r="F43" s="100">
        <v>15.895102245466234</v>
      </c>
      <c r="G43" s="100">
        <v>16251.152535764677</v>
      </c>
      <c r="H43" s="100">
        <v>16.893611380483463</v>
      </c>
      <c r="I43" s="100">
        <v>17272.028275406294</v>
      </c>
      <c r="J43" s="100">
        <v>12.945093486078528</v>
      </c>
      <c r="K43" s="100">
        <v>13235.063580166687</v>
      </c>
      <c r="L43" s="100">
        <v>14.655695125310332</v>
      </c>
      <c r="M43" s="100">
        <v>14983.982696117284</v>
      </c>
      <c r="N43" s="100">
        <v>3.1983181476403915</v>
      </c>
      <c r="O43" s="100">
        <v>3269.9604741475359</v>
      </c>
      <c r="P43" s="100">
        <v>17.945482735672414</v>
      </c>
      <c r="Q43" s="100">
        <v>18347.461548951476</v>
      </c>
      <c r="R43" s="100">
        <v>4.0017308605537441</v>
      </c>
      <c r="S43" s="100">
        <v>4091.3696318301477</v>
      </c>
      <c r="T43" s="100">
        <v>16.986699769627513</v>
      </c>
      <c r="U43" s="100">
        <v>17367.20184446717</v>
      </c>
      <c r="V43" s="100">
        <v>17.754193173728606</v>
      </c>
      <c r="W43" s="100">
        <v>18151.887100820128</v>
      </c>
      <c r="X43" s="100">
        <v>1.3581238588746068E-3</v>
      </c>
      <c r="Y43" s="100">
        <v>1.388545833313398</v>
      </c>
      <c r="Z43" s="100">
        <v>13.400976463964613</v>
      </c>
      <c r="AA43" s="100">
        <v>13701.15833675742</v>
      </c>
      <c r="AB43" s="100">
        <v>7.8650611279887483</v>
      </c>
      <c r="AC43" s="100">
        <v>8041.2384972556965</v>
      </c>
      <c r="AD43" s="100">
        <v>13.335585316546062</v>
      </c>
      <c r="AE43" s="100">
        <v>13634.302427636694</v>
      </c>
      <c r="AF43" s="100">
        <v>7.3655997072085695</v>
      </c>
      <c r="AG43" s="100">
        <v>7530.5891406500414</v>
      </c>
      <c r="AH43" s="100">
        <v>19.951773705539239</v>
      </c>
      <c r="AI43" s="100">
        <v>20398.693436543319</v>
      </c>
      <c r="AJ43" s="100">
        <v>11.438826082846454</v>
      </c>
      <c r="AK43" s="100">
        <v>11695.055787102214</v>
      </c>
      <c r="AL43" s="100">
        <v>1.1270851473815804E-3</v>
      </c>
      <c r="AM43" s="100">
        <v>1.1523318546829278</v>
      </c>
      <c r="AN43" s="100">
        <v>10.000413423263371</v>
      </c>
      <c r="AO43" s="100">
        <v>10224.422683944471</v>
      </c>
      <c r="AP43" s="100">
        <v>17</v>
      </c>
      <c r="AQ43" s="100">
        <v>17380.8</v>
      </c>
      <c r="AR43" s="100">
        <v>14.955199516378054</v>
      </c>
      <c r="AS43" s="100">
        <v>15290.195985544922</v>
      </c>
      <c r="AT43" s="100">
        <v>10.148441068930666</v>
      </c>
      <c r="AU43" s="100">
        <v>10375.766148874713</v>
      </c>
      <c r="AV43" s="100">
        <v>11.102239351946618</v>
      </c>
      <c r="AW43" s="100">
        <v>11350.929513430223</v>
      </c>
      <c r="AX43" s="100">
        <v>9.4796526028367456</v>
      </c>
      <c r="AY43" s="100">
        <v>9691.9968211402884</v>
      </c>
      <c r="AZ43" s="100">
        <v>3.1169934946709392</v>
      </c>
      <c r="BA43" s="100">
        <v>3186.8141489515683</v>
      </c>
      <c r="BB43" s="100">
        <v>14.743792378821908</v>
      </c>
      <c r="BC43" s="100">
        <v>15074.053328107519</v>
      </c>
      <c r="BD43" s="100">
        <v>13.411762167047955</v>
      </c>
      <c r="BE43" s="100">
        <v>13712.185639589828</v>
      </c>
      <c r="BF43" s="100">
        <v>12.59544086889777</v>
      </c>
      <c r="BG43" s="100">
        <v>12877.578744361079</v>
      </c>
      <c r="BH43" s="100">
        <v>4.1125929207686198</v>
      </c>
      <c r="BI43" s="100">
        <v>4204.7150021938369</v>
      </c>
      <c r="BJ43" s="100">
        <v>20.812780402721575</v>
      </c>
      <c r="BK43" s="100">
        <v>21278.98668374254</v>
      </c>
      <c r="BL43" s="100">
        <v>13.227362304982401</v>
      </c>
      <c r="BM43" s="100">
        <v>13523.655220614008</v>
      </c>
      <c r="BN43" s="100">
        <v>12.441788620737862</v>
      </c>
      <c r="BO43" s="100">
        <v>12720.48468584239</v>
      </c>
      <c r="BP43" s="100">
        <v>9.2366566371916985</v>
      </c>
      <c r="BQ43" s="100">
        <v>9443.5577458647931</v>
      </c>
      <c r="BR43" s="100">
        <v>9.0724133994644115E-4</v>
      </c>
      <c r="BS43" s="100">
        <v>0.92756354596124146</v>
      </c>
      <c r="BT43" s="100">
        <v>8.8211083922895472</v>
      </c>
      <c r="BU43" s="100">
        <v>9018.7012202768328</v>
      </c>
      <c r="BV43" s="100">
        <v>15.858592935571579</v>
      </c>
      <c r="BW43" s="100">
        <v>16213.825417328382</v>
      </c>
      <c r="BX43" s="100">
        <v>12</v>
      </c>
      <c r="BY43" s="100">
        <v>12268.8</v>
      </c>
      <c r="BZ43" s="100">
        <v>11.94427781088848</v>
      </c>
      <c r="CA43" s="100">
        <v>12211.829633852381</v>
      </c>
      <c r="CB43" s="100">
        <v>4.0212828313464142</v>
      </c>
      <c r="CC43" s="100">
        <v>4111.359566768574</v>
      </c>
      <c r="CD43" s="100">
        <v>8.2301143804683471E-4</v>
      </c>
      <c r="CE43" s="100">
        <v>0.84144689425908381</v>
      </c>
      <c r="CF43" s="100">
        <v>17.000309678006275</v>
      </c>
      <c r="CG43" s="100">
        <v>17381.116614793616</v>
      </c>
      <c r="CH43" s="100">
        <v>17</v>
      </c>
      <c r="CI43" s="100">
        <v>17380.8</v>
      </c>
      <c r="CJ43" s="100">
        <v>10.573761577690021</v>
      </c>
      <c r="CK43" s="100">
        <v>10810.613837030278</v>
      </c>
      <c r="CL43" s="100">
        <v>12.68744235002711</v>
      </c>
      <c r="CM43" s="100">
        <v>12971.641058667718</v>
      </c>
      <c r="CN43" s="100">
        <v>12.74408271766116</v>
      </c>
      <c r="CO43" s="100">
        <v>13029.55017053677</v>
      </c>
      <c r="CP43" s="100">
        <v>12.062300514658709</v>
      </c>
      <c r="CQ43" s="100">
        <v>12332.496046187063</v>
      </c>
      <c r="CR43" s="100">
        <v>4.1054629818739068</v>
      </c>
      <c r="CS43" s="100">
        <v>4197.4253526678822</v>
      </c>
      <c r="CT43" s="100">
        <v>7.4345618847321147</v>
      </c>
      <c r="CU43" s="100">
        <v>7601.0960709501142</v>
      </c>
    </row>
    <row r="44" spans="2:99">
      <c r="C44" s="99" t="s">
        <v>210</v>
      </c>
      <c r="D44" s="100">
        <v>8.3612600855956565</v>
      </c>
      <c r="E44" s="100">
        <v>8548.5523115129981</v>
      </c>
      <c r="F44" s="100">
        <v>16.895102245466234</v>
      </c>
      <c r="G44" s="100">
        <v>17273.552535764677</v>
      </c>
      <c r="H44" s="100">
        <v>15.899869534572673</v>
      </c>
      <c r="I44" s="100">
        <v>16256.026612147101</v>
      </c>
      <c r="J44" s="100">
        <v>12.945093486078528</v>
      </c>
      <c r="K44" s="100">
        <v>13235.063580166687</v>
      </c>
      <c r="L44" s="100">
        <v>13.841489840570871</v>
      </c>
      <c r="M44" s="100">
        <v>14151.539212999658</v>
      </c>
      <c r="N44" s="100">
        <v>2.9037368011800653</v>
      </c>
      <c r="O44" s="100">
        <v>2968.7805055264985</v>
      </c>
      <c r="P44" s="100">
        <v>19.945482735672414</v>
      </c>
      <c r="Q44" s="100">
        <v>20392.261548951476</v>
      </c>
      <c r="R44" s="100">
        <v>4.4169082707891096</v>
      </c>
      <c r="S44" s="100">
        <v>4515.8470160547859</v>
      </c>
      <c r="T44" s="100">
        <v>14.986699769627515</v>
      </c>
      <c r="U44" s="100">
        <v>15322.401844467171</v>
      </c>
      <c r="V44" s="100">
        <v>15.885330734388752</v>
      </c>
      <c r="W44" s="100">
        <v>16241.162142839059</v>
      </c>
      <c r="X44" s="100">
        <v>1.3610855853240552E-3</v>
      </c>
      <c r="Y44" s="100">
        <v>1.391573902435314</v>
      </c>
      <c r="Z44" s="100">
        <v>14.379432889829923</v>
      </c>
      <c r="AA44" s="100">
        <v>14701.532186562114</v>
      </c>
      <c r="AB44" s="100">
        <v>7.8650611279887483</v>
      </c>
      <c r="AC44" s="100">
        <v>8041.2384972556965</v>
      </c>
      <c r="AD44" s="100">
        <v>13.217264647376908</v>
      </c>
      <c r="AE44" s="100">
        <v>13513.33137547815</v>
      </c>
      <c r="AF44" s="100">
        <v>7.3655997072085695</v>
      </c>
      <c r="AG44" s="100">
        <v>7530.5891406500414</v>
      </c>
      <c r="AH44" s="100">
        <v>19.951773705539239</v>
      </c>
      <c r="AI44" s="100">
        <v>20398.693436543319</v>
      </c>
      <c r="AJ44" s="100">
        <v>12.111698205366833</v>
      </c>
      <c r="AK44" s="100">
        <v>12383.00024516705</v>
      </c>
      <c r="AL44" s="100">
        <v>1.1888286189004527E-3</v>
      </c>
      <c r="AM44" s="100">
        <v>1.2154583799638228</v>
      </c>
      <c r="AN44" s="100">
        <v>9.000413423263371</v>
      </c>
      <c r="AO44" s="100">
        <v>9202.0226839444695</v>
      </c>
      <c r="AP44" s="100">
        <v>16</v>
      </c>
      <c r="AQ44" s="100">
        <v>16358.4</v>
      </c>
      <c r="AR44" s="100">
        <v>14.020499546604425</v>
      </c>
      <c r="AS44" s="100">
        <v>14334.558736448364</v>
      </c>
      <c r="AT44" s="100">
        <v>9.4235524211499051</v>
      </c>
      <c r="AU44" s="100">
        <v>9634.6399953836626</v>
      </c>
      <c r="AV44" s="100">
        <v>11.102239351946618</v>
      </c>
      <c r="AW44" s="100">
        <v>11350.929513430223</v>
      </c>
      <c r="AX44" s="100">
        <v>10.187804690931451</v>
      </c>
      <c r="AY44" s="100">
        <v>10416.011516008315</v>
      </c>
      <c r="AZ44" s="100">
        <v>3.1169934946709392</v>
      </c>
      <c r="BA44" s="100">
        <v>3186.8141489515683</v>
      </c>
      <c r="BB44" s="100">
        <v>14.61982698235159</v>
      </c>
      <c r="BC44" s="100">
        <v>14947.311106756266</v>
      </c>
      <c r="BD44" s="100">
        <v>13.411762167047955</v>
      </c>
      <c r="BE44" s="100">
        <v>13712.185639589828</v>
      </c>
      <c r="BF44" s="100">
        <v>13.435136926824288</v>
      </c>
      <c r="BG44" s="100">
        <v>13736.083993985152</v>
      </c>
      <c r="BH44" s="100">
        <v>4.1125929207686198</v>
      </c>
      <c r="BI44" s="100">
        <v>4204.7150021938369</v>
      </c>
      <c r="BJ44" s="100">
        <v>21.811608722440084</v>
      </c>
      <c r="BK44" s="100">
        <v>22300.188757822743</v>
      </c>
      <c r="BL44" s="100">
        <v>12.449282169395202</v>
      </c>
      <c r="BM44" s="100">
        <v>12728.146089989654</v>
      </c>
      <c r="BN44" s="100">
        <v>13.905528458471727</v>
      </c>
      <c r="BO44" s="100">
        <v>14217.012295941493</v>
      </c>
      <c r="BP44" s="100">
        <v>9.2366566371916985</v>
      </c>
      <c r="BQ44" s="100">
        <v>9443.5577458647931</v>
      </c>
      <c r="BR44" s="100">
        <v>8.4076916953398819E-4</v>
      </c>
      <c r="BS44" s="100">
        <v>0.85960239893154955</v>
      </c>
      <c r="BT44" s="100">
        <v>8.8211083922895472</v>
      </c>
      <c r="BU44" s="100">
        <v>9018.7012202768328</v>
      </c>
      <c r="BV44" s="100">
        <v>15.858592935571579</v>
      </c>
      <c r="BW44" s="100">
        <v>16213.825417328382</v>
      </c>
      <c r="BX44" s="100">
        <v>13</v>
      </c>
      <c r="BY44" s="100">
        <v>13291.199999999999</v>
      </c>
      <c r="BZ44" s="100">
        <v>12.939634295129185</v>
      </c>
      <c r="CA44" s="100">
        <v>13229.482103340079</v>
      </c>
      <c r="CB44" s="100">
        <v>4.0107103564804536</v>
      </c>
      <c r="CC44" s="100">
        <v>4100.5502684656158</v>
      </c>
      <c r="CD44" s="100">
        <v>7.6422490675777507E-4</v>
      </c>
      <c r="CE44" s="100">
        <v>0.78134354466914924</v>
      </c>
      <c r="CF44" s="100">
        <v>18.000353917721455</v>
      </c>
      <c r="CG44" s="100">
        <v>18403.561845478416</v>
      </c>
      <c r="CH44" s="100">
        <v>16</v>
      </c>
      <c r="CI44" s="100">
        <v>16358.4</v>
      </c>
      <c r="CJ44" s="100">
        <v>11.387127852896944</v>
      </c>
      <c r="CK44" s="100">
        <v>11642.199516801835</v>
      </c>
      <c r="CL44" s="100">
        <v>11.101512056273721</v>
      </c>
      <c r="CM44" s="100">
        <v>11350.185926334252</v>
      </c>
      <c r="CN44" s="100">
        <v>12.74408271766116</v>
      </c>
      <c r="CO44" s="100">
        <v>13029.55017053677</v>
      </c>
      <c r="CP44" s="100">
        <v>13.670607249946539</v>
      </c>
      <c r="CQ44" s="100">
        <v>13976.828852345341</v>
      </c>
      <c r="CR44" s="100">
        <v>4.1054629818739068</v>
      </c>
      <c r="CS44" s="100">
        <v>4197.4253526678822</v>
      </c>
      <c r="CT44" s="100">
        <v>6.9284310950668866</v>
      </c>
      <c r="CU44" s="100">
        <v>7083.6279515963843</v>
      </c>
    </row>
    <row r="45" spans="2:99">
      <c r="C45" s="99" t="s">
        <v>211</v>
      </c>
      <c r="D45" s="100">
        <v>8.3592952676649457</v>
      </c>
      <c r="E45" s="100">
        <v>10442.43164836705</v>
      </c>
      <c r="F45" s="100">
        <v>17.895102245466234</v>
      </c>
      <c r="G45" s="100">
        <v>22354.561725036419</v>
      </c>
      <c r="H45" s="100">
        <v>16.893611380483463</v>
      </c>
      <c r="I45" s="100">
        <v>21103.499336499943</v>
      </c>
      <c r="J45" s="100">
        <v>12.225921625740831</v>
      </c>
      <c r="K45" s="100">
        <v>15272.621294875447</v>
      </c>
      <c r="L45" s="100">
        <v>13.841489840570871</v>
      </c>
      <c r="M45" s="100">
        <v>17290.789108841134</v>
      </c>
      <c r="N45" s="100">
        <v>3.1983181476403915</v>
      </c>
      <c r="O45" s="100">
        <v>3995.3390300323772</v>
      </c>
      <c r="P45" s="100">
        <v>19.945482735672414</v>
      </c>
      <c r="Q45" s="100">
        <v>24915.89703340198</v>
      </c>
      <c r="R45" s="100">
        <v>3.9870011845295528</v>
      </c>
      <c r="S45" s="100">
        <v>4980.5618797143179</v>
      </c>
      <c r="T45" s="100">
        <v>14.986699769627515</v>
      </c>
      <c r="U45" s="100">
        <v>18721.385352218691</v>
      </c>
      <c r="V45" s="100">
        <v>17.754193173728606</v>
      </c>
      <c r="W45" s="100">
        <v>22178.538112621776</v>
      </c>
      <c r="X45" s="100">
        <v>1.3610855853240552E-3</v>
      </c>
      <c r="Y45" s="100">
        <v>1.7002681131868098</v>
      </c>
      <c r="Z45" s="100">
        <v>15.357889315695237</v>
      </c>
      <c r="AA45" s="100">
        <v>19185.075333166493</v>
      </c>
      <c r="AB45" s="100">
        <v>7.260056425835768</v>
      </c>
      <c r="AC45" s="100">
        <v>9069.2624871540411</v>
      </c>
      <c r="AD45" s="100">
        <v>14.884910065025171</v>
      </c>
      <c r="AE45" s="100">
        <v>18594.229653229442</v>
      </c>
      <c r="AF45" s="100">
        <v>7.3655997072085695</v>
      </c>
      <c r="AG45" s="100">
        <v>9201.1071542449445</v>
      </c>
      <c r="AH45" s="100">
        <v>19.951773705539239</v>
      </c>
      <c r="AI45" s="100">
        <v>24923.755712959617</v>
      </c>
      <c r="AJ45" s="100">
        <v>10.765953960326074</v>
      </c>
      <c r="AK45" s="100">
        <v>13448.829687239333</v>
      </c>
      <c r="AL45" s="100">
        <v>1.0642200572882879E-3</v>
      </c>
      <c r="AM45" s="100">
        <v>1.3294236955645293</v>
      </c>
      <c r="AN45" s="100">
        <v>9.0004724837295669</v>
      </c>
      <c r="AO45" s="100">
        <v>11243.390226674976</v>
      </c>
      <c r="AP45" s="100">
        <v>15</v>
      </c>
      <c r="AQ45" s="100">
        <v>18738</v>
      </c>
      <c r="AR45" s="100">
        <v>14.020499546604425</v>
      </c>
      <c r="AS45" s="100">
        <v>17514.408033618249</v>
      </c>
      <c r="AT45" s="100">
        <v>8.6986637733691428</v>
      </c>
      <c r="AU45" s="100">
        <v>10866.370785692734</v>
      </c>
      <c r="AV45" s="100">
        <v>10.075624203307243</v>
      </c>
      <c r="AW45" s="100">
        <v>12586.469754771408</v>
      </c>
      <c r="AX45" s="100">
        <v>10.895342378855819</v>
      </c>
      <c r="AY45" s="100">
        <v>13610.46169966669</v>
      </c>
      <c r="AZ45" s="100">
        <v>3.3315348532838169</v>
      </c>
      <c r="BA45" s="100">
        <v>4161.7533387221447</v>
      </c>
      <c r="BB45" s="100">
        <v>12.743792378821908</v>
      </c>
      <c r="BC45" s="100">
        <v>15919.545439624328</v>
      </c>
      <c r="BD45" s="100">
        <v>14.305879644851151</v>
      </c>
      <c r="BE45" s="100">
        <v>17870.90485234806</v>
      </c>
      <c r="BF45" s="100">
        <v>13.435136926824288</v>
      </c>
      <c r="BG45" s="100">
        <v>16783.173048988901</v>
      </c>
      <c r="BH45" s="100">
        <v>3.7306991839208319</v>
      </c>
      <c r="BI45" s="100">
        <v>4660.3894205539036</v>
      </c>
      <c r="BJ45" s="100">
        <v>18.815123763284557</v>
      </c>
      <c r="BK45" s="100">
        <v>23503.852605095071</v>
      </c>
      <c r="BL45" s="100">
        <v>11.671202033808001</v>
      </c>
      <c r="BM45" s="100">
        <v>14579.665580632955</v>
      </c>
      <c r="BN45" s="100">
        <v>12.441788620737862</v>
      </c>
      <c r="BO45" s="100">
        <v>15542.282345025738</v>
      </c>
      <c r="BP45" s="100">
        <v>9.2366566371916985</v>
      </c>
      <c r="BQ45" s="100">
        <v>11538.431471179871</v>
      </c>
      <c r="BR45" s="100">
        <v>7.7270058709988517E-4</v>
      </c>
      <c r="BS45" s="100">
        <v>0.96525757340517659</v>
      </c>
      <c r="BT45" s="100">
        <v>8.7635785620183739</v>
      </c>
      <c r="BU45" s="100">
        <v>10947.462339673353</v>
      </c>
      <c r="BV45" s="100">
        <v>13.858592935571579</v>
      </c>
      <c r="BW45" s="100">
        <v>17312.154295116019</v>
      </c>
      <c r="BX45" s="100">
        <v>11</v>
      </c>
      <c r="BY45" s="100">
        <v>13741.2</v>
      </c>
      <c r="BZ45" s="100">
        <v>12.939634295129185</v>
      </c>
      <c r="CA45" s="100">
        <v>16164.191161475379</v>
      </c>
      <c r="CB45" s="100">
        <v>3.7921997058784789</v>
      </c>
      <c r="CC45" s="100">
        <v>4737.215872583396</v>
      </c>
      <c r="CD45" s="100">
        <v>8.8179796933589424E-4</v>
      </c>
      <c r="CE45" s="100">
        <v>1.1015420232943991</v>
      </c>
      <c r="CF45" s="100">
        <v>19.000353917721455</v>
      </c>
      <c r="CG45" s="100">
        <v>23735.242114017641</v>
      </c>
      <c r="CH45" s="100">
        <v>15</v>
      </c>
      <c r="CI45" s="100">
        <v>18738</v>
      </c>
      <c r="CJ45" s="100">
        <v>8.9470290272761712</v>
      </c>
      <c r="CK45" s="100">
        <v>11176.628660873394</v>
      </c>
      <c r="CL45" s="100">
        <v>12.68744235002711</v>
      </c>
      <c r="CM45" s="100">
        <v>15849.152983653867</v>
      </c>
      <c r="CN45" s="100">
        <v>12.74408271766116</v>
      </c>
      <c r="CO45" s="100">
        <v>15919.90813090232</v>
      </c>
      <c r="CP45" s="100">
        <v>12.866453882302624</v>
      </c>
      <c r="CQ45" s="100">
        <v>16072.774189772439</v>
      </c>
      <c r="CR45" s="100">
        <v>4.1054629818739068</v>
      </c>
      <c r="CS45" s="100">
        <v>5128.5443569568843</v>
      </c>
      <c r="CT45" s="100">
        <v>6.4243698973659189</v>
      </c>
      <c r="CU45" s="100">
        <v>8025.3228757895058</v>
      </c>
    </row>
    <row r="46" spans="2:99">
      <c r="C46" s="99" t="s">
        <v>212</v>
      </c>
      <c r="D46" s="100">
        <v>7.7426002784754555</v>
      </c>
      <c r="E46" s="100">
        <v>9384.0315375122518</v>
      </c>
      <c r="F46" s="100">
        <v>16.895102245466234</v>
      </c>
      <c r="G46" s="100">
        <v>20476.863921505075</v>
      </c>
      <c r="H46" s="100">
        <v>16.893611380483463</v>
      </c>
      <c r="I46" s="100">
        <v>20475.056993145958</v>
      </c>
      <c r="J46" s="100">
        <v>11.506749765403136</v>
      </c>
      <c r="K46" s="100">
        <v>13946.180715668601</v>
      </c>
      <c r="L46" s="100">
        <v>13.027284555831407</v>
      </c>
      <c r="M46" s="100">
        <v>15789.068881667667</v>
      </c>
      <c r="N46" s="100">
        <v>3.1983181476403915</v>
      </c>
      <c r="O46" s="100">
        <v>3876.3615949401546</v>
      </c>
      <c r="P46" s="100">
        <v>18.945482735672414</v>
      </c>
      <c r="Q46" s="100">
        <v>22961.925075634965</v>
      </c>
      <c r="R46" s="100">
        <v>4.0017308605537441</v>
      </c>
      <c r="S46" s="100">
        <v>4850.0978029911375</v>
      </c>
      <c r="T46" s="100">
        <v>15.82224980802293</v>
      </c>
      <c r="U46" s="100">
        <v>19176.566767323791</v>
      </c>
      <c r="V46" s="100">
        <v>15.885330734388752</v>
      </c>
      <c r="W46" s="100">
        <v>19253.020850079167</v>
      </c>
      <c r="X46" s="100">
        <v>1.3610855853240552E-3</v>
      </c>
      <c r="Y46" s="100">
        <v>1.6496357294127548</v>
      </c>
      <c r="Z46" s="100">
        <v>14.379432889829923</v>
      </c>
      <c r="AA46" s="100">
        <v>17427.872662473867</v>
      </c>
      <c r="AB46" s="100">
        <v>7.8650611279887483</v>
      </c>
      <c r="AC46" s="100">
        <v>9532.4540871223635</v>
      </c>
      <c r="AD46" s="100">
        <v>14.051087356201037</v>
      </c>
      <c r="AE46" s="100">
        <v>17029.917875715659</v>
      </c>
      <c r="AF46" s="100">
        <v>6.3133711776073449</v>
      </c>
      <c r="AG46" s="100">
        <v>7651.8058672601019</v>
      </c>
      <c r="AH46" s="100">
        <v>17.79314475461603</v>
      </c>
      <c r="AI46" s="100">
        <v>21565.291442594629</v>
      </c>
      <c r="AJ46" s="100">
        <v>11.438826082846454</v>
      </c>
      <c r="AK46" s="100">
        <v>13863.857212409903</v>
      </c>
      <c r="AL46" s="100">
        <v>1.1259635288071602E-3</v>
      </c>
      <c r="AM46" s="100">
        <v>1.3646677969142782</v>
      </c>
      <c r="AN46" s="100">
        <v>9.0004724837295669</v>
      </c>
      <c r="AO46" s="100">
        <v>10908.572650280235</v>
      </c>
      <c r="AP46" s="100">
        <v>15</v>
      </c>
      <c r="AQ46" s="100">
        <v>18180</v>
      </c>
      <c r="AR46" s="100">
        <v>15.88989948615168</v>
      </c>
      <c r="AS46" s="100">
        <v>19258.558177215837</v>
      </c>
      <c r="AT46" s="100">
        <v>10.148441068930666</v>
      </c>
      <c r="AU46" s="100">
        <v>12299.910575543967</v>
      </c>
      <c r="AV46" s="100">
        <v>11.00697571040336</v>
      </c>
      <c r="AW46" s="100">
        <v>13340.454561008872</v>
      </c>
      <c r="AX46" s="100">
        <v>9.3704923866289001</v>
      </c>
      <c r="AY46" s="100">
        <v>11357.036772594227</v>
      </c>
      <c r="AZ46" s="100">
        <v>3.5460762118966951</v>
      </c>
      <c r="BA46" s="100">
        <v>4297.8443688187945</v>
      </c>
      <c r="BB46" s="100">
        <v>14.61982698235159</v>
      </c>
      <c r="BC46" s="100">
        <v>17719.230302610125</v>
      </c>
      <c r="BD46" s="100">
        <v>13.411762167047955</v>
      </c>
      <c r="BE46" s="100">
        <v>16255.055746462122</v>
      </c>
      <c r="BF46" s="100">
        <v>11.755744810971251</v>
      </c>
      <c r="BG46" s="100">
        <v>14247.962710897156</v>
      </c>
      <c r="BH46" s="100">
        <v>3.7306991839208319</v>
      </c>
      <c r="BI46" s="100">
        <v>4521.6074109120482</v>
      </c>
      <c r="BJ46" s="100">
        <v>20.812780402721575</v>
      </c>
      <c r="BK46" s="100">
        <v>25225.089848098549</v>
      </c>
      <c r="BL46" s="100">
        <v>12.449282169395202</v>
      </c>
      <c r="BM46" s="100">
        <v>15088.529989306984</v>
      </c>
      <c r="BN46" s="100">
        <v>11.709918701870928</v>
      </c>
      <c r="BO46" s="100">
        <v>14192.421466667563</v>
      </c>
      <c r="BP46" s="100">
        <v>8.3969605792651798</v>
      </c>
      <c r="BQ46" s="100">
        <v>10177.116222069399</v>
      </c>
      <c r="BR46" s="100">
        <v>8.3917275751233802E-4</v>
      </c>
      <c r="BS46" s="100">
        <v>1.0170773821049537</v>
      </c>
      <c r="BT46" s="100">
        <v>8.7656880505729067</v>
      </c>
      <c r="BU46" s="100">
        <v>10624.013917294364</v>
      </c>
      <c r="BV46" s="100">
        <v>15.858592935571579</v>
      </c>
      <c r="BW46" s="100">
        <v>19220.614637912753</v>
      </c>
      <c r="BX46" s="100">
        <v>12</v>
      </c>
      <c r="BY46" s="100">
        <v>14544</v>
      </c>
      <c r="BZ46" s="100">
        <v>10.948921326647771</v>
      </c>
      <c r="CA46" s="100">
        <v>13270.092647897098</v>
      </c>
      <c r="CB46" s="100">
        <v>4.0212828313464142</v>
      </c>
      <c r="CC46" s="100">
        <v>4873.7947915918539</v>
      </c>
      <c r="CD46" s="100">
        <v>7.6422490675777507E-4</v>
      </c>
      <c r="CE46" s="100">
        <v>0.92624058699042344</v>
      </c>
      <c r="CF46" s="100">
        <v>19.000309678006275</v>
      </c>
      <c r="CG46" s="100">
        <v>23028.375329743605</v>
      </c>
      <c r="CH46" s="100">
        <v>14</v>
      </c>
      <c r="CI46" s="100">
        <v>16968</v>
      </c>
      <c r="CJ46" s="100">
        <v>8.9470290272761712</v>
      </c>
      <c r="CK46" s="100">
        <v>10843.799181058719</v>
      </c>
      <c r="CL46" s="100">
        <v>11.894477203150414</v>
      </c>
      <c r="CM46" s="100">
        <v>14416.106370218302</v>
      </c>
      <c r="CN46" s="100">
        <v>12.74408271766116</v>
      </c>
      <c r="CO46" s="100">
        <v>15445.828253805324</v>
      </c>
      <c r="CP46" s="100">
        <v>12.866453882302624</v>
      </c>
      <c r="CQ46" s="100">
        <v>15594.14210535078</v>
      </c>
      <c r="CR46" s="100">
        <v>4.1054629818739068</v>
      </c>
      <c r="CS46" s="100">
        <v>4975.8211340311755</v>
      </c>
      <c r="CT46" s="100">
        <v>6.9305006870311461</v>
      </c>
      <c r="CU46" s="100">
        <v>8399.7668326817493</v>
      </c>
    </row>
    <row r="47" spans="2:99">
      <c r="C47" s="99" t="s">
        <v>213</v>
      </c>
      <c r="D47" s="100">
        <v>8.3592952676649457</v>
      </c>
      <c r="E47" s="100">
        <v>12769.65945088497</v>
      </c>
      <c r="F47" s="100">
        <v>16.895102245466234</v>
      </c>
      <c r="G47" s="100">
        <v>25808.958190174217</v>
      </c>
      <c r="H47" s="100">
        <v>14.906127688661879</v>
      </c>
      <c r="I47" s="100">
        <v>22770.600657199884</v>
      </c>
      <c r="J47" s="100">
        <v>12.225921625740831</v>
      </c>
      <c r="K47" s="100">
        <v>18676.317875481691</v>
      </c>
      <c r="L47" s="100">
        <v>13.841489840570871</v>
      </c>
      <c r="M47" s="100">
        <v>21144.259880456062</v>
      </c>
      <c r="N47" s="100">
        <v>2.9177623556544647</v>
      </c>
      <c r="O47" s="100">
        <v>4457.17377449776</v>
      </c>
      <c r="P47" s="100">
        <v>19.945482735672414</v>
      </c>
      <c r="Q47" s="100">
        <v>30468.719427013177</v>
      </c>
      <c r="R47" s="100">
        <v>4.0017308605537441</v>
      </c>
      <c r="S47" s="100">
        <v>6113.0440625818992</v>
      </c>
      <c r="T47" s="100">
        <v>15.82224980802293</v>
      </c>
      <c r="U47" s="100">
        <v>24170.068806735824</v>
      </c>
      <c r="V47" s="100">
        <v>15.885330734388752</v>
      </c>
      <c r="W47" s="100">
        <v>24266.431229852256</v>
      </c>
      <c r="X47" s="100">
        <v>1.0953842664480299E-3</v>
      </c>
      <c r="Y47" s="100">
        <v>1.6733090054260105</v>
      </c>
      <c r="Z47" s="100">
        <v>12.286311452556191</v>
      </c>
      <c r="AA47" s="100">
        <v>18768.569374924835</v>
      </c>
      <c r="AB47" s="100">
        <v>6.6550517236827869</v>
      </c>
      <c r="AC47" s="100">
        <v>10166.257013097824</v>
      </c>
      <c r="AD47" s="100">
        <v>13.217264647376908</v>
      </c>
      <c r="AE47" s="100">
        <v>20190.693475332962</v>
      </c>
      <c r="AF47" s="100">
        <v>6.3133711776073449</v>
      </c>
      <c r="AG47" s="100">
        <v>9644.3058109129797</v>
      </c>
      <c r="AH47" s="100">
        <v>18.951773705539239</v>
      </c>
      <c r="AI47" s="100">
        <v>28950.72951258174</v>
      </c>
      <c r="AJ47" s="100">
        <v>12.784570327887213</v>
      </c>
      <c r="AK47" s="100">
        <v>19529.709632880506</v>
      </c>
      <c r="AL47" s="100">
        <v>1.0024765857694156E-3</v>
      </c>
      <c r="AM47" s="100">
        <v>1.5313832324213592</v>
      </c>
      <c r="AN47" s="100">
        <v>10.000472483729567</v>
      </c>
      <c r="AO47" s="100">
        <v>15276.721766145285</v>
      </c>
      <c r="AP47" s="100">
        <v>16</v>
      </c>
      <c r="AQ47" s="100">
        <v>24441.599999999999</v>
      </c>
      <c r="AR47" s="100">
        <v>13.085799576830798</v>
      </c>
      <c r="AS47" s="100">
        <v>19989.867433566727</v>
      </c>
      <c r="AT47" s="100">
        <v>9.4235524211499051</v>
      </c>
      <c r="AU47" s="100">
        <v>14395.418678548594</v>
      </c>
      <c r="AV47" s="100">
        <v>9.0490090546678665</v>
      </c>
      <c r="AW47" s="100">
        <v>13823.266231910633</v>
      </c>
      <c r="AX47" s="100">
        <v>9.3707995867140692</v>
      </c>
      <c r="AY47" s="100">
        <v>14314.833448664411</v>
      </c>
      <c r="AZ47" s="100">
        <v>3.5379751780330775</v>
      </c>
      <c r="BA47" s="100">
        <v>5404.6108819633291</v>
      </c>
      <c r="BB47" s="100">
        <v>13.61982698235159</v>
      </c>
      <c r="BC47" s="100">
        <v>20805.647698240289</v>
      </c>
      <c r="BD47" s="100">
        <v>12.517644689244758</v>
      </c>
      <c r="BE47" s="100">
        <v>19121.954027290292</v>
      </c>
      <c r="BF47" s="100">
        <v>13.435136926824288</v>
      </c>
      <c r="BG47" s="100">
        <v>20523.515169416783</v>
      </c>
      <c r="BH47" s="100">
        <v>3.7120248777632234</v>
      </c>
      <c r="BI47" s="100">
        <v>5670.4892032710995</v>
      </c>
      <c r="BJ47" s="100">
        <v>19.813952083003066</v>
      </c>
      <c r="BK47" s="100">
        <v>30267.793201995482</v>
      </c>
      <c r="BL47" s="100">
        <v>10.893121898220802</v>
      </c>
      <c r="BM47" s="100">
        <v>16640.333011722094</v>
      </c>
      <c r="BN47" s="100">
        <v>10.978048783003995</v>
      </c>
      <c r="BO47" s="100">
        <v>16770.067320916904</v>
      </c>
      <c r="BP47" s="100">
        <v>8.3969605792651798</v>
      </c>
      <c r="BQ47" s="100">
        <v>12827.196980885488</v>
      </c>
      <c r="BR47" s="100">
        <v>9.0883775196809132E-4</v>
      </c>
      <c r="BS47" s="100">
        <v>1.3883405499064563</v>
      </c>
      <c r="BT47" s="100">
        <v>8.0737028681377065</v>
      </c>
      <c r="BU47" s="100">
        <v>12333.388501367161</v>
      </c>
      <c r="BV47" s="100">
        <v>12.965917052518027</v>
      </c>
      <c r="BW47" s="100">
        <v>19806.734889426538</v>
      </c>
      <c r="BX47" s="100">
        <v>10</v>
      </c>
      <c r="BY47" s="100">
        <v>15276</v>
      </c>
      <c r="BZ47" s="100">
        <v>10.948921326647771</v>
      </c>
      <c r="CA47" s="100">
        <v>16725.572218587135</v>
      </c>
      <c r="CB47" s="100">
        <v>3.5525441055445839</v>
      </c>
      <c r="CC47" s="100">
        <v>5426.8663756299056</v>
      </c>
      <c r="CD47" s="100">
        <v>7.6422490675777507E-4</v>
      </c>
      <c r="CE47" s="100">
        <v>1.1674299675631772</v>
      </c>
      <c r="CF47" s="100">
        <v>18.000309678006275</v>
      </c>
      <c r="CG47" s="100">
        <v>27497.273064122382</v>
      </c>
      <c r="CH47" s="100">
        <v>16</v>
      </c>
      <c r="CI47" s="100">
        <v>24441.599999999999</v>
      </c>
      <c r="CJ47" s="100">
        <v>9.7603953024830954</v>
      </c>
      <c r="CK47" s="100">
        <v>14909.979864073175</v>
      </c>
      <c r="CL47" s="100">
        <v>11.894477203150414</v>
      </c>
      <c r="CM47" s="100">
        <v>18170.003375532571</v>
      </c>
      <c r="CN47" s="100">
        <v>12.74408271766116</v>
      </c>
      <c r="CO47" s="100">
        <v>19467.860759499184</v>
      </c>
      <c r="CP47" s="100">
        <v>12.062300514658709</v>
      </c>
      <c r="CQ47" s="100">
        <v>18426.370266192644</v>
      </c>
      <c r="CR47" s="100">
        <v>3.8639651594107356</v>
      </c>
      <c r="CS47" s="100">
        <v>5902.5931775158397</v>
      </c>
      <c r="CT47" s="100">
        <v>5.9203086996649512</v>
      </c>
      <c r="CU47" s="100">
        <v>9043.8635696081783</v>
      </c>
    </row>
    <row r="48" spans="2:99">
      <c r="C48" s="99" t="s">
        <v>214</v>
      </c>
      <c r="D48" s="100">
        <v>8.4869854075786044</v>
      </c>
      <c r="E48" s="100">
        <v>7363.3085396151973</v>
      </c>
      <c r="F48" s="100">
        <v>16</v>
      </c>
      <c r="G48" s="100">
        <v>13881.6</v>
      </c>
      <c r="H48" s="100">
        <v>16.893611380483463</v>
      </c>
      <c r="I48" s="100">
        <v>14656.897233707454</v>
      </c>
      <c r="J48" s="100">
        <v>10.787577905065438</v>
      </c>
      <c r="K48" s="100">
        <v>9359.3025904347742</v>
      </c>
      <c r="L48" s="100">
        <v>14.655695125310332</v>
      </c>
      <c r="M48" s="100">
        <v>12715.281090719245</v>
      </c>
      <c r="N48" s="100">
        <v>3.4788739396263186</v>
      </c>
      <c r="O48" s="100">
        <v>3018.2710300197941</v>
      </c>
      <c r="P48" s="100">
        <v>20.945482735672414</v>
      </c>
      <c r="Q48" s="100">
        <v>18172.300821469387</v>
      </c>
      <c r="R48" s="100">
        <v>4.8615450330728587</v>
      </c>
      <c r="S48" s="100">
        <v>4217.8764706940119</v>
      </c>
      <c r="T48" s="100">
        <v>14.986699769627515</v>
      </c>
      <c r="U48" s="100">
        <v>13002.460720128833</v>
      </c>
      <c r="V48" s="100">
        <v>15.885330734388752</v>
      </c>
      <c r="W48" s="100">
        <v>13782.112945155683</v>
      </c>
      <c r="X48" s="100">
        <v>1.2252731994365942E-3</v>
      </c>
      <c r="Y48" s="100">
        <v>1.0630470278311892</v>
      </c>
      <c r="Z48" s="100">
        <v>15.357889315695237</v>
      </c>
      <c r="AA48" s="100">
        <v>13324.504770297188</v>
      </c>
      <c r="AB48" s="100">
        <v>7.8650611279887483</v>
      </c>
      <c r="AC48" s="100">
        <v>6823.7270346430387</v>
      </c>
      <c r="AD48" s="100">
        <v>15.003230734194327</v>
      </c>
      <c r="AE48" s="100">
        <v>13016.802984986998</v>
      </c>
      <c r="AF48" s="100">
        <v>7.8917139720091809</v>
      </c>
      <c r="AG48" s="100">
        <v>6846.8510421151659</v>
      </c>
      <c r="AH48" s="100">
        <v>18.951773705539239</v>
      </c>
      <c r="AI48" s="100">
        <v>16442.558866925843</v>
      </c>
      <c r="AJ48" s="100">
        <v>12.111698205366833</v>
      </c>
      <c r="AK48" s="100">
        <v>10508.109362976265</v>
      </c>
      <c r="AL48" s="100">
        <v>1.1282067659560001E-3</v>
      </c>
      <c r="AM48" s="100">
        <v>0.97883219014342571</v>
      </c>
      <c r="AN48" s="100">
        <v>11.000531544195763</v>
      </c>
      <c r="AO48" s="100">
        <v>9544.0611677442448</v>
      </c>
      <c r="AP48" s="100">
        <v>17</v>
      </c>
      <c r="AQ48" s="100">
        <v>14749.2</v>
      </c>
      <c r="AR48" s="100">
        <v>15.88989948615168</v>
      </c>
      <c r="AS48" s="100">
        <v>13786.076794185199</v>
      </c>
      <c r="AT48" s="100">
        <v>9.4235524211499051</v>
      </c>
      <c r="AU48" s="100">
        <v>8175.8740805896578</v>
      </c>
      <c r="AV48" s="100">
        <v>11.00697571040336</v>
      </c>
      <c r="AW48" s="100">
        <v>9549.6521263459545</v>
      </c>
      <c r="AX48" s="100">
        <v>10.078644474723605</v>
      </c>
      <c r="AY48" s="100">
        <v>8744.2319462701998</v>
      </c>
      <c r="AZ48" s="100">
        <v>3.1088924608073212</v>
      </c>
      <c r="BA48" s="100">
        <v>2697.275098996432</v>
      </c>
      <c r="BB48" s="100">
        <v>14.61982698235159</v>
      </c>
      <c r="BC48" s="100">
        <v>12684.161889888241</v>
      </c>
      <c r="BD48" s="100">
        <v>13.411762167047955</v>
      </c>
      <c r="BE48" s="100">
        <v>11636.044856130806</v>
      </c>
      <c r="BF48" s="100">
        <v>13.435136926824288</v>
      </c>
      <c r="BG48" s="100">
        <v>11656.324797712752</v>
      </c>
      <c r="BH48" s="100">
        <v>4.0939186146110105</v>
      </c>
      <c r="BI48" s="100">
        <v>3551.8837900365129</v>
      </c>
      <c r="BJ48" s="100">
        <v>21.811608722440084</v>
      </c>
      <c r="BK48" s="100">
        <v>18923.751727589017</v>
      </c>
      <c r="BL48" s="100">
        <v>13.227362304982401</v>
      </c>
      <c r="BM48" s="100">
        <v>11476.059535802731</v>
      </c>
      <c r="BN48" s="100">
        <v>12.441788620737862</v>
      </c>
      <c r="BO48" s="100">
        <v>10794.495807352168</v>
      </c>
      <c r="BP48" s="100">
        <v>8.3969605792651798</v>
      </c>
      <c r="BQ48" s="100">
        <v>7285.2029985704703</v>
      </c>
      <c r="BR48" s="100">
        <v>9.7530992238054417E-4</v>
      </c>
      <c r="BS48" s="100">
        <v>0.84617888865736013</v>
      </c>
      <c r="BT48" s="100">
        <v>8.7635785620183739</v>
      </c>
      <c r="BU48" s="100">
        <v>7603.2807604071413</v>
      </c>
      <c r="BV48" s="100">
        <v>14.965917052518027</v>
      </c>
      <c r="BW48" s="100">
        <v>12984.42963476464</v>
      </c>
      <c r="BX48" s="100">
        <v>13</v>
      </c>
      <c r="BY48" s="100">
        <v>11278.800000000001</v>
      </c>
      <c r="BZ48" s="100">
        <v>12.939634295129185</v>
      </c>
      <c r="CA48" s="100">
        <v>11226.426714454081</v>
      </c>
      <c r="CB48" s="100">
        <v>4.2397934819483885</v>
      </c>
      <c r="CC48" s="100">
        <v>3678.4448249384218</v>
      </c>
      <c r="CD48" s="100">
        <v>8.2301143804683471E-4</v>
      </c>
      <c r="CE48" s="100">
        <v>0.71404472364943383</v>
      </c>
      <c r="CF48" s="100">
        <v>18.000309678006275</v>
      </c>
      <c r="CG48" s="100">
        <v>15617.068676638244</v>
      </c>
      <c r="CH48" s="100">
        <v>15</v>
      </c>
      <c r="CI48" s="100">
        <v>13014</v>
      </c>
      <c r="CJ48" s="100">
        <v>10.573761577690021</v>
      </c>
      <c r="CK48" s="100">
        <v>9173.7955448038629</v>
      </c>
      <c r="CL48" s="100">
        <v>12.68744235002711</v>
      </c>
      <c r="CM48" s="100">
        <v>11007.624982883521</v>
      </c>
      <c r="CN48" s="100">
        <v>12.74408271766116</v>
      </c>
      <c r="CO48" s="100">
        <v>11056.766165842822</v>
      </c>
      <c r="CP48" s="100">
        <v>12.062300514658709</v>
      </c>
      <c r="CQ48" s="100">
        <v>10465.251926517896</v>
      </c>
      <c r="CR48" s="100">
        <v>4.1054629818739068</v>
      </c>
      <c r="CS48" s="100">
        <v>3561.8996830738015</v>
      </c>
      <c r="CT48" s="100">
        <v>7.4324922927678543</v>
      </c>
      <c r="CU48" s="100">
        <v>6448.4303132053901</v>
      </c>
    </row>
    <row r="49" spans="2:99">
      <c r="B49" s="99" t="s">
        <v>129</v>
      </c>
      <c r="C49" s="99" t="s">
        <v>215</v>
      </c>
      <c r="D49" s="100">
        <v>3.9051019075625515</v>
      </c>
      <c r="E49" s="100">
        <v>3847.3063993306255</v>
      </c>
      <c r="F49" s="100">
        <v>9.8956126561504369</v>
      </c>
      <c r="G49" s="100">
        <v>9749.1575888394091</v>
      </c>
      <c r="H49" s="100">
        <v>9.4372037622079059</v>
      </c>
      <c r="I49" s="100">
        <v>9297.5331465272284</v>
      </c>
      <c r="J49" s="100">
        <v>0.66295074475896987</v>
      </c>
      <c r="K49" s="100">
        <v>653.13907373653706</v>
      </c>
      <c r="L49" s="100">
        <v>8.3453370472734569</v>
      </c>
      <c r="M49" s="100">
        <v>8221.8260589738093</v>
      </c>
      <c r="N49" s="100">
        <v>6</v>
      </c>
      <c r="O49" s="100">
        <v>5911.2</v>
      </c>
      <c r="P49" s="100">
        <v>6</v>
      </c>
      <c r="Q49" s="100">
        <v>5911.2</v>
      </c>
      <c r="R49" s="100">
        <v>5.7196027443165463</v>
      </c>
      <c r="S49" s="100">
        <v>5634.9526237006612</v>
      </c>
      <c r="T49" s="100">
        <v>6</v>
      </c>
      <c r="U49" s="100">
        <v>5911.2</v>
      </c>
      <c r="V49" s="100">
        <v>8</v>
      </c>
      <c r="W49" s="100">
        <v>7881.5999999999995</v>
      </c>
      <c r="X49" s="100">
        <v>9</v>
      </c>
      <c r="Y49" s="100">
        <v>8866.7999999999993</v>
      </c>
      <c r="Z49" s="100">
        <v>8</v>
      </c>
      <c r="AA49" s="100">
        <v>7881.5999999999995</v>
      </c>
      <c r="AB49" s="100">
        <v>9.7108206005447428</v>
      </c>
      <c r="AC49" s="100">
        <v>9567.1004556566804</v>
      </c>
      <c r="AD49" s="100">
        <v>8.7847310787151827</v>
      </c>
      <c r="AE49" s="100">
        <v>8654.7170587501969</v>
      </c>
      <c r="AF49" s="100">
        <v>6.7407407407406907</v>
      </c>
      <c r="AG49" s="100">
        <v>6640.9777777777281</v>
      </c>
      <c r="AH49" s="100">
        <v>7</v>
      </c>
      <c r="AI49" s="100">
        <v>6896.4</v>
      </c>
      <c r="AJ49" s="100">
        <v>4.8428357581374994</v>
      </c>
      <c r="AK49" s="100">
        <v>4771.1617889170639</v>
      </c>
      <c r="AL49" s="100">
        <v>5.1731835240283663</v>
      </c>
      <c r="AM49" s="100">
        <v>5096.620407872746</v>
      </c>
      <c r="AN49" s="100">
        <v>10</v>
      </c>
      <c r="AO49" s="100">
        <v>9852</v>
      </c>
      <c r="AP49" s="100">
        <v>6</v>
      </c>
      <c r="AQ49" s="100">
        <v>5911.2</v>
      </c>
      <c r="AR49" s="100">
        <v>6.1094954375881096</v>
      </c>
      <c r="AS49" s="100">
        <v>6019.0749051118055</v>
      </c>
      <c r="AT49" s="100">
        <v>10</v>
      </c>
      <c r="AU49" s="100">
        <v>9852</v>
      </c>
      <c r="AV49" s="100">
        <v>7</v>
      </c>
      <c r="AW49" s="100">
        <v>6896.4</v>
      </c>
      <c r="AX49" s="100">
        <v>8.9676822238664169</v>
      </c>
      <c r="AY49" s="100">
        <v>8834.960526953193</v>
      </c>
      <c r="AZ49" s="100">
        <v>10</v>
      </c>
      <c r="BA49" s="100">
        <v>9852</v>
      </c>
      <c r="BB49" s="100">
        <v>10</v>
      </c>
      <c r="BC49" s="100">
        <v>9852</v>
      </c>
      <c r="BD49" s="100">
        <v>9</v>
      </c>
      <c r="BE49" s="100">
        <v>8866.7999999999993</v>
      </c>
      <c r="BF49" s="100">
        <v>4.7953462631038395</v>
      </c>
      <c r="BG49" s="100">
        <v>4724.3751384099023</v>
      </c>
      <c r="BH49" s="100">
        <v>8</v>
      </c>
      <c r="BI49" s="100">
        <v>7881.5999999999995</v>
      </c>
      <c r="BJ49" s="100">
        <v>7</v>
      </c>
      <c r="BK49" s="100">
        <v>6896.4</v>
      </c>
      <c r="BL49" s="100">
        <v>7.9475495010422588</v>
      </c>
      <c r="BM49" s="100">
        <v>7829.9257684268332</v>
      </c>
      <c r="BN49" s="100">
        <v>0.53507855722664666</v>
      </c>
      <c r="BO49" s="100">
        <v>527.15939457969228</v>
      </c>
      <c r="BP49" s="100">
        <v>11</v>
      </c>
      <c r="BQ49" s="100">
        <v>10837.199999999999</v>
      </c>
      <c r="BR49" s="100">
        <v>10</v>
      </c>
      <c r="BS49" s="100">
        <v>9852</v>
      </c>
      <c r="BT49" s="100">
        <v>9</v>
      </c>
      <c r="BU49" s="100">
        <v>8866.7999999999993</v>
      </c>
      <c r="BV49" s="100">
        <v>7</v>
      </c>
      <c r="BW49" s="100">
        <v>6896.4</v>
      </c>
      <c r="BX49" s="100">
        <v>11</v>
      </c>
      <c r="BY49" s="100">
        <v>10837.199999999999</v>
      </c>
      <c r="BZ49" s="100">
        <v>4.7765028852126639</v>
      </c>
      <c r="CA49" s="100">
        <v>4705.8106425115166</v>
      </c>
      <c r="CB49" s="100">
        <v>6.9580737088651148</v>
      </c>
      <c r="CC49" s="100">
        <v>6855.0942179739104</v>
      </c>
      <c r="CD49" s="100">
        <v>4.7991554137349537</v>
      </c>
      <c r="CE49" s="100">
        <v>4728.1279136116764</v>
      </c>
      <c r="CF49" s="100">
        <v>8</v>
      </c>
      <c r="CG49" s="100">
        <v>7881.5999999999995</v>
      </c>
      <c r="CH49" s="100">
        <v>10</v>
      </c>
      <c r="CI49" s="100">
        <v>9852</v>
      </c>
      <c r="CJ49" s="100">
        <v>9</v>
      </c>
      <c r="CK49" s="100">
        <v>8866.7999999999993</v>
      </c>
      <c r="CL49" s="100">
        <v>6.41430791272668</v>
      </c>
      <c r="CM49" s="100">
        <v>6319.3761556183244</v>
      </c>
      <c r="CN49" s="100">
        <v>9</v>
      </c>
      <c r="CO49" s="100">
        <v>8866.7999999999993</v>
      </c>
      <c r="CP49" s="100">
        <v>6.5400766853696251</v>
      </c>
      <c r="CQ49" s="100">
        <v>6443.2835504261539</v>
      </c>
      <c r="CR49" s="100">
        <v>9</v>
      </c>
      <c r="CS49" s="100">
        <v>8866.7999999999993</v>
      </c>
      <c r="CT49" s="100">
        <v>5</v>
      </c>
      <c r="CU49" s="100">
        <v>4926</v>
      </c>
    </row>
    <row r="50" spans="2:99">
      <c r="C50" s="99" t="s">
        <v>216</v>
      </c>
      <c r="D50" s="100">
        <v>7.3457761332194949</v>
      </c>
      <c r="E50" s="100">
        <v>2071.5088695678974</v>
      </c>
      <c r="F50" s="100">
        <v>11.559438903416396</v>
      </c>
      <c r="G50" s="100">
        <v>3259.7617707634236</v>
      </c>
      <c r="H50" s="100">
        <v>10.931160305018713</v>
      </c>
      <c r="I50" s="100">
        <v>3082.5872060152769</v>
      </c>
      <c r="J50" s="100">
        <v>5.7533748827015678</v>
      </c>
      <c r="K50" s="100">
        <v>1622.451716921842</v>
      </c>
      <c r="L50" s="100">
        <v>7.3278475626551662</v>
      </c>
      <c r="M50" s="100">
        <v>2066.4530126687569</v>
      </c>
      <c r="N50" s="100">
        <v>1.8235902966595559</v>
      </c>
      <c r="O50" s="100">
        <v>514.25246365799478</v>
      </c>
      <c r="P50" s="100">
        <v>8.1030631916178155</v>
      </c>
      <c r="Q50" s="100">
        <v>2285.0638200362241</v>
      </c>
      <c r="R50" s="100">
        <v>3.4392566900764581</v>
      </c>
      <c r="S50" s="100">
        <v>969.87038660156122</v>
      </c>
      <c r="T50" s="100">
        <v>8.1511497312321008</v>
      </c>
      <c r="U50" s="100">
        <v>2298.6242242074522</v>
      </c>
      <c r="V50" s="100">
        <v>8.4098809770293386</v>
      </c>
      <c r="W50" s="100">
        <v>2371.5864355222734</v>
      </c>
      <c r="X50" s="100">
        <v>7.514107120552058E-4</v>
      </c>
      <c r="Y50" s="100">
        <v>0.21189782079956804</v>
      </c>
      <c r="Z50" s="100">
        <v>11.444063612233986</v>
      </c>
      <c r="AA50" s="100">
        <v>3227.2259386499841</v>
      </c>
      <c r="AB50" s="100">
        <v>6.6550517236827869</v>
      </c>
      <c r="AC50" s="100">
        <v>1876.7245860785458</v>
      </c>
      <c r="AD50" s="100">
        <v>9.0481511032562487</v>
      </c>
      <c r="AE50" s="100">
        <v>2551.578611118262</v>
      </c>
      <c r="AF50" s="100">
        <v>4.2089141184048966</v>
      </c>
      <c r="AG50" s="100">
        <v>1186.9137813901809</v>
      </c>
      <c r="AH50" s="100">
        <v>8.7931447546160317</v>
      </c>
      <c r="AI50" s="100">
        <v>2479.6668208017209</v>
      </c>
      <c r="AJ50" s="100">
        <v>6.7287212252037962</v>
      </c>
      <c r="AK50" s="100">
        <v>1897.4993855074706</v>
      </c>
      <c r="AL50" s="100">
        <v>6.915159910262144E-4</v>
      </c>
      <c r="AM50" s="100">
        <v>0.19500750946939246</v>
      </c>
      <c r="AN50" s="100">
        <v>10.000295302330979</v>
      </c>
      <c r="AO50" s="100">
        <v>2820.083275257336</v>
      </c>
      <c r="AP50" s="100">
        <v>7</v>
      </c>
      <c r="AQ50" s="100">
        <v>1974</v>
      </c>
      <c r="AR50" s="100">
        <v>7.4775997581890268</v>
      </c>
      <c r="AS50" s="100">
        <v>2108.6831318093055</v>
      </c>
      <c r="AT50" s="100">
        <v>7.248886477807619</v>
      </c>
      <c r="AU50" s="100">
        <v>2044.1859867417486</v>
      </c>
      <c r="AV50" s="100">
        <v>7.4508120567689309</v>
      </c>
      <c r="AW50" s="100">
        <v>2101.1290000088384</v>
      </c>
      <c r="AX50" s="100">
        <v>7.0277156899290896</v>
      </c>
      <c r="AY50" s="100">
        <v>1981.8158245600032</v>
      </c>
      <c r="AZ50" s="100">
        <v>2.6312035403998593</v>
      </c>
      <c r="BA50" s="100">
        <v>741.99939839276033</v>
      </c>
      <c r="BB50" s="100">
        <v>10.495861585881272</v>
      </c>
      <c r="BC50" s="100">
        <v>2959.8329672185187</v>
      </c>
      <c r="BD50" s="100">
        <v>8.9411747780319697</v>
      </c>
      <c r="BE50" s="100">
        <v>2521.4112874050156</v>
      </c>
      <c r="BF50" s="100">
        <v>8.3969605792651798</v>
      </c>
      <c r="BG50" s="100">
        <v>2367.9428833527809</v>
      </c>
      <c r="BH50" s="100">
        <v>1.9841659088693748</v>
      </c>
      <c r="BI50" s="100">
        <v>559.53478630116365</v>
      </c>
      <c r="BJ50" s="100">
        <v>9.5469308830341735</v>
      </c>
      <c r="BK50" s="100">
        <v>2692.2345090156368</v>
      </c>
      <c r="BL50" s="100">
        <v>7.0027212202848004</v>
      </c>
      <c r="BM50" s="100">
        <v>1974.7673841203136</v>
      </c>
      <c r="BN50" s="100">
        <v>4.3912195132015981</v>
      </c>
      <c r="BO50" s="100">
        <v>1238.3239027228506</v>
      </c>
      <c r="BP50" s="100">
        <v>9.2366566371916985</v>
      </c>
      <c r="BQ50" s="100">
        <v>2604.7371716880589</v>
      </c>
      <c r="BR50" s="100">
        <v>6.2538853808012825E-4</v>
      </c>
      <c r="BS50" s="100">
        <v>0.17635956773859618</v>
      </c>
      <c r="BT50" s="100">
        <v>6.589439262606688</v>
      </c>
      <c r="BU50" s="100">
        <v>1858.2218720550861</v>
      </c>
      <c r="BV50" s="100">
        <v>8.4292964677857896</v>
      </c>
      <c r="BW50" s="100">
        <v>2377.0616039155925</v>
      </c>
      <c r="BX50" s="100">
        <v>10</v>
      </c>
      <c r="BY50" s="100">
        <v>2820</v>
      </c>
      <c r="BZ50" s="100">
        <v>6.9674953896849461</v>
      </c>
      <c r="CA50" s="100">
        <v>1964.8336998911548</v>
      </c>
      <c r="CB50" s="100">
        <v>1.6035818782755444</v>
      </c>
      <c r="CC50" s="100">
        <v>452.21008967370352</v>
      </c>
      <c r="CD50" s="100">
        <v>6.466518441796558E-4</v>
      </c>
      <c r="CE50" s="100">
        <v>0.18235582005866294</v>
      </c>
      <c r="CF50" s="100">
        <v>8.0001769588607274</v>
      </c>
      <c r="CG50" s="100">
        <v>2256.049902398725</v>
      </c>
      <c r="CH50" s="100">
        <v>11</v>
      </c>
      <c r="CI50" s="100">
        <v>3102</v>
      </c>
      <c r="CJ50" s="100">
        <v>6.5069302016553969</v>
      </c>
      <c r="CK50" s="100">
        <v>1834.954316866822</v>
      </c>
      <c r="CL50" s="100">
        <v>5.5507560281368606</v>
      </c>
      <c r="CM50" s="100">
        <v>1565.3131999345946</v>
      </c>
      <c r="CN50" s="100">
        <v>7.0800459542561995</v>
      </c>
      <c r="CO50" s="100">
        <v>1996.5729591002482</v>
      </c>
      <c r="CP50" s="100">
        <v>8.8456870440830535</v>
      </c>
      <c r="CQ50" s="100">
        <v>2494.483746431421</v>
      </c>
      <c r="CR50" s="100">
        <v>2.1734804021685386</v>
      </c>
      <c r="CS50" s="100">
        <v>612.92147341152793</v>
      </c>
      <c r="CT50" s="100">
        <v>3.3772371995532486</v>
      </c>
      <c r="CU50" s="100">
        <v>952.38089027401611</v>
      </c>
    </row>
    <row r="51" spans="2:99">
      <c r="C51" s="99" t="s">
        <v>217</v>
      </c>
      <c r="D51" s="100">
        <v>7.3457761332194949</v>
      </c>
      <c r="E51" s="100">
        <v>6276.2311282227365</v>
      </c>
      <c r="F51" s="100">
        <v>10.559438903416396</v>
      </c>
      <c r="G51" s="100">
        <v>9021.984599078969</v>
      </c>
      <c r="H51" s="100">
        <v>8.9436766131971286</v>
      </c>
      <c r="I51" s="100">
        <v>7641.4772983156263</v>
      </c>
      <c r="J51" s="100">
        <v>5.7533748827015678</v>
      </c>
      <c r="K51" s="100">
        <v>4915.6834997802198</v>
      </c>
      <c r="L51" s="100">
        <v>7.3278475626551662</v>
      </c>
      <c r="M51" s="100">
        <v>6260.9129575325742</v>
      </c>
      <c r="N51" s="100">
        <v>1.8235902966595559</v>
      </c>
      <c r="O51" s="100">
        <v>1558.0755494659245</v>
      </c>
      <c r="P51" s="100">
        <v>6.9454827356724129</v>
      </c>
      <c r="Q51" s="100">
        <v>5934.2204493585095</v>
      </c>
      <c r="R51" s="100">
        <v>3.4392566900764581</v>
      </c>
      <c r="S51" s="100">
        <v>2938.5009160013255</v>
      </c>
      <c r="T51" s="100">
        <v>6.9866997696275144</v>
      </c>
      <c r="U51" s="100">
        <v>5969.4362831697481</v>
      </c>
      <c r="V51" s="100">
        <v>7.4754497573594128</v>
      </c>
      <c r="W51" s="100">
        <v>6387.0242726878823</v>
      </c>
      <c r="X51" s="100">
        <v>6.8498538233619953E-4</v>
      </c>
      <c r="Y51" s="100">
        <v>0.58525151066804881</v>
      </c>
      <c r="Z51" s="100">
        <v>9.4871507605033578</v>
      </c>
      <c r="AA51" s="100">
        <v>8105.8216097740687</v>
      </c>
      <c r="AB51" s="100">
        <v>6.6550517236827869</v>
      </c>
      <c r="AC51" s="100">
        <v>5686.0761927145732</v>
      </c>
      <c r="AD51" s="100">
        <v>8.2143283944321155</v>
      </c>
      <c r="AE51" s="100">
        <v>7018.3221802027992</v>
      </c>
      <c r="AF51" s="100">
        <v>4.2089141184048966</v>
      </c>
      <c r="AG51" s="100">
        <v>3596.0962227651435</v>
      </c>
      <c r="AH51" s="100">
        <v>7.7931447546160317</v>
      </c>
      <c r="AI51" s="100">
        <v>6658.4628783439375</v>
      </c>
      <c r="AJ51" s="100">
        <v>6.0558491026834167</v>
      </c>
      <c r="AK51" s="100">
        <v>5174.1174733327107</v>
      </c>
      <c r="AL51" s="100">
        <v>6.2865090093292214E-4</v>
      </c>
      <c r="AM51" s="100">
        <v>0.53711932975708865</v>
      </c>
      <c r="AN51" s="100">
        <v>9.0003543627971752</v>
      </c>
      <c r="AO51" s="100">
        <v>7689.9027675739062</v>
      </c>
      <c r="AP51" s="100">
        <v>6</v>
      </c>
      <c r="AQ51" s="100">
        <v>5126.3999999999996</v>
      </c>
      <c r="AR51" s="100">
        <v>5.6081998186417703</v>
      </c>
      <c r="AS51" s="100">
        <v>4791.6459250475282</v>
      </c>
      <c r="AT51" s="100">
        <v>7.248886477807619</v>
      </c>
      <c r="AU51" s="100">
        <v>6193.4486066388299</v>
      </c>
      <c r="AV51" s="100">
        <v>7.0910423989323732</v>
      </c>
      <c r="AW51" s="100">
        <v>6058.5866256478193</v>
      </c>
      <c r="AX51" s="100">
        <v>7.7355605779386281</v>
      </c>
      <c r="AY51" s="100">
        <v>6609.2629577907637</v>
      </c>
      <c r="AZ51" s="100">
        <v>2.2021208231741034</v>
      </c>
      <c r="BA51" s="100">
        <v>1881.4920313199539</v>
      </c>
      <c r="BB51" s="100">
        <v>9.495861585881272</v>
      </c>
      <c r="BC51" s="100">
        <v>8113.2641389769587</v>
      </c>
      <c r="BD51" s="100">
        <v>8.047057300228774</v>
      </c>
      <c r="BE51" s="100">
        <v>6875.4057573154641</v>
      </c>
      <c r="BF51" s="100">
        <v>7.5572645213386611</v>
      </c>
      <c r="BG51" s="100">
        <v>6456.9268070317521</v>
      </c>
      <c r="BH51" s="100">
        <v>1.7932190404454811</v>
      </c>
      <c r="BI51" s="100">
        <v>1532.1263481566191</v>
      </c>
      <c r="BJ51" s="100">
        <v>8.6874715647075629</v>
      </c>
      <c r="BK51" s="100">
        <v>7422.5757048861415</v>
      </c>
      <c r="BL51" s="100">
        <v>7.7808013558720015</v>
      </c>
      <c r="BM51" s="100">
        <v>6647.916678457038</v>
      </c>
      <c r="BN51" s="100">
        <v>4.3912195132015981</v>
      </c>
      <c r="BO51" s="100">
        <v>3751.8579520794451</v>
      </c>
      <c r="BP51" s="100">
        <v>9.2366566371916985</v>
      </c>
      <c r="BQ51" s="100">
        <v>7891.7994308165871</v>
      </c>
      <c r="BR51" s="100">
        <v>6.2538853808012825E-4</v>
      </c>
      <c r="BS51" s="100">
        <v>0.53433196693566154</v>
      </c>
      <c r="BT51" s="100">
        <v>6.5873297740521561</v>
      </c>
      <c r="BU51" s="100">
        <v>5628.2145589501624</v>
      </c>
      <c r="BV51" s="100">
        <v>7.4292964677857896</v>
      </c>
      <c r="BW51" s="100">
        <v>6347.5909020761783</v>
      </c>
      <c r="BX51" s="100">
        <v>11</v>
      </c>
      <c r="BY51" s="100">
        <v>9398.4</v>
      </c>
      <c r="BZ51" s="100">
        <v>6.9674953896849461</v>
      </c>
      <c r="CA51" s="100">
        <v>5953.0280609468182</v>
      </c>
      <c r="CB51" s="100">
        <v>1.6035818782755444</v>
      </c>
      <c r="CC51" s="100">
        <v>1370.1003567986252</v>
      </c>
      <c r="CD51" s="100">
        <v>5.8786531289059616E-4</v>
      </c>
      <c r="CE51" s="100">
        <v>0.5022721233337254</v>
      </c>
      <c r="CF51" s="100">
        <v>9.0001769588607274</v>
      </c>
      <c r="CG51" s="100">
        <v>7689.7511936506053</v>
      </c>
      <c r="CH51" s="100">
        <v>10</v>
      </c>
      <c r="CI51" s="100">
        <v>8544</v>
      </c>
      <c r="CJ51" s="100">
        <v>6.5069302016553969</v>
      </c>
      <c r="CK51" s="100">
        <v>5559.5211642943714</v>
      </c>
      <c r="CL51" s="100">
        <v>5.5507560281368606</v>
      </c>
      <c r="CM51" s="100">
        <v>4742.5659504401337</v>
      </c>
      <c r="CN51" s="100">
        <v>7.7880505496818202</v>
      </c>
      <c r="CO51" s="100">
        <v>6654.1103896481472</v>
      </c>
      <c r="CP51" s="100">
        <v>8.0415336764391405</v>
      </c>
      <c r="CQ51" s="100">
        <v>6870.6863731496014</v>
      </c>
      <c r="CR51" s="100">
        <v>2.4149782246317097</v>
      </c>
      <c r="CS51" s="100">
        <v>2063.3573951253329</v>
      </c>
      <c r="CT51" s="100">
        <v>3.3066631968837599</v>
      </c>
      <c r="CU51" s="100">
        <v>2825.2130354174842</v>
      </c>
    </row>
    <row r="52" spans="2:99">
      <c r="C52" s="99" t="s">
        <v>218</v>
      </c>
      <c r="D52" s="100">
        <v>6.5994261861856334</v>
      </c>
      <c r="E52" s="100">
        <v>3563.6901405402418</v>
      </c>
      <c r="F52" s="100">
        <v>9.6713266840996752</v>
      </c>
      <c r="G52" s="100">
        <v>5222.5164094138245</v>
      </c>
      <c r="H52" s="100">
        <v>10.931160305018713</v>
      </c>
      <c r="I52" s="100">
        <v>5902.8265647101052</v>
      </c>
      <c r="J52" s="100">
        <v>5.7533748827015678</v>
      </c>
      <c r="K52" s="100">
        <v>3106.8224366588465</v>
      </c>
      <c r="L52" s="100">
        <v>6.5136422779157037</v>
      </c>
      <c r="M52" s="100">
        <v>3517.3668300744798</v>
      </c>
      <c r="N52" s="100">
        <v>1.8235902966595559</v>
      </c>
      <c r="O52" s="100">
        <v>984.73876019616011</v>
      </c>
      <c r="P52" s="100">
        <v>7.1030631916178155</v>
      </c>
      <c r="Q52" s="100">
        <v>3835.6541234736205</v>
      </c>
      <c r="R52" s="100">
        <v>3.4392566900764581</v>
      </c>
      <c r="S52" s="100">
        <v>1857.1986126412874</v>
      </c>
      <c r="T52" s="100">
        <v>7.9866997696275144</v>
      </c>
      <c r="U52" s="100">
        <v>4312.8178755988574</v>
      </c>
      <c r="V52" s="100">
        <v>9.3443121966992653</v>
      </c>
      <c r="W52" s="100">
        <v>5045.928586217603</v>
      </c>
      <c r="X52" s="100">
        <v>6.1856005261719325E-4</v>
      </c>
      <c r="Y52" s="100">
        <v>0.33402242841328433</v>
      </c>
      <c r="Z52" s="100">
        <v>9.6233593460464668</v>
      </c>
      <c r="AA52" s="100">
        <v>5196.614046865092</v>
      </c>
      <c r="AB52" s="100">
        <v>6.6550517236827869</v>
      </c>
      <c r="AC52" s="100">
        <v>3593.7279307887047</v>
      </c>
      <c r="AD52" s="100">
        <v>9.7636531429112257</v>
      </c>
      <c r="AE52" s="100">
        <v>5272.3726971720616</v>
      </c>
      <c r="AF52" s="100">
        <v>3.6827998536042847</v>
      </c>
      <c r="AG52" s="100">
        <v>1988.7119209463137</v>
      </c>
      <c r="AH52" s="100">
        <v>8.7931447546160317</v>
      </c>
      <c r="AI52" s="100">
        <v>4748.2981674926568</v>
      </c>
      <c r="AJ52" s="100">
        <v>5.3829769801630372</v>
      </c>
      <c r="AK52" s="100">
        <v>2906.8075692880402</v>
      </c>
      <c r="AL52" s="100">
        <v>5.6578581083962999E-4</v>
      </c>
      <c r="AM52" s="100">
        <v>0.30552433785340022</v>
      </c>
      <c r="AN52" s="100">
        <v>9.0002953023309793</v>
      </c>
      <c r="AO52" s="100">
        <v>4860.1594632587285</v>
      </c>
      <c r="AP52" s="100">
        <v>6</v>
      </c>
      <c r="AQ52" s="100">
        <v>3240</v>
      </c>
      <c r="AR52" s="100">
        <v>6.542899788415399</v>
      </c>
      <c r="AS52" s="100">
        <v>3533.1658857443153</v>
      </c>
      <c r="AT52" s="100">
        <v>7.248886477807619</v>
      </c>
      <c r="AU52" s="100">
        <v>3914.3986980161144</v>
      </c>
      <c r="AV52" s="100">
        <v>6.5194605496728153</v>
      </c>
      <c r="AW52" s="100">
        <v>3520.5086968233204</v>
      </c>
      <c r="AX52" s="100">
        <v>7.8447207941464736</v>
      </c>
      <c r="AY52" s="100">
        <v>4236.1492288390955</v>
      </c>
      <c r="AZ52" s="100">
        <v>2.210221857037721</v>
      </c>
      <c r="BA52" s="100">
        <v>1193.5198028003692</v>
      </c>
      <c r="BB52" s="100">
        <v>9.495861585881272</v>
      </c>
      <c r="BC52" s="100">
        <v>5127.7652563758866</v>
      </c>
      <c r="BD52" s="100">
        <v>8.9411747780319697</v>
      </c>
      <c r="BE52" s="100">
        <v>4828.2343801372635</v>
      </c>
      <c r="BF52" s="100">
        <v>8.3969605792651798</v>
      </c>
      <c r="BG52" s="100">
        <v>4534.3587128031968</v>
      </c>
      <c r="BH52" s="100">
        <v>1.7932190404454811</v>
      </c>
      <c r="BI52" s="100">
        <v>968.33828184055983</v>
      </c>
      <c r="BJ52" s="100">
        <v>7.5492742435971554</v>
      </c>
      <c r="BK52" s="100">
        <v>4076.6080915424641</v>
      </c>
      <c r="BL52" s="100">
        <v>7.7808013558720015</v>
      </c>
      <c r="BM52" s="100">
        <v>4201.6327321708804</v>
      </c>
      <c r="BN52" s="100">
        <v>4.3912195132015981</v>
      </c>
      <c r="BO52" s="100">
        <v>2371.2585371288628</v>
      </c>
      <c r="BP52" s="100">
        <v>10.076352695118215</v>
      </c>
      <c r="BQ52" s="100">
        <v>5441.230455363836</v>
      </c>
      <c r="BR52" s="100">
        <v>6.9505353253588122E-4</v>
      </c>
      <c r="BS52" s="100">
        <v>0.37532890756937587</v>
      </c>
      <c r="BT52" s="100">
        <v>7.2238946147707139</v>
      </c>
      <c r="BU52" s="100">
        <v>3900.9030919761854</v>
      </c>
      <c r="BV52" s="100">
        <v>7.4292964677857896</v>
      </c>
      <c r="BW52" s="100">
        <v>4011.8200926043264</v>
      </c>
      <c r="BX52" s="100">
        <v>10</v>
      </c>
      <c r="BY52" s="100">
        <v>5400</v>
      </c>
      <c r="BZ52" s="100">
        <v>6.9674953896849461</v>
      </c>
      <c r="CA52" s="100">
        <v>3762.4475104298708</v>
      </c>
      <c r="CB52" s="100">
        <v>1.6035818782755444</v>
      </c>
      <c r="CC52" s="100">
        <v>865.93421426879399</v>
      </c>
      <c r="CD52" s="100">
        <v>6.466518441796558E-4</v>
      </c>
      <c r="CE52" s="100">
        <v>0.3491919958570141</v>
      </c>
      <c r="CF52" s="100">
        <v>8.0001769588607274</v>
      </c>
      <c r="CG52" s="100">
        <v>4320.0955577847926</v>
      </c>
      <c r="CH52" s="100">
        <v>10</v>
      </c>
      <c r="CI52" s="100">
        <v>5400</v>
      </c>
      <c r="CJ52" s="100">
        <v>6.5069302016553969</v>
      </c>
      <c r="CK52" s="100">
        <v>3513.7423088939145</v>
      </c>
      <c r="CL52" s="100">
        <v>5.5507560281368606</v>
      </c>
      <c r="CM52" s="100">
        <v>2997.4082551939046</v>
      </c>
      <c r="CN52" s="100">
        <v>8.4960551451074391</v>
      </c>
      <c r="CO52" s="100">
        <v>4587.8697783580174</v>
      </c>
      <c r="CP52" s="100">
        <v>8.8456870440830535</v>
      </c>
      <c r="CQ52" s="100">
        <v>4776.6710038048486</v>
      </c>
      <c r="CR52" s="100">
        <v>2.4149782246317097</v>
      </c>
      <c r="CS52" s="100">
        <v>1304.0882413011232</v>
      </c>
      <c r="CT52" s="100">
        <v>2.8938719214948843</v>
      </c>
      <c r="CU52" s="100">
        <v>1562.6908376072374</v>
      </c>
    </row>
    <row r="53" spans="2:99">
      <c r="C53" s="99" t="s">
        <v>219</v>
      </c>
      <c r="D53" s="100">
        <v>7.3634594945958982</v>
      </c>
      <c r="E53" s="100">
        <v>2995.4553224016113</v>
      </c>
      <c r="F53" s="100">
        <v>9.559438903416396</v>
      </c>
      <c r="G53" s="100">
        <v>3888.7797459097901</v>
      </c>
      <c r="H53" s="100">
        <v>8.9436766131971286</v>
      </c>
      <c r="I53" s="100">
        <v>3638.287646248592</v>
      </c>
      <c r="J53" s="100">
        <v>7.1917186033769598</v>
      </c>
      <c r="K53" s="100">
        <v>2925.5911278537474</v>
      </c>
      <c r="L53" s="100">
        <v>6.5136422779157037</v>
      </c>
      <c r="M53" s="100">
        <v>2649.7496786561082</v>
      </c>
      <c r="N53" s="100">
        <v>1.8235902966595559</v>
      </c>
      <c r="O53" s="100">
        <v>741.83653268110731</v>
      </c>
      <c r="P53" s="100">
        <v>7.9454827356724129</v>
      </c>
      <c r="Q53" s="100">
        <v>3232.2223768715376</v>
      </c>
      <c r="R53" s="100">
        <v>3.4392566900764581</v>
      </c>
      <c r="S53" s="100">
        <v>1399.0896215231032</v>
      </c>
      <c r="T53" s="100">
        <v>7.1511497312321008</v>
      </c>
      <c r="U53" s="100">
        <v>2909.0877106652188</v>
      </c>
      <c r="V53" s="100">
        <v>8.4098809770293386</v>
      </c>
      <c r="W53" s="100">
        <v>3421.1395814555349</v>
      </c>
      <c r="X53" s="100">
        <v>6.2152177906664137E-4</v>
      </c>
      <c r="Y53" s="100">
        <v>0.2528350597243097</v>
      </c>
      <c r="Z53" s="100">
        <v>10.465607186368672</v>
      </c>
      <c r="AA53" s="100">
        <v>4257.4090034147757</v>
      </c>
      <c r="AB53" s="100">
        <v>7.260056425835768</v>
      </c>
      <c r="AC53" s="100">
        <v>2953.3909540299906</v>
      </c>
      <c r="AD53" s="100">
        <v>9.8819738120803802</v>
      </c>
      <c r="AE53" s="100">
        <v>4019.986946754299</v>
      </c>
      <c r="AF53" s="100">
        <v>4.2089141184048966</v>
      </c>
      <c r="AG53" s="100">
        <v>1712.1862633671119</v>
      </c>
      <c r="AH53" s="100">
        <v>7.7931447546160317</v>
      </c>
      <c r="AI53" s="100">
        <v>3170.2512861778018</v>
      </c>
      <c r="AJ53" s="100">
        <v>6.7287212252037962</v>
      </c>
      <c r="AK53" s="100">
        <v>2737.2437944129042</v>
      </c>
      <c r="AL53" s="100">
        <v>5.6690742941404985E-4</v>
      </c>
      <c r="AM53" s="100">
        <v>0.23061794228563548</v>
      </c>
      <c r="AN53" s="100">
        <v>9.0002953023309793</v>
      </c>
      <c r="AO53" s="100">
        <v>3661.3201289882427</v>
      </c>
      <c r="AP53" s="100">
        <v>7</v>
      </c>
      <c r="AQ53" s="100">
        <v>2847.6</v>
      </c>
      <c r="AR53" s="100">
        <v>6.542899788415399</v>
      </c>
      <c r="AS53" s="100">
        <v>2661.6516339273844</v>
      </c>
      <c r="AT53" s="100">
        <v>7.9737751255883804</v>
      </c>
      <c r="AU53" s="100">
        <v>3243.7317210893534</v>
      </c>
      <c r="AV53" s="100">
        <v>7.0910423989323732</v>
      </c>
      <c r="AW53" s="100">
        <v>2884.6360478856895</v>
      </c>
      <c r="AX53" s="100">
        <v>7.8447207941464736</v>
      </c>
      <c r="AY53" s="100">
        <v>3191.2324190587856</v>
      </c>
      <c r="AZ53" s="100">
        <v>2.4166621817869816</v>
      </c>
      <c r="BA53" s="100">
        <v>983.09817555094412</v>
      </c>
      <c r="BB53" s="100">
        <v>10.495861585881272</v>
      </c>
      <c r="BC53" s="100">
        <v>4269.7164931365014</v>
      </c>
      <c r="BD53" s="100">
        <v>8.047057300228774</v>
      </c>
      <c r="BE53" s="100">
        <v>3273.5429097330652</v>
      </c>
      <c r="BF53" s="100">
        <v>7.5572645213386611</v>
      </c>
      <c r="BG53" s="100">
        <v>3074.2952072805674</v>
      </c>
      <c r="BH53" s="100">
        <v>1.9841659088693748</v>
      </c>
      <c r="BI53" s="100">
        <v>807.15869172806174</v>
      </c>
      <c r="BJ53" s="100">
        <v>8.6874715647075629</v>
      </c>
      <c r="BK53" s="100">
        <v>3534.0634325230367</v>
      </c>
      <c r="BL53" s="100">
        <v>7.0027212202848004</v>
      </c>
      <c r="BM53" s="100">
        <v>2848.7069924118568</v>
      </c>
      <c r="BN53" s="100">
        <v>4.3912195132015981</v>
      </c>
      <c r="BO53" s="100">
        <v>1786.3480979704102</v>
      </c>
      <c r="BP53" s="100">
        <v>10.076352695118215</v>
      </c>
      <c r="BQ53" s="100">
        <v>4099.0602763740899</v>
      </c>
      <c r="BR53" s="100">
        <v>6.9345712051423116E-4</v>
      </c>
      <c r="BS53" s="100">
        <v>0.28209835662518923</v>
      </c>
      <c r="BT53" s="100">
        <v>7.8583499669347407</v>
      </c>
      <c r="BU53" s="100">
        <v>3196.7767665490528</v>
      </c>
      <c r="BV53" s="100">
        <v>8.4292964677857896</v>
      </c>
      <c r="BW53" s="100">
        <v>3429.0378030952593</v>
      </c>
      <c r="BX53" s="100">
        <v>11</v>
      </c>
      <c r="BY53" s="100">
        <v>4474.8</v>
      </c>
      <c r="BZ53" s="100">
        <v>6.9674953896849461</v>
      </c>
      <c r="CA53" s="100">
        <v>2834.3771245238363</v>
      </c>
      <c r="CB53" s="100">
        <v>1.8326650037434793</v>
      </c>
      <c r="CC53" s="100">
        <v>745.52812352284741</v>
      </c>
      <c r="CD53" s="100">
        <v>7.6422490675777507E-4</v>
      </c>
      <c r="CE53" s="100">
        <v>0.31088669206906289</v>
      </c>
      <c r="CF53" s="100">
        <v>9.0001769588607274</v>
      </c>
      <c r="CG53" s="100">
        <v>3661.271986864544</v>
      </c>
      <c r="CH53" s="100">
        <v>10</v>
      </c>
      <c r="CI53" s="100">
        <v>4068</v>
      </c>
      <c r="CJ53" s="100">
        <v>7.320296476862322</v>
      </c>
      <c r="CK53" s="100">
        <v>2977.8966067875926</v>
      </c>
      <c r="CL53" s="100">
        <v>6.3437211750135551</v>
      </c>
      <c r="CM53" s="100">
        <v>2580.6257739955145</v>
      </c>
      <c r="CN53" s="100">
        <v>7.0800459542561995</v>
      </c>
      <c r="CO53" s="100">
        <v>2880.1626941914219</v>
      </c>
      <c r="CP53" s="100">
        <v>8.0415336764391405</v>
      </c>
      <c r="CQ53" s="100">
        <v>3271.2958995754425</v>
      </c>
      <c r="CR53" s="100">
        <v>2.1734804021685386</v>
      </c>
      <c r="CS53" s="100">
        <v>884.17182760216156</v>
      </c>
      <c r="CT53" s="100">
        <v>3.3772371995532486</v>
      </c>
      <c r="CU53" s="100">
        <v>1373.8600927782616</v>
      </c>
    </row>
    <row r="54" spans="2:99">
      <c r="C54" s="99" t="s">
        <v>220</v>
      </c>
      <c r="D54" s="100">
        <v>7.3614946766651865</v>
      </c>
      <c r="E54" s="100">
        <v>2464.6284177475045</v>
      </c>
      <c r="F54" s="100">
        <v>11.671326684099675</v>
      </c>
      <c r="G54" s="100">
        <v>3907.5601738365713</v>
      </c>
      <c r="H54" s="100">
        <v>9.9374184591079189</v>
      </c>
      <c r="I54" s="100">
        <v>3327.0477001093313</v>
      </c>
      <c r="J54" s="100">
        <v>5.7533748827015678</v>
      </c>
      <c r="K54" s="100">
        <v>1926.229910728485</v>
      </c>
      <c r="L54" s="100">
        <v>7.3278475626551662</v>
      </c>
      <c r="M54" s="100">
        <v>2453.3633639769496</v>
      </c>
      <c r="N54" s="100">
        <v>1.8095647421851564</v>
      </c>
      <c r="O54" s="100">
        <v>605.8422756835904</v>
      </c>
      <c r="P54" s="100">
        <v>7.9454827356724129</v>
      </c>
      <c r="Q54" s="100">
        <v>2660.147619903124</v>
      </c>
      <c r="R54" s="100">
        <v>3.4392566900764581</v>
      </c>
      <c r="S54" s="100">
        <v>1151.4631398375982</v>
      </c>
      <c r="T54" s="100">
        <v>6.9866997696275144</v>
      </c>
      <c r="U54" s="100">
        <v>2339.1470828712918</v>
      </c>
      <c r="V54" s="100">
        <v>9.3443121966992653</v>
      </c>
      <c r="W54" s="100">
        <v>3128.4757234549143</v>
      </c>
      <c r="X54" s="100">
        <v>6.8794710878564776E-4</v>
      </c>
      <c r="Y54" s="100">
        <v>0.23032469202143488</v>
      </c>
      <c r="Z54" s="100">
        <v>11.444063612233986</v>
      </c>
      <c r="AA54" s="100">
        <v>3831.4724973759385</v>
      </c>
      <c r="AB54" s="100">
        <v>6.0500470215298074</v>
      </c>
      <c r="AC54" s="100">
        <v>2025.5557428081795</v>
      </c>
      <c r="AD54" s="100">
        <v>8.9298304340870942</v>
      </c>
      <c r="AE54" s="100">
        <v>2989.707229332359</v>
      </c>
      <c r="AF54" s="100">
        <v>3.6827998536042847</v>
      </c>
      <c r="AG54" s="100">
        <v>1233.0013909867146</v>
      </c>
      <c r="AH54" s="100">
        <v>8.7931447546160317</v>
      </c>
      <c r="AI54" s="100">
        <v>2943.9448638454473</v>
      </c>
      <c r="AJ54" s="100">
        <v>6.0558491026834167</v>
      </c>
      <c r="AK54" s="100">
        <v>2027.4982795784081</v>
      </c>
      <c r="AL54" s="100">
        <v>6.2752928235850229E-4</v>
      </c>
      <c r="AM54" s="100">
        <v>0.21009680373362657</v>
      </c>
      <c r="AN54" s="100">
        <v>10.000295302330979</v>
      </c>
      <c r="AO54" s="100">
        <v>3348.0988672204121</v>
      </c>
      <c r="AP54" s="100">
        <v>6</v>
      </c>
      <c r="AQ54" s="100">
        <v>2008.8000000000002</v>
      </c>
      <c r="AR54" s="100">
        <v>6.542899788415399</v>
      </c>
      <c r="AS54" s="100">
        <v>2190.5628491614757</v>
      </c>
      <c r="AT54" s="100">
        <v>7.248886477807619</v>
      </c>
      <c r="AU54" s="100">
        <v>2426.9271927699911</v>
      </c>
      <c r="AV54" s="100">
        <v>8.0223939060284906</v>
      </c>
      <c r="AW54" s="100">
        <v>2685.8974797383389</v>
      </c>
      <c r="AX54" s="100">
        <v>7.8447207941464736</v>
      </c>
      <c r="AY54" s="100">
        <v>2626.4125218802396</v>
      </c>
      <c r="AZ54" s="100">
        <v>2.4166621817869816</v>
      </c>
      <c r="BA54" s="100">
        <v>809.09849846228144</v>
      </c>
      <c r="BB54" s="100">
        <v>11.495861585881272</v>
      </c>
      <c r="BC54" s="100">
        <v>3848.8144589530502</v>
      </c>
      <c r="BD54" s="100">
        <v>8.047057300228774</v>
      </c>
      <c r="BE54" s="100">
        <v>2694.1547841165934</v>
      </c>
      <c r="BF54" s="100">
        <v>8.3969605792651798</v>
      </c>
      <c r="BG54" s="100">
        <v>2811.3024019379823</v>
      </c>
      <c r="BH54" s="100">
        <v>1.802556193524286</v>
      </c>
      <c r="BI54" s="100">
        <v>603.49581359193098</v>
      </c>
      <c r="BJ54" s="100">
        <v>7.6886432449890529</v>
      </c>
      <c r="BK54" s="100">
        <v>2574.1577584223351</v>
      </c>
      <c r="BL54" s="100">
        <v>7.0027212202848004</v>
      </c>
      <c r="BM54" s="100">
        <v>2344.5110645513514</v>
      </c>
      <c r="BN54" s="100">
        <v>4.3912195132015981</v>
      </c>
      <c r="BO54" s="100">
        <v>1470.1802930198951</v>
      </c>
      <c r="BP54" s="100">
        <v>9.2366566371916985</v>
      </c>
      <c r="BQ54" s="100">
        <v>3092.4326421317805</v>
      </c>
      <c r="BR54" s="100">
        <v>6.2538853808012825E-4</v>
      </c>
      <c r="BS54" s="100">
        <v>0.20938008254922694</v>
      </c>
      <c r="BT54" s="100">
        <v>6.589439262606688</v>
      </c>
      <c r="BU54" s="100">
        <v>2206.1442651207194</v>
      </c>
      <c r="BV54" s="100">
        <v>7.4292964677857896</v>
      </c>
      <c r="BW54" s="100">
        <v>2487.3284574146824</v>
      </c>
      <c r="BX54" s="100">
        <v>11</v>
      </c>
      <c r="BY54" s="100">
        <v>3682.8</v>
      </c>
      <c r="BZ54" s="100">
        <v>5.9721389054442398</v>
      </c>
      <c r="CA54" s="100">
        <v>1999.4721055427315</v>
      </c>
      <c r="CB54" s="100">
        <v>1.8326650037434793</v>
      </c>
      <c r="CC54" s="100">
        <v>613.57624325331687</v>
      </c>
      <c r="CD54" s="100">
        <v>6.466518441796558E-4</v>
      </c>
      <c r="CE54" s="100">
        <v>0.21649903743134877</v>
      </c>
      <c r="CF54" s="100">
        <v>8.0002211985759093</v>
      </c>
      <c r="CG54" s="100">
        <v>2678.4740572832147</v>
      </c>
      <c r="CH54" s="100">
        <v>11</v>
      </c>
      <c r="CI54" s="100">
        <v>3682.8</v>
      </c>
      <c r="CJ54" s="100">
        <v>8.1336627520692453</v>
      </c>
      <c r="CK54" s="100">
        <v>2723.1502893927836</v>
      </c>
      <c r="CL54" s="100">
        <v>5.5507560281368606</v>
      </c>
      <c r="CM54" s="100">
        <v>1858.3931182202209</v>
      </c>
      <c r="CN54" s="100">
        <v>7.0800459542561995</v>
      </c>
      <c r="CO54" s="100">
        <v>2370.3993854849755</v>
      </c>
      <c r="CP54" s="100">
        <v>8.0415336764391405</v>
      </c>
      <c r="CQ54" s="100">
        <v>2692.3054748718241</v>
      </c>
      <c r="CR54" s="100">
        <v>2.4149782246317097</v>
      </c>
      <c r="CS54" s="100">
        <v>808.53470960669642</v>
      </c>
      <c r="CT54" s="100">
        <v>2.8731760018522805</v>
      </c>
      <c r="CU54" s="100">
        <v>961.93932542014352</v>
      </c>
    </row>
    <row r="55" spans="2:99">
      <c r="C55" s="99" t="s">
        <v>221</v>
      </c>
      <c r="D55" s="100">
        <v>6.6151447296313259</v>
      </c>
      <c r="E55" s="100">
        <v>4389.8100425833481</v>
      </c>
      <c r="F55" s="100">
        <v>9.559438903416396</v>
      </c>
      <c r="G55" s="100">
        <v>6343.6436563071202</v>
      </c>
      <c r="H55" s="100">
        <v>8.9436766131971286</v>
      </c>
      <c r="I55" s="100">
        <v>5935.0238005176143</v>
      </c>
      <c r="J55" s="100">
        <v>6.4725467430392642</v>
      </c>
      <c r="K55" s="100">
        <v>4295.1820186808563</v>
      </c>
      <c r="L55" s="100">
        <v>6.5136422779157037</v>
      </c>
      <c r="M55" s="100">
        <v>4322.4530156248611</v>
      </c>
      <c r="N55" s="100">
        <v>1.8235902966595559</v>
      </c>
      <c r="O55" s="100">
        <v>1210.1345208632813</v>
      </c>
      <c r="P55" s="100">
        <v>6.9454827356724129</v>
      </c>
      <c r="Q55" s="100">
        <v>4609.0223433922138</v>
      </c>
      <c r="R55" s="100">
        <v>3.4392566900764581</v>
      </c>
      <c r="S55" s="100">
        <v>2282.2907395347374</v>
      </c>
      <c r="T55" s="100">
        <v>8.1511497312321008</v>
      </c>
      <c r="U55" s="100">
        <v>5409.1029616456226</v>
      </c>
      <c r="V55" s="100">
        <v>8.4098809770293386</v>
      </c>
      <c r="W55" s="100">
        <v>5580.7970163566697</v>
      </c>
      <c r="X55" s="100">
        <v>6.8498538233619953E-4</v>
      </c>
      <c r="Y55" s="100">
        <v>0.45455629971830203</v>
      </c>
      <c r="Z55" s="100">
        <v>9.6233593460464668</v>
      </c>
      <c r="AA55" s="100">
        <v>6386.0612620364354</v>
      </c>
      <c r="AB55" s="100">
        <v>6.6550517236827869</v>
      </c>
      <c r="AC55" s="100">
        <v>4416.2923238358972</v>
      </c>
      <c r="AD55" s="100">
        <v>8.9298304340870942</v>
      </c>
      <c r="AE55" s="100">
        <v>5925.835476060196</v>
      </c>
      <c r="AF55" s="100">
        <v>4.2089141184048966</v>
      </c>
      <c r="AG55" s="100">
        <v>2793.0354089734897</v>
      </c>
      <c r="AH55" s="100">
        <v>7.7931447546160317</v>
      </c>
      <c r="AI55" s="100">
        <v>5171.5308591631992</v>
      </c>
      <c r="AJ55" s="100">
        <v>6.0558491026834167</v>
      </c>
      <c r="AK55" s="100">
        <v>4018.6614645407153</v>
      </c>
      <c r="AL55" s="100">
        <v>6.2752928235850229E-4</v>
      </c>
      <c r="AM55" s="100">
        <v>0.41642843177310213</v>
      </c>
      <c r="AN55" s="100">
        <v>9.0002953023309793</v>
      </c>
      <c r="AO55" s="100">
        <v>5972.5959626268377</v>
      </c>
      <c r="AP55" s="100">
        <v>6</v>
      </c>
      <c r="AQ55" s="100">
        <v>3981.6000000000004</v>
      </c>
      <c r="AR55" s="100">
        <v>6.542899788415399</v>
      </c>
      <c r="AS55" s="100">
        <v>4341.8682995924592</v>
      </c>
      <c r="AT55" s="100">
        <v>7.9737751255883804</v>
      </c>
      <c r="AU55" s="100">
        <v>5291.3971733404496</v>
      </c>
      <c r="AV55" s="100">
        <v>7.0910423989323732</v>
      </c>
      <c r="AW55" s="100">
        <v>4705.615735931523</v>
      </c>
      <c r="AX55" s="100">
        <v>7.0280228900142587</v>
      </c>
      <c r="AY55" s="100">
        <v>4663.7959898134623</v>
      </c>
      <c r="AZ55" s="100">
        <v>2.210221857037721</v>
      </c>
      <c r="BA55" s="100">
        <v>1466.7032243302317</v>
      </c>
      <c r="BB55" s="100">
        <v>10.495861585881272</v>
      </c>
      <c r="BC55" s="100">
        <v>6965.053748390812</v>
      </c>
      <c r="BD55" s="100">
        <v>8.9411747780319697</v>
      </c>
      <c r="BE55" s="100">
        <v>5933.3635827020153</v>
      </c>
      <c r="BF55" s="100">
        <v>8.3969605792651798</v>
      </c>
      <c r="BG55" s="100">
        <v>5572.2230404003731</v>
      </c>
      <c r="BH55" s="100">
        <v>1.802556193524286</v>
      </c>
      <c r="BI55" s="100">
        <v>1196.1762900227161</v>
      </c>
      <c r="BJ55" s="100">
        <v>7.5492742435971554</v>
      </c>
      <c r="BK55" s="100">
        <v>5009.6983880510725</v>
      </c>
      <c r="BL55" s="100">
        <v>6.224641084697601</v>
      </c>
      <c r="BM55" s="100">
        <v>4130.6718238053281</v>
      </c>
      <c r="BN55" s="100">
        <v>4.3912195132015981</v>
      </c>
      <c r="BO55" s="100">
        <v>2914.0132689605807</v>
      </c>
      <c r="BP55" s="100">
        <v>8.3969605792651798</v>
      </c>
      <c r="BQ55" s="100">
        <v>5572.2230404003731</v>
      </c>
      <c r="BR55" s="100">
        <v>6.9505353253588122E-4</v>
      </c>
      <c r="BS55" s="100">
        <v>0.46123752419081082</v>
      </c>
      <c r="BT55" s="100">
        <v>7.2238946147707139</v>
      </c>
      <c r="BU55" s="100">
        <v>4793.7764663618464</v>
      </c>
      <c r="BV55" s="100">
        <v>8.4292964677857896</v>
      </c>
      <c r="BW55" s="100">
        <v>5593.6811360226502</v>
      </c>
      <c r="BX55" s="100">
        <v>10</v>
      </c>
      <c r="BY55" s="100">
        <v>6636</v>
      </c>
      <c r="BZ55" s="100">
        <v>5.9721389054442398</v>
      </c>
      <c r="CA55" s="100">
        <v>3963.1113776527977</v>
      </c>
      <c r="CB55" s="100">
        <v>1.6035818782755444</v>
      </c>
      <c r="CC55" s="100">
        <v>1064.1369344236514</v>
      </c>
      <c r="CD55" s="100">
        <v>6.466518441796558E-4</v>
      </c>
      <c r="CE55" s="100">
        <v>0.42911816379761958</v>
      </c>
      <c r="CF55" s="100">
        <v>8.0002211985759093</v>
      </c>
      <c r="CG55" s="100">
        <v>5308.9467873749736</v>
      </c>
      <c r="CH55" s="100">
        <v>11</v>
      </c>
      <c r="CI55" s="100">
        <v>7299.6</v>
      </c>
      <c r="CJ55" s="100">
        <v>7.320296476862322</v>
      </c>
      <c r="CK55" s="100">
        <v>4857.7487420458374</v>
      </c>
      <c r="CL55" s="100">
        <v>5.5507560281368606</v>
      </c>
      <c r="CM55" s="100">
        <v>3683.4817002716209</v>
      </c>
      <c r="CN55" s="100">
        <v>7.7880505496818202</v>
      </c>
      <c r="CO55" s="100">
        <v>5168.1503447688565</v>
      </c>
      <c r="CP55" s="100">
        <v>8.0415336764391405</v>
      </c>
      <c r="CQ55" s="100">
        <v>5336.3617476850141</v>
      </c>
      <c r="CR55" s="100">
        <v>2.1734804021685386</v>
      </c>
      <c r="CS55" s="100">
        <v>1442.3215948790423</v>
      </c>
      <c r="CT55" s="100">
        <v>3.3772371995532486</v>
      </c>
      <c r="CU55" s="100">
        <v>2241.1346056235357</v>
      </c>
    </row>
    <row r="56" spans="2:99">
      <c r="C56" s="99" t="s">
        <v>222</v>
      </c>
      <c r="D56" s="100">
        <v>6.7995954042812938</v>
      </c>
      <c r="E56" s="100">
        <v>6674.4828488425173</v>
      </c>
      <c r="F56" s="100">
        <v>1.834182597316659</v>
      </c>
      <c r="G56" s="100">
        <v>1800.4336375260323</v>
      </c>
      <c r="H56" s="100">
        <v>6.4656821021332673</v>
      </c>
      <c r="I56" s="100">
        <v>6346.713551454015</v>
      </c>
      <c r="J56" s="100">
        <v>7.6434165888047989</v>
      </c>
      <c r="K56" s="100">
        <v>7502.7777235707899</v>
      </c>
      <c r="L56" s="100">
        <v>6.3648848024166185</v>
      </c>
      <c r="M56" s="100">
        <v>6247.7709220521519</v>
      </c>
      <c r="N56" s="100">
        <v>5.4574681691317606</v>
      </c>
      <c r="O56" s="100">
        <v>5357.0507548197356</v>
      </c>
      <c r="P56" s="100">
        <v>4.1869233649027562</v>
      </c>
      <c r="Q56" s="100">
        <v>4109.8839749885447</v>
      </c>
      <c r="R56" s="100">
        <v>5.1258950411475412</v>
      </c>
      <c r="S56" s="100">
        <v>5031.5785723904264</v>
      </c>
      <c r="T56" s="100">
        <v>4.6992456877742921</v>
      </c>
      <c r="U56" s="100">
        <v>4612.7795671192443</v>
      </c>
      <c r="V56" s="100">
        <v>6.5745793839865732</v>
      </c>
      <c r="W56" s="100">
        <v>6453.6071233212197</v>
      </c>
      <c r="X56" s="100">
        <v>5.9975351916148183</v>
      </c>
      <c r="Y56" s="100">
        <v>5887.1805440891048</v>
      </c>
      <c r="Z56" s="100">
        <v>3.0485918191084451</v>
      </c>
      <c r="AA56" s="100">
        <v>2992.4977296368493</v>
      </c>
      <c r="AB56" s="100">
        <v>6.4578140054841544</v>
      </c>
      <c r="AC56" s="100">
        <v>6338.9902277832452</v>
      </c>
      <c r="AD56" s="100">
        <v>7.1375686700727963</v>
      </c>
      <c r="AE56" s="100">
        <v>7006.237406543456</v>
      </c>
      <c r="AF56" s="100">
        <v>7.000000000000024</v>
      </c>
      <c r="AG56" s="100">
        <v>6871.2000000000226</v>
      </c>
      <c r="AH56" s="100">
        <v>3.6626960772113173</v>
      </c>
      <c r="AI56" s="100">
        <v>3595.3024693906286</v>
      </c>
      <c r="AJ56" s="100">
        <v>8.4016694774233258</v>
      </c>
      <c r="AK56" s="100">
        <v>8247.0787590387354</v>
      </c>
      <c r="AL56" s="100">
        <v>7.3043464494741848</v>
      </c>
      <c r="AM56" s="100">
        <v>7169.946474803859</v>
      </c>
      <c r="AN56" s="100">
        <v>6.821183030301758</v>
      </c>
      <c r="AO56" s="100">
        <v>6695.6732625442046</v>
      </c>
      <c r="AP56" s="100">
        <v>5.5316061390009272</v>
      </c>
      <c r="AQ56" s="100">
        <v>5429.8245860433099</v>
      </c>
      <c r="AR56" s="100">
        <v>5.5405123128494527</v>
      </c>
      <c r="AS56" s="100">
        <v>5438.5668862930224</v>
      </c>
      <c r="AT56" s="100">
        <v>8.1880895907794695</v>
      </c>
      <c r="AU56" s="100">
        <v>8037.4287423091264</v>
      </c>
      <c r="AV56" s="100">
        <v>4.3300340107056154</v>
      </c>
      <c r="AW56" s="100">
        <v>4250.3613849086314</v>
      </c>
      <c r="AX56" s="100">
        <v>5.6081265530926672</v>
      </c>
      <c r="AY56" s="100">
        <v>5504.9370245157615</v>
      </c>
      <c r="AZ56" s="100">
        <v>7.4692595049311237</v>
      </c>
      <c r="BA56" s="100">
        <v>7331.8251300403899</v>
      </c>
      <c r="BB56" s="100">
        <v>6.571766099405405</v>
      </c>
      <c r="BC56" s="100">
        <v>6450.8456031763453</v>
      </c>
      <c r="BD56" s="100">
        <v>6.6794928847948691</v>
      </c>
      <c r="BE56" s="100">
        <v>6556.5902157146429</v>
      </c>
      <c r="BF56" s="100">
        <v>8.4358769842170869</v>
      </c>
      <c r="BG56" s="100">
        <v>8280.6568477074925</v>
      </c>
      <c r="BH56" s="100">
        <v>6.6482706781362788</v>
      </c>
      <c r="BI56" s="100">
        <v>6525.9424976585706</v>
      </c>
      <c r="BJ56" s="100">
        <v>2.3311998204767579</v>
      </c>
      <c r="BK56" s="100">
        <v>2288.3057437799853</v>
      </c>
      <c r="BL56" s="100">
        <v>9.6774058235287672</v>
      </c>
      <c r="BM56" s="100">
        <v>9499.3415563758372</v>
      </c>
      <c r="BN56" s="100">
        <v>3.7607472054447388</v>
      </c>
      <c r="BO56" s="100">
        <v>3691.5494568645554</v>
      </c>
      <c r="BP56" s="100">
        <v>7.5917946451465248</v>
      </c>
      <c r="BQ56" s="100">
        <v>7452.1056236758277</v>
      </c>
      <c r="BR56" s="100">
        <v>6.9490802121199158</v>
      </c>
      <c r="BS56" s="100">
        <v>6821.2171362169083</v>
      </c>
      <c r="BT56" s="100">
        <v>7.7619112187268691</v>
      </c>
      <c r="BU56" s="100">
        <v>7619.0920523022942</v>
      </c>
      <c r="BV56" s="100">
        <v>3.0998921462632487</v>
      </c>
      <c r="BW56" s="100">
        <v>3042.8541307720047</v>
      </c>
      <c r="BX56" s="100">
        <v>10.509119263758372</v>
      </c>
      <c r="BY56" s="100">
        <v>10315.751469305216</v>
      </c>
      <c r="BZ56" s="100">
        <v>4.4081855133439722</v>
      </c>
      <c r="CA56" s="100">
        <v>4327.0748998984427</v>
      </c>
      <c r="CB56" s="100">
        <v>4.4347406481904867</v>
      </c>
      <c r="CC56" s="100">
        <v>4353.1414202637816</v>
      </c>
      <c r="CD56" s="100">
        <v>2.8264658547609214</v>
      </c>
      <c r="CE56" s="100">
        <v>2774.45888303332</v>
      </c>
      <c r="CF56" s="100">
        <v>8.6637021979019924</v>
      </c>
      <c r="CG56" s="100">
        <v>8504.2900774605951</v>
      </c>
      <c r="CH56" s="100">
        <v>3.2181783529815373</v>
      </c>
      <c r="CI56" s="100">
        <v>3158.9638712866767</v>
      </c>
      <c r="CJ56" s="100">
        <v>4.3075581205447619</v>
      </c>
      <c r="CK56" s="100">
        <v>4228.299051126738</v>
      </c>
      <c r="CL56" s="100">
        <v>3.5910488474282256</v>
      </c>
      <c r="CM56" s="100">
        <v>3524.9735486355457</v>
      </c>
      <c r="CN56" s="100">
        <v>7.8597399339425555</v>
      </c>
      <c r="CO56" s="100">
        <v>7715.1207191580115</v>
      </c>
      <c r="CP56" s="100">
        <v>0.4537695402595725</v>
      </c>
      <c r="CQ56" s="100">
        <v>445.4201807187963</v>
      </c>
      <c r="CR56" s="100">
        <v>5.9363381337313381</v>
      </c>
      <c r="CS56" s="100">
        <v>5827.1095120706814</v>
      </c>
      <c r="CT56" s="100">
        <v>4.1330905997490612</v>
      </c>
      <c r="CU56" s="100">
        <v>4057.0417327136784</v>
      </c>
    </row>
    <row r="57" spans="2:99">
      <c r="C57" s="99" t="s">
        <v>223</v>
      </c>
      <c r="D57" s="100">
        <v>7.3614946766651865</v>
      </c>
      <c r="E57" s="100">
        <v>10388.541287709912</v>
      </c>
      <c r="F57" s="100">
        <v>10.559438903416396</v>
      </c>
      <c r="G57" s="100">
        <v>14901.480180501219</v>
      </c>
      <c r="H57" s="100">
        <v>8.9436766131971286</v>
      </c>
      <c r="I57" s="100">
        <v>12621.316436543788</v>
      </c>
      <c r="J57" s="100">
        <v>5.7533748827015678</v>
      </c>
      <c r="K57" s="100">
        <v>8119.1626344684528</v>
      </c>
      <c r="L57" s="100">
        <v>6.5136422779157037</v>
      </c>
      <c r="M57" s="100">
        <v>9192.0519825946412</v>
      </c>
      <c r="N57" s="100">
        <v>1.5290089501992294</v>
      </c>
      <c r="O57" s="100">
        <v>2157.7374305211529</v>
      </c>
      <c r="P57" s="100">
        <v>6.9454827356724129</v>
      </c>
      <c r="Q57" s="100">
        <v>9801.4652365809088</v>
      </c>
      <c r="R57" s="100">
        <v>3.0093496038169008</v>
      </c>
      <c r="S57" s="100">
        <v>4246.7941609064101</v>
      </c>
      <c r="T57" s="100">
        <v>5.9866997696275144</v>
      </c>
      <c r="U57" s="100">
        <v>8448.430714898348</v>
      </c>
      <c r="V57" s="100">
        <v>7.4754497573594128</v>
      </c>
      <c r="W57" s="100">
        <v>10549.354697585604</v>
      </c>
      <c r="X57" s="100">
        <v>6.1856005261719325E-4</v>
      </c>
      <c r="Y57" s="100">
        <v>0.8729119462533832</v>
      </c>
      <c r="Z57" s="100">
        <v>9.6233593460464668</v>
      </c>
      <c r="AA57" s="100">
        <v>13580.484709140774</v>
      </c>
      <c r="AB57" s="100">
        <v>6.0500470215298074</v>
      </c>
      <c r="AC57" s="100">
        <v>8537.8263567828653</v>
      </c>
      <c r="AD57" s="100">
        <v>8.096007725262961</v>
      </c>
      <c r="AE57" s="100">
        <v>11425.086101891091</v>
      </c>
      <c r="AF57" s="100">
        <v>3.1566855888036724</v>
      </c>
      <c r="AG57" s="100">
        <v>4454.7147029197431</v>
      </c>
      <c r="AH57" s="100">
        <v>7.7931447546160317</v>
      </c>
      <c r="AI57" s="100">
        <v>10997.685877714144</v>
      </c>
      <c r="AJ57" s="100">
        <v>6.0558491026834167</v>
      </c>
      <c r="AK57" s="100">
        <v>8546.0142537068386</v>
      </c>
      <c r="AL57" s="100">
        <v>5.0404233932075781E-4</v>
      </c>
      <c r="AM57" s="100">
        <v>0.71130454924945341</v>
      </c>
      <c r="AN57" s="100">
        <v>8.0002953023309793</v>
      </c>
      <c r="AO57" s="100">
        <v>11290.016730649479</v>
      </c>
      <c r="AP57" s="100">
        <v>6</v>
      </c>
      <c r="AQ57" s="100">
        <v>8467.2000000000007</v>
      </c>
      <c r="AR57" s="100">
        <v>6.542899788415399</v>
      </c>
      <c r="AS57" s="100">
        <v>9233.3401814118115</v>
      </c>
      <c r="AT57" s="100">
        <v>7.248886477807619</v>
      </c>
      <c r="AU57" s="100">
        <v>10229.628597482113</v>
      </c>
      <c r="AV57" s="100">
        <v>5.5881090425766988</v>
      </c>
      <c r="AW57" s="100">
        <v>7885.939480884238</v>
      </c>
      <c r="AX57" s="100">
        <v>6.4290310181273993</v>
      </c>
      <c r="AY57" s="100">
        <v>9072.648572781387</v>
      </c>
      <c r="AZ57" s="100">
        <v>1.9956804984248429</v>
      </c>
      <c r="BA57" s="100">
        <v>2816.3043193771382</v>
      </c>
      <c r="BB57" s="100">
        <v>9.495861585881272</v>
      </c>
      <c r="BC57" s="100">
        <v>13400.559869995652</v>
      </c>
      <c r="BD57" s="100">
        <v>7.1529398224255756</v>
      </c>
      <c r="BE57" s="100">
        <v>10094.228677406973</v>
      </c>
      <c r="BF57" s="100">
        <v>7.5572645213386611</v>
      </c>
      <c r="BG57" s="100">
        <v>10664.811692513118</v>
      </c>
      <c r="BH57" s="100">
        <v>1.7838818873666764</v>
      </c>
      <c r="BI57" s="100">
        <v>2517.4141194518538</v>
      </c>
      <c r="BJ57" s="100">
        <v>7.5492742435971554</v>
      </c>
      <c r="BK57" s="100">
        <v>10653.535812564305</v>
      </c>
      <c r="BL57" s="100">
        <v>6.224641084697601</v>
      </c>
      <c r="BM57" s="100">
        <v>8784.2134987252557</v>
      </c>
      <c r="BN57" s="100">
        <v>4.3912195132015981</v>
      </c>
      <c r="BO57" s="100">
        <v>6196.8889770300957</v>
      </c>
      <c r="BP57" s="100">
        <v>9.2366566371916985</v>
      </c>
      <c r="BQ57" s="100">
        <v>13034.769846404924</v>
      </c>
      <c r="BR57" s="100">
        <v>6.2538853808012825E-4</v>
      </c>
      <c r="BS57" s="100">
        <v>0.88254830493867698</v>
      </c>
      <c r="BT57" s="100">
        <v>5.9549839104426612</v>
      </c>
      <c r="BU57" s="100">
        <v>8403.6732944166833</v>
      </c>
      <c r="BV57" s="100">
        <v>7.4292964677857896</v>
      </c>
      <c r="BW57" s="100">
        <v>10484.223175339306</v>
      </c>
      <c r="BX57" s="100">
        <v>10</v>
      </c>
      <c r="BY57" s="100">
        <v>14112</v>
      </c>
      <c r="BZ57" s="100">
        <v>6.9674953896849461</v>
      </c>
      <c r="CA57" s="100">
        <v>9832.5294939233954</v>
      </c>
      <c r="CB57" s="100">
        <v>1.6035818782755444</v>
      </c>
      <c r="CC57" s="100">
        <v>2262.9747466224485</v>
      </c>
      <c r="CD57" s="100">
        <v>5.8786531289059616E-4</v>
      </c>
      <c r="CE57" s="100">
        <v>0.8295955295512093</v>
      </c>
      <c r="CF57" s="100">
        <v>7.0002211985759102</v>
      </c>
      <c r="CG57" s="100">
        <v>9878.7121554303249</v>
      </c>
      <c r="CH57" s="100">
        <v>9</v>
      </c>
      <c r="CI57" s="100">
        <v>12700.800000000001</v>
      </c>
      <c r="CJ57" s="100">
        <v>6.5069302016553969</v>
      </c>
      <c r="CK57" s="100">
        <v>9182.5799005760964</v>
      </c>
      <c r="CL57" s="100">
        <v>5.5507560281368606</v>
      </c>
      <c r="CM57" s="100">
        <v>7833.2269069067379</v>
      </c>
      <c r="CN57" s="100">
        <v>7.0800459542561995</v>
      </c>
      <c r="CO57" s="100">
        <v>9991.3608506463497</v>
      </c>
      <c r="CP57" s="100">
        <v>7.2373803087952258</v>
      </c>
      <c r="CQ57" s="100">
        <v>10213.391091771822</v>
      </c>
      <c r="CR57" s="100">
        <v>2.1734804021685386</v>
      </c>
      <c r="CS57" s="100">
        <v>3067.2155435402419</v>
      </c>
      <c r="CT57" s="100">
        <v>3.3772371995532486</v>
      </c>
      <c r="CU57" s="100">
        <v>4765.9571360095442</v>
      </c>
    </row>
    <row r="58" spans="2:99">
      <c r="C58" s="99" t="s">
        <v>224</v>
      </c>
      <c r="D58" s="100">
        <v>3.8826138059810646</v>
      </c>
      <c r="E58" s="100">
        <v>4570.6129724009097</v>
      </c>
      <c r="F58" s="100">
        <v>9.7724584721094505</v>
      </c>
      <c r="G58" s="100">
        <v>11504.138113367246</v>
      </c>
      <c r="H58" s="100">
        <v>10.546504702759883</v>
      </c>
      <c r="I58" s="100">
        <v>12415.345336088934</v>
      </c>
      <c r="J58" s="100">
        <v>0.58044542927200404</v>
      </c>
      <c r="K58" s="100">
        <v>683.30035933900319</v>
      </c>
      <c r="L58" s="100">
        <v>8.4028932218190331</v>
      </c>
      <c r="M58" s="100">
        <v>9891.8859007253668</v>
      </c>
      <c r="N58" s="100">
        <v>6</v>
      </c>
      <c r="O58" s="100">
        <v>7063.2000000000007</v>
      </c>
      <c r="P58" s="100">
        <v>6</v>
      </c>
      <c r="Q58" s="100">
        <v>7063.2000000000007</v>
      </c>
      <c r="R58" s="100">
        <v>6.5366888506474821</v>
      </c>
      <c r="S58" s="100">
        <v>7694.9901149822163</v>
      </c>
      <c r="T58" s="100">
        <v>6</v>
      </c>
      <c r="U58" s="100">
        <v>7063.2000000000007</v>
      </c>
      <c r="V58" s="100">
        <v>8</v>
      </c>
      <c r="W58" s="100">
        <v>9417.6</v>
      </c>
      <c r="X58" s="100">
        <v>9</v>
      </c>
      <c r="Y58" s="100">
        <v>10594.800000000001</v>
      </c>
      <c r="Z58" s="100">
        <v>9</v>
      </c>
      <c r="AA58" s="100">
        <v>10594.800000000001</v>
      </c>
      <c r="AB58" s="100">
        <v>9.7108206005447428</v>
      </c>
      <c r="AC58" s="100">
        <v>11431.578010961272</v>
      </c>
      <c r="AD58" s="100">
        <v>8.7847310787151827</v>
      </c>
      <c r="AE58" s="100">
        <v>10341.385425863513</v>
      </c>
      <c r="AF58" s="100">
        <v>6.7407407407406907</v>
      </c>
      <c r="AG58" s="100">
        <v>7935.1999999999416</v>
      </c>
      <c r="AH58" s="100">
        <v>7</v>
      </c>
      <c r="AI58" s="100">
        <v>8240.4</v>
      </c>
      <c r="AJ58" s="100">
        <v>4.8428357581374994</v>
      </c>
      <c r="AK58" s="100">
        <v>5700.9862544794642</v>
      </c>
      <c r="AL58" s="100">
        <v>5.1731835240283663</v>
      </c>
      <c r="AM58" s="100">
        <v>6089.871644486193</v>
      </c>
      <c r="AN58" s="100">
        <v>9</v>
      </c>
      <c r="AO58" s="100">
        <v>10594.800000000001</v>
      </c>
      <c r="AP58" s="100">
        <v>6</v>
      </c>
      <c r="AQ58" s="100">
        <v>7063.2000000000007</v>
      </c>
      <c r="AR58" s="100">
        <v>6.1094954375881096</v>
      </c>
      <c r="AS58" s="100">
        <v>7192.0980291287233</v>
      </c>
      <c r="AT58" s="100">
        <v>9</v>
      </c>
      <c r="AU58" s="100">
        <v>10594.800000000001</v>
      </c>
      <c r="AV58" s="100">
        <v>6</v>
      </c>
      <c r="AW58" s="100">
        <v>7063.2000000000007</v>
      </c>
      <c r="AX58" s="100">
        <v>7.9712730878812597</v>
      </c>
      <c r="AY58" s="100">
        <v>9383.7826790538184</v>
      </c>
      <c r="AZ58" s="100">
        <v>11</v>
      </c>
      <c r="BA58" s="100">
        <v>12949.2</v>
      </c>
      <c r="BB58" s="100">
        <v>10</v>
      </c>
      <c r="BC58" s="100">
        <v>11772</v>
      </c>
      <c r="BD58" s="100">
        <v>10</v>
      </c>
      <c r="BE58" s="100">
        <v>11772</v>
      </c>
      <c r="BF58" s="100">
        <v>4.3158116367934563</v>
      </c>
      <c r="BG58" s="100">
        <v>5080.5734588332571</v>
      </c>
      <c r="BH58" s="100">
        <v>9</v>
      </c>
      <c r="BI58" s="100">
        <v>10594.800000000001</v>
      </c>
      <c r="BJ58" s="100">
        <v>7</v>
      </c>
      <c r="BK58" s="100">
        <v>8240.4</v>
      </c>
      <c r="BL58" s="100">
        <v>7.0644884453708974</v>
      </c>
      <c r="BM58" s="100">
        <v>8316.3157978906202</v>
      </c>
      <c r="BN58" s="100">
        <v>0.63330615561734749</v>
      </c>
      <c r="BO58" s="100">
        <v>745.52800639274153</v>
      </c>
      <c r="BP58" s="100">
        <v>11</v>
      </c>
      <c r="BQ58" s="100">
        <v>12949.2</v>
      </c>
      <c r="BR58" s="100">
        <v>9</v>
      </c>
      <c r="BS58" s="100">
        <v>10594.800000000001</v>
      </c>
      <c r="BT58" s="100">
        <v>11</v>
      </c>
      <c r="BU58" s="100">
        <v>12949.2</v>
      </c>
      <c r="BV58" s="100">
        <v>7</v>
      </c>
      <c r="BW58" s="100">
        <v>8240.4</v>
      </c>
      <c r="BX58" s="100">
        <v>10</v>
      </c>
      <c r="BY58" s="100">
        <v>11772</v>
      </c>
      <c r="BZ58" s="100">
        <v>4.7765028852126639</v>
      </c>
      <c r="CA58" s="100">
        <v>5622.8991964723482</v>
      </c>
      <c r="CB58" s="100">
        <v>5.9640631790272414</v>
      </c>
      <c r="CC58" s="100">
        <v>7020.8951743508687</v>
      </c>
      <c r="CD58" s="100">
        <v>4.7991554137349537</v>
      </c>
      <c r="CE58" s="100">
        <v>5649.5657530487879</v>
      </c>
      <c r="CF58" s="100">
        <v>8</v>
      </c>
      <c r="CG58" s="100">
        <v>9417.6</v>
      </c>
      <c r="CH58" s="100">
        <v>10</v>
      </c>
      <c r="CI58" s="100">
        <v>11772</v>
      </c>
      <c r="CJ58" s="100">
        <v>8</v>
      </c>
      <c r="CK58" s="100">
        <v>9417.6</v>
      </c>
      <c r="CL58" s="100">
        <v>6.41430791272668</v>
      </c>
      <c r="CM58" s="100">
        <v>7550.9232748618479</v>
      </c>
      <c r="CN58" s="100">
        <v>11</v>
      </c>
      <c r="CO58" s="100">
        <v>12949.2</v>
      </c>
      <c r="CP58" s="100">
        <v>6.5400766853696251</v>
      </c>
      <c r="CQ58" s="100">
        <v>7698.9782740171231</v>
      </c>
      <c r="CR58" s="100">
        <v>8</v>
      </c>
      <c r="CS58" s="100">
        <v>9417.6</v>
      </c>
      <c r="CT58" s="100">
        <v>5</v>
      </c>
      <c r="CU58" s="100">
        <v>5886</v>
      </c>
    </row>
    <row r="59" spans="2:99">
      <c r="C59" s="99" t="s">
        <v>225</v>
      </c>
      <c r="D59" s="100">
        <v>6.5994261861856334</v>
      </c>
      <c r="E59" s="100">
        <v>2003.5857901259581</v>
      </c>
      <c r="F59" s="100">
        <v>10.559438903416396</v>
      </c>
      <c r="G59" s="100">
        <v>3205.8456510772176</v>
      </c>
      <c r="H59" s="100">
        <v>9.9374184591079189</v>
      </c>
      <c r="I59" s="100">
        <v>3017.0002441851639</v>
      </c>
      <c r="J59" s="100">
        <v>7.1917186033769598</v>
      </c>
      <c r="K59" s="100">
        <v>2183.4057679852449</v>
      </c>
      <c r="L59" s="100">
        <v>7.3278475626551662</v>
      </c>
      <c r="M59" s="100">
        <v>2224.7345200221084</v>
      </c>
      <c r="N59" s="100">
        <v>1.8235902966595559</v>
      </c>
      <c r="O59" s="100">
        <v>553.64201406584107</v>
      </c>
      <c r="P59" s="100">
        <v>8.1030631916178155</v>
      </c>
      <c r="Q59" s="100">
        <v>2460.0899849751686</v>
      </c>
      <c r="R59" s="100">
        <v>3.8691637763360149</v>
      </c>
      <c r="S59" s="100">
        <v>1174.6781224956139</v>
      </c>
      <c r="T59" s="100">
        <v>7.9866997696275144</v>
      </c>
      <c r="U59" s="100">
        <v>2424.7620500589132</v>
      </c>
      <c r="V59" s="100">
        <v>8.4098809770293386</v>
      </c>
      <c r="W59" s="100">
        <v>2553.2398646261067</v>
      </c>
      <c r="X59" s="100">
        <v>6.8794710878564776E-4</v>
      </c>
      <c r="Y59" s="100">
        <v>0.20886074222732265</v>
      </c>
      <c r="Z59" s="100">
        <v>10.465607186368672</v>
      </c>
      <c r="AA59" s="100">
        <v>3177.3583417815285</v>
      </c>
      <c r="AB59" s="100">
        <v>6.0500470215298074</v>
      </c>
      <c r="AC59" s="100">
        <v>1836.7942757364494</v>
      </c>
      <c r="AD59" s="100">
        <v>9.8819738120803802</v>
      </c>
      <c r="AE59" s="100">
        <v>3000.167249347603</v>
      </c>
      <c r="AF59" s="100">
        <v>4.2089141184048966</v>
      </c>
      <c r="AG59" s="100">
        <v>1277.8263263477265</v>
      </c>
      <c r="AH59" s="100">
        <v>7.7931447546160317</v>
      </c>
      <c r="AI59" s="100">
        <v>2365.9987475014268</v>
      </c>
      <c r="AJ59" s="100">
        <v>6.0558491026834167</v>
      </c>
      <c r="AK59" s="100">
        <v>1838.5557875746852</v>
      </c>
      <c r="AL59" s="100">
        <v>5.6690742941404985E-4</v>
      </c>
      <c r="AM59" s="100">
        <v>0.17211309557010551</v>
      </c>
      <c r="AN59" s="100">
        <v>10.000295302330979</v>
      </c>
      <c r="AO59" s="100">
        <v>3036.0896537876852</v>
      </c>
      <c r="AP59" s="100">
        <v>6</v>
      </c>
      <c r="AQ59" s="100">
        <v>1821.6</v>
      </c>
      <c r="AR59" s="100">
        <v>7.4775997581890268</v>
      </c>
      <c r="AS59" s="100">
        <v>2270.1992865861885</v>
      </c>
      <c r="AT59" s="100">
        <v>7.248886477807619</v>
      </c>
      <c r="AU59" s="100">
        <v>2200.7619346623928</v>
      </c>
      <c r="AV59" s="100">
        <v>7.0910423989323732</v>
      </c>
      <c r="AW59" s="100">
        <v>2152.8404723158683</v>
      </c>
      <c r="AX59" s="100">
        <v>7.8450279942316419</v>
      </c>
      <c r="AY59" s="100">
        <v>2381.7504990487264</v>
      </c>
      <c r="AZ59" s="100">
        <v>2.4247632156505992</v>
      </c>
      <c r="BA59" s="100">
        <v>736.15811227152187</v>
      </c>
      <c r="BB59" s="100">
        <v>9.495861585881272</v>
      </c>
      <c r="BC59" s="100">
        <v>2882.9435774735539</v>
      </c>
      <c r="BD59" s="100">
        <v>8.047057300228774</v>
      </c>
      <c r="BE59" s="100">
        <v>2443.0865963494557</v>
      </c>
      <c r="BF59" s="100">
        <v>7.5572645213386611</v>
      </c>
      <c r="BG59" s="100">
        <v>2294.3855086784174</v>
      </c>
      <c r="BH59" s="100">
        <v>1.7932190404454811</v>
      </c>
      <c r="BI59" s="100">
        <v>544.42130067924802</v>
      </c>
      <c r="BJ59" s="100">
        <v>8.5481025633156644</v>
      </c>
      <c r="BK59" s="100">
        <v>2595.2039382226353</v>
      </c>
      <c r="BL59" s="100">
        <v>7.7808013558720015</v>
      </c>
      <c r="BM59" s="100">
        <v>2362.2512916427395</v>
      </c>
      <c r="BN59" s="100">
        <v>4.3912195132015981</v>
      </c>
      <c r="BO59" s="100">
        <v>1333.1742442080051</v>
      </c>
      <c r="BP59" s="100">
        <v>10.916048753044734</v>
      </c>
      <c r="BQ59" s="100">
        <v>3314.112401424381</v>
      </c>
      <c r="BR59" s="100">
        <v>6.9345712051423116E-4</v>
      </c>
      <c r="BS59" s="100">
        <v>0.21053358178812057</v>
      </c>
      <c r="BT59" s="100">
        <v>7.2238946147707139</v>
      </c>
      <c r="BU59" s="100">
        <v>2193.1744050443885</v>
      </c>
      <c r="BV59" s="100">
        <v>8.4292964677857896</v>
      </c>
      <c r="BW59" s="100">
        <v>2559.1344076197656</v>
      </c>
      <c r="BX59" s="100">
        <v>10</v>
      </c>
      <c r="BY59" s="100">
        <v>3035.9999999999995</v>
      </c>
      <c r="BZ59" s="100">
        <v>6.9674953896849461</v>
      </c>
      <c r="CA59" s="100">
        <v>2115.3316003083496</v>
      </c>
      <c r="CB59" s="100">
        <v>1.8326650037434793</v>
      </c>
      <c r="CC59" s="100">
        <v>556.39709513652031</v>
      </c>
      <c r="CD59" s="100">
        <v>7.0543837546871533E-4</v>
      </c>
      <c r="CE59" s="100">
        <v>0.21417109079230195</v>
      </c>
      <c r="CF59" s="100">
        <v>8.0002211985759093</v>
      </c>
      <c r="CG59" s="100">
        <v>2428.8671558876458</v>
      </c>
      <c r="CH59" s="100">
        <v>10</v>
      </c>
      <c r="CI59" s="100">
        <v>3035.9999999999995</v>
      </c>
      <c r="CJ59" s="100">
        <v>7.320296476862322</v>
      </c>
      <c r="CK59" s="100">
        <v>2222.4420103754005</v>
      </c>
      <c r="CL59" s="100">
        <v>6.3437211750135551</v>
      </c>
      <c r="CM59" s="100">
        <v>1925.9537487341152</v>
      </c>
      <c r="CN59" s="100">
        <v>8.4960551451074391</v>
      </c>
      <c r="CO59" s="100">
        <v>2579.4023420546182</v>
      </c>
      <c r="CP59" s="100">
        <v>8.8456870440830535</v>
      </c>
      <c r="CQ59" s="100">
        <v>2685.5505865836149</v>
      </c>
      <c r="CR59" s="100">
        <v>2.4149782246317097</v>
      </c>
      <c r="CS59" s="100">
        <v>733.18738899818698</v>
      </c>
      <c r="CT59" s="100">
        <v>3.3772371995532486</v>
      </c>
      <c r="CU59" s="100">
        <v>1025.3292137843662</v>
      </c>
    </row>
    <row r="60" spans="2:99">
      <c r="C60" s="99" t="s">
        <v>226</v>
      </c>
      <c r="D60" s="100">
        <v>6.4894194076483762</v>
      </c>
      <c r="E60" s="100">
        <v>4228.5056860236818</v>
      </c>
      <c r="F60" s="100">
        <v>10.559438903416396</v>
      </c>
      <c r="G60" s="100">
        <v>6880.5303894661238</v>
      </c>
      <c r="H60" s="100">
        <v>8.9436766131971286</v>
      </c>
      <c r="I60" s="100">
        <v>5827.6996811592489</v>
      </c>
      <c r="J60" s="100">
        <v>6.4725467430392642</v>
      </c>
      <c r="K60" s="100">
        <v>4217.5114577643844</v>
      </c>
      <c r="L60" s="100">
        <v>7.3278475626551662</v>
      </c>
      <c r="M60" s="100">
        <v>4774.8254718261069</v>
      </c>
      <c r="N60" s="100">
        <v>1.5430345046736287</v>
      </c>
      <c r="O60" s="100">
        <v>1005.4412832453365</v>
      </c>
      <c r="P60" s="100">
        <v>6.9454827356724129</v>
      </c>
      <c r="Q60" s="100">
        <v>4525.6765505641442</v>
      </c>
      <c r="R60" s="100">
        <v>3.4392566900764581</v>
      </c>
      <c r="S60" s="100">
        <v>2241.01965925382</v>
      </c>
      <c r="T60" s="100">
        <v>7.1511497312321008</v>
      </c>
      <c r="U60" s="100">
        <v>4659.689164870837</v>
      </c>
      <c r="V60" s="100">
        <v>8.4098809770293386</v>
      </c>
      <c r="W60" s="100">
        <v>5479.878444632317</v>
      </c>
      <c r="X60" s="100">
        <v>6.8498538233619953E-4</v>
      </c>
      <c r="Y60" s="100">
        <v>0.44633647513026764</v>
      </c>
      <c r="Z60" s="100">
        <v>10.465607186368672</v>
      </c>
      <c r="AA60" s="100">
        <v>6819.3896426378269</v>
      </c>
      <c r="AB60" s="100">
        <v>6.0500470215298074</v>
      </c>
      <c r="AC60" s="100">
        <v>3942.2106392288229</v>
      </c>
      <c r="AD60" s="100">
        <v>9.7636531429112257</v>
      </c>
      <c r="AE60" s="100">
        <v>6361.9963879209545</v>
      </c>
      <c r="AF60" s="100">
        <v>3.6827998536042847</v>
      </c>
      <c r="AG60" s="100">
        <v>2399.7123846085519</v>
      </c>
      <c r="AH60" s="100">
        <v>7.7931447546160317</v>
      </c>
      <c r="AI60" s="100">
        <v>5078.0131221078063</v>
      </c>
      <c r="AJ60" s="100">
        <v>6.0558491026834167</v>
      </c>
      <c r="AK60" s="100">
        <v>3945.9912753085146</v>
      </c>
      <c r="AL60" s="100">
        <v>6.2752928235850229E-4</v>
      </c>
      <c r="AM60" s="100">
        <v>0.40889808038480013</v>
      </c>
      <c r="AN60" s="100">
        <v>10.000295302330979</v>
      </c>
      <c r="AO60" s="100">
        <v>6516.1924189988667</v>
      </c>
      <c r="AP60" s="100">
        <v>7</v>
      </c>
      <c r="AQ60" s="100">
        <v>4561.2</v>
      </c>
      <c r="AR60" s="100">
        <v>6.542899788415399</v>
      </c>
      <c r="AS60" s="100">
        <v>4263.3535021314738</v>
      </c>
      <c r="AT60" s="100">
        <v>7.9737751255883804</v>
      </c>
      <c r="AU60" s="100">
        <v>5195.7118718333886</v>
      </c>
      <c r="AV60" s="100">
        <v>7.0910423989323732</v>
      </c>
      <c r="AW60" s="100">
        <v>4620.5232271443347</v>
      </c>
      <c r="AX60" s="100">
        <v>7.136875906136936</v>
      </c>
      <c r="AY60" s="100">
        <v>4650.388340438828</v>
      </c>
      <c r="AZ60" s="100">
        <v>2.2021208231741034</v>
      </c>
      <c r="BA60" s="100">
        <v>1434.9019283802459</v>
      </c>
      <c r="BB60" s="100">
        <v>10.61982698235159</v>
      </c>
      <c r="BC60" s="100">
        <v>6919.8792617002964</v>
      </c>
      <c r="BD60" s="100">
        <v>8.047057300228774</v>
      </c>
      <c r="BE60" s="100">
        <v>5243.462536829069</v>
      </c>
      <c r="BF60" s="100">
        <v>9.2366566371916985</v>
      </c>
      <c r="BG60" s="100">
        <v>6018.605464794111</v>
      </c>
      <c r="BH60" s="100">
        <v>1.9935030619481797</v>
      </c>
      <c r="BI60" s="100">
        <v>1298.966595165434</v>
      </c>
      <c r="BJ60" s="100">
        <v>8.6874715647075629</v>
      </c>
      <c r="BK60" s="100">
        <v>5660.756471563448</v>
      </c>
      <c r="BL60" s="100">
        <v>7.0027212202848004</v>
      </c>
      <c r="BM60" s="100">
        <v>4562.9731471375762</v>
      </c>
      <c r="BN60" s="100">
        <v>4.3912195132015981</v>
      </c>
      <c r="BO60" s="100">
        <v>2861.3186348021613</v>
      </c>
      <c r="BP60" s="100">
        <v>9.2366566371916985</v>
      </c>
      <c r="BQ60" s="100">
        <v>6018.605464794111</v>
      </c>
      <c r="BR60" s="100">
        <v>6.9345712051423116E-4</v>
      </c>
      <c r="BS60" s="100">
        <v>0.45185665972707306</v>
      </c>
      <c r="BT60" s="100">
        <v>7.2260041033252467</v>
      </c>
      <c r="BU60" s="100">
        <v>4708.4642737267313</v>
      </c>
      <c r="BV60" s="100">
        <v>7.4292964677857896</v>
      </c>
      <c r="BW60" s="100">
        <v>4840.929578409221</v>
      </c>
      <c r="BX60" s="100">
        <v>10</v>
      </c>
      <c r="BY60" s="100">
        <v>6516</v>
      </c>
      <c r="BZ60" s="100">
        <v>6.9674953896849461</v>
      </c>
      <c r="CA60" s="100">
        <v>4540.0199959187112</v>
      </c>
      <c r="CB60" s="100">
        <v>1.8326650037434793</v>
      </c>
      <c r="CC60" s="100">
        <v>1194.1645164392512</v>
      </c>
      <c r="CD60" s="100">
        <v>7.0543837546871533E-4</v>
      </c>
      <c r="CE60" s="100">
        <v>0.45966364545541494</v>
      </c>
      <c r="CF60" s="100">
        <v>8.0002211985759093</v>
      </c>
      <c r="CG60" s="100">
        <v>5212.9441329920628</v>
      </c>
      <c r="CH60" s="100">
        <v>12</v>
      </c>
      <c r="CI60" s="100">
        <v>7819.2000000000007</v>
      </c>
      <c r="CJ60" s="100">
        <v>7.320296476862322</v>
      </c>
      <c r="CK60" s="100">
        <v>4769.9051843234893</v>
      </c>
      <c r="CL60" s="100">
        <v>4.7577908812601661</v>
      </c>
      <c r="CM60" s="100">
        <v>3100.1765382291242</v>
      </c>
      <c r="CN60" s="100">
        <v>7.7880505496818202</v>
      </c>
      <c r="CO60" s="100">
        <v>5074.6937381726739</v>
      </c>
      <c r="CP60" s="100">
        <v>7.2373803087952258</v>
      </c>
      <c r="CQ60" s="100">
        <v>4715.8770092109689</v>
      </c>
      <c r="CR60" s="100">
        <v>2.4149782246317097</v>
      </c>
      <c r="CS60" s="100">
        <v>1573.5998111700221</v>
      </c>
      <c r="CT60" s="100">
        <v>3.3772371995532486</v>
      </c>
      <c r="CU60" s="100">
        <v>2200.6077592288971</v>
      </c>
    </row>
    <row r="61" spans="2:99">
      <c r="C61" s="99" t="s">
        <v>227</v>
      </c>
      <c r="D61" s="100">
        <v>6.4894194076483762</v>
      </c>
      <c r="E61" s="100">
        <v>6175.3315083181942</v>
      </c>
      <c r="F61" s="100">
        <v>8.559438903416396</v>
      </c>
      <c r="G61" s="100">
        <v>8145.1620604910413</v>
      </c>
      <c r="H61" s="100">
        <v>7.9499347672863365</v>
      </c>
      <c r="I61" s="100">
        <v>7565.1579245496769</v>
      </c>
      <c r="J61" s="100">
        <v>6.4725467430392642</v>
      </c>
      <c r="K61" s="100">
        <v>6159.2754806761632</v>
      </c>
      <c r="L61" s="100">
        <v>7.3278475626551662</v>
      </c>
      <c r="M61" s="100">
        <v>6973.1797406226551</v>
      </c>
      <c r="N61" s="100">
        <v>1.8235902966595559</v>
      </c>
      <c r="O61" s="100">
        <v>1735.3285263012333</v>
      </c>
      <c r="P61" s="100">
        <v>6.9454827356724129</v>
      </c>
      <c r="Q61" s="100">
        <v>6609.3213712658671</v>
      </c>
      <c r="R61" s="100">
        <v>3.4392566900764581</v>
      </c>
      <c r="S61" s="100">
        <v>3272.7966662767572</v>
      </c>
      <c r="T61" s="100">
        <v>7.9866997696275144</v>
      </c>
      <c r="U61" s="100">
        <v>7600.1435007775417</v>
      </c>
      <c r="V61" s="100">
        <v>7.4754497573594128</v>
      </c>
      <c r="W61" s="100">
        <v>7113.6379891032166</v>
      </c>
      <c r="X61" s="100">
        <v>6.8498538233619953E-4</v>
      </c>
      <c r="Y61" s="100">
        <v>0.65183208983112739</v>
      </c>
      <c r="Z61" s="100">
        <v>9.6233593460464668</v>
      </c>
      <c r="AA61" s="100">
        <v>9157.5887536978171</v>
      </c>
      <c r="AB61" s="100">
        <v>6.0500470215298074</v>
      </c>
      <c r="AC61" s="100">
        <v>5757.224745687764</v>
      </c>
      <c r="AD61" s="100">
        <v>9.0481511032562487</v>
      </c>
      <c r="AE61" s="100">
        <v>8610.2205898586453</v>
      </c>
      <c r="AF61" s="100">
        <v>3.6827998536042847</v>
      </c>
      <c r="AG61" s="100">
        <v>3504.5523406898369</v>
      </c>
      <c r="AH61" s="100">
        <v>7.7931447546160317</v>
      </c>
      <c r="AI61" s="100">
        <v>7415.9565484926152</v>
      </c>
      <c r="AJ61" s="100">
        <v>6.0558491026834167</v>
      </c>
      <c r="AK61" s="100">
        <v>5762.7460061135389</v>
      </c>
      <c r="AL61" s="100">
        <v>5.6690742941404985E-4</v>
      </c>
      <c r="AM61" s="100">
        <v>0.53946910983040974</v>
      </c>
      <c r="AN61" s="100">
        <v>9.0002953023309793</v>
      </c>
      <c r="AO61" s="100">
        <v>8564.681009698159</v>
      </c>
      <c r="AP61" s="100">
        <v>6</v>
      </c>
      <c r="AQ61" s="100">
        <v>5709.5999999999995</v>
      </c>
      <c r="AR61" s="100">
        <v>7.4775997581890268</v>
      </c>
      <c r="AS61" s="100">
        <v>7115.683929892677</v>
      </c>
      <c r="AT61" s="100">
        <v>7.248886477807619</v>
      </c>
      <c r="AU61" s="100">
        <v>6898.0403722817291</v>
      </c>
      <c r="AV61" s="100">
        <v>6.1596908918362576</v>
      </c>
      <c r="AW61" s="100">
        <v>5861.5618526713824</v>
      </c>
      <c r="AX61" s="100">
        <v>6.4290310181273993</v>
      </c>
      <c r="AY61" s="100">
        <v>6117.8659168500326</v>
      </c>
      <c r="AZ61" s="100">
        <v>2.210221857037721</v>
      </c>
      <c r="BA61" s="100">
        <v>2103.2471191570953</v>
      </c>
      <c r="BB61" s="100">
        <v>11.61982698235159</v>
      </c>
      <c r="BC61" s="100">
        <v>11057.427356405771</v>
      </c>
      <c r="BD61" s="100">
        <v>7.1529398224255756</v>
      </c>
      <c r="BE61" s="100">
        <v>6806.7375350201773</v>
      </c>
      <c r="BF61" s="100">
        <v>7.5572645213386611</v>
      </c>
      <c r="BG61" s="100">
        <v>7191.4929185058691</v>
      </c>
      <c r="BH61" s="100">
        <v>1.802556193524286</v>
      </c>
      <c r="BI61" s="100">
        <v>1715.3124737577104</v>
      </c>
      <c r="BJ61" s="100">
        <v>8.6874715647075629</v>
      </c>
      <c r="BK61" s="100">
        <v>8266.9979409757161</v>
      </c>
      <c r="BL61" s="100">
        <v>6.224641084697601</v>
      </c>
      <c r="BM61" s="100">
        <v>5923.3684561982363</v>
      </c>
      <c r="BN61" s="100">
        <v>4.3912195132015981</v>
      </c>
      <c r="BO61" s="100">
        <v>4178.6844887626403</v>
      </c>
      <c r="BP61" s="100">
        <v>8.3969605792651798</v>
      </c>
      <c r="BQ61" s="100">
        <v>7990.5476872287445</v>
      </c>
      <c r="BR61" s="100">
        <v>6.2538853808012825E-4</v>
      </c>
      <c r="BS61" s="100">
        <v>0.59511973283705</v>
      </c>
      <c r="BT61" s="100">
        <v>7.2217851262161821</v>
      </c>
      <c r="BU61" s="100">
        <v>6872.2507261073179</v>
      </c>
      <c r="BV61" s="100">
        <v>7.4292964677857896</v>
      </c>
      <c r="BW61" s="100">
        <v>7069.7185187449568</v>
      </c>
      <c r="BX61" s="100">
        <v>10</v>
      </c>
      <c r="BY61" s="100">
        <v>9516</v>
      </c>
      <c r="BZ61" s="100">
        <v>5.9721389054442398</v>
      </c>
      <c r="CA61" s="100">
        <v>5683.0873824207383</v>
      </c>
      <c r="CB61" s="100">
        <v>1.6035818782755444</v>
      </c>
      <c r="CC61" s="100">
        <v>1525.968515367008</v>
      </c>
      <c r="CD61" s="100">
        <v>7.0543837546871533E-4</v>
      </c>
      <c r="CE61" s="100">
        <v>0.67129515809602947</v>
      </c>
      <c r="CF61" s="100">
        <v>9.0002211985759093</v>
      </c>
      <c r="CG61" s="100">
        <v>8564.6104925648342</v>
      </c>
      <c r="CH61" s="100">
        <v>10</v>
      </c>
      <c r="CI61" s="100">
        <v>9516</v>
      </c>
      <c r="CJ61" s="100">
        <v>7.320296476862322</v>
      </c>
      <c r="CK61" s="100">
        <v>6965.9941273821851</v>
      </c>
      <c r="CL61" s="100">
        <v>4.7577908812601661</v>
      </c>
      <c r="CM61" s="100">
        <v>4527.5138026071736</v>
      </c>
      <c r="CN61" s="100">
        <v>7.0800459542561995</v>
      </c>
      <c r="CO61" s="100">
        <v>6737.3717300701992</v>
      </c>
      <c r="CP61" s="100">
        <v>7.2373803087952258</v>
      </c>
      <c r="CQ61" s="100">
        <v>6887.0911018495362</v>
      </c>
      <c r="CR61" s="100">
        <v>2.1734804021685386</v>
      </c>
      <c r="CS61" s="100">
        <v>2068.283950703581</v>
      </c>
      <c r="CT61" s="100">
        <v>3.3772371995532486</v>
      </c>
      <c r="CU61" s="100">
        <v>3213.7789190948711</v>
      </c>
    </row>
    <row r="62" spans="2:99">
      <c r="C62" s="99" t="s">
        <v>228</v>
      </c>
      <c r="D62" s="100">
        <v>6.7658088263938865</v>
      </c>
      <c r="E62" s="100">
        <v>11293.488093016676</v>
      </c>
      <c r="F62" s="100">
        <v>1.6507643375849932</v>
      </c>
      <c r="G62" s="100">
        <v>2755.4558322968705</v>
      </c>
      <c r="H62" s="100">
        <v>5.8118120707881236</v>
      </c>
      <c r="I62" s="100">
        <v>9701.0767085595362</v>
      </c>
      <c r="J62" s="100">
        <v>6.7471723643751202</v>
      </c>
      <c r="K62" s="100">
        <v>11262.380110614951</v>
      </c>
      <c r="L62" s="100">
        <v>6.3648848024166185</v>
      </c>
      <c r="M62" s="100">
        <v>10624.265712193819</v>
      </c>
      <c r="N62" s="100">
        <v>5.4574681691317606</v>
      </c>
      <c r="O62" s="100">
        <v>9109.6058679147354</v>
      </c>
      <c r="P62" s="100">
        <v>3.5915790857546015</v>
      </c>
      <c r="Q62" s="100">
        <v>5995.063809941581</v>
      </c>
      <c r="R62" s="100">
        <v>4.4922954101791097</v>
      </c>
      <c r="S62" s="100">
        <v>7498.5394986709698</v>
      </c>
      <c r="T62" s="100">
        <v>4.6754671532040453</v>
      </c>
      <c r="U62" s="100">
        <v>7804.2897721281925</v>
      </c>
      <c r="V62" s="100">
        <v>5.844070563543621</v>
      </c>
      <c r="W62" s="100">
        <v>9754.9225846670124</v>
      </c>
      <c r="X62" s="100">
        <v>5.4164682606812926</v>
      </c>
      <c r="Y62" s="100">
        <v>9041.1688207292136</v>
      </c>
      <c r="Z62" s="100">
        <v>2.7082878363268517</v>
      </c>
      <c r="AA62" s="100">
        <v>4520.6740563967805</v>
      </c>
      <c r="AB62" s="100">
        <v>6.4578140054841544</v>
      </c>
      <c r="AC62" s="100">
        <v>10779.383137954152</v>
      </c>
      <c r="AD62" s="100">
        <v>7.0796017234396444</v>
      </c>
      <c r="AE62" s="100">
        <v>11817.271196765454</v>
      </c>
      <c r="AF62" s="100">
        <v>6.0000000000000204</v>
      </c>
      <c r="AG62" s="100">
        <v>10015.200000000033</v>
      </c>
      <c r="AH62" s="100">
        <v>2.7799962770846505</v>
      </c>
      <c r="AI62" s="100">
        <v>4640.3697857096986</v>
      </c>
      <c r="AJ62" s="100">
        <v>9.4016694774233258</v>
      </c>
      <c r="AK62" s="100">
        <v>15693.266691715016</v>
      </c>
      <c r="AL62" s="100">
        <v>7.3043464494741848</v>
      </c>
      <c r="AM62" s="100">
        <v>12192.41509346231</v>
      </c>
      <c r="AN62" s="100">
        <v>6.821183030301758</v>
      </c>
      <c r="AO62" s="100">
        <v>11385.918714179696</v>
      </c>
      <c r="AP62" s="100">
        <v>5.5316061390009272</v>
      </c>
      <c r="AQ62" s="100">
        <v>9233.3569672203485</v>
      </c>
      <c r="AR62" s="100">
        <v>4.7490105538709591</v>
      </c>
      <c r="AS62" s="100">
        <v>7927.0484165214048</v>
      </c>
      <c r="AT62" s="100">
        <v>7.4029303149513028</v>
      </c>
      <c r="AU62" s="100">
        <v>12356.971281716715</v>
      </c>
      <c r="AV62" s="100">
        <v>4.3090894987947586</v>
      </c>
      <c r="AW62" s="100">
        <v>7192.7321913882115</v>
      </c>
      <c r="AX62" s="100">
        <v>6.1042236033953232</v>
      </c>
      <c r="AY62" s="100">
        <v>10189.170038787473</v>
      </c>
      <c r="AZ62" s="100">
        <v>5.977565498146304</v>
      </c>
      <c r="BA62" s="100">
        <v>9977.7523295058108</v>
      </c>
      <c r="BB62" s="100">
        <v>5.9533772032440737</v>
      </c>
      <c r="BC62" s="100">
        <v>9937.377227655008</v>
      </c>
      <c r="BD62" s="100">
        <v>6.6794928847948691</v>
      </c>
      <c r="BE62" s="100">
        <v>11149.409523299595</v>
      </c>
      <c r="BF62" s="100">
        <v>7.6162989215374512</v>
      </c>
      <c r="BG62" s="100">
        <v>12713.126159830314</v>
      </c>
      <c r="BH62" s="100">
        <v>5.9227986859781865</v>
      </c>
      <c r="BI62" s="100">
        <v>9886.3355666347888</v>
      </c>
      <c r="BJ62" s="100">
        <v>2.0638877036137777</v>
      </c>
      <c r="BK62" s="100">
        <v>3445.0413548721181</v>
      </c>
      <c r="BL62" s="100">
        <v>9.6774058235287672</v>
      </c>
      <c r="BM62" s="100">
        <v>16153.525800634219</v>
      </c>
      <c r="BN62" s="100">
        <v>3.7607472054447388</v>
      </c>
      <c r="BO62" s="100">
        <v>6277.4392353283583</v>
      </c>
      <c r="BP62" s="100">
        <v>7.5917946451465248</v>
      </c>
      <c r="BQ62" s="100">
        <v>12672.223621678579</v>
      </c>
      <c r="BR62" s="100">
        <v>6.9490802121199158</v>
      </c>
      <c r="BS62" s="100">
        <v>11599.404690070563</v>
      </c>
      <c r="BT62" s="100">
        <v>7.0330741620635422</v>
      </c>
      <c r="BU62" s="100">
        <v>11739.607391316466</v>
      </c>
      <c r="BV62" s="100">
        <v>2.7323985664244193</v>
      </c>
      <c r="BW62" s="100">
        <v>4560.9196870756405</v>
      </c>
      <c r="BX62" s="100">
        <v>9.6788256850111622</v>
      </c>
      <c r="BY62" s="100">
        <v>16155.895833420633</v>
      </c>
      <c r="BZ62" s="100">
        <v>4.4081855133439722</v>
      </c>
      <c r="CA62" s="100">
        <v>7358.1432588737589</v>
      </c>
      <c r="CB62" s="100">
        <v>4.4347406481904867</v>
      </c>
      <c r="CC62" s="100">
        <v>7402.4690899595607</v>
      </c>
      <c r="CD62" s="100">
        <v>2.1245779218059844</v>
      </c>
      <c r="CE62" s="100">
        <v>3546.3454670785491</v>
      </c>
      <c r="CF62" s="100">
        <v>7.6637021979019933</v>
      </c>
      <c r="CG62" s="100">
        <v>12792.251708738007</v>
      </c>
      <c r="CH62" s="100">
        <v>2.9045110169329971</v>
      </c>
      <c r="CI62" s="100">
        <v>4848.2097894645585</v>
      </c>
      <c r="CJ62" s="100">
        <v>4.3106278731693104</v>
      </c>
      <c r="CK62" s="100">
        <v>7195.3000458942133</v>
      </c>
      <c r="CL62" s="100">
        <v>3.1091012093573078</v>
      </c>
      <c r="CM62" s="100">
        <v>5189.7117386592181</v>
      </c>
      <c r="CN62" s="100">
        <v>6.4231971864701611</v>
      </c>
      <c r="CO62" s="100">
        <v>10721.600743655994</v>
      </c>
      <c r="CP62" s="100">
        <v>0.40844616890966995</v>
      </c>
      <c r="CQ62" s="100">
        <v>681.77834514402105</v>
      </c>
      <c r="CR62" s="100">
        <v>5.272384706465691</v>
      </c>
      <c r="CS62" s="100">
        <v>8800.664552032531</v>
      </c>
      <c r="CT62" s="100">
        <v>3.4817669838353007</v>
      </c>
      <c r="CU62" s="100">
        <v>5811.7654494178842</v>
      </c>
    </row>
    <row r="63" spans="2:99">
      <c r="C63" s="99" t="s">
        <v>229</v>
      </c>
      <c r="D63" s="100">
        <v>7.3614946766651865</v>
      </c>
      <c r="E63" s="100">
        <v>5856.8051647548227</v>
      </c>
      <c r="F63" s="100">
        <v>10.559438903416396</v>
      </c>
      <c r="G63" s="100">
        <v>8401.0895915580841</v>
      </c>
      <c r="H63" s="100">
        <v>8.9436766131971286</v>
      </c>
      <c r="I63" s="100">
        <v>7115.5891134596359</v>
      </c>
      <c r="J63" s="100">
        <v>5.7533748827015678</v>
      </c>
      <c r="K63" s="100">
        <v>4577.3850566773672</v>
      </c>
      <c r="L63" s="100">
        <v>7.3278475626551662</v>
      </c>
      <c r="M63" s="100">
        <v>5830.0355208484507</v>
      </c>
      <c r="N63" s="100">
        <v>1.8235902966595559</v>
      </c>
      <c r="O63" s="100">
        <v>1450.8484400223426</v>
      </c>
      <c r="P63" s="100">
        <v>6.9454827356724129</v>
      </c>
      <c r="Q63" s="100">
        <v>5525.8260645009723</v>
      </c>
      <c r="R63" s="100">
        <v>3.4392566900764581</v>
      </c>
      <c r="S63" s="100">
        <v>2736.2726226248301</v>
      </c>
      <c r="T63" s="100">
        <v>6.9866997696275144</v>
      </c>
      <c r="U63" s="100">
        <v>5558.6183367156509</v>
      </c>
      <c r="V63" s="100">
        <v>8.4098809770293386</v>
      </c>
      <c r="W63" s="100">
        <v>6690.9013053245417</v>
      </c>
      <c r="X63" s="100">
        <v>6.2152177906664137E-4</v>
      </c>
      <c r="Y63" s="100">
        <v>0.49448272742541988</v>
      </c>
      <c r="Z63" s="100">
        <v>10.601815771911781</v>
      </c>
      <c r="AA63" s="100">
        <v>8434.8046281330135</v>
      </c>
      <c r="AB63" s="100">
        <v>6.6550517236827869</v>
      </c>
      <c r="AC63" s="100">
        <v>5294.7591513620255</v>
      </c>
      <c r="AD63" s="100">
        <v>8.9298304340870942</v>
      </c>
      <c r="AE63" s="100">
        <v>7104.5730933596924</v>
      </c>
      <c r="AF63" s="100">
        <v>4.2089141184048966</v>
      </c>
      <c r="AG63" s="100">
        <v>3348.6120726029358</v>
      </c>
      <c r="AH63" s="100">
        <v>7.7931447546160317</v>
      </c>
      <c r="AI63" s="100">
        <v>6200.2259667725148</v>
      </c>
      <c r="AJ63" s="100">
        <v>5.3829769801630372</v>
      </c>
      <c r="AK63" s="100">
        <v>4282.6964854177122</v>
      </c>
      <c r="AL63" s="100">
        <v>5.0404233932075781E-4</v>
      </c>
      <c r="AM63" s="100">
        <v>0.40101608516359494</v>
      </c>
      <c r="AN63" s="100">
        <v>10.000295302330979</v>
      </c>
      <c r="AO63" s="100">
        <v>7956.2349425345274</v>
      </c>
      <c r="AP63" s="100">
        <v>7</v>
      </c>
      <c r="AQ63" s="100">
        <v>5569.2</v>
      </c>
      <c r="AR63" s="100">
        <v>6.542899788415399</v>
      </c>
      <c r="AS63" s="100">
        <v>5205.5310716632912</v>
      </c>
      <c r="AT63" s="100">
        <v>7.9737751255883804</v>
      </c>
      <c r="AU63" s="100">
        <v>6343.9354899181153</v>
      </c>
      <c r="AV63" s="100">
        <v>6.5194605496728153</v>
      </c>
      <c r="AW63" s="100">
        <v>5186.8828133196921</v>
      </c>
      <c r="AX63" s="100">
        <v>7.1371831062221052</v>
      </c>
      <c r="AY63" s="100">
        <v>5678.3428793103067</v>
      </c>
      <c r="AZ63" s="100">
        <v>1.9875794645612253</v>
      </c>
      <c r="BA63" s="100">
        <v>1581.3182220049109</v>
      </c>
      <c r="BB63" s="100">
        <v>10.61982698235159</v>
      </c>
      <c r="BC63" s="100">
        <v>8449.1343471589262</v>
      </c>
      <c r="BD63" s="100">
        <v>8.9411747780319697</v>
      </c>
      <c r="BE63" s="100">
        <v>7113.598653402235</v>
      </c>
      <c r="BF63" s="100">
        <v>8.3969605792651798</v>
      </c>
      <c r="BG63" s="100">
        <v>6680.6218368633772</v>
      </c>
      <c r="BH63" s="100">
        <v>1.7838818873666764</v>
      </c>
      <c r="BI63" s="100">
        <v>1419.2564295889279</v>
      </c>
      <c r="BJ63" s="100">
        <v>8.5481025633156644</v>
      </c>
      <c r="BK63" s="100">
        <v>6800.8703993739427</v>
      </c>
      <c r="BL63" s="100">
        <v>7.0027212202848004</v>
      </c>
      <c r="BM63" s="100">
        <v>5571.3650028585871</v>
      </c>
      <c r="BN63" s="100">
        <v>4.3912195132015981</v>
      </c>
      <c r="BO63" s="100">
        <v>3493.6542447031916</v>
      </c>
      <c r="BP63" s="100">
        <v>9.2366566371916985</v>
      </c>
      <c r="BQ63" s="100">
        <v>7348.6840205497156</v>
      </c>
      <c r="BR63" s="100">
        <v>6.9345712051423116E-4</v>
      </c>
      <c r="BS63" s="100">
        <v>0.55171448508112231</v>
      </c>
      <c r="BT63" s="100">
        <v>7.2260041033252467</v>
      </c>
      <c r="BU63" s="100">
        <v>5749.0088646055665</v>
      </c>
      <c r="BV63" s="100">
        <v>7.4292964677857896</v>
      </c>
      <c r="BW63" s="100">
        <v>5910.7482697703745</v>
      </c>
      <c r="BX63" s="100">
        <v>11</v>
      </c>
      <c r="BY63" s="100">
        <v>8751.6</v>
      </c>
      <c r="BZ63" s="100">
        <v>6.9674953896849461</v>
      </c>
      <c r="CA63" s="100">
        <v>5543.3393320333435</v>
      </c>
      <c r="CB63" s="100">
        <v>1.6035818782755444</v>
      </c>
      <c r="CC63" s="100">
        <v>1275.8097423560232</v>
      </c>
      <c r="CD63" s="100">
        <v>6.466518441796558E-4</v>
      </c>
      <c r="CE63" s="100">
        <v>0.51447620722933418</v>
      </c>
      <c r="CF63" s="100">
        <v>8.0001769588607274</v>
      </c>
      <c r="CG63" s="100">
        <v>6364.9407884695947</v>
      </c>
      <c r="CH63" s="100">
        <v>10</v>
      </c>
      <c r="CI63" s="100">
        <v>7956</v>
      </c>
      <c r="CJ63" s="100">
        <v>6.5069302016553969</v>
      </c>
      <c r="CK63" s="100">
        <v>5176.9136684370342</v>
      </c>
      <c r="CL63" s="100">
        <v>5.5507560281368606</v>
      </c>
      <c r="CM63" s="100">
        <v>4416.1814959856865</v>
      </c>
      <c r="CN63" s="100">
        <v>7.0800459542561995</v>
      </c>
      <c r="CO63" s="100">
        <v>5632.8845612062323</v>
      </c>
      <c r="CP63" s="100">
        <v>8.0415336764391405</v>
      </c>
      <c r="CQ63" s="100">
        <v>6397.8441929749806</v>
      </c>
      <c r="CR63" s="100">
        <v>2.4149782246317097</v>
      </c>
      <c r="CS63" s="100">
        <v>1921.3566755169884</v>
      </c>
      <c r="CT63" s="100">
        <v>3.3979331191958519</v>
      </c>
      <c r="CU63" s="100">
        <v>2703.39558963222</v>
      </c>
    </row>
    <row r="64" spans="2:99">
      <c r="C64" s="99" t="s">
        <v>230</v>
      </c>
      <c r="D64" s="100">
        <v>6.6151447296313259</v>
      </c>
      <c r="E64" s="100">
        <v>6676.0040611439326</v>
      </c>
      <c r="F64" s="100">
        <v>9.559438903416396</v>
      </c>
      <c r="G64" s="100">
        <v>9647.3857413278256</v>
      </c>
      <c r="H64" s="100">
        <v>9.9374184591079189</v>
      </c>
      <c r="I64" s="100">
        <v>10028.84270893171</v>
      </c>
      <c r="J64" s="100">
        <v>5.7533748827015678</v>
      </c>
      <c r="K64" s="100">
        <v>5806.3059316224208</v>
      </c>
      <c r="L64" s="100">
        <v>7.3278475626551662</v>
      </c>
      <c r="M64" s="100">
        <v>7395.2637602315926</v>
      </c>
      <c r="N64" s="100">
        <v>1.8095647421851564</v>
      </c>
      <c r="O64" s="100">
        <v>1826.2127378132595</v>
      </c>
      <c r="P64" s="100">
        <v>6.9454827356724129</v>
      </c>
      <c r="Q64" s="100">
        <v>7009.3811768405976</v>
      </c>
      <c r="R64" s="100">
        <v>3.0093496038169008</v>
      </c>
      <c r="S64" s="100">
        <v>3037.0356201720156</v>
      </c>
      <c r="T64" s="100">
        <v>6.9866997696275144</v>
      </c>
      <c r="U64" s="100">
        <v>7050.9774075080859</v>
      </c>
      <c r="V64" s="100">
        <v>7.4754497573594128</v>
      </c>
      <c r="W64" s="100">
        <v>7544.2238951271183</v>
      </c>
      <c r="X64" s="100">
        <v>6.1856005261719325E-4</v>
      </c>
      <c r="Y64" s="100">
        <v>0.62425080510127129</v>
      </c>
      <c r="Z64" s="100">
        <v>10.601815771911781</v>
      </c>
      <c r="AA64" s="100">
        <v>10699.352477013368</v>
      </c>
      <c r="AB64" s="100">
        <v>6.0500470215298074</v>
      </c>
      <c r="AC64" s="100">
        <v>6105.7074541278807</v>
      </c>
      <c r="AD64" s="100">
        <v>9.8819738120803802</v>
      </c>
      <c r="AE64" s="100">
        <v>9972.8879711515183</v>
      </c>
      <c r="AF64" s="100">
        <v>3.6827998536042847</v>
      </c>
      <c r="AG64" s="100">
        <v>3716.6816122574437</v>
      </c>
      <c r="AH64" s="100">
        <v>7.7931447546160317</v>
      </c>
      <c r="AI64" s="100">
        <v>7864.841686358498</v>
      </c>
      <c r="AJ64" s="100">
        <v>6.0558491026834167</v>
      </c>
      <c r="AK64" s="100">
        <v>6111.5629144281029</v>
      </c>
      <c r="AL64" s="100">
        <v>5.6690742941404985E-4</v>
      </c>
      <c r="AM64" s="100">
        <v>0.57212297776465904</v>
      </c>
      <c r="AN64" s="100">
        <v>8.0002953023309793</v>
      </c>
      <c r="AO64" s="100">
        <v>8073.8980191124228</v>
      </c>
      <c r="AP64" s="100">
        <v>6</v>
      </c>
      <c r="AQ64" s="100">
        <v>6055.1999999999989</v>
      </c>
      <c r="AR64" s="100">
        <v>5.6081998186417703</v>
      </c>
      <c r="AS64" s="100">
        <v>5659.7952569732734</v>
      </c>
      <c r="AT64" s="100">
        <v>7.9737751255883804</v>
      </c>
      <c r="AU64" s="100">
        <v>8047.1338567437924</v>
      </c>
      <c r="AV64" s="100">
        <v>7.0910423989323732</v>
      </c>
      <c r="AW64" s="100">
        <v>7156.2799890025499</v>
      </c>
      <c r="AX64" s="100">
        <v>6.4287238180422301</v>
      </c>
      <c r="AY64" s="100">
        <v>6487.8680771682175</v>
      </c>
      <c r="AZ64" s="100">
        <v>1.9875794645612253</v>
      </c>
      <c r="BA64" s="100">
        <v>2005.8651956351882</v>
      </c>
      <c r="BB64" s="100">
        <v>10.495861585881272</v>
      </c>
      <c r="BC64" s="100">
        <v>10592.423512471378</v>
      </c>
      <c r="BD64" s="100">
        <v>7.1529398224255756</v>
      </c>
      <c r="BE64" s="100">
        <v>7218.7468687918899</v>
      </c>
      <c r="BF64" s="100">
        <v>7.5572645213386611</v>
      </c>
      <c r="BG64" s="100">
        <v>7626.7913549349751</v>
      </c>
      <c r="BH64" s="100">
        <v>1.6022721720215873</v>
      </c>
      <c r="BI64" s="100">
        <v>1617.0130760041857</v>
      </c>
      <c r="BJ64" s="100">
        <v>8.5481025633156644</v>
      </c>
      <c r="BK64" s="100">
        <v>8626.7451068981663</v>
      </c>
      <c r="BL64" s="100">
        <v>7.0027212202848004</v>
      </c>
      <c r="BM64" s="100">
        <v>7067.1462555114194</v>
      </c>
      <c r="BN64" s="100">
        <v>4.3912195132015981</v>
      </c>
      <c r="BO64" s="100">
        <v>4431.6187327230518</v>
      </c>
      <c r="BP64" s="100">
        <v>9.2366566371916985</v>
      </c>
      <c r="BQ64" s="100">
        <v>9321.6338782538605</v>
      </c>
      <c r="BR64" s="100">
        <v>5.5731995564602523E-4</v>
      </c>
      <c r="BS64" s="100">
        <v>0.56244729923796855</v>
      </c>
      <c r="BT64" s="100">
        <v>7.2238946147707139</v>
      </c>
      <c r="BU64" s="100">
        <v>7290.3544452266033</v>
      </c>
      <c r="BV64" s="100">
        <v>7.4292964677857896</v>
      </c>
      <c r="BW64" s="100">
        <v>7497.6459952894174</v>
      </c>
      <c r="BX64" s="100">
        <v>10</v>
      </c>
      <c r="BY64" s="100">
        <v>10091.999999999998</v>
      </c>
      <c r="BZ64" s="100">
        <v>6.9674953896849461</v>
      </c>
      <c r="CA64" s="100">
        <v>7031.596347270046</v>
      </c>
      <c r="CB64" s="100">
        <v>1.6987341520691848</v>
      </c>
      <c r="CC64" s="100">
        <v>1714.3625062682211</v>
      </c>
      <c r="CD64" s="100">
        <v>6.466518441796558E-4</v>
      </c>
      <c r="CE64" s="100">
        <v>0.65260104114610851</v>
      </c>
      <c r="CF64" s="100">
        <v>7.0002211985759102</v>
      </c>
      <c r="CG64" s="100">
        <v>7064.623233602807</v>
      </c>
      <c r="CH64" s="100">
        <v>10</v>
      </c>
      <c r="CI64" s="100">
        <v>10091.999999999998</v>
      </c>
      <c r="CJ64" s="100">
        <v>6.5069302016553969</v>
      </c>
      <c r="CK64" s="100">
        <v>6566.7939595106254</v>
      </c>
      <c r="CL64" s="100">
        <v>4.7577908812601661</v>
      </c>
      <c r="CM64" s="100">
        <v>4801.5625573677589</v>
      </c>
      <c r="CN64" s="100">
        <v>7.7880505496818202</v>
      </c>
      <c r="CO64" s="100">
        <v>7859.7006147388911</v>
      </c>
      <c r="CP64" s="100">
        <v>8.0415336764391405</v>
      </c>
      <c r="CQ64" s="100">
        <v>8115.5157862623792</v>
      </c>
      <c r="CR64" s="100">
        <v>2.1734804021685386</v>
      </c>
      <c r="CS64" s="100">
        <v>2193.4764218684886</v>
      </c>
      <c r="CT64" s="100">
        <v>3.3772371995532486</v>
      </c>
      <c r="CU64" s="100">
        <v>3408.3077817891381</v>
      </c>
    </row>
    <row r="65" spans="2:99">
      <c r="C65" s="99" t="s">
        <v>231</v>
      </c>
      <c r="D65" s="100">
        <v>7.3614946766651865</v>
      </c>
      <c r="E65" s="100">
        <v>7552.8935382584814</v>
      </c>
      <c r="F65" s="100">
        <v>8.559438903416396</v>
      </c>
      <c r="G65" s="100">
        <v>8781.9843149052231</v>
      </c>
      <c r="H65" s="100">
        <v>8.9436766131971286</v>
      </c>
      <c r="I65" s="100">
        <v>9176.2122051402548</v>
      </c>
      <c r="J65" s="100">
        <v>6.4725467430392642</v>
      </c>
      <c r="K65" s="100">
        <v>6640.8329583582854</v>
      </c>
      <c r="L65" s="100">
        <v>6.5136422779157037</v>
      </c>
      <c r="M65" s="100">
        <v>6682.9969771415117</v>
      </c>
      <c r="N65" s="100">
        <v>1.8095647421851564</v>
      </c>
      <c r="O65" s="100">
        <v>1856.6134254819704</v>
      </c>
      <c r="P65" s="100">
        <v>6.9454827356724129</v>
      </c>
      <c r="Q65" s="100">
        <v>7126.0652867998961</v>
      </c>
      <c r="R65" s="100">
        <v>3.4392566900764581</v>
      </c>
      <c r="S65" s="100">
        <v>3528.677364018446</v>
      </c>
      <c r="T65" s="100">
        <v>6.9866997696275144</v>
      </c>
      <c r="U65" s="100">
        <v>7168.35396363783</v>
      </c>
      <c r="V65" s="100">
        <v>7.4754497573594128</v>
      </c>
      <c r="W65" s="100">
        <v>7669.8114510507576</v>
      </c>
      <c r="X65" s="100">
        <v>5.550964493476351E-4</v>
      </c>
      <c r="Y65" s="100">
        <v>0.56952895703067363</v>
      </c>
      <c r="Z65" s="100">
        <v>9.4871507605033578</v>
      </c>
      <c r="AA65" s="100">
        <v>9733.8166802764445</v>
      </c>
      <c r="AB65" s="100">
        <v>6.0500470215298074</v>
      </c>
      <c r="AC65" s="100">
        <v>6207.3482440895823</v>
      </c>
      <c r="AD65" s="100">
        <v>8.9298304340870942</v>
      </c>
      <c r="AE65" s="100">
        <v>9162.0060253733591</v>
      </c>
      <c r="AF65" s="100">
        <v>3.6827998536042847</v>
      </c>
      <c r="AG65" s="100">
        <v>3778.5526497979963</v>
      </c>
      <c r="AH65" s="100">
        <v>7.7931447546160317</v>
      </c>
      <c r="AI65" s="100">
        <v>7995.7665182360488</v>
      </c>
      <c r="AJ65" s="100">
        <v>5.3829769801630372</v>
      </c>
      <c r="AK65" s="100">
        <v>5522.9343816472765</v>
      </c>
      <c r="AL65" s="100">
        <v>6.2865090093292214E-4</v>
      </c>
      <c r="AM65" s="100">
        <v>0.64499582435717817</v>
      </c>
      <c r="AN65" s="100">
        <v>9.0002953023309793</v>
      </c>
      <c r="AO65" s="100">
        <v>9234.3029801915854</v>
      </c>
      <c r="AP65" s="100">
        <v>6</v>
      </c>
      <c r="AQ65" s="100">
        <v>6156</v>
      </c>
      <c r="AR65" s="100">
        <v>6.542899788415399</v>
      </c>
      <c r="AS65" s="100">
        <v>6713.0151829141996</v>
      </c>
      <c r="AT65" s="100">
        <v>7.248886477807619</v>
      </c>
      <c r="AU65" s="100">
        <v>7437.3575262306167</v>
      </c>
      <c r="AV65" s="100">
        <v>5.5881090425766988</v>
      </c>
      <c r="AW65" s="100">
        <v>5733.3998776836934</v>
      </c>
      <c r="AX65" s="100">
        <v>6.3198708019195529</v>
      </c>
      <c r="AY65" s="100">
        <v>6484.1874427694611</v>
      </c>
      <c r="AZ65" s="100">
        <v>2.2021208231741034</v>
      </c>
      <c r="BA65" s="100">
        <v>2259.3759645766299</v>
      </c>
      <c r="BB65" s="100">
        <v>10.495861585881272</v>
      </c>
      <c r="BC65" s="100">
        <v>10768.753987114185</v>
      </c>
      <c r="BD65" s="100">
        <v>8.047057300228774</v>
      </c>
      <c r="BE65" s="100">
        <v>8256.2807900347216</v>
      </c>
      <c r="BF65" s="100">
        <v>8.3969605792651798</v>
      </c>
      <c r="BG65" s="100">
        <v>8615.2815543260749</v>
      </c>
      <c r="BH65" s="100">
        <v>1.7932190404454811</v>
      </c>
      <c r="BI65" s="100">
        <v>1839.8427354970636</v>
      </c>
      <c r="BJ65" s="100">
        <v>7.6886432449890529</v>
      </c>
      <c r="BK65" s="100">
        <v>7888.5479693587686</v>
      </c>
      <c r="BL65" s="100">
        <v>6.224641084697601</v>
      </c>
      <c r="BM65" s="100">
        <v>6386.4817528997382</v>
      </c>
      <c r="BN65" s="100">
        <v>4.3912195132015981</v>
      </c>
      <c r="BO65" s="100">
        <v>4505.3912205448396</v>
      </c>
      <c r="BP65" s="100">
        <v>9.2366566371916985</v>
      </c>
      <c r="BQ65" s="100">
        <v>9476.8097097586833</v>
      </c>
      <c r="BR65" s="100">
        <v>6.9345712051423116E-4</v>
      </c>
      <c r="BS65" s="100">
        <v>0.71148700564760115</v>
      </c>
      <c r="BT65" s="100">
        <v>6.5873297740521561</v>
      </c>
      <c r="BU65" s="100">
        <v>6758.6003481775124</v>
      </c>
      <c r="BV65" s="100">
        <v>7.3219723508393422</v>
      </c>
      <c r="BW65" s="100">
        <v>7512.3436319611646</v>
      </c>
      <c r="BX65" s="100">
        <v>9</v>
      </c>
      <c r="BY65" s="100">
        <v>9234</v>
      </c>
      <c r="BZ65" s="100">
        <v>6.9674953896849461</v>
      </c>
      <c r="CA65" s="100">
        <v>7148.6502698167551</v>
      </c>
      <c r="CB65" s="100">
        <v>1.6035818782755444</v>
      </c>
      <c r="CC65" s="100">
        <v>1645.2750071107087</v>
      </c>
      <c r="CD65" s="100">
        <v>6.466518441796558E-4</v>
      </c>
      <c r="CE65" s="100">
        <v>0.66346479212832687</v>
      </c>
      <c r="CF65" s="100">
        <v>9.0002211985759093</v>
      </c>
      <c r="CG65" s="100">
        <v>9234.2269497388825</v>
      </c>
      <c r="CH65" s="100">
        <v>11</v>
      </c>
      <c r="CI65" s="100">
        <v>11286</v>
      </c>
      <c r="CJ65" s="100">
        <v>6.5069302016553969</v>
      </c>
      <c r="CK65" s="100">
        <v>6676.1103868984374</v>
      </c>
      <c r="CL65" s="100">
        <v>5.5507560281368606</v>
      </c>
      <c r="CM65" s="100">
        <v>5695.0756848684186</v>
      </c>
      <c r="CN65" s="100">
        <v>7.7880505496818202</v>
      </c>
      <c r="CO65" s="100">
        <v>7990.5398639735477</v>
      </c>
      <c r="CP65" s="100">
        <v>8.0415336764391405</v>
      </c>
      <c r="CQ65" s="100">
        <v>8250.613552026558</v>
      </c>
      <c r="CR65" s="100">
        <v>2.4149782246317097</v>
      </c>
      <c r="CS65" s="100">
        <v>2477.7676584721344</v>
      </c>
      <c r="CT65" s="100">
        <v>3.3772371995532486</v>
      </c>
      <c r="CU65" s="100">
        <v>3465.0453667416332</v>
      </c>
    </row>
    <row r="66" spans="2:99">
      <c r="C66" s="99" t="s">
        <v>232</v>
      </c>
      <c r="D66" s="100">
        <v>6.6131799117006134</v>
      </c>
      <c r="E66" s="100">
        <v>7872.3293668884089</v>
      </c>
      <c r="F66" s="100">
        <v>8.559438903416396</v>
      </c>
      <c r="G66" s="100">
        <v>10189.156070626877</v>
      </c>
      <c r="H66" s="100">
        <v>8.9436766131971286</v>
      </c>
      <c r="I66" s="100">
        <v>10646.552640349861</v>
      </c>
      <c r="J66" s="100">
        <v>5.7533748827015678</v>
      </c>
      <c r="K66" s="100">
        <v>6848.8174603679454</v>
      </c>
      <c r="L66" s="100">
        <v>6.5136422779157037</v>
      </c>
      <c r="M66" s="100">
        <v>7753.8397676308532</v>
      </c>
      <c r="N66" s="100">
        <v>1.8095647421851564</v>
      </c>
      <c r="O66" s="100">
        <v>2154.10586909721</v>
      </c>
      <c r="P66" s="100">
        <v>6.9454827356724129</v>
      </c>
      <c r="Q66" s="100">
        <v>8267.9026485444392</v>
      </c>
      <c r="R66" s="100">
        <v>3.0093496038169008</v>
      </c>
      <c r="S66" s="100">
        <v>3582.3297683836381</v>
      </c>
      <c r="T66" s="100">
        <v>6.9866997696275144</v>
      </c>
      <c r="U66" s="100">
        <v>8316.9674057645916</v>
      </c>
      <c r="V66" s="100">
        <v>8.4098809770293386</v>
      </c>
      <c r="W66" s="100">
        <v>10011.122315055723</v>
      </c>
      <c r="X66" s="100">
        <v>5.5213472289818697E-4</v>
      </c>
      <c r="Y66" s="100">
        <v>0.65726117413800167</v>
      </c>
      <c r="Z66" s="100">
        <v>8.5086943346380455</v>
      </c>
      <c r="AA66" s="100">
        <v>10128.749735953128</v>
      </c>
      <c r="AB66" s="100">
        <v>6.0500470215298074</v>
      </c>
      <c r="AC66" s="100">
        <v>7201.9759744290823</v>
      </c>
      <c r="AD66" s="100">
        <v>8.096007725262961</v>
      </c>
      <c r="AE66" s="100">
        <v>9637.487596153027</v>
      </c>
      <c r="AF66" s="100">
        <v>4.2089141184048966</v>
      </c>
      <c r="AG66" s="100">
        <v>5010.2913665491888</v>
      </c>
      <c r="AH66" s="100">
        <v>7.7931447546160317</v>
      </c>
      <c r="AI66" s="100">
        <v>9276.9595158949232</v>
      </c>
      <c r="AJ66" s="100">
        <v>6.0558491026834167</v>
      </c>
      <c r="AK66" s="100">
        <v>7208.8827718343382</v>
      </c>
      <c r="AL66" s="100">
        <v>5.0516395789517755E-4</v>
      </c>
      <c r="AM66" s="100">
        <v>0.60134717547841932</v>
      </c>
      <c r="AN66" s="100">
        <v>9.0002953023309793</v>
      </c>
      <c r="AO66" s="100">
        <v>10713.951527894797</v>
      </c>
      <c r="AP66" s="100">
        <v>7</v>
      </c>
      <c r="AQ66" s="100">
        <v>8332.7999999999993</v>
      </c>
      <c r="AR66" s="100">
        <v>6.542899788415399</v>
      </c>
      <c r="AS66" s="100">
        <v>7788.6679081296897</v>
      </c>
      <c r="AT66" s="100">
        <v>7.248886477807619</v>
      </c>
      <c r="AU66" s="100">
        <v>8629.074463182189</v>
      </c>
      <c r="AV66" s="100">
        <v>7.0910423989323732</v>
      </c>
      <c r="AW66" s="100">
        <v>8441.1768716890965</v>
      </c>
      <c r="AX66" s="100">
        <v>7.136875906136936</v>
      </c>
      <c r="AY66" s="100">
        <v>8495.7370786654083</v>
      </c>
      <c r="AZ66" s="100">
        <v>1.9875794645612253</v>
      </c>
      <c r="BA66" s="100">
        <v>2366.0145946136822</v>
      </c>
      <c r="BB66" s="100">
        <v>9.495861585881272</v>
      </c>
      <c r="BC66" s="100">
        <v>11303.873631833065</v>
      </c>
      <c r="BD66" s="100">
        <v>7.1529398224255756</v>
      </c>
      <c r="BE66" s="100">
        <v>8514.8595646154045</v>
      </c>
      <c r="BF66" s="100">
        <v>8.3969605792651798</v>
      </c>
      <c r="BG66" s="100">
        <v>9995.7418735572683</v>
      </c>
      <c r="BH66" s="100">
        <v>1.802556193524286</v>
      </c>
      <c r="BI66" s="100">
        <v>2145.7628927713099</v>
      </c>
      <c r="BJ66" s="100">
        <v>7.5492742435971554</v>
      </c>
      <c r="BK66" s="100">
        <v>8986.656059578052</v>
      </c>
      <c r="BL66" s="100">
        <v>7.0027212202848004</v>
      </c>
      <c r="BM66" s="100">
        <v>8336.039340627025</v>
      </c>
      <c r="BN66" s="100">
        <v>4.3912195132015981</v>
      </c>
      <c r="BO66" s="100">
        <v>5227.3077085151817</v>
      </c>
      <c r="BP66" s="100">
        <v>8.3969605792651798</v>
      </c>
      <c r="BQ66" s="100">
        <v>9995.7418735572683</v>
      </c>
      <c r="BR66" s="100">
        <v>6.2538853808012825E-4</v>
      </c>
      <c r="BS66" s="100">
        <v>0.74446251573058453</v>
      </c>
      <c r="BT66" s="100">
        <v>7.2238946147707139</v>
      </c>
      <c r="BU66" s="100">
        <v>8599.324149423057</v>
      </c>
      <c r="BV66" s="100">
        <v>7.4292964677857896</v>
      </c>
      <c r="BW66" s="100">
        <v>8843.8345152522033</v>
      </c>
      <c r="BX66" s="100">
        <v>10</v>
      </c>
      <c r="BY66" s="100">
        <v>11903.999999999998</v>
      </c>
      <c r="BZ66" s="100">
        <v>5.9721389054442398</v>
      </c>
      <c r="CA66" s="100">
        <v>7109.2341530408221</v>
      </c>
      <c r="CB66" s="100">
        <v>1.6035818782755444</v>
      </c>
      <c r="CC66" s="100">
        <v>1908.9038678992079</v>
      </c>
      <c r="CD66" s="100">
        <v>6.466518441796558E-4</v>
      </c>
      <c r="CE66" s="100">
        <v>0.76977435531146221</v>
      </c>
      <c r="CF66" s="100">
        <v>8.0001769588607274</v>
      </c>
      <c r="CG66" s="100">
        <v>9523.4106518278095</v>
      </c>
      <c r="CH66" s="100">
        <v>11</v>
      </c>
      <c r="CI66" s="100">
        <v>13094.399999999998</v>
      </c>
      <c r="CJ66" s="100">
        <v>5.6935639264484719</v>
      </c>
      <c r="CK66" s="100">
        <v>6777.6184980442604</v>
      </c>
      <c r="CL66" s="100">
        <v>5.5507560281368606</v>
      </c>
      <c r="CM66" s="100">
        <v>6607.6199758941184</v>
      </c>
      <c r="CN66" s="100">
        <v>7.7880505496818202</v>
      </c>
      <c r="CO66" s="100">
        <v>9270.8953743412385</v>
      </c>
      <c r="CP66" s="100">
        <v>8.0415336764391405</v>
      </c>
      <c r="CQ66" s="100">
        <v>9572.641688433152</v>
      </c>
      <c r="CR66" s="100">
        <v>1.9319825797053678</v>
      </c>
      <c r="CS66" s="100">
        <v>2299.8320628812694</v>
      </c>
      <c r="CT66" s="100">
        <v>3.3772371995532486</v>
      </c>
      <c r="CU66" s="100">
        <v>4020.2631623481866</v>
      </c>
    </row>
    <row r="67" spans="2:99">
      <c r="C67" s="99" t="s">
        <v>233</v>
      </c>
      <c r="D67" s="100">
        <v>6.5994261861856334</v>
      </c>
      <c r="E67" s="100">
        <v>7412.4754923237033</v>
      </c>
      <c r="F67" s="100">
        <v>10.559438903416396</v>
      </c>
      <c r="G67" s="100">
        <v>11860.361776317297</v>
      </c>
      <c r="H67" s="100">
        <v>9.9374184591079189</v>
      </c>
      <c r="I67" s="100">
        <v>11161.708413270015</v>
      </c>
      <c r="J67" s="100">
        <v>5.7533748827015678</v>
      </c>
      <c r="K67" s="100">
        <v>6462.1906682504014</v>
      </c>
      <c r="L67" s="100">
        <v>7.3278475626551662</v>
      </c>
      <c r="M67" s="100">
        <v>8230.6383823742835</v>
      </c>
      <c r="N67" s="100">
        <v>1.8235902966595559</v>
      </c>
      <c r="O67" s="100">
        <v>2048.2566212080133</v>
      </c>
      <c r="P67" s="100">
        <v>7.9454827356724129</v>
      </c>
      <c r="Q67" s="100">
        <v>8924.3662087072553</v>
      </c>
      <c r="R67" s="100">
        <v>3.4392566900764581</v>
      </c>
      <c r="S67" s="100">
        <v>3862.9731142938776</v>
      </c>
      <c r="T67" s="100">
        <v>6.9866997696275144</v>
      </c>
      <c r="U67" s="100">
        <v>7847.4611812456242</v>
      </c>
      <c r="V67" s="100">
        <v>8.4098809770293386</v>
      </c>
      <c r="W67" s="100">
        <v>9445.9783133993533</v>
      </c>
      <c r="X67" s="100">
        <v>6.2152177906664137E-4</v>
      </c>
      <c r="Y67" s="100">
        <v>0.69809326224765167</v>
      </c>
      <c r="Z67" s="100">
        <v>10.465607186368672</v>
      </c>
      <c r="AA67" s="100">
        <v>11754.969991729293</v>
      </c>
      <c r="AB67" s="100">
        <v>6.6550517236827869</v>
      </c>
      <c r="AC67" s="100">
        <v>7474.9540960405066</v>
      </c>
      <c r="AD67" s="100">
        <v>8.9298304340870942</v>
      </c>
      <c r="AE67" s="100">
        <v>10029.985543566625</v>
      </c>
      <c r="AF67" s="100">
        <v>4.2089141184048966</v>
      </c>
      <c r="AG67" s="100">
        <v>4727.4523377923797</v>
      </c>
      <c r="AH67" s="100">
        <v>7.7931447546160317</v>
      </c>
      <c r="AI67" s="100">
        <v>8753.2601883847274</v>
      </c>
      <c r="AJ67" s="100">
        <v>6.0558491026834167</v>
      </c>
      <c r="AK67" s="100">
        <v>6801.9297121340142</v>
      </c>
      <c r="AL67" s="100">
        <v>6.2752928235850229E-4</v>
      </c>
      <c r="AM67" s="100">
        <v>0.70484088994506977</v>
      </c>
      <c r="AN67" s="100">
        <v>8.0002953023309793</v>
      </c>
      <c r="AO67" s="100">
        <v>8985.9316835781556</v>
      </c>
      <c r="AP67" s="100">
        <v>6</v>
      </c>
      <c r="AQ67" s="100">
        <v>6739.2000000000007</v>
      </c>
      <c r="AR67" s="100">
        <v>6.542899788415399</v>
      </c>
      <c r="AS67" s="100">
        <v>7348.9850423481766</v>
      </c>
      <c r="AT67" s="100">
        <v>7.248886477807619</v>
      </c>
      <c r="AU67" s="100">
        <v>8141.9492918735177</v>
      </c>
      <c r="AV67" s="100">
        <v>7.0910423989323732</v>
      </c>
      <c r="AW67" s="100">
        <v>7964.658822480842</v>
      </c>
      <c r="AX67" s="100">
        <v>6.3198708019195529</v>
      </c>
      <c r="AY67" s="100">
        <v>7098.4788847160416</v>
      </c>
      <c r="AZ67" s="100">
        <v>1.9875794645612253</v>
      </c>
      <c r="BA67" s="100">
        <v>2232.4492545951684</v>
      </c>
      <c r="BB67" s="100">
        <v>9.495861585881272</v>
      </c>
      <c r="BC67" s="100">
        <v>10665.751733261844</v>
      </c>
      <c r="BD67" s="100">
        <v>7.1529398224255756</v>
      </c>
      <c r="BE67" s="100">
        <v>8034.1820085484069</v>
      </c>
      <c r="BF67" s="100">
        <v>7.5572645213386611</v>
      </c>
      <c r="BG67" s="100">
        <v>8488.3195103675844</v>
      </c>
      <c r="BH67" s="100">
        <v>1.6022721720215873</v>
      </c>
      <c r="BI67" s="100">
        <v>1799.6721036146469</v>
      </c>
      <c r="BJ67" s="100">
        <v>7.5492742435971554</v>
      </c>
      <c r="BK67" s="100">
        <v>8479.3448304083249</v>
      </c>
      <c r="BL67" s="100">
        <v>7.0027212202848004</v>
      </c>
      <c r="BM67" s="100">
        <v>7865.4564746238884</v>
      </c>
      <c r="BN67" s="100">
        <v>3.6593495943346648</v>
      </c>
      <c r="BO67" s="100">
        <v>4110.1814643566959</v>
      </c>
      <c r="BP67" s="100">
        <v>8.3969605792651798</v>
      </c>
      <c r="BQ67" s="100">
        <v>9431.4661226306507</v>
      </c>
      <c r="BR67" s="100">
        <v>6.918607084925811E-4</v>
      </c>
      <c r="BS67" s="100">
        <v>0.77709794777886709</v>
      </c>
      <c r="BT67" s="100">
        <v>6.5873297740521561</v>
      </c>
      <c r="BU67" s="100">
        <v>7398.8888022153824</v>
      </c>
      <c r="BV67" s="100">
        <v>7.4292964677857896</v>
      </c>
      <c r="BW67" s="100">
        <v>8344.5857926169992</v>
      </c>
      <c r="BX67" s="100">
        <v>10</v>
      </c>
      <c r="BY67" s="100">
        <v>11232</v>
      </c>
      <c r="BZ67" s="100">
        <v>6.9674953896849461</v>
      </c>
      <c r="CA67" s="100">
        <v>7825.8908216941318</v>
      </c>
      <c r="CB67" s="100">
        <v>1.8326650037434793</v>
      </c>
      <c r="CC67" s="100">
        <v>2058.449332204676</v>
      </c>
      <c r="CD67" s="100">
        <v>5.8786531289059616E-4</v>
      </c>
      <c r="CE67" s="100">
        <v>0.66029031943871763</v>
      </c>
      <c r="CF67" s="100">
        <v>8.0001769588607274</v>
      </c>
      <c r="CG67" s="100">
        <v>8985.7987601923687</v>
      </c>
      <c r="CH67" s="100">
        <v>11</v>
      </c>
      <c r="CI67" s="100">
        <v>12355.2</v>
      </c>
      <c r="CJ67" s="100">
        <v>6.5069302016553969</v>
      </c>
      <c r="CK67" s="100">
        <v>7308.5840024993422</v>
      </c>
      <c r="CL67" s="100">
        <v>4.7577908812601661</v>
      </c>
      <c r="CM67" s="100">
        <v>5343.9507178314188</v>
      </c>
      <c r="CN67" s="100">
        <v>7.0800459542561995</v>
      </c>
      <c r="CO67" s="100">
        <v>7952.307615820564</v>
      </c>
      <c r="CP67" s="100">
        <v>7.2373803087952258</v>
      </c>
      <c r="CQ67" s="100">
        <v>8129.0255628387977</v>
      </c>
      <c r="CR67" s="100">
        <v>2.1734804021685386</v>
      </c>
      <c r="CS67" s="100">
        <v>2441.2531877157026</v>
      </c>
      <c r="CT67" s="100">
        <v>3.3979331191958519</v>
      </c>
      <c r="CU67" s="100">
        <v>3816.558479480781</v>
      </c>
    </row>
    <row r="68" spans="2:99">
      <c r="C68" s="99" t="s">
        <v>234</v>
      </c>
      <c r="D68" s="100">
        <v>6.5994261861856334</v>
      </c>
      <c r="E68" s="100">
        <v>6818.5271355669965</v>
      </c>
      <c r="F68" s="100">
        <v>8.559438903416396</v>
      </c>
      <c r="G68" s="100">
        <v>8843.6122750098202</v>
      </c>
      <c r="H68" s="100">
        <v>9.9374184591079189</v>
      </c>
      <c r="I68" s="100">
        <v>10267.340751950302</v>
      </c>
      <c r="J68" s="100">
        <v>5.7533748827015678</v>
      </c>
      <c r="K68" s="100">
        <v>5944.3869288072601</v>
      </c>
      <c r="L68" s="100">
        <v>6.5136422779157037</v>
      </c>
      <c r="M68" s="100">
        <v>6729.8952015425057</v>
      </c>
      <c r="N68" s="100">
        <v>1.5430345046736287</v>
      </c>
      <c r="O68" s="100">
        <v>1594.2632502287931</v>
      </c>
      <c r="P68" s="100">
        <v>7.9454827356724129</v>
      </c>
      <c r="Q68" s="100">
        <v>8209.2727624967374</v>
      </c>
      <c r="R68" s="100">
        <v>3.4392566900764581</v>
      </c>
      <c r="S68" s="100">
        <v>3553.4400121869967</v>
      </c>
      <c r="T68" s="100">
        <v>6.9866997696275144</v>
      </c>
      <c r="U68" s="100">
        <v>7218.6582019791485</v>
      </c>
      <c r="V68" s="100">
        <v>8.4098809770293386</v>
      </c>
      <c r="W68" s="100">
        <v>8689.0890254667138</v>
      </c>
      <c r="X68" s="100">
        <v>6.8794710878564776E-4</v>
      </c>
      <c r="Y68" s="100">
        <v>0.71078695279733128</v>
      </c>
      <c r="Z68" s="100">
        <v>9.4871507605033578</v>
      </c>
      <c r="AA68" s="100">
        <v>9802.1241657520695</v>
      </c>
      <c r="AB68" s="100">
        <v>6.6550517236827869</v>
      </c>
      <c r="AC68" s="100">
        <v>6875.9994409090559</v>
      </c>
      <c r="AD68" s="100">
        <v>9.0481511032562487</v>
      </c>
      <c r="AE68" s="100">
        <v>9348.5497198843568</v>
      </c>
      <c r="AF68" s="100">
        <v>4.2089141184048966</v>
      </c>
      <c r="AG68" s="100">
        <v>4348.650067135939</v>
      </c>
      <c r="AH68" s="100">
        <v>7.7931447546160317</v>
      </c>
      <c r="AI68" s="100">
        <v>8051.8771604692847</v>
      </c>
      <c r="AJ68" s="100">
        <v>6.0558491026834167</v>
      </c>
      <c r="AK68" s="100">
        <v>6256.9032928925062</v>
      </c>
      <c r="AL68" s="100">
        <v>5.6578581083962999E-4</v>
      </c>
      <c r="AM68" s="100">
        <v>0.58456989975950568</v>
      </c>
      <c r="AN68" s="100">
        <v>9.0002953023309793</v>
      </c>
      <c r="AO68" s="100">
        <v>9299.1051063683681</v>
      </c>
      <c r="AP68" s="100">
        <v>6</v>
      </c>
      <c r="AQ68" s="100">
        <v>6199.2000000000007</v>
      </c>
      <c r="AR68" s="100">
        <v>6.542899788415399</v>
      </c>
      <c r="AS68" s="100">
        <v>6760.1240613907903</v>
      </c>
      <c r="AT68" s="100">
        <v>7.248886477807619</v>
      </c>
      <c r="AU68" s="100">
        <v>7489.5495088708321</v>
      </c>
      <c r="AV68" s="100">
        <v>6.1596908918362576</v>
      </c>
      <c r="AW68" s="100">
        <v>6364.1926294452214</v>
      </c>
      <c r="AX68" s="100">
        <v>6.4290310181273993</v>
      </c>
      <c r="AY68" s="100">
        <v>6642.4748479292293</v>
      </c>
      <c r="AZ68" s="100">
        <v>2.2021208231741034</v>
      </c>
      <c r="BA68" s="100">
        <v>2275.2312345034838</v>
      </c>
      <c r="BB68" s="100">
        <v>9.495861585881272</v>
      </c>
      <c r="BC68" s="100">
        <v>9811.1241905325314</v>
      </c>
      <c r="BD68" s="100">
        <v>7.1529398224255756</v>
      </c>
      <c r="BE68" s="100">
        <v>7390.4174245301047</v>
      </c>
      <c r="BF68" s="100">
        <v>8.3969605792651798</v>
      </c>
      <c r="BG68" s="100">
        <v>8675.739670496785</v>
      </c>
      <c r="BH68" s="100">
        <v>1.7932190404454811</v>
      </c>
      <c r="BI68" s="100">
        <v>1852.7539125882711</v>
      </c>
      <c r="BJ68" s="100">
        <v>8.5481025633156644</v>
      </c>
      <c r="BK68" s="100">
        <v>8831.8995684177444</v>
      </c>
      <c r="BL68" s="100">
        <v>7.7808013558720015</v>
      </c>
      <c r="BM68" s="100">
        <v>8039.1239608869519</v>
      </c>
      <c r="BN68" s="100">
        <v>3.6593495943346648</v>
      </c>
      <c r="BO68" s="100">
        <v>3780.8400008665758</v>
      </c>
      <c r="BP68" s="100">
        <v>8.3969605792651798</v>
      </c>
      <c r="BQ68" s="100">
        <v>8675.739670496785</v>
      </c>
      <c r="BR68" s="100">
        <v>6.2538853808012825E-4</v>
      </c>
      <c r="BS68" s="100">
        <v>0.64615143754438853</v>
      </c>
      <c r="BT68" s="100">
        <v>6.589439262606688</v>
      </c>
      <c r="BU68" s="100">
        <v>6808.2086461252302</v>
      </c>
      <c r="BV68" s="100">
        <v>7.3219723508393422</v>
      </c>
      <c r="BW68" s="100">
        <v>7565.0618328872088</v>
      </c>
      <c r="BX68" s="100">
        <v>10</v>
      </c>
      <c r="BY68" s="100">
        <v>10332</v>
      </c>
      <c r="BZ68" s="100">
        <v>5.9721389054442398</v>
      </c>
      <c r="CA68" s="100">
        <v>6170.4139171049892</v>
      </c>
      <c r="CB68" s="100">
        <v>1.6035818782755444</v>
      </c>
      <c r="CC68" s="100">
        <v>1656.8207966342925</v>
      </c>
      <c r="CD68" s="100">
        <v>5.8786531289059616E-4</v>
      </c>
      <c r="CE68" s="100">
        <v>0.607382441278564</v>
      </c>
      <c r="CF68" s="100">
        <v>9.0001769588607274</v>
      </c>
      <c r="CG68" s="100">
        <v>9298.9828338949046</v>
      </c>
      <c r="CH68" s="100">
        <v>9</v>
      </c>
      <c r="CI68" s="100">
        <v>9298.8000000000011</v>
      </c>
      <c r="CJ68" s="100">
        <v>6.5069302016553969</v>
      </c>
      <c r="CK68" s="100">
        <v>6722.9602843503562</v>
      </c>
      <c r="CL68" s="100">
        <v>5.5507560281368606</v>
      </c>
      <c r="CM68" s="100">
        <v>5735.0411282710047</v>
      </c>
      <c r="CN68" s="100">
        <v>7.0800459542561995</v>
      </c>
      <c r="CO68" s="100">
        <v>7315.1034799375057</v>
      </c>
      <c r="CP68" s="100">
        <v>8.0415336764391405</v>
      </c>
      <c r="CQ68" s="100">
        <v>8308.5125944969204</v>
      </c>
      <c r="CR68" s="100">
        <v>2.1734804021685386</v>
      </c>
      <c r="CS68" s="100">
        <v>2245.6399515205339</v>
      </c>
      <c r="CT68" s="100">
        <v>3.3772371995532486</v>
      </c>
      <c r="CU68" s="100">
        <v>3489.3614745784166</v>
      </c>
    </row>
    <row r="69" spans="2:99">
      <c r="C69" s="99" t="s">
        <v>235</v>
      </c>
      <c r="D69" s="100">
        <v>6.6171095475620376</v>
      </c>
      <c r="E69" s="100">
        <v>5018.415880871049</v>
      </c>
      <c r="F69" s="100">
        <v>10.559438903416396</v>
      </c>
      <c r="G69" s="100">
        <v>8008.2784643509949</v>
      </c>
      <c r="H69" s="100">
        <v>9.9374184591079189</v>
      </c>
      <c r="I69" s="100">
        <v>7536.5381593874454</v>
      </c>
      <c r="J69" s="100">
        <v>5.7533748827015678</v>
      </c>
      <c r="K69" s="100">
        <v>4363.3595110408687</v>
      </c>
      <c r="L69" s="100">
        <v>7.3278475626551662</v>
      </c>
      <c r="M69" s="100">
        <v>5557.4395915176783</v>
      </c>
      <c r="N69" s="100">
        <v>1.5290089501992294</v>
      </c>
      <c r="O69" s="100">
        <v>1159.6003878310955</v>
      </c>
      <c r="P69" s="100">
        <v>7.9454827356724129</v>
      </c>
      <c r="Q69" s="100">
        <v>6025.8541067339575</v>
      </c>
      <c r="R69" s="100">
        <v>3.0093496038169008</v>
      </c>
      <c r="S69" s="100">
        <v>2282.2907395347374</v>
      </c>
      <c r="T69" s="100">
        <v>6.9866997696275144</v>
      </c>
      <c r="U69" s="100">
        <v>5298.7131052855066</v>
      </c>
      <c r="V69" s="100">
        <v>8.4098809770293386</v>
      </c>
      <c r="W69" s="100">
        <v>6378.0537329790504</v>
      </c>
      <c r="X69" s="100">
        <v>6.1856005261719325E-4</v>
      </c>
      <c r="Y69" s="100">
        <v>0.46911594390487937</v>
      </c>
      <c r="Z69" s="100">
        <v>10.601815771911781</v>
      </c>
      <c r="AA69" s="100">
        <v>8040.4170814178942</v>
      </c>
      <c r="AB69" s="100">
        <v>7.260056425835768</v>
      </c>
      <c r="AC69" s="100">
        <v>5506.0267933538462</v>
      </c>
      <c r="AD69" s="100">
        <v>8.096007725262961</v>
      </c>
      <c r="AE69" s="100">
        <v>6140.0122588394297</v>
      </c>
      <c r="AF69" s="100">
        <v>3.6827998536042847</v>
      </c>
      <c r="AG69" s="100">
        <v>2793.0354089734897</v>
      </c>
      <c r="AH69" s="100">
        <v>8.7931447546160317</v>
      </c>
      <c r="AI69" s="100">
        <v>6668.7209819007985</v>
      </c>
      <c r="AJ69" s="100">
        <v>6.0558491026834167</v>
      </c>
      <c r="AK69" s="100">
        <v>4592.7559594751028</v>
      </c>
      <c r="AL69" s="100">
        <v>5.6578581083962999E-4</v>
      </c>
      <c r="AM69" s="100">
        <v>0.4290919589407754</v>
      </c>
      <c r="AN69" s="100">
        <v>10.000295302330979</v>
      </c>
      <c r="AO69" s="100">
        <v>7584.2239572878143</v>
      </c>
      <c r="AP69" s="100">
        <v>6</v>
      </c>
      <c r="AQ69" s="100">
        <v>4550.3999999999996</v>
      </c>
      <c r="AR69" s="100">
        <v>6.542899788415399</v>
      </c>
      <c r="AS69" s="100">
        <v>4962.1351995342384</v>
      </c>
      <c r="AT69" s="100">
        <v>7.248886477807619</v>
      </c>
      <c r="AU69" s="100">
        <v>5497.5555047692978</v>
      </c>
      <c r="AV69" s="100">
        <v>7.0910423989323732</v>
      </c>
      <c r="AW69" s="100">
        <v>5377.846555350312</v>
      </c>
      <c r="AX69" s="100">
        <v>7.136875906136936</v>
      </c>
      <c r="AY69" s="100">
        <v>5412.6066872142519</v>
      </c>
      <c r="AZ69" s="100">
        <v>2.4247632156505992</v>
      </c>
      <c r="BA69" s="100">
        <v>1838.9404227494144</v>
      </c>
      <c r="BB69" s="100">
        <v>9.495861585881272</v>
      </c>
      <c r="BC69" s="100">
        <v>7201.6614267323566</v>
      </c>
      <c r="BD69" s="100">
        <v>8.9411747780319697</v>
      </c>
      <c r="BE69" s="100">
        <v>6780.9869516594454</v>
      </c>
      <c r="BF69" s="100">
        <v>7.5572645213386611</v>
      </c>
      <c r="BG69" s="100">
        <v>5731.4294129832406</v>
      </c>
      <c r="BH69" s="100">
        <v>1.7932190404454811</v>
      </c>
      <c r="BI69" s="100">
        <v>1359.9773202738529</v>
      </c>
      <c r="BJ69" s="100">
        <v>7.5492742435971554</v>
      </c>
      <c r="BK69" s="100">
        <v>5725.3695863440826</v>
      </c>
      <c r="BL69" s="100">
        <v>7.0027212202848004</v>
      </c>
      <c r="BM69" s="100">
        <v>5310.8637734639924</v>
      </c>
      <c r="BN69" s="100">
        <v>4.3912195132015981</v>
      </c>
      <c r="BO69" s="100">
        <v>3330.3008788120919</v>
      </c>
      <c r="BP69" s="100">
        <v>9.2366566371916985</v>
      </c>
      <c r="BQ69" s="100">
        <v>7005.0803936461843</v>
      </c>
      <c r="BR69" s="100">
        <v>6.2379212605847808E-4</v>
      </c>
      <c r="BS69" s="100">
        <v>0.47308394840274975</v>
      </c>
      <c r="BT69" s="100">
        <v>7.2217851262161821</v>
      </c>
      <c r="BU69" s="100">
        <v>5477.0018397223521</v>
      </c>
      <c r="BV69" s="100">
        <v>8.4292964677857896</v>
      </c>
      <c r="BW69" s="100">
        <v>6392.7784411687426</v>
      </c>
      <c r="BX69" s="100">
        <v>10</v>
      </c>
      <c r="BY69" s="100">
        <v>7584</v>
      </c>
      <c r="BZ69" s="100">
        <v>6.9674953896849461</v>
      </c>
      <c r="CA69" s="100">
        <v>5284.1485035370633</v>
      </c>
      <c r="CB69" s="100">
        <v>1.6035818782755444</v>
      </c>
      <c r="CC69" s="100">
        <v>1216.156496484173</v>
      </c>
      <c r="CD69" s="100">
        <v>6.466518441796558E-4</v>
      </c>
      <c r="CE69" s="100">
        <v>0.49042075862585094</v>
      </c>
      <c r="CF69" s="100">
        <v>7.0002211985759102</v>
      </c>
      <c r="CG69" s="100">
        <v>5308.9677569999703</v>
      </c>
      <c r="CH69" s="100">
        <v>11</v>
      </c>
      <c r="CI69" s="100">
        <v>8342.4</v>
      </c>
      <c r="CJ69" s="100">
        <v>7.320296476862322</v>
      </c>
      <c r="CK69" s="100">
        <v>5551.7128480523852</v>
      </c>
      <c r="CL69" s="100">
        <v>5.5507560281368606</v>
      </c>
      <c r="CM69" s="100">
        <v>4209.6933717389948</v>
      </c>
      <c r="CN69" s="100">
        <v>7.0800459542561995</v>
      </c>
      <c r="CO69" s="100">
        <v>5369.5068517079017</v>
      </c>
      <c r="CP69" s="100">
        <v>8.0415336764391405</v>
      </c>
      <c r="CQ69" s="100">
        <v>6098.6991402114436</v>
      </c>
      <c r="CR69" s="100">
        <v>2.1734804021685386</v>
      </c>
      <c r="CS69" s="100">
        <v>1648.3675370046196</v>
      </c>
      <c r="CT69" s="100">
        <v>3.3979331191958519</v>
      </c>
      <c r="CU69" s="100">
        <v>2576.992477598134</v>
      </c>
    </row>
    <row r="70" spans="2:99">
      <c r="C70" s="99" t="s">
        <v>236</v>
      </c>
      <c r="D70" s="100">
        <v>7.3614946766651865</v>
      </c>
      <c r="E70" s="100">
        <v>3939.8719509512075</v>
      </c>
      <c r="F70" s="100">
        <v>10.559438903416396</v>
      </c>
      <c r="G70" s="100">
        <v>5651.4117011084545</v>
      </c>
      <c r="H70" s="100">
        <v>8.9436766131971286</v>
      </c>
      <c r="I70" s="100">
        <v>4786.6557233831027</v>
      </c>
      <c r="J70" s="100">
        <v>5.7533748827015678</v>
      </c>
      <c r="K70" s="100">
        <v>3079.2062372218788</v>
      </c>
      <c r="L70" s="100">
        <v>7.3278475626551662</v>
      </c>
      <c r="M70" s="100">
        <v>3921.8640155330445</v>
      </c>
      <c r="N70" s="100">
        <v>1.8095647421851564</v>
      </c>
      <c r="O70" s="100">
        <v>968.47905001749552</v>
      </c>
      <c r="P70" s="100">
        <v>8.1030631916178155</v>
      </c>
      <c r="Q70" s="100">
        <v>4336.7594201538541</v>
      </c>
      <c r="R70" s="100">
        <v>3.4392566900764581</v>
      </c>
      <c r="S70" s="100">
        <v>1840.6901805289201</v>
      </c>
      <c r="T70" s="100">
        <v>7.1511497312321008</v>
      </c>
      <c r="U70" s="100">
        <v>3827.29533615542</v>
      </c>
      <c r="V70" s="100">
        <v>9.3443121966992653</v>
      </c>
      <c r="W70" s="100">
        <v>5001.0758876734462</v>
      </c>
      <c r="X70" s="100">
        <v>7.5437243850465404E-4</v>
      </c>
      <c r="Y70" s="100">
        <v>0.4037401290876908</v>
      </c>
      <c r="Z70" s="100">
        <v>10.601815771911781</v>
      </c>
      <c r="AA70" s="100">
        <v>5674.0918011271842</v>
      </c>
      <c r="AB70" s="100">
        <v>6.6550517236827869</v>
      </c>
      <c r="AC70" s="100">
        <v>3561.7836825150271</v>
      </c>
      <c r="AD70" s="100">
        <v>9.0481511032562487</v>
      </c>
      <c r="AE70" s="100">
        <v>4842.5704704627433</v>
      </c>
      <c r="AF70" s="100">
        <v>3.6827998536042847</v>
      </c>
      <c r="AG70" s="100">
        <v>1971.0344816490128</v>
      </c>
      <c r="AH70" s="100">
        <v>7.9517737055392379</v>
      </c>
      <c r="AI70" s="100">
        <v>4255.7892872045995</v>
      </c>
      <c r="AJ70" s="100">
        <v>6.0558491026834167</v>
      </c>
      <c r="AK70" s="100">
        <v>3241.0904397561644</v>
      </c>
      <c r="AL70" s="100">
        <v>5.6578581083962999E-4</v>
      </c>
      <c r="AM70" s="100">
        <v>0.30280856596136996</v>
      </c>
      <c r="AN70" s="100">
        <v>9.0003543627971752</v>
      </c>
      <c r="AO70" s="100">
        <v>4816.9896549690475</v>
      </c>
      <c r="AP70" s="100">
        <v>6</v>
      </c>
      <c r="AQ70" s="100">
        <v>3211.2</v>
      </c>
      <c r="AR70" s="100">
        <v>7.4775997581890268</v>
      </c>
      <c r="AS70" s="100">
        <v>4002.0113905827666</v>
      </c>
      <c r="AT70" s="100">
        <v>7.9737751255883804</v>
      </c>
      <c r="AU70" s="100">
        <v>4267.5644472149006</v>
      </c>
      <c r="AV70" s="100">
        <v>8.0223939060284906</v>
      </c>
      <c r="AW70" s="100">
        <v>4293.5852185064477</v>
      </c>
      <c r="AX70" s="100">
        <v>7.0277156899290896</v>
      </c>
      <c r="AY70" s="100">
        <v>3761.2334372500482</v>
      </c>
      <c r="AZ70" s="100">
        <v>2.4247632156505992</v>
      </c>
      <c r="BA70" s="100">
        <v>1297.7332730162004</v>
      </c>
      <c r="BB70" s="100">
        <v>11.495861585881272</v>
      </c>
      <c r="BC70" s="100">
        <v>6152.5851207636561</v>
      </c>
      <c r="BD70" s="100">
        <v>8.047057300228774</v>
      </c>
      <c r="BE70" s="100">
        <v>4306.7850670824391</v>
      </c>
      <c r="BF70" s="100">
        <v>8.3969605792651798</v>
      </c>
      <c r="BG70" s="100">
        <v>4494.053302022724</v>
      </c>
      <c r="BH70" s="100">
        <v>1.7932190404454811</v>
      </c>
      <c r="BI70" s="100">
        <v>959.73083044642135</v>
      </c>
      <c r="BJ70" s="100">
        <v>8.6874715647075629</v>
      </c>
      <c r="BK70" s="100">
        <v>4649.5347814314873</v>
      </c>
      <c r="BL70" s="100">
        <v>7.0027212202848004</v>
      </c>
      <c r="BM70" s="100">
        <v>3747.8563970964246</v>
      </c>
      <c r="BN70" s="100">
        <v>4.3912195132015981</v>
      </c>
      <c r="BO70" s="100">
        <v>2350.1806834654949</v>
      </c>
      <c r="BP70" s="100">
        <v>9.2366566371916985</v>
      </c>
      <c r="BQ70" s="100">
        <v>4943.4586322249961</v>
      </c>
      <c r="BR70" s="100">
        <v>6.9505353253588122E-4</v>
      </c>
      <c r="BS70" s="100">
        <v>0.37199265061320358</v>
      </c>
      <c r="BT70" s="100">
        <v>7.2238946147707139</v>
      </c>
      <c r="BU70" s="100">
        <v>3866.2283978252858</v>
      </c>
      <c r="BV70" s="100">
        <v>7.4292964677857896</v>
      </c>
      <c r="BW70" s="100">
        <v>3976.1594695589542</v>
      </c>
      <c r="BX70" s="100">
        <v>10</v>
      </c>
      <c r="BY70" s="100">
        <v>5351.9999999999991</v>
      </c>
      <c r="BZ70" s="100">
        <v>6.9674953896849461</v>
      </c>
      <c r="CA70" s="100">
        <v>3729.0035325593826</v>
      </c>
      <c r="CB70" s="100">
        <v>1.6035818782755444</v>
      </c>
      <c r="CC70" s="100">
        <v>858.23702125307125</v>
      </c>
      <c r="CD70" s="100">
        <v>5.8786531289059616E-4</v>
      </c>
      <c r="CE70" s="100">
        <v>0.31462551545904704</v>
      </c>
      <c r="CF70" s="100">
        <v>8.0002211985759093</v>
      </c>
      <c r="CG70" s="100">
        <v>4281.7183854778259</v>
      </c>
      <c r="CH70" s="100">
        <v>10</v>
      </c>
      <c r="CI70" s="100">
        <v>5351.9999999999991</v>
      </c>
      <c r="CJ70" s="100">
        <v>7.320296476862322</v>
      </c>
      <c r="CK70" s="100">
        <v>3917.8226744167141</v>
      </c>
      <c r="CL70" s="100">
        <v>5.5507560281368606</v>
      </c>
      <c r="CM70" s="100">
        <v>2970.7646262588473</v>
      </c>
      <c r="CN70" s="100">
        <v>7.0800459542561995</v>
      </c>
      <c r="CO70" s="100">
        <v>3789.2405947179177</v>
      </c>
      <c r="CP70" s="100">
        <v>8.8456870440830535</v>
      </c>
      <c r="CQ70" s="100">
        <v>4734.2117059932498</v>
      </c>
      <c r="CR70" s="100">
        <v>2.1734804021685386</v>
      </c>
      <c r="CS70" s="100">
        <v>1163.2467112406016</v>
      </c>
      <c r="CT70" s="100">
        <v>3.3772371995532486</v>
      </c>
      <c r="CU70" s="100">
        <v>1807.4973492008985</v>
      </c>
    </row>
    <row r="71" spans="2:99">
      <c r="B71" s="99" t="s">
        <v>130</v>
      </c>
      <c r="C71" s="99" t="s">
        <v>237</v>
      </c>
      <c r="D71" s="100">
        <v>2.0762355124794474</v>
      </c>
      <c r="E71" s="100">
        <v>1170.9968290384084</v>
      </c>
      <c r="F71" s="100">
        <v>7.1116601353667859</v>
      </c>
      <c r="G71" s="100">
        <v>4010.9763163468674</v>
      </c>
      <c r="H71" s="100">
        <v>6.6558056433118598</v>
      </c>
      <c r="I71" s="100">
        <v>3753.8743828278889</v>
      </c>
      <c r="J71" s="100">
        <v>0.67749184907518489</v>
      </c>
      <c r="K71" s="100">
        <v>382.10540287840428</v>
      </c>
      <c r="L71" s="100">
        <v>6.2302246981823046</v>
      </c>
      <c r="M71" s="100">
        <v>3513.8467297748198</v>
      </c>
      <c r="N71" s="100">
        <v>7</v>
      </c>
      <c r="O71" s="100">
        <v>3948</v>
      </c>
      <c r="P71" s="100">
        <v>7</v>
      </c>
      <c r="Q71" s="100">
        <v>3948</v>
      </c>
      <c r="R71" s="100">
        <v>5.7196027443165463</v>
      </c>
      <c r="S71" s="100">
        <v>3225.8559477945319</v>
      </c>
      <c r="T71" s="100">
        <v>5</v>
      </c>
      <c r="U71" s="100">
        <v>2820</v>
      </c>
      <c r="V71" s="100">
        <v>8</v>
      </c>
      <c r="W71" s="100">
        <v>4512</v>
      </c>
      <c r="X71" s="100">
        <v>5</v>
      </c>
      <c r="Y71" s="100">
        <v>2820</v>
      </c>
      <c r="Z71" s="100">
        <v>7</v>
      </c>
      <c r="AA71" s="100">
        <v>3948</v>
      </c>
      <c r="AB71" s="100">
        <v>7.768656480435796</v>
      </c>
      <c r="AC71" s="100">
        <v>4381.5222549657892</v>
      </c>
      <c r="AD71" s="100">
        <v>7.0277848629721467</v>
      </c>
      <c r="AE71" s="100">
        <v>3963.6706627162907</v>
      </c>
      <c r="AF71" s="100">
        <v>7.7037037037036464</v>
      </c>
      <c r="AG71" s="100">
        <v>4344.8888888888569</v>
      </c>
      <c r="AH71" s="100">
        <v>7</v>
      </c>
      <c r="AI71" s="100">
        <v>3948</v>
      </c>
      <c r="AJ71" s="100">
        <v>4.8428357581374994</v>
      </c>
      <c r="AK71" s="100">
        <v>2731.3593675895495</v>
      </c>
      <c r="AL71" s="100">
        <v>4.3812782440121669</v>
      </c>
      <c r="AM71" s="100">
        <v>2471.0409296228622</v>
      </c>
      <c r="AN71" s="100">
        <v>8</v>
      </c>
      <c r="AO71" s="100">
        <v>4512</v>
      </c>
      <c r="AP71" s="100">
        <v>5</v>
      </c>
      <c r="AQ71" s="100">
        <v>2820</v>
      </c>
      <c r="AR71" s="100">
        <v>7</v>
      </c>
      <c r="AS71" s="100">
        <v>3948</v>
      </c>
      <c r="AT71" s="100">
        <v>6</v>
      </c>
      <c r="AU71" s="100">
        <v>3384</v>
      </c>
      <c r="AV71" s="100">
        <v>7</v>
      </c>
      <c r="AW71" s="100">
        <v>3948</v>
      </c>
      <c r="AX71" s="100">
        <v>4.9820456799257871</v>
      </c>
      <c r="AY71" s="100">
        <v>2809.8737634781437</v>
      </c>
      <c r="AZ71" s="100">
        <v>5</v>
      </c>
      <c r="BA71" s="100">
        <v>2820</v>
      </c>
      <c r="BB71" s="100">
        <v>8</v>
      </c>
      <c r="BC71" s="100">
        <v>4512</v>
      </c>
      <c r="BD71" s="100">
        <v>7</v>
      </c>
      <c r="BE71" s="100">
        <v>3948</v>
      </c>
      <c r="BF71" s="100">
        <v>4.3158116367934563</v>
      </c>
      <c r="BG71" s="100">
        <v>2434.1177631515093</v>
      </c>
      <c r="BH71" s="100">
        <v>7</v>
      </c>
      <c r="BI71" s="100">
        <v>3948</v>
      </c>
      <c r="BJ71" s="100">
        <v>8</v>
      </c>
      <c r="BK71" s="100">
        <v>4512</v>
      </c>
      <c r="BL71" s="100">
        <v>7.9475495010422588</v>
      </c>
      <c r="BM71" s="100">
        <v>4482.4179185878338</v>
      </c>
      <c r="BN71" s="100">
        <v>0.58936559034420444</v>
      </c>
      <c r="BO71" s="100">
        <v>332.40219295413129</v>
      </c>
      <c r="BP71" s="100">
        <v>7</v>
      </c>
      <c r="BQ71" s="100">
        <v>3948</v>
      </c>
      <c r="BR71" s="100">
        <v>9</v>
      </c>
      <c r="BS71" s="100">
        <v>5076</v>
      </c>
      <c r="BT71" s="100">
        <v>5</v>
      </c>
      <c r="BU71" s="100">
        <v>2820</v>
      </c>
      <c r="BV71" s="100">
        <v>10</v>
      </c>
      <c r="BW71" s="100">
        <v>5640</v>
      </c>
      <c r="BX71" s="100">
        <v>6</v>
      </c>
      <c r="BY71" s="100">
        <v>3384</v>
      </c>
      <c r="BZ71" s="100">
        <v>6.1412179952734247</v>
      </c>
      <c r="CA71" s="100">
        <v>3463.6469493342115</v>
      </c>
      <c r="CB71" s="100">
        <v>6.9580737088651148</v>
      </c>
      <c r="CC71" s="100">
        <v>3924.3535717999248</v>
      </c>
      <c r="CD71" s="100">
        <v>3.1994369424899696</v>
      </c>
      <c r="CE71" s="100">
        <v>1804.4824355643429</v>
      </c>
      <c r="CF71" s="100">
        <v>5</v>
      </c>
      <c r="CG71" s="100">
        <v>2820</v>
      </c>
      <c r="CH71" s="100">
        <v>8</v>
      </c>
      <c r="CI71" s="100">
        <v>4512</v>
      </c>
      <c r="CJ71" s="100">
        <v>4</v>
      </c>
      <c r="CK71" s="100">
        <v>2256</v>
      </c>
      <c r="CL71" s="100">
        <v>7.3306376145447771</v>
      </c>
      <c r="CM71" s="100">
        <v>4134.479614603254</v>
      </c>
      <c r="CN71" s="100">
        <v>6</v>
      </c>
      <c r="CO71" s="100">
        <v>3384</v>
      </c>
      <c r="CP71" s="100">
        <v>3.6333759363164586</v>
      </c>
      <c r="CQ71" s="100">
        <v>2049.2240280824826</v>
      </c>
      <c r="CR71" s="100">
        <v>7</v>
      </c>
      <c r="CS71" s="100">
        <v>3948</v>
      </c>
      <c r="CT71" s="100">
        <v>8</v>
      </c>
      <c r="CU71" s="100">
        <v>4512</v>
      </c>
    </row>
    <row r="72" spans="2:99">
      <c r="C72" s="99" t="s">
        <v>238</v>
      </c>
      <c r="D72" s="100">
        <v>2.5390741366455947</v>
      </c>
      <c r="E72" s="100">
        <v>188.90711576643221</v>
      </c>
      <c r="F72" s="100">
        <v>8.1627984930023239</v>
      </c>
      <c r="G72" s="100">
        <v>607.31220787937286</v>
      </c>
      <c r="H72" s="100">
        <v>7.6558056433118598</v>
      </c>
      <c r="I72" s="100">
        <v>569.59193986240234</v>
      </c>
      <c r="J72" s="100">
        <v>0.84250248004911654</v>
      </c>
      <c r="K72" s="100">
        <v>62.682184515654264</v>
      </c>
      <c r="L72" s="100">
        <v>6.2302246981823046</v>
      </c>
      <c r="M72" s="100">
        <v>463.52871754476342</v>
      </c>
      <c r="N72" s="100">
        <v>7</v>
      </c>
      <c r="O72" s="100">
        <v>520.79999999999995</v>
      </c>
      <c r="P72" s="100">
        <v>8</v>
      </c>
      <c r="Q72" s="100">
        <v>595.19999999999993</v>
      </c>
      <c r="R72" s="100">
        <v>5.7196027443165463</v>
      </c>
      <c r="S72" s="100">
        <v>425.53844417715101</v>
      </c>
      <c r="T72" s="100">
        <v>5</v>
      </c>
      <c r="U72" s="100">
        <v>371.99999999999994</v>
      </c>
      <c r="V72" s="100">
        <v>8</v>
      </c>
      <c r="W72" s="100">
        <v>595.19999999999993</v>
      </c>
      <c r="X72" s="100">
        <v>6</v>
      </c>
      <c r="Y72" s="100">
        <v>446.4</v>
      </c>
      <c r="Z72" s="100">
        <v>8</v>
      </c>
      <c r="AA72" s="100">
        <v>595.19999999999993</v>
      </c>
      <c r="AB72" s="100">
        <v>7.768656480435796</v>
      </c>
      <c r="AC72" s="100">
        <v>577.98804214442316</v>
      </c>
      <c r="AD72" s="100">
        <v>8.7847310787151827</v>
      </c>
      <c r="AE72" s="100">
        <v>653.58399225640949</v>
      </c>
      <c r="AF72" s="100">
        <v>7.7037037037036464</v>
      </c>
      <c r="AG72" s="100">
        <v>573.15555555555125</v>
      </c>
      <c r="AH72" s="100">
        <v>8</v>
      </c>
      <c r="AI72" s="100">
        <v>595.19999999999993</v>
      </c>
      <c r="AJ72" s="100">
        <v>4.2374812883703115</v>
      </c>
      <c r="AK72" s="100">
        <v>315.26860785475111</v>
      </c>
      <c r="AL72" s="100">
        <v>4.3812782440121669</v>
      </c>
      <c r="AM72" s="100">
        <v>325.96710135450519</v>
      </c>
      <c r="AN72" s="100">
        <v>9</v>
      </c>
      <c r="AO72" s="100">
        <v>669.59999999999991</v>
      </c>
      <c r="AP72" s="100">
        <v>6</v>
      </c>
      <c r="AQ72" s="100">
        <v>446.4</v>
      </c>
      <c r="AR72" s="100">
        <v>7</v>
      </c>
      <c r="AS72" s="100">
        <v>520.79999999999995</v>
      </c>
      <c r="AT72" s="100">
        <v>6</v>
      </c>
      <c r="AU72" s="100">
        <v>446.4</v>
      </c>
      <c r="AV72" s="100">
        <v>8</v>
      </c>
      <c r="AW72" s="100">
        <v>595.19999999999993</v>
      </c>
      <c r="AX72" s="100">
        <v>5.9784548159109443</v>
      </c>
      <c r="AY72" s="100">
        <v>444.79703830377423</v>
      </c>
      <c r="AZ72" s="100">
        <v>6</v>
      </c>
      <c r="BA72" s="100">
        <v>446.4</v>
      </c>
      <c r="BB72" s="100">
        <v>8</v>
      </c>
      <c r="BC72" s="100">
        <v>595.19999999999993</v>
      </c>
      <c r="BD72" s="100">
        <v>7</v>
      </c>
      <c r="BE72" s="100">
        <v>520.79999999999995</v>
      </c>
      <c r="BF72" s="100">
        <v>3.8362770104830721</v>
      </c>
      <c r="BG72" s="100">
        <v>285.41900957994051</v>
      </c>
      <c r="BH72" s="100">
        <v>6</v>
      </c>
      <c r="BI72" s="100">
        <v>446.4</v>
      </c>
      <c r="BJ72" s="100">
        <v>9</v>
      </c>
      <c r="BK72" s="100">
        <v>669.59999999999991</v>
      </c>
      <c r="BL72" s="100">
        <v>8.8306105567136211</v>
      </c>
      <c r="BM72" s="100">
        <v>656.99742541949331</v>
      </c>
      <c r="BN72" s="100">
        <v>0.68759318873490516</v>
      </c>
      <c r="BO72" s="100">
        <v>51.156933241876935</v>
      </c>
      <c r="BP72" s="100">
        <v>6</v>
      </c>
      <c r="BQ72" s="100">
        <v>446.4</v>
      </c>
      <c r="BR72" s="100">
        <v>9</v>
      </c>
      <c r="BS72" s="100">
        <v>669.59999999999991</v>
      </c>
      <c r="BT72" s="100">
        <v>5</v>
      </c>
      <c r="BU72" s="100">
        <v>371.99999999999994</v>
      </c>
      <c r="BV72" s="100">
        <v>9</v>
      </c>
      <c r="BW72" s="100">
        <v>669.59999999999991</v>
      </c>
      <c r="BX72" s="100">
        <v>6</v>
      </c>
      <c r="BY72" s="100">
        <v>446.4</v>
      </c>
      <c r="BZ72" s="100">
        <v>6.1412179952734247</v>
      </c>
      <c r="CA72" s="100">
        <v>456.90661884834276</v>
      </c>
      <c r="CB72" s="100">
        <v>7.9520842387029882</v>
      </c>
      <c r="CC72" s="100">
        <v>591.63506735950227</v>
      </c>
      <c r="CD72" s="100">
        <v>3.9992961781124619</v>
      </c>
      <c r="CE72" s="100">
        <v>297.54763565156713</v>
      </c>
      <c r="CF72" s="100">
        <v>5</v>
      </c>
      <c r="CG72" s="100">
        <v>371.99999999999994</v>
      </c>
      <c r="CH72" s="100">
        <v>9</v>
      </c>
      <c r="CI72" s="100">
        <v>669.59999999999991</v>
      </c>
      <c r="CJ72" s="100">
        <v>5</v>
      </c>
      <c r="CK72" s="100">
        <v>371.99999999999994</v>
      </c>
      <c r="CL72" s="100">
        <v>9.1632970181809714</v>
      </c>
      <c r="CM72" s="100">
        <v>681.74929815266421</v>
      </c>
      <c r="CN72" s="100">
        <v>6</v>
      </c>
      <c r="CO72" s="100">
        <v>446.4</v>
      </c>
      <c r="CP72" s="100">
        <v>4.3600511235797503</v>
      </c>
      <c r="CQ72" s="100">
        <v>324.38780359433338</v>
      </c>
      <c r="CR72" s="100">
        <v>6</v>
      </c>
      <c r="CS72" s="100">
        <v>446.4</v>
      </c>
      <c r="CT72" s="100">
        <v>10</v>
      </c>
      <c r="CU72" s="100">
        <v>743.99999999999989</v>
      </c>
    </row>
    <row r="73" spans="2:99">
      <c r="C73" s="99" t="s">
        <v>239</v>
      </c>
      <c r="D73" s="100">
        <v>2.5615622382270811</v>
      </c>
      <c r="E73" s="100">
        <v>1432.4256036165837</v>
      </c>
      <c r="F73" s="100">
        <v>8.0396443089613356</v>
      </c>
      <c r="G73" s="100">
        <v>4495.7690975711785</v>
      </c>
      <c r="H73" s="100">
        <v>5.5465047027598837</v>
      </c>
      <c r="I73" s="100">
        <v>3101.6054297833266</v>
      </c>
      <c r="J73" s="100">
        <v>0.75708894369890778</v>
      </c>
      <c r="K73" s="100">
        <v>423.36413731642915</v>
      </c>
      <c r="L73" s="100">
        <v>6.2302246981823046</v>
      </c>
      <c r="M73" s="100">
        <v>3483.9416512235443</v>
      </c>
      <c r="N73" s="100">
        <v>7</v>
      </c>
      <c r="O73" s="100">
        <v>3914.3999999999996</v>
      </c>
      <c r="P73" s="100">
        <v>8</v>
      </c>
      <c r="Q73" s="100">
        <v>4473.5999999999995</v>
      </c>
      <c r="R73" s="100">
        <v>5.7196027443165463</v>
      </c>
      <c r="S73" s="100">
        <v>3198.4018546218122</v>
      </c>
      <c r="T73" s="100">
        <v>5</v>
      </c>
      <c r="U73" s="100">
        <v>2795.9999999999995</v>
      </c>
      <c r="V73" s="100">
        <v>8</v>
      </c>
      <c r="W73" s="100">
        <v>4473.5999999999995</v>
      </c>
      <c r="X73" s="100">
        <v>6</v>
      </c>
      <c r="Y73" s="100">
        <v>3355.2</v>
      </c>
      <c r="Z73" s="100">
        <v>8</v>
      </c>
      <c r="AA73" s="100">
        <v>4473.5999999999995</v>
      </c>
      <c r="AB73" s="100">
        <v>6.7975744203813209</v>
      </c>
      <c r="AC73" s="100">
        <v>3801.2036158772344</v>
      </c>
      <c r="AD73" s="100">
        <v>7.0277848629721467</v>
      </c>
      <c r="AE73" s="100">
        <v>3929.937295374024</v>
      </c>
      <c r="AF73" s="100">
        <v>6.7407407407406907</v>
      </c>
      <c r="AG73" s="100">
        <v>3769.4222222221938</v>
      </c>
      <c r="AH73" s="100">
        <v>7</v>
      </c>
      <c r="AI73" s="100">
        <v>3914.3999999999996</v>
      </c>
      <c r="AJ73" s="100">
        <v>3.6321268186031248</v>
      </c>
      <c r="AK73" s="100">
        <v>2031.0853169628672</v>
      </c>
      <c r="AL73" s="100">
        <v>3.8336184635106463</v>
      </c>
      <c r="AM73" s="100">
        <v>2143.7594447951533</v>
      </c>
      <c r="AN73" s="100">
        <v>8</v>
      </c>
      <c r="AO73" s="100">
        <v>4473.5999999999995</v>
      </c>
      <c r="AP73" s="100">
        <v>6</v>
      </c>
      <c r="AQ73" s="100">
        <v>3355.2</v>
      </c>
      <c r="AR73" s="100">
        <v>7</v>
      </c>
      <c r="AS73" s="100">
        <v>3914.3999999999996</v>
      </c>
      <c r="AT73" s="100">
        <v>7</v>
      </c>
      <c r="AU73" s="100">
        <v>3914.3999999999996</v>
      </c>
      <c r="AV73" s="100">
        <v>7</v>
      </c>
      <c r="AW73" s="100">
        <v>3914.3999999999996</v>
      </c>
      <c r="AX73" s="100">
        <v>5.9784548159109443</v>
      </c>
      <c r="AY73" s="100">
        <v>3343.1519330573997</v>
      </c>
      <c r="AZ73" s="100">
        <v>6</v>
      </c>
      <c r="BA73" s="100">
        <v>3355.2</v>
      </c>
      <c r="BB73" s="100">
        <v>9</v>
      </c>
      <c r="BC73" s="100">
        <v>5032.7999999999993</v>
      </c>
      <c r="BD73" s="100">
        <v>7</v>
      </c>
      <c r="BE73" s="100">
        <v>3914.3999999999996</v>
      </c>
      <c r="BF73" s="100">
        <v>4.3158116367934563</v>
      </c>
      <c r="BG73" s="100">
        <v>2413.4018672949005</v>
      </c>
      <c r="BH73" s="100">
        <v>7</v>
      </c>
      <c r="BI73" s="100">
        <v>3914.3999999999996</v>
      </c>
      <c r="BJ73" s="100">
        <v>7</v>
      </c>
      <c r="BK73" s="100">
        <v>3914.3999999999996</v>
      </c>
      <c r="BL73" s="100">
        <v>7.9475495010422588</v>
      </c>
      <c r="BM73" s="100">
        <v>4444.2696809828303</v>
      </c>
      <c r="BN73" s="100">
        <v>0.68759318873490516</v>
      </c>
      <c r="BO73" s="100">
        <v>384.5021111405589</v>
      </c>
      <c r="BP73" s="100">
        <v>7</v>
      </c>
      <c r="BQ73" s="100">
        <v>3914.3999999999996</v>
      </c>
      <c r="BR73" s="100">
        <v>9</v>
      </c>
      <c r="BS73" s="100">
        <v>5032.7999999999993</v>
      </c>
      <c r="BT73" s="100">
        <v>5</v>
      </c>
      <c r="BU73" s="100">
        <v>2795.9999999999995</v>
      </c>
      <c r="BV73" s="100">
        <v>9</v>
      </c>
      <c r="BW73" s="100">
        <v>5032.7999999999993</v>
      </c>
      <c r="BX73" s="100">
        <v>6</v>
      </c>
      <c r="BY73" s="100">
        <v>3355.2</v>
      </c>
      <c r="BZ73" s="100">
        <v>5.4588604402430443</v>
      </c>
      <c r="CA73" s="100">
        <v>3052.59475818391</v>
      </c>
      <c r="CB73" s="100">
        <v>6.9580737088651148</v>
      </c>
      <c r="CC73" s="100">
        <v>3890.9548179973717</v>
      </c>
      <c r="CD73" s="100">
        <v>3.1994369424899696</v>
      </c>
      <c r="CE73" s="100">
        <v>1789.1251382403907</v>
      </c>
      <c r="CF73" s="100">
        <v>5</v>
      </c>
      <c r="CG73" s="100">
        <v>2795.9999999999995</v>
      </c>
      <c r="CH73" s="100">
        <v>8</v>
      </c>
      <c r="CI73" s="100">
        <v>4473.5999999999995</v>
      </c>
      <c r="CJ73" s="100">
        <v>4</v>
      </c>
      <c r="CK73" s="100">
        <v>2236.7999999999997</v>
      </c>
      <c r="CL73" s="100">
        <v>8.2469673163628734</v>
      </c>
      <c r="CM73" s="100">
        <v>4611.7041233101181</v>
      </c>
      <c r="CN73" s="100">
        <v>6</v>
      </c>
      <c r="CO73" s="100">
        <v>3355.2</v>
      </c>
      <c r="CP73" s="100">
        <v>3.6333759363164586</v>
      </c>
      <c r="CQ73" s="100">
        <v>2031.7838235881634</v>
      </c>
      <c r="CR73" s="100">
        <v>7</v>
      </c>
      <c r="CS73" s="100">
        <v>3914.3999999999996</v>
      </c>
      <c r="CT73" s="100">
        <v>10</v>
      </c>
      <c r="CU73" s="100">
        <v>5591.9999999999991</v>
      </c>
    </row>
    <row r="74" spans="2:99">
      <c r="C74" s="99" t="s">
        <v>240</v>
      </c>
      <c r="D74" s="100">
        <v>2.4134998792064639</v>
      </c>
      <c r="E74" s="100">
        <v>973.12315129604622</v>
      </c>
      <c r="F74" s="100">
        <v>7.2348143194077732</v>
      </c>
      <c r="G74" s="100">
        <v>2917.0771335852141</v>
      </c>
      <c r="H74" s="100">
        <v>6.6558056433118598</v>
      </c>
      <c r="I74" s="100">
        <v>2683.6208353833417</v>
      </c>
      <c r="J74" s="100">
        <v>0.67749184907518489</v>
      </c>
      <c r="K74" s="100">
        <v>273.16471354711456</v>
      </c>
      <c r="L74" s="100">
        <v>6.2302246981823046</v>
      </c>
      <c r="M74" s="100">
        <v>2512.0265983071054</v>
      </c>
      <c r="N74" s="100">
        <v>7</v>
      </c>
      <c r="O74" s="100">
        <v>2822.4</v>
      </c>
      <c r="P74" s="100">
        <v>8</v>
      </c>
      <c r="Q74" s="100">
        <v>3225.6</v>
      </c>
      <c r="R74" s="100">
        <v>5.7196027443165463</v>
      </c>
      <c r="S74" s="100">
        <v>2306.1438265084312</v>
      </c>
      <c r="T74" s="100">
        <v>5</v>
      </c>
      <c r="U74" s="100">
        <v>2016</v>
      </c>
      <c r="V74" s="100">
        <v>8</v>
      </c>
      <c r="W74" s="100">
        <v>3225.6</v>
      </c>
      <c r="X74" s="100">
        <v>5</v>
      </c>
      <c r="Y74" s="100">
        <v>2016</v>
      </c>
      <c r="Z74" s="100">
        <v>8</v>
      </c>
      <c r="AA74" s="100">
        <v>3225.6</v>
      </c>
      <c r="AB74" s="100">
        <v>7.768656480435796</v>
      </c>
      <c r="AC74" s="100">
        <v>3132.3222929117128</v>
      </c>
      <c r="AD74" s="100">
        <v>7.9062579708436651</v>
      </c>
      <c r="AE74" s="100">
        <v>3187.8032138441658</v>
      </c>
      <c r="AF74" s="100">
        <v>7.7037037037036464</v>
      </c>
      <c r="AG74" s="100">
        <v>3106.13333333331</v>
      </c>
      <c r="AH74" s="100">
        <v>8</v>
      </c>
      <c r="AI74" s="100">
        <v>3225.6</v>
      </c>
      <c r="AJ74" s="100">
        <v>3.6321268186031248</v>
      </c>
      <c r="AK74" s="100">
        <v>1464.47353326078</v>
      </c>
      <c r="AL74" s="100">
        <v>3.8336184635106463</v>
      </c>
      <c r="AM74" s="100">
        <v>1545.7149644874926</v>
      </c>
      <c r="AN74" s="100">
        <v>7</v>
      </c>
      <c r="AO74" s="100">
        <v>2822.4</v>
      </c>
      <c r="AP74" s="100">
        <v>6</v>
      </c>
      <c r="AQ74" s="100">
        <v>2419.1999999999998</v>
      </c>
      <c r="AR74" s="100">
        <v>7</v>
      </c>
      <c r="AS74" s="100">
        <v>2822.4</v>
      </c>
      <c r="AT74" s="100">
        <v>7</v>
      </c>
      <c r="AU74" s="100">
        <v>2822.4</v>
      </c>
      <c r="AV74" s="100">
        <v>7</v>
      </c>
      <c r="AW74" s="100">
        <v>2822.4</v>
      </c>
      <c r="AX74" s="100">
        <v>4.9820456799257871</v>
      </c>
      <c r="AY74" s="100">
        <v>2008.7608181460773</v>
      </c>
      <c r="AZ74" s="100">
        <v>6</v>
      </c>
      <c r="BA74" s="100">
        <v>2419.1999999999998</v>
      </c>
      <c r="BB74" s="100">
        <v>9</v>
      </c>
      <c r="BC74" s="100">
        <v>3628.7999999999997</v>
      </c>
      <c r="BD74" s="100">
        <v>7</v>
      </c>
      <c r="BE74" s="100">
        <v>2822.4</v>
      </c>
      <c r="BF74" s="100">
        <v>4.3158116367934563</v>
      </c>
      <c r="BG74" s="100">
        <v>1740.1352519551215</v>
      </c>
      <c r="BH74" s="100">
        <v>7</v>
      </c>
      <c r="BI74" s="100">
        <v>2822.4</v>
      </c>
      <c r="BJ74" s="100">
        <v>8</v>
      </c>
      <c r="BK74" s="100">
        <v>3225.6</v>
      </c>
      <c r="BL74" s="100">
        <v>7.9475495010422588</v>
      </c>
      <c r="BM74" s="100">
        <v>3204.4519588202388</v>
      </c>
      <c r="BN74" s="100">
        <v>0.68759318873490516</v>
      </c>
      <c r="BO74" s="100">
        <v>277.23757369791377</v>
      </c>
      <c r="BP74" s="100">
        <v>6</v>
      </c>
      <c r="BQ74" s="100">
        <v>2419.1999999999998</v>
      </c>
      <c r="BR74" s="100">
        <v>9</v>
      </c>
      <c r="BS74" s="100">
        <v>3628.7999999999997</v>
      </c>
      <c r="BT74" s="100">
        <v>6</v>
      </c>
      <c r="BU74" s="100">
        <v>2419.1999999999998</v>
      </c>
      <c r="BV74" s="100">
        <v>8</v>
      </c>
      <c r="BW74" s="100">
        <v>3225.6</v>
      </c>
      <c r="BX74" s="100">
        <v>6</v>
      </c>
      <c r="BY74" s="100">
        <v>2419.1999999999998</v>
      </c>
      <c r="BZ74" s="100">
        <v>5.4588604402430443</v>
      </c>
      <c r="CA74" s="100">
        <v>2201.0125295059952</v>
      </c>
      <c r="CB74" s="100">
        <v>5.9640631790272414</v>
      </c>
      <c r="CC74" s="100">
        <v>2404.7102737837836</v>
      </c>
      <c r="CD74" s="100">
        <v>3.5993665603012155</v>
      </c>
      <c r="CE74" s="100">
        <v>1451.26459711345</v>
      </c>
      <c r="CF74" s="100">
        <v>6</v>
      </c>
      <c r="CG74" s="100">
        <v>2419.1999999999998</v>
      </c>
      <c r="CH74" s="100">
        <v>9</v>
      </c>
      <c r="CI74" s="100">
        <v>3628.7999999999997</v>
      </c>
      <c r="CJ74" s="100">
        <v>5</v>
      </c>
      <c r="CK74" s="100">
        <v>2016</v>
      </c>
      <c r="CL74" s="100">
        <v>8.2469673163628734</v>
      </c>
      <c r="CM74" s="100">
        <v>3325.1772219575105</v>
      </c>
      <c r="CN74" s="100">
        <v>6</v>
      </c>
      <c r="CO74" s="100">
        <v>2419.1999999999998</v>
      </c>
      <c r="CP74" s="100">
        <v>4.3600511235797503</v>
      </c>
      <c r="CQ74" s="100">
        <v>1757.9726130273552</v>
      </c>
      <c r="CR74" s="100">
        <v>6</v>
      </c>
      <c r="CS74" s="100">
        <v>2419.1999999999998</v>
      </c>
      <c r="CT74" s="100">
        <v>9</v>
      </c>
      <c r="CU74" s="100">
        <v>3628.7999999999997</v>
      </c>
    </row>
    <row r="75" spans="2:99">
      <c r="C75" s="99" t="s">
        <v>241</v>
      </c>
      <c r="D75" s="100">
        <v>1.9506612550403166</v>
      </c>
      <c r="E75" s="100">
        <v>1254.6653192419315</v>
      </c>
      <c r="F75" s="100">
        <v>7.2348143194077732</v>
      </c>
      <c r="G75" s="100">
        <v>4653.4325702430797</v>
      </c>
      <c r="H75" s="100">
        <v>6.5465047027598837</v>
      </c>
      <c r="I75" s="100">
        <v>4210.7118248151564</v>
      </c>
      <c r="J75" s="100">
        <v>0.75708894369890778</v>
      </c>
      <c r="K75" s="100">
        <v>486.95960858713744</v>
      </c>
      <c r="L75" s="100">
        <v>6.2302246981823046</v>
      </c>
      <c r="M75" s="100">
        <v>4007.2805258708581</v>
      </c>
      <c r="N75" s="100">
        <v>7</v>
      </c>
      <c r="O75" s="100">
        <v>4502.3999999999996</v>
      </c>
      <c r="P75" s="100">
        <v>9</v>
      </c>
      <c r="Q75" s="100">
        <v>5788.7999999999993</v>
      </c>
      <c r="R75" s="100">
        <v>5.7196027443165463</v>
      </c>
      <c r="S75" s="100">
        <v>3678.8484851444023</v>
      </c>
      <c r="T75" s="100">
        <v>5</v>
      </c>
      <c r="U75" s="100">
        <v>3215.9999999999995</v>
      </c>
      <c r="V75" s="100">
        <v>8</v>
      </c>
      <c r="W75" s="100">
        <v>5145.5999999999995</v>
      </c>
      <c r="X75" s="100">
        <v>5</v>
      </c>
      <c r="Y75" s="100">
        <v>3215.9999999999995</v>
      </c>
      <c r="Z75" s="100">
        <v>7</v>
      </c>
      <c r="AA75" s="100">
        <v>4502.3999999999996</v>
      </c>
      <c r="AB75" s="100">
        <v>6.7975744203813209</v>
      </c>
      <c r="AC75" s="100">
        <v>4372.1998671892652</v>
      </c>
      <c r="AD75" s="100">
        <v>7.0277848629721467</v>
      </c>
      <c r="AE75" s="100">
        <v>4520.2712238636841</v>
      </c>
      <c r="AF75" s="100">
        <v>6.7407407407406907</v>
      </c>
      <c r="AG75" s="100">
        <v>4335.6444444444114</v>
      </c>
      <c r="AH75" s="100">
        <v>7</v>
      </c>
      <c r="AI75" s="100">
        <v>4502.3999999999996</v>
      </c>
      <c r="AJ75" s="100">
        <v>4.2374812883703115</v>
      </c>
      <c r="AK75" s="100">
        <v>2725.5479646797839</v>
      </c>
      <c r="AL75" s="100">
        <v>3.8336184635106463</v>
      </c>
      <c r="AM75" s="100">
        <v>2465.7833957300472</v>
      </c>
      <c r="AN75" s="100">
        <v>8</v>
      </c>
      <c r="AO75" s="100">
        <v>5145.5999999999995</v>
      </c>
      <c r="AP75" s="100">
        <v>5</v>
      </c>
      <c r="AQ75" s="100">
        <v>3215.9999999999995</v>
      </c>
      <c r="AR75" s="100">
        <v>7</v>
      </c>
      <c r="AS75" s="100">
        <v>4502.3999999999996</v>
      </c>
      <c r="AT75" s="100">
        <v>7</v>
      </c>
      <c r="AU75" s="100">
        <v>4502.3999999999996</v>
      </c>
      <c r="AV75" s="100">
        <v>7</v>
      </c>
      <c r="AW75" s="100">
        <v>4502.3999999999996</v>
      </c>
      <c r="AX75" s="100">
        <v>5.9784548159109443</v>
      </c>
      <c r="AY75" s="100">
        <v>3845.3421375939188</v>
      </c>
      <c r="AZ75" s="100">
        <v>6</v>
      </c>
      <c r="BA75" s="100">
        <v>3859.2</v>
      </c>
      <c r="BB75" s="100">
        <v>8</v>
      </c>
      <c r="BC75" s="100">
        <v>5145.5999999999995</v>
      </c>
      <c r="BD75" s="100">
        <v>8</v>
      </c>
      <c r="BE75" s="100">
        <v>5145.5999999999995</v>
      </c>
      <c r="BF75" s="100">
        <v>3.8362770104830721</v>
      </c>
      <c r="BG75" s="100">
        <v>2467.4933731427118</v>
      </c>
      <c r="BH75" s="100">
        <v>6</v>
      </c>
      <c r="BI75" s="100">
        <v>3859.2</v>
      </c>
      <c r="BJ75" s="100">
        <v>7</v>
      </c>
      <c r="BK75" s="100">
        <v>4502.3999999999996</v>
      </c>
      <c r="BL75" s="100">
        <v>7.9475495010422588</v>
      </c>
      <c r="BM75" s="100">
        <v>5111.86383907038</v>
      </c>
      <c r="BN75" s="100">
        <v>0.68759318873490516</v>
      </c>
      <c r="BO75" s="100">
        <v>442.25993899429096</v>
      </c>
      <c r="BP75" s="100">
        <v>6</v>
      </c>
      <c r="BQ75" s="100">
        <v>3859.2</v>
      </c>
      <c r="BR75" s="100">
        <v>9</v>
      </c>
      <c r="BS75" s="100">
        <v>5788.7999999999993</v>
      </c>
      <c r="BT75" s="100">
        <v>5</v>
      </c>
      <c r="BU75" s="100">
        <v>3215.9999999999995</v>
      </c>
      <c r="BV75" s="100">
        <v>9</v>
      </c>
      <c r="BW75" s="100">
        <v>5788.7999999999993</v>
      </c>
      <c r="BX75" s="100">
        <v>6</v>
      </c>
      <c r="BY75" s="100">
        <v>3859.2</v>
      </c>
      <c r="BZ75" s="100">
        <v>5.4588604402430443</v>
      </c>
      <c r="CA75" s="100">
        <v>3511.1390351643258</v>
      </c>
      <c r="CB75" s="100">
        <v>6.9580737088651148</v>
      </c>
      <c r="CC75" s="100">
        <v>4475.433009542041</v>
      </c>
      <c r="CD75" s="100">
        <v>3.5993665603012155</v>
      </c>
      <c r="CE75" s="100">
        <v>2315.1125715857415</v>
      </c>
      <c r="CF75" s="100">
        <v>5</v>
      </c>
      <c r="CG75" s="100">
        <v>3215.9999999999995</v>
      </c>
      <c r="CH75" s="100">
        <v>9</v>
      </c>
      <c r="CI75" s="100">
        <v>5788.7999999999993</v>
      </c>
      <c r="CJ75" s="100">
        <v>5</v>
      </c>
      <c r="CK75" s="100">
        <v>3215.9999999999995</v>
      </c>
      <c r="CL75" s="100">
        <v>8.2469673163628734</v>
      </c>
      <c r="CM75" s="100">
        <v>5304.4493778845999</v>
      </c>
      <c r="CN75" s="100">
        <v>5</v>
      </c>
      <c r="CO75" s="100">
        <v>3215.9999999999995</v>
      </c>
      <c r="CP75" s="100">
        <v>3.6333759363164586</v>
      </c>
      <c r="CQ75" s="100">
        <v>2336.9874022387457</v>
      </c>
      <c r="CR75" s="100">
        <v>6</v>
      </c>
      <c r="CS75" s="100">
        <v>3859.2</v>
      </c>
      <c r="CT75" s="100">
        <v>10</v>
      </c>
      <c r="CU75" s="100">
        <v>6431.9999999999991</v>
      </c>
    </row>
    <row r="76" spans="2:99">
      <c r="C76" s="99" t="s">
        <v>242</v>
      </c>
      <c r="D76" s="100">
        <v>2.5165860350641092</v>
      </c>
      <c r="E76" s="100">
        <v>1959.917204107928</v>
      </c>
      <c r="F76" s="100">
        <v>8.1627984930023239</v>
      </c>
      <c r="G76" s="100">
        <v>6357.1874663502094</v>
      </c>
      <c r="H76" s="100">
        <v>6.6558056433118598</v>
      </c>
      <c r="I76" s="100">
        <v>5183.541435011276</v>
      </c>
      <c r="J76" s="100">
        <v>0.67458362821194184</v>
      </c>
      <c r="K76" s="100">
        <v>525.36572965146024</v>
      </c>
      <c r="L76" s="100">
        <v>6.2302246981823046</v>
      </c>
      <c r="M76" s="100">
        <v>4852.0989949443783</v>
      </c>
      <c r="N76" s="100">
        <v>6</v>
      </c>
      <c r="O76" s="100">
        <v>4672.7999999999993</v>
      </c>
      <c r="P76" s="100">
        <v>7</v>
      </c>
      <c r="Q76" s="100">
        <v>5451.5999999999995</v>
      </c>
      <c r="R76" s="100">
        <v>5.7196027443165463</v>
      </c>
      <c r="S76" s="100">
        <v>4454.4266172737262</v>
      </c>
      <c r="T76" s="100">
        <v>5</v>
      </c>
      <c r="U76" s="100">
        <v>3894</v>
      </c>
      <c r="V76" s="100">
        <v>8</v>
      </c>
      <c r="W76" s="100">
        <v>6230.4</v>
      </c>
      <c r="X76" s="100">
        <v>6</v>
      </c>
      <c r="Y76" s="100">
        <v>4672.7999999999993</v>
      </c>
      <c r="Z76" s="100">
        <v>7</v>
      </c>
      <c r="AA76" s="100">
        <v>5451.5999999999995</v>
      </c>
      <c r="AB76" s="100">
        <v>7.768656480435796</v>
      </c>
      <c r="AC76" s="100">
        <v>6050.2296669633979</v>
      </c>
      <c r="AD76" s="100">
        <v>7.0277848629721467</v>
      </c>
      <c r="AE76" s="100">
        <v>5473.2388512827074</v>
      </c>
      <c r="AF76" s="100">
        <v>6.7407407407406907</v>
      </c>
      <c r="AG76" s="100">
        <v>5249.6888888888498</v>
      </c>
      <c r="AH76" s="100">
        <v>8</v>
      </c>
      <c r="AI76" s="100">
        <v>6230.4</v>
      </c>
      <c r="AJ76" s="100">
        <v>3.6321268186031248</v>
      </c>
      <c r="AK76" s="100">
        <v>2828.7003663281134</v>
      </c>
      <c r="AL76" s="100">
        <v>4.3812782440121669</v>
      </c>
      <c r="AM76" s="100">
        <v>3412.1394964366755</v>
      </c>
      <c r="AN76" s="100">
        <v>7</v>
      </c>
      <c r="AO76" s="100">
        <v>5451.5999999999995</v>
      </c>
      <c r="AP76" s="100">
        <v>5</v>
      </c>
      <c r="AQ76" s="100">
        <v>3894</v>
      </c>
      <c r="AR76" s="100">
        <v>6</v>
      </c>
      <c r="AS76" s="100">
        <v>4672.7999999999993</v>
      </c>
      <c r="AT76" s="100">
        <v>6</v>
      </c>
      <c r="AU76" s="100">
        <v>4672.7999999999993</v>
      </c>
      <c r="AV76" s="100">
        <v>6</v>
      </c>
      <c r="AW76" s="100">
        <v>4672.7999999999993</v>
      </c>
      <c r="AX76" s="100">
        <v>5.9784548159109443</v>
      </c>
      <c r="AY76" s="100">
        <v>4656.0206106314436</v>
      </c>
      <c r="AZ76" s="100">
        <v>6</v>
      </c>
      <c r="BA76" s="100">
        <v>4672.7999999999993</v>
      </c>
      <c r="BB76" s="100">
        <v>8</v>
      </c>
      <c r="BC76" s="100">
        <v>6230.4</v>
      </c>
      <c r="BD76" s="100">
        <v>7</v>
      </c>
      <c r="BE76" s="100">
        <v>5451.5999999999995</v>
      </c>
      <c r="BF76" s="100">
        <v>4.3158116367934563</v>
      </c>
      <c r="BG76" s="100">
        <v>3361.1541027347434</v>
      </c>
      <c r="BH76" s="100">
        <v>6</v>
      </c>
      <c r="BI76" s="100">
        <v>4672.7999999999993</v>
      </c>
      <c r="BJ76" s="100">
        <v>8</v>
      </c>
      <c r="BK76" s="100">
        <v>6230.4</v>
      </c>
      <c r="BL76" s="100">
        <v>7.9475495010422588</v>
      </c>
      <c r="BM76" s="100">
        <v>6189.5515514117105</v>
      </c>
      <c r="BN76" s="100">
        <v>0.68759318873490516</v>
      </c>
      <c r="BO76" s="100">
        <v>535.49757538674407</v>
      </c>
      <c r="BP76" s="100">
        <v>6</v>
      </c>
      <c r="BQ76" s="100">
        <v>4672.7999999999993</v>
      </c>
      <c r="BR76" s="100">
        <v>8</v>
      </c>
      <c r="BS76" s="100">
        <v>6230.4</v>
      </c>
      <c r="BT76" s="100">
        <v>5</v>
      </c>
      <c r="BU76" s="100">
        <v>3894</v>
      </c>
      <c r="BV76" s="100">
        <v>9</v>
      </c>
      <c r="BW76" s="100">
        <v>7009.2</v>
      </c>
      <c r="BX76" s="100">
        <v>5</v>
      </c>
      <c r="BY76" s="100">
        <v>3894</v>
      </c>
      <c r="BZ76" s="100">
        <v>5.4588604402430443</v>
      </c>
      <c r="CA76" s="100">
        <v>4251.3605108612828</v>
      </c>
      <c r="CB76" s="100">
        <v>6.9580737088651148</v>
      </c>
      <c r="CC76" s="100">
        <v>5418.947804464151</v>
      </c>
      <c r="CD76" s="100">
        <v>3.1994369424899696</v>
      </c>
      <c r="CE76" s="100">
        <v>2491.7214908111882</v>
      </c>
      <c r="CF76" s="100">
        <v>6</v>
      </c>
      <c r="CG76" s="100">
        <v>4672.7999999999993</v>
      </c>
      <c r="CH76" s="100">
        <v>8</v>
      </c>
      <c r="CI76" s="100">
        <v>6230.4</v>
      </c>
      <c r="CJ76" s="100">
        <v>5</v>
      </c>
      <c r="CK76" s="100">
        <v>3894</v>
      </c>
      <c r="CL76" s="100">
        <v>8.2469673163628734</v>
      </c>
      <c r="CM76" s="100">
        <v>6422.738145983405</v>
      </c>
      <c r="CN76" s="100">
        <v>6</v>
      </c>
      <c r="CO76" s="100">
        <v>4672.7999999999993</v>
      </c>
      <c r="CP76" s="100">
        <v>4.3600511235797503</v>
      </c>
      <c r="CQ76" s="100">
        <v>3395.6078150439093</v>
      </c>
      <c r="CR76" s="100">
        <v>6</v>
      </c>
      <c r="CS76" s="100">
        <v>4672.7999999999993</v>
      </c>
      <c r="CT76" s="100">
        <v>9</v>
      </c>
      <c r="CU76" s="100">
        <v>7009.2</v>
      </c>
    </row>
    <row r="77" spans="2:99">
      <c r="C77" s="99" t="s">
        <v>243</v>
      </c>
      <c r="D77" s="100">
        <v>2.5390741366455947</v>
      </c>
      <c r="E77" s="100">
        <v>706.87823964213351</v>
      </c>
      <c r="F77" s="100">
        <v>8.1627984930023239</v>
      </c>
      <c r="G77" s="100">
        <v>2272.5231004518469</v>
      </c>
      <c r="H77" s="100">
        <v>6.5465047027598837</v>
      </c>
      <c r="I77" s="100">
        <v>1822.5469092483515</v>
      </c>
      <c r="J77" s="100">
        <v>0.75708894369890778</v>
      </c>
      <c r="K77" s="100">
        <v>210.77356192577591</v>
      </c>
      <c r="L77" s="100">
        <v>6.2302246981823046</v>
      </c>
      <c r="M77" s="100">
        <v>1734.4945559739535</v>
      </c>
      <c r="N77" s="100">
        <v>6</v>
      </c>
      <c r="O77" s="100">
        <v>1670.3999999999999</v>
      </c>
      <c r="P77" s="100">
        <v>9</v>
      </c>
      <c r="Q77" s="100">
        <v>2505.6</v>
      </c>
      <c r="R77" s="100">
        <v>6.5366888506474821</v>
      </c>
      <c r="S77" s="100">
        <v>1819.8141760202589</v>
      </c>
      <c r="T77" s="100">
        <v>5</v>
      </c>
      <c r="U77" s="100">
        <v>1392</v>
      </c>
      <c r="V77" s="100">
        <v>8</v>
      </c>
      <c r="W77" s="100">
        <v>2227.1999999999998</v>
      </c>
      <c r="X77" s="100">
        <v>6</v>
      </c>
      <c r="Y77" s="100">
        <v>1670.3999999999999</v>
      </c>
      <c r="Z77" s="100">
        <v>8</v>
      </c>
      <c r="AA77" s="100">
        <v>2227.1999999999998</v>
      </c>
      <c r="AB77" s="100">
        <v>6.7975744203813209</v>
      </c>
      <c r="AC77" s="100">
        <v>1892.4447186341595</v>
      </c>
      <c r="AD77" s="100">
        <v>7.9062579708436651</v>
      </c>
      <c r="AE77" s="100">
        <v>2201.1022190828762</v>
      </c>
      <c r="AF77" s="100">
        <v>7.7037037037036464</v>
      </c>
      <c r="AG77" s="100">
        <v>2144.7111111110949</v>
      </c>
      <c r="AH77" s="100">
        <v>8</v>
      </c>
      <c r="AI77" s="100">
        <v>2227.1999999999998</v>
      </c>
      <c r="AJ77" s="100">
        <v>4.2374812883703115</v>
      </c>
      <c r="AK77" s="100">
        <v>1179.7147906822945</v>
      </c>
      <c r="AL77" s="100">
        <v>3.8336184635106463</v>
      </c>
      <c r="AM77" s="100">
        <v>1067.2793802413639</v>
      </c>
      <c r="AN77" s="100">
        <v>8</v>
      </c>
      <c r="AO77" s="100">
        <v>2227.1999999999998</v>
      </c>
      <c r="AP77" s="100">
        <v>6</v>
      </c>
      <c r="AQ77" s="100">
        <v>1670.3999999999999</v>
      </c>
      <c r="AR77" s="100">
        <v>6</v>
      </c>
      <c r="AS77" s="100">
        <v>1670.3999999999999</v>
      </c>
      <c r="AT77" s="100">
        <v>7</v>
      </c>
      <c r="AU77" s="100">
        <v>1948.7999999999997</v>
      </c>
      <c r="AV77" s="100">
        <v>8</v>
      </c>
      <c r="AW77" s="100">
        <v>2227.1999999999998</v>
      </c>
      <c r="AX77" s="100">
        <v>4.9820456799257871</v>
      </c>
      <c r="AY77" s="100">
        <v>1387.001517291339</v>
      </c>
      <c r="AZ77" s="100">
        <v>6</v>
      </c>
      <c r="BA77" s="100">
        <v>1670.3999999999999</v>
      </c>
      <c r="BB77" s="100">
        <v>8</v>
      </c>
      <c r="BC77" s="100">
        <v>2227.1999999999998</v>
      </c>
      <c r="BD77" s="100">
        <v>8</v>
      </c>
      <c r="BE77" s="100">
        <v>2227.1999999999998</v>
      </c>
      <c r="BF77" s="100">
        <v>3.8362770104830721</v>
      </c>
      <c r="BG77" s="100">
        <v>1068.0195197184871</v>
      </c>
      <c r="BH77" s="100">
        <v>7</v>
      </c>
      <c r="BI77" s="100">
        <v>1948.7999999999997</v>
      </c>
      <c r="BJ77" s="100">
        <v>9</v>
      </c>
      <c r="BK77" s="100">
        <v>2505.6</v>
      </c>
      <c r="BL77" s="100">
        <v>7.9475495010422588</v>
      </c>
      <c r="BM77" s="100">
        <v>2212.5977810901645</v>
      </c>
      <c r="BN77" s="100">
        <v>0.68759318873490516</v>
      </c>
      <c r="BO77" s="100">
        <v>191.42594374379757</v>
      </c>
      <c r="BP77" s="100">
        <v>7</v>
      </c>
      <c r="BQ77" s="100">
        <v>1948.7999999999997</v>
      </c>
      <c r="BR77" s="100">
        <v>10</v>
      </c>
      <c r="BS77" s="100">
        <v>2784</v>
      </c>
      <c r="BT77" s="100">
        <v>6</v>
      </c>
      <c r="BU77" s="100">
        <v>1670.3999999999999</v>
      </c>
      <c r="BV77" s="100">
        <v>9</v>
      </c>
      <c r="BW77" s="100">
        <v>2505.6</v>
      </c>
      <c r="BX77" s="100">
        <v>6</v>
      </c>
      <c r="BY77" s="100">
        <v>1670.3999999999999</v>
      </c>
      <c r="BZ77" s="100">
        <v>5.4588604402430443</v>
      </c>
      <c r="CA77" s="100">
        <v>1519.7467465636635</v>
      </c>
      <c r="CB77" s="100">
        <v>7.9520842387029882</v>
      </c>
      <c r="CC77" s="100">
        <v>2213.8602520549116</v>
      </c>
      <c r="CD77" s="100">
        <v>3.5993665603012155</v>
      </c>
      <c r="CE77" s="100">
        <v>1002.0636503878583</v>
      </c>
      <c r="CF77" s="100">
        <v>6</v>
      </c>
      <c r="CG77" s="100">
        <v>1670.3999999999999</v>
      </c>
      <c r="CH77" s="100">
        <v>8</v>
      </c>
      <c r="CI77" s="100">
        <v>2227.1999999999998</v>
      </c>
      <c r="CJ77" s="100">
        <v>5</v>
      </c>
      <c r="CK77" s="100">
        <v>1392</v>
      </c>
      <c r="CL77" s="100">
        <v>8.2469673163628734</v>
      </c>
      <c r="CM77" s="100">
        <v>2295.9557008754236</v>
      </c>
      <c r="CN77" s="100">
        <v>6</v>
      </c>
      <c r="CO77" s="100">
        <v>1670.3999999999999</v>
      </c>
      <c r="CP77" s="100">
        <v>3.6333759363164586</v>
      </c>
      <c r="CQ77" s="100">
        <v>1011.5318606705019</v>
      </c>
      <c r="CR77" s="100">
        <v>6</v>
      </c>
      <c r="CS77" s="100">
        <v>1670.3999999999999</v>
      </c>
      <c r="CT77" s="100">
        <v>10</v>
      </c>
      <c r="CU77" s="100">
        <v>2784</v>
      </c>
    </row>
    <row r="78" spans="2:99">
      <c r="C78" s="99" t="s">
        <v>244</v>
      </c>
      <c r="D78" s="100">
        <v>2.0762355124794474</v>
      </c>
      <c r="E78" s="100">
        <v>1146.0820028886549</v>
      </c>
      <c r="F78" s="100">
        <v>7.2348143194077732</v>
      </c>
      <c r="G78" s="100">
        <v>3993.6175043130906</v>
      </c>
      <c r="H78" s="100">
        <v>6.5465047027598837</v>
      </c>
      <c r="I78" s="100">
        <v>3613.6705959234559</v>
      </c>
      <c r="J78" s="100">
        <v>0.68040006993842783</v>
      </c>
      <c r="K78" s="100">
        <v>375.58083860601215</v>
      </c>
      <c r="L78" s="100">
        <v>6.2302246981823046</v>
      </c>
      <c r="M78" s="100">
        <v>3439.0840333966321</v>
      </c>
      <c r="N78" s="100">
        <v>7</v>
      </c>
      <c r="O78" s="100">
        <v>3864</v>
      </c>
      <c r="P78" s="100">
        <v>8</v>
      </c>
      <c r="Q78" s="100">
        <v>4416</v>
      </c>
      <c r="R78" s="100">
        <v>5.7196027443165463</v>
      </c>
      <c r="S78" s="100">
        <v>3157.2207148627335</v>
      </c>
      <c r="T78" s="100">
        <v>5</v>
      </c>
      <c r="U78" s="100">
        <v>2760</v>
      </c>
      <c r="V78" s="100">
        <v>8</v>
      </c>
      <c r="W78" s="100">
        <v>4416</v>
      </c>
      <c r="X78" s="100">
        <v>6</v>
      </c>
      <c r="Y78" s="100">
        <v>3312</v>
      </c>
      <c r="Z78" s="100">
        <v>7</v>
      </c>
      <c r="AA78" s="100">
        <v>3864</v>
      </c>
      <c r="AB78" s="100">
        <v>6.7975744203813209</v>
      </c>
      <c r="AC78" s="100">
        <v>3752.261080050489</v>
      </c>
      <c r="AD78" s="100">
        <v>7.9062579708436651</v>
      </c>
      <c r="AE78" s="100">
        <v>4364.2543999057034</v>
      </c>
      <c r="AF78" s="100">
        <v>7.7037037037036464</v>
      </c>
      <c r="AG78" s="100">
        <v>4252.4444444444125</v>
      </c>
      <c r="AH78" s="100">
        <v>7</v>
      </c>
      <c r="AI78" s="100">
        <v>3864</v>
      </c>
      <c r="AJ78" s="100">
        <v>3.6321268186031248</v>
      </c>
      <c r="AK78" s="100">
        <v>2004.9340038689249</v>
      </c>
      <c r="AL78" s="100">
        <v>3.8336184635106463</v>
      </c>
      <c r="AM78" s="100">
        <v>2116.157391857877</v>
      </c>
      <c r="AN78" s="100">
        <v>8</v>
      </c>
      <c r="AO78" s="100">
        <v>4416</v>
      </c>
      <c r="AP78" s="100">
        <v>6</v>
      </c>
      <c r="AQ78" s="100">
        <v>3312</v>
      </c>
      <c r="AR78" s="100">
        <v>6</v>
      </c>
      <c r="AS78" s="100">
        <v>3312</v>
      </c>
      <c r="AT78" s="100">
        <v>7</v>
      </c>
      <c r="AU78" s="100">
        <v>3864</v>
      </c>
      <c r="AV78" s="100">
        <v>7</v>
      </c>
      <c r="AW78" s="100">
        <v>3864</v>
      </c>
      <c r="AX78" s="100">
        <v>5.9784548159109443</v>
      </c>
      <c r="AY78" s="100">
        <v>3300.1070583828414</v>
      </c>
      <c r="AZ78" s="100">
        <v>6</v>
      </c>
      <c r="BA78" s="100">
        <v>3312</v>
      </c>
      <c r="BB78" s="100">
        <v>8</v>
      </c>
      <c r="BC78" s="100">
        <v>4416</v>
      </c>
      <c r="BD78" s="100">
        <v>7</v>
      </c>
      <c r="BE78" s="100">
        <v>3864</v>
      </c>
      <c r="BF78" s="100">
        <v>3.8362770104830721</v>
      </c>
      <c r="BG78" s="100">
        <v>2117.6249097866557</v>
      </c>
      <c r="BH78" s="100">
        <v>6</v>
      </c>
      <c r="BI78" s="100">
        <v>3312</v>
      </c>
      <c r="BJ78" s="100">
        <v>7</v>
      </c>
      <c r="BK78" s="100">
        <v>3864</v>
      </c>
      <c r="BL78" s="100">
        <v>7.0644884453708974</v>
      </c>
      <c r="BM78" s="100">
        <v>3899.5976218447354</v>
      </c>
      <c r="BN78" s="100">
        <v>0.58936559034420444</v>
      </c>
      <c r="BO78" s="100">
        <v>325.32980587000083</v>
      </c>
      <c r="BP78" s="100">
        <v>7</v>
      </c>
      <c r="BQ78" s="100">
        <v>3864</v>
      </c>
      <c r="BR78" s="100">
        <v>10</v>
      </c>
      <c r="BS78" s="100">
        <v>5520</v>
      </c>
      <c r="BT78" s="100">
        <v>6</v>
      </c>
      <c r="BU78" s="100">
        <v>3312</v>
      </c>
      <c r="BV78" s="100">
        <v>9</v>
      </c>
      <c r="BW78" s="100">
        <v>4968</v>
      </c>
      <c r="BX78" s="100">
        <v>5</v>
      </c>
      <c r="BY78" s="100">
        <v>2760</v>
      </c>
      <c r="BZ78" s="100">
        <v>6.1412179952734247</v>
      </c>
      <c r="CA78" s="100">
        <v>3389.9523333909306</v>
      </c>
      <c r="CB78" s="100">
        <v>6.9580737088651148</v>
      </c>
      <c r="CC78" s="100">
        <v>3840.8566872935435</v>
      </c>
      <c r="CD78" s="100">
        <v>3.5993665603012155</v>
      </c>
      <c r="CE78" s="100">
        <v>1986.850341286271</v>
      </c>
      <c r="CF78" s="100">
        <v>5</v>
      </c>
      <c r="CG78" s="100">
        <v>2760</v>
      </c>
      <c r="CH78" s="100">
        <v>9</v>
      </c>
      <c r="CI78" s="100">
        <v>4968</v>
      </c>
      <c r="CJ78" s="100">
        <v>5</v>
      </c>
      <c r="CK78" s="100">
        <v>2760</v>
      </c>
      <c r="CL78" s="100">
        <v>8.2469673163628734</v>
      </c>
      <c r="CM78" s="100">
        <v>4552.3259586323065</v>
      </c>
      <c r="CN78" s="100">
        <v>6</v>
      </c>
      <c r="CO78" s="100">
        <v>3312</v>
      </c>
      <c r="CP78" s="100">
        <v>3.6333759363164586</v>
      </c>
      <c r="CQ78" s="100">
        <v>2005.6235168466851</v>
      </c>
      <c r="CR78" s="100">
        <v>6</v>
      </c>
      <c r="CS78" s="100">
        <v>3312</v>
      </c>
      <c r="CT78" s="100">
        <v>10</v>
      </c>
      <c r="CU78" s="100">
        <v>5520</v>
      </c>
    </row>
    <row r="79" spans="2:99">
      <c r="C79" s="99" t="s">
        <v>245</v>
      </c>
      <c r="D79" s="100">
        <v>2.4134998792064639</v>
      </c>
      <c r="E79" s="100">
        <v>1827.5021085351343</v>
      </c>
      <c r="F79" s="100">
        <v>7.1116601353667859</v>
      </c>
      <c r="G79" s="100">
        <v>5384.9490544997298</v>
      </c>
      <c r="H79" s="100">
        <v>6.6558056433118598</v>
      </c>
      <c r="I79" s="100">
        <v>5039.7760331157397</v>
      </c>
      <c r="J79" s="100">
        <v>0.68040006993842783</v>
      </c>
      <c r="K79" s="100">
        <v>515.19893295737745</v>
      </c>
      <c r="L79" s="100">
        <v>6.2302246981823046</v>
      </c>
      <c r="M79" s="100">
        <v>4717.5261414636407</v>
      </c>
      <c r="N79" s="100">
        <v>6</v>
      </c>
      <c r="O79" s="100">
        <v>4543.2</v>
      </c>
      <c r="P79" s="100">
        <v>7</v>
      </c>
      <c r="Q79" s="100">
        <v>5300.4</v>
      </c>
      <c r="R79" s="100">
        <v>5.7196027443165463</v>
      </c>
      <c r="S79" s="100">
        <v>4330.883197996488</v>
      </c>
      <c r="T79" s="100">
        <v>5</v>
      </c>
      <c r="U79" s="100">
        <v>3785.9999999999995</v>
      </c>
      <c r="V79" s="100">
        <v>8</v>
      </c>
      <c r="W79" s="100">
        <v>6057.5999999999995</v>
      </c>
      <c r="X79" s="100">
        <v>5</v>
      </c>
      <c r="Y79" s="100">
        <v>3785.9999999999995</v>
      </c>
      <c r="Z79" s="100">
        <v>7</v>
      </c>
      <c r="AA79" s="100">
        <v>5300.4</v>
      </c>
      <c r="AB79" s="100">
        <v>7.768656480435796</v>
      </c>
      <c r="AC79" s="100">
        <v>5882.4266869859839</v>
      </c>
      <c r="AD79" s="100">
        <v>7.0277848629721467</v>
      </c>
      <c r="AE79" s="100">
        <v>5321.4386982425094</v>
      </c>
      <c r="AF79" s="100">
        <v>7.7037037037036464</v>
      </c>
      <c r="AG79" s="100">
        <v>5833.2444444444009</v>
      </c>
      <c r="AH79" s="100">
        <v>7</v>
      </c>
      <c r="AI79" s="100">
        <v>5300.4</v>
      </c>
      <c r="AJ79" s="100">
        <v>4.2374812883703115</v>
      </c>
      <c r="AK79" s="100">
        <v>3208.6208315539993</v>
      </c>
      <c r="AL79" s="100">
        <v>3.8336184635106463</v>
      </c>
      <c r="AM79" s="100">
        <v>2902.815900570261</v>
      </c>
      <c r="AN79" s="100">
        <v>7</v>
      </c>
      <c r="AO79" s="100">
        <v>5300.4</v>
      </c>
      <c r="AP79" s="100">
        <v>5</v>
      </c>
      <c r="AQ79" s="100">
        <v>3785.9999999999995</v>
      </c>
      <c r="AR79" s="100">
        <v>7</v>
      </c>
      <c r="AS79" s="100">
        <v>5300.4</v>
      </c>
      <c r="AT79" s="100">
        <v>7</v>
      </c>
      <c r="AU79" s="100">
        <v>5300.4</v>
      </c>
      <c r="AV79" s="100">
        <v>6</v>
      </c>
      <c r="AW79" s="100">
        <v>4543.2</v>
      </c>
      <c r="AX79" s="100">
        <v>5.9784548159109443</v>
      </c>
      <c r="AY79" s="100">
        <v>4526.8859866077664</v>
      </c>
      <c r="AZ79" s="100">
        <v>6</v>
      </c>
      <c r="BA79" s="100">
        <v>4543.2</v>
      </c>
      <c r="BB79" s="100">
        <v>9</v>
      </c>
      <c r="BC79" s="100">
        <v>6814.7999999999993</v>
      </c>
      <c r="BD79" s="100">
        <v>7</v>
      </c>
      <c r="BE79" s="100">
        <v>5300.4</v>
      </c>
      <c r="BF79" s="100">
        <v>3.8362770104830721</v>
      </c>
      <c r="BG79" s="100">
        <v>2904.8289523377821</v>
      </c>
      <c r="BH79" s="100">
        <v>6</v>
      </c>
      <c r="BI79" s="100">
        <v>4543.2</v>
      </c>
      <c r="BJ79" s="100">
        <v>8</v>
      </c>
      <c r="BK79" s="100">
        <v>6057.5999999999995</v>
      </c>
      <c r="BL79" s="100">
        <v>7.0644884453708974</v>
      </c>
      <c r="BM79" s="100">
        <v>5349.2306508348429</v>
      </c>
      <c r="BN79" s="100">
        <v>0.58936559034420444</v>
      </c>
      <c r="BO79" s="100">
        <v>446.26762500863157</v>
      </c>
      <c r="BP79" s="100">
        <v>6</v>
      </c>
      <c r="BQ79" s="100">
        <v>4543.2</v>
      </c>
      <c r="BR79" s="100">
        <v>8</v>
      </c>
      <c r="BS79" s="100">
        <v>6057.5999999999995</v>
      </c>
      <c r="BT79" s="100">
        <v>5</v>
      </c>
      <c r="BU79" s="100">
        <v>3785.9999999999995</v>
      </c>
      <c r="BV79" s="100">
        <v>9</v>
      </c>
      <c r="BW79" s="100">
        <v>6814.7999999999993</v>
      </c>
      <c r="BX79" s="100">
        <v>5</v>
      </c>
      <c r="BY79" s="100">
        <v>3785.9999999999995</v>
      </c>
      <c r="BZ79" s="100">
        <v>5.4588604402430443</v>
      </c>
      <c r="CA79" s="100">
        <v>4133.4491253520328</v>
      </c>
      <c r="CB79" s="100">
        <v>7.9520842387029882</v>
      </c>
      <c r="CC79" s="100">
        <v>6021.3181855459025</v>
      </c>
      <c r="CD79" s="100">
        <v>3.5993665603012155</v>
      </c>
      <c r="CE79" s="100">
        <v>2725.4403594600803</v>
      </c>
      <c r="CF79" s="100">
        <v>5</v>
      </c>
      <c r="CG79" s="100">
        <v>3785.9999999999995</v>
      </c>
      <c r="CH79" s="100">
        <v>7</v>
      </c>
      <c r="CI79" s="100">
        <v>5300.4</v>
      </c>
      <c r="CJ79" s="100">
        <v>5</v>
      </c>
      <c r="CK79" s="100">
        <v>3785.9999999999995</v>
      </c>
      <c r="CL79" s="100">
        <v>8.2469673163628734</v>
      </c>
      <c r="CM79" s="100">
        <v>6244.6036519499676</v>
      </c>
      <c r="CN79" s="100">
        <v>6</v>
      </c>
      <c r="CO79" s="100">
        <v>4543.2</v>
      </c>
      <c r="CP79" s="100">
        <v>4.3600511235797503</v>
      </c>
      <c r="CQ79" s="100">
        <v>3301.4307107745867</v>
      </c>
      <c r="CR79" s="100">
        <v>7</v>
      </c>
      <c r="CS79" s="100">
        <v>5300.4</v>
      </c>
      <c r="CT79" s="100">
        <v>8</v>
      </c>
      <c r="CU79" s="100">
        <v>6057.5999999999995</v>
      </c>
    </row>
    <row r="80" spans="2:99">
      <c r="C80" s="99" t="s">
        <v>246</v>
      </c>
      <c r="D80" s="100">
        <v>2.4047044665879422</v>
      </c>
      <c r="E80" s="100">
        <v>1936.2680364966109</v>
      </c>
      <c r="F80" s="100">
        <v>7.2348143194077732</v>
      </c>
      <c r="G80" s="100">
        <v>5825.472489987138</v>
      </c>
      <c r="H80" s="100">
        <v>6.5465047027598837</v>
      </c>
      <c r="I80" s="100">
        <v>5271.2455866622577</v>
      </c>
      <c r="J80" s="100">
        <v>0.67749184907518489</v>
      </c>
      <c r="K80" s="100">
        <v>545.51643687533885</v>
      </c>
      <c r="L80" s="100">
        <v>6.2302246981823046</v>
      </c>
      <c r="M80" s="100">
        <v>5016.5769269763914</v>
      </c>
      <c r="N80" s="100">
        <v>6</v>
      </c>
      <c r="O80" s="100">
        <v>4831.2</v>
      </c>
      <c r="P80" s="100">
        <v>8</v>
      </c>
      <c r="Q80" s="100">
        <v>6441.5999999999995</v>
      </c>
      <c r="R80" s="100">
        <v>6.5366888506474821</v>
      </c>
      <c r="S80" s="100">
        <v>5263.3418625413524</v>
      </c>
      <c r="T80" s="100">
        <v>5</v>
      </c>
      <c r="U80" s="100">
        <v>4025.9999999999995</v>
      </c>
      <c r="V80" s="100">
        <v>8</v>
      </c>
      <c r="W80" s="100">
        <v>6441.5999999999995</v>
      </c>
      <c r="X80" s="100">
        <v>5</v>
      </c>
      <c r="Y80" s="100">
        <v>4025.9999999999995</v>
      </c>
      <c r="Z80" s="100">
        <v>7</v>
      </c>
      <c r="AA80" s="100">
        <v>5636.4</v>
      </c>
      <c r="AB80" s="100">
        <v>6.7975744203813209</v>
      </c>
      <c r="AC80" s="100">
        <v>5473.4069232910388</v>
      </c>
      <c r="AD80" s="100">
        <v>7.9062579708436651</v>
      </c>
      <c r="AE80" s="100">
        <v>6366.1189181233185</v>
      </c>
      <c r="AF80" s="100">
        <v>7.7037037037036464</v>
      </c>
      <c r="AG80" s="100">
        <v>6203.0222222221755</v>
      </c>
      <c r="AH80" s="100">
        <v>8</v>
      </c>
      <c r="AI80" s="100">
        <v>6441.5999999999995</v>
      </c>
      <c r="AJ80" s="100">
        <v>3.6321268186031248</v>
      </c>
      <c r="AK80" s="100">
        <v>2924.5885143392356</v>
      </c>
      <c r="AL80" s="100">
        <v>3.8336184635106463</v>
      </c>
      <c r="AM80" s="100">
        <v>3086.829586818772</v>
      </c>
      <c r="AN80" s="100">
        <v>8</v>
      </c>
      <c r="AO80" s="100">
        <v>6441.5999999999995</v>
      </c>
      <c r="AP80" s="100">
        <v>6</v>
      </c>
      <c r="AQ80" s="100">
        <v>4831.2</v>
      </c>
      <c r="AR80" s="100">
        <v>7</v>
      </c>
      <c r="AS80" s="100">
        <v>5636.4</v>
      </c>
      <c r="AT80" s="100">
        <v>7</v>
      </c>
      <c r="AU80" s="100">
        <v>5636.4</v>
      </c>
      <c r="AV80" s="100">
        <v>6</v>
      </c>
      <c r="AW80" s="100">
        <v>4831.2</v>
      </c>
      <c r="AX80" s="100">
        <v>5.9784548159109443</v>
      </c>
      <c r="AY80" s="100">
        <v>4813.8518177714923</v>
      </c>
      <c r="AZ80" s="100">
        <v>5</v>
      </c>
      <c r="BA80" s="100">
        <v>4025.9999999999995</v>
      </c>
      <c r="BB80" s="100">
        <v>8</v>
      </c>
      <c r="BC80" s="100">
        <v>6441.5999999999995</v>
      </c>
      <c r="BD80" s="100">
        <v>7</v>
      </c>
      <c r="BE80" s="100">
        <v>5636.4</v>
      </c>
      <c r="BF80" s="100">
        <v>3.8362770104830721</v>
      </c>
      <c r="BG80" s="100">
        <v>3088.9702488409694</v>
      </c>
      <c r="BH80" s="100">
        <v>6</v>
      </c>
      <c r="BI80" s="100">
        <v>4831.2</v>
      </c>
      <c r="BJ80" s="100">
        <v>7</v>
      </c>
      <c r="BK80" s="100">
        <v>5636.4</v>
      </c>
      <c r="BL80" s="100">
        <v>8.8306105567136211</v>
      </c>
      <c r="BM80" s="100">
        <v>7110.4076202658071</v>
      </c>
      <c r="BN80" s="100">
        <v>0.68759318873490516</v>
      </c>
      <c r="BO80" s="100">
        <v>553.65003556934562</v>
      </c>
      <c r="BP80" s="100">
        <v>6</v>
      </c>
      <c r="BQ80" s="100">
        <v>4831.2</v>
      </c>
      <c r="BR80" s="100">
        <v>9</v>
      </c>
      <c r="BS80" s="100">
        <v>7246.7999999999993</v>
      </c>
      <c r="BT80" s="100">
        <v>5</v>
      </c>
      <c r="BU80" s="100">
        <v>4025.9999999999995</v>
      </c>
      <c r="BV80" s="100">
        <v>8</v>
      </c>
      <c r="BW80" s="100">
        <v>6441.5999999999995</v>
      </c>
      <c r="BX80" s="100">
        <v>6</v>
      </c>
      <c r="BY80" s="100">
        <v>4831.2</v>
      </c>
      <c r="BZ80" s="100">
        <v>5.4588604402430443</v>
      </c>
      <c r="CA80" s="100">
        <v>4395.4744264836991</v>
      </c>
      <c r="CB80" s="100">
        <v>6.9580737088651148</v>
      </c>
      <c r="CC80" s="100">
        <v>5602.6409503781897</v>
      </c>
      <c r="CD80" s="100">
        <v>3.1994369424899696</v>
      </c>
      <c r="CE80" s="100">
        <v>2576.1866260929232</v>
      </c>
      <c r="CF80" s="100">
        <v>5</v>
      </c>
      <c r="CG80" s="100">
        <v>4025.9999999999995</v>
      </c>
      <c r="CH80" s="100">
        <v>9</v>
      </c>
      <c r="CI80" s="100">
        <v>7246.7999999999993</v>
      </c>
      <c r="CJ80" s="100">
        <v>5</v>
      </c>
      <c r="CK80" s="100">
        <v>4025.9999999999995</v>
      </c>
      <c r="CL80" s="100">
        <v>8.2469673163628734</v>
      </c>
      <c r="CM80" s="100">
        <v>6640.4580831353851</v>
      </c>
      <c r="CN80" s="100">
        <v>6</v>
      </c>
      <c r="CO80" s="100">
        <v>4831.2</v>
      </c>
      <c r="CP80" s="100">
        <v>3.6333759363164586</v>
      </c>
      <c r="CQ80" s="100">
        <v>2925.5943039220124</v>
      </c>
      <c r="CR80" s="100">
        <v>6</v>
      </c>
      <c r="CS80" s="100">
        <v>4831.2</v>
      </c>
      <c r="CT80" s="100">
        <v>9</v>
      </c>
      <c r="CU80" s="100">
        <v>7246.7999999999993</v>
      </c>
    </row>
    <row r="81" spans="2:99">
      <c r="C81" s="99" t="s">
        <v>247</v>
      </c>
      <c r="D81" s="100">
        <v>2.5390741366455947</v>
      </c>
      <c r="E81" s="100">
        <v>1913.4462693761202</v>
      </c>
      <c r="F81" s="100">
        <v>7.2348143194077732</v>
      </c>
      <c r="G81" s="100">
        <v>5452.1560711056982</v>
      </c>
      <c r="H81" s="100">
        <v>6.5465047027598837</v>
      </c>
      <c r="I81" s="100">
        <v>4933.4459439998482</v>
      </c>
      <c r="J81" s="100">
        <v>0.75999716456215072</v>
      </c>
      <c r="K81" s="100">
        <v>572.73386321403677</v>
      </c>
      <c r="L81" s="100">
        <v>5.2302246981823046</v>
      </c>
      <c r="M81" s="100">
        <v>3941.4973325501851</v>
      </c>
      <c r="N81" s="100">
        <v>6</v>
      </c>
      <c r="O81" s="100">
        <v>4521.6000000000004</v>
      </c>
      <c r="P81" s="100">
        <v>7</v>
      </c>
      <c r="Q81" s="100">
        <v>5275.2</v>
      </c>
      <c r="R81" s="100">
        <v>5.7196027443165463</v>
      </c>
      <c r="S81" s="100">
        <v>4310.2926281169493</v>
      </c>
      <c r="T81" s="100">
        <v>5</v>
      </c>
      <c r="U81" s="100">
        <v>3768</v>
      </c>
      <c r="V81" s="100">
        <v>8</v>
      </c>
      <c r="W81" s="100">
        <v>6028.8</v>
      </c>
      <c r="X81" s="100">
        <v>5</v>
      </c>
      <c r="Y81" s="100">
        <v>3768</v>
      </c>
      <c r="Z81" s="100">
        <v>6</v>
      </c>
      <c r="AA81" s="100">
        <v>4521.6000000000004</v>
      </c>
      <c r="AB81" s="100">
        <v>6.7975744203813209</v>
      </c>
      <c r="AC81" s="100">
        <v>5122.6520831993639</v>
      </c>
      <c r="AD81" s="100">
        <v>7.0277848629721467</v>
      </c>
      <c r="AE81" s="100">
        <v>5296.1386727358095</v>
      </c>
      <c r="AF81" s="100">
        <v>6.7407407407406907</v>
      </c>
      <c r="AG81" s="100">
        <v>5079.8222222221848</v>
      </c>
      <c r="AH81" s="100">
        <v>7</v>
      </c>
      <c r="AI81" s="100">
        <v>5275.2</v>
      </c>
      <c r="AJ81" s="100">
        <v>3.6321268186031248</v>
      </c>
      <c r="AK81" s="100">
        <v>2737.170770499315</v>
      </c>
      <c r="AL81" s="100">
        <v>4.3812782440121669</v>
      </c>
      <c r="AM81" s="100">
        <v>3301.7312846875693</v>
      </c>
      <c r="AN81" s="100">
        <v>8</v>
      </c>
      <c r="AO81" s="100">
        <v>6028.8</v>
      </c>
      <c r="AP81" s="100">
        <v>6</v>
      </c>
      <c r="AQ81" s="100">
        <v>4521.6000000000004</v>
      </c>
      <c r="AR81" s="100">
        <v>7</v>
      </c>
      <c r="AS81" s="100">
        <v>5275.2</v>
      </c>
      <c r="AT81" s="100">
        <v>7</v>
      </c>
      <c r="AU81" s="100">
        <v>5275.2</v>
      </c>
      <c r="AV81" s="100">
        <v>6</v>
      </c>
      <c r="AW81" s="100">
        <v>4521.6000000000004</v>
      </c>
      <c r="AX81" s="100">
        <v>4.9820456799257871</v>
      </c>
      <c r="AY81" s="100">
        <v>3754.4696243920735</v>
      </c>
      <c r="AZ81" s="100">
        <v>5</v>
      </c>
      <c r="BA81" s="100">
        <v>3768</v>
      </c>
      <c r="BB81" s="100">
        <v>7</v>
      </c>
      <c r="BC81" s="100">
        <v>5275.2</v>
      </c>
      <c r="BD81" s="100">
        <v>7</v>
      </c>
      <c r="BE81" s="100">
        <v>5275.2</v>
      </c>
      <c r="BF81" s="100">
        <v>4.3158116367934563</v>
      </c>
      <c r="BG81" s="100">
        <v>3252.3956494875488</v>
      </c>
      <c r="BH81" s="100">
        <v>6</v>
      </c>
      <c r="BI81" s="100">
        <v>4521.6000000000004</v>
      </c>
      <c r="BJ81" s="100">
        <v>9</v>
      </c>
      <c r="BK81" s="100">
        <v>6782.4000000000005</v>
      </c>
      <c r="BL81" s="100">
        <v>7.9475495010422588</v>
      </c>
      <c r="BM81" s="100">
        <v>5989.2733039854465</v>
      </c>
      <c r="BN81" s="100">
        <v>0.58936559034420444</v>
      </c>
      <c r="BO81" s="100">
        <v>444.14590888339245</v>
      </c>
      <c r="BP81" s="100">
        <v>7</v>
      </c>
      <c r="BQ81" s="100">
        <v>5275.2</v>
      </c>
      <c r="BR81" s="100">
        <v>8</v>
      </c>
      <c r="BS81" s="100">
        <v>6028.8</v>
      </c>
      <c r="BT81" s="100">
        <v>5</v>
      </c>
      <c r="BU81" s="100">
        <v>3768</v>
      </c>
      <c r="BV81" s="100">
        <v>9</v>
      </c>
      <c r="BW81" s="100">
        <v>6782.4000000000005</v>
      </c>
      <c r="BX81" s="100">
        <v>6</v>
      </c>
      <c r="BY81" s="100">
        <v>4521.6000000000004</v>
      </c>
      <c r="BZ81" s="100">
        <v>6.1412179952734247</v>
      </c>
      <c r="CA81" s="100">
        <v>4628.0218812380526</v>
      </c>
      <c r="CB81" s="100">
        <v>6.9580737088651148</v>
      </c>
      <c r="CC81" s="100">
        <v>5243.6043470007507</v>
      </c>
      <c r="CD81" s="100">
        <v>3.5993665603012155</v>
      </c>
      <c r="CE81" s="100">
        <v>2712.4826398429959</v>
      </c>
      <c r="CF81" s="100">
        <v>5</v>
      </c>
      <c r="CG81" s="100">
        <v>3768</v>
      </c>
      <c r="CH81" s="100">
        <v>9</v>
      </c>
      <c r="CI81" s="100">
        <v>6782.4000000000005</v>
      </c>
      <c r="CJ81" s="100">
        <v>5</v>
      </c>
      <c r="CK81" s="100">
        <v>3768</v>
      </c>
      <c r="CL81" s="100">
        <v>8.2469673163628734</v>
      </c>
      <c r="CM81" s="100">
        <v>6214.9145696110618</v>
      </c>
      <c r="CN81" s="100">
        <v>6</v>
      </c>
      <c r="CO81" s="100">
        <v>4521.6000000000004</v>
      </c>
      <c r="CP81" s="100">
        <v>4.3600511235797503</v>
      </c>
      <c r="CQ81" s="100">
        <v>3285.7345267297001</v>
      </c>
      <c r="CR81" s="100">
        <v>7</v>
      </c>
      <c r="CS81" s="100">
        <v>5275.2</v>
      </c>
      <c r="CT81" s="100">
        <v>9</v>
      </c>
      <c r="CU81" s="100">
        <v>6782.4000000000005</v>
      </c>
    </row>
    <row r="82" spans="2:99">
      <c r="C82" s="99" t="s">
        <v>248</v>
      </c>
      <c r="D82" s="100">
        <v>2.5165860350641092</v>
      </c>
      <c r="E82" s="100">
        <v>1280.4389746406184</v>
      </c>
      <c r="F82" s="100">
        <v>8.1627984930023239</v>
      </c>
      <c r="G82" s="100">
        <v>4153.2318732395815</v>
      </c>
      <c r="H82" s="100">
        <v>6.5465047027598837</v>
      </c>
      <c r="I82" s="100">
        <v>3330.8615927642281</v>
      </c>
      <c r="J82" s="100">
        <v>0.75418072283566462</v>
      </c>
      <c r="K82" s="100">
        <v>383.72715177878609</v>
      </c>
      <c r="L82" s="100">
        <v>6.2302246981823046</v>
      </c>
      <c r="M82" s="100">
        <v>3169.9383264351559</v>
      </c>
      <c r="N82" s="100">
        <v>7</v>
      </c>
      <c r="O82" s="100">
        <v>3561.5999999999995</v>
      </c>
      <c r="P82" s="100">
        <v>8</v>
      </c>
      <c r="Q82" s="100">
        <v>4070.3999999999992</v>
      </c>
      <c r="R82" s="100">
        <v>5.7196027443165463</v>
      </c>
      <c r="S82" s="100">
        <v>2910.1338763082581</v>
      </c>
      <c r="T82" s="100">
        <v>5</v>
      </c>
      <c r="U82" s="100">
        <v>2543.9999999999995</v>
      </c>
      <c r="V82" s="100">
        <v>8</v>
      </c>
      <c r="W82" s="100">
        <v>4070.3999999999992</v>
      </c>
      <c r="X82" s="100">
        <v>5</v>
      </c>
      <c r="Y82" s="100">
        <v>2543.9999999999995</v>
      </c>
      <c r="Z82" s="100">
        <v>7</v>
      </c>
      <c r="AA82" s="100">
        <v>3561.5999999999995</v>
      </c>
      <c r="AB82" s="100">
        <v>7.768656480435796</v>
      </c>
      <c r="AC82" s="100">
        <v>3952.692417245732</v>
      </c>
      <c r="AD82" s="100">
        <v>7.9062579708436651</v>
      </c>
      <c r="AE82" s="100">
        <v>4022.7040555652561</v>
      </c>
      <c r="AF82" s="100">
        <v>7.7037037037036464</v>
      </c>
      <c r="AG82" s="100">
        <v>3919.6444444444146</v>
      </c>
      <c r="AH82" s="100">
        <v>7</v>
      </c>
      <c r="AI82" s="100">
        <v>3561.5999999999995</v>
      </c>
      <c r="AJ82" s="100">
        <v>4.2374812883703115</v>
      </c>
      <c r="AK82" s="100">
        <v>2156.0304795228139</v>
      </c>
      <c r="AL82" s="100">
        <v>4.3812782440121669</v>
      </c>
      <c r="AM82" s="100">
        <v>2229.1943705533899</v>
      </c>
      <c r="AN82" s="100">
        <v>8</v>
      </c>
      <c r="AO82" s="100">
        <v>4070.3999999999992</v>
      </c>
      <c r="AP82" s="100">
        <v>6</v>
      </c>
      <c r="AQ82" s="100">
        <v>3052.7999999999993</v>
      </c>
      <c r="AR82" s="100">
        <v>7</v>
      </c>
      <c r="AS82" s="100">
        <v>3561.5999999999995</v>
      </c>
      <c r="AT82" s="100">
        <v>7</v>
      </c>
      <c r="AU82" s="100">
        <v>3561.5999999999995</v>
      </c>
      <c r="AV82" s="100">
        <v>6</v>
      </c>
      <c r="AW82" s="100">
        <v>3052.7999999999993</v>
      </c>
      <c r="AX82" s="100">
        <v>5.9784548159109443</v>
      </c>
      <c r="AY82" s="100">
        <v>3041.837810335488</v>
      </c>
      <c r="AZ82" s="100">
        <v>6</v>
      </c>
      <c r="BA82" s="100">
        <v>3052.7999999999993</v>
      </c>
      <c r="BB82" s="100">
        <v>7</v>
      </c>
      <c r="BC82" s="100">
        <v>3561.5999999999995</v>
      </c>
      <c r="BD82" s="100">
        <v>7</v>
      </c>
      <c r="BE82" s="100">
        <v>3561.5999999999995</v>
      </c>
      <c r="BF82" s="100">
        <v>4.3158116367934563</v>
      </c>
      <c r="BG82" s="100">
        <v>2195.8849608005103</v>
      </c>
      <c r="BH82" s="100">
        <v>6</v>
      </c>
      <c r="BI82" s="100">
        <v>3052.7999999999993</v>
      </c>
      <c r="BJ82" s="100">
        <v>7</v>
      </c>
      <c r="BK82" s="100">
        <v>3561.5999999999995</v>
      </c>
      <c r="BL82" s="100">
        <v>7.9475495010422588</v>
      </c>
      <c r="BM82" s="100">
        <v>4043.7131861303005</v>
      </c>
      <c r="BN82" s="100">
        <v>0.58936559034420444</v>
      </c>
      <c r="BO82" s="100">
        <v>299.86921236713118</v>
      </c>
      <c r="BP82" s="100">
        <v>7</v>
      </c>
      <c r="BQ82" s="100">
        <v>3561.5999999999995</v>
      </c>
      <c r="BR82" s="100">
        <v>9</v>
      </c>
      <c r="BS82" s="100">
        <v>4579.1999999999989</v>
      </c>
      <c r="BT82" s="100">
        <v>5</v>
      </c>
      <c r="BU82" s="100">
        <v>2543.9999999999995</v>
      </c>
      <c r="BV82" s="100">
        <v>9</v>
      </c>
      <c r="BW82" s="100">
        <v>4579.1999999999989</v>
      </c>
      <c r="BX82" s="100">
        <v>6</v>
      </c>
      <c r="BY82" s="100">
        <v>3052.7999999999993</v>
      </c>
      <c r="BZ82" s="100">
        <v>5.4588604402430443</v>
      </c>
      <c r="CA82" s="100">
        <v>2777.4681919956602</v>
      </c>
      <c r="CB82" s="100">
        <v>6.9580737088651148</v>
      </c>
      <c r="CC82" s="100">
        <v>3540.2679030705699</v>
      </c>
      <c r="CD82" s="100">
        <v>3.5993665603012155</v>
      </c>
      <c r="CE82" s="100">
        <v>1831.357705881258</v>
      </c>
      <c r="CF82" s="100">
        <v>5</v>
      </c>
      <c r="CG82" s="100">
        <v>2543.9999999999995</v>
      </c>
      <c r="CH82" s="100">
        <v>8</v>
      </c>
      <c r="CI82" s="100">
        <v>4070.3999999999992</v>
      </c>
      <c r="CJ82" s="100">
        <v>5</v>
      </c>
      <c r="CK82" s="100">
        <v>2543.9999999999995</v>
      </c>
      <c r="CL82" s="100">
        <v>8.2469673163628734</v>
      </c>
      <c r="CM82" s="100">
        <v>4196.0569705654289</v>
      </c>
      <c r="CN82" s="100">
        <v>5</v>
      </c>
      <c r="CO82" s="100">
        <v>2543.9999999999995</v>
      </c>
      <c r="CP82" s="100">
        <v>4.3600511235797503</v>
      </c>
      <c r="CQ82" s="100">
        <v>2218.3940116773765</v>
      </c>
      <c r="CR82" s="100">
        <v>7</v>
      </c>
      <c r="CS82" s="100">
        <v>3561.5999999999995</v>
      </c>
      <c r="CT82" s="100">
        <v>9</v>
      </c>
      <c r="CU82" s="100">
        <v>4579.1999999999989</v>
      </c>
    </row>
    <row r="83" spans="2:99">
      <c r="C83" s="99" t="s">
        <v>249</v>
      </c>
      <c r="D83" s="100">
        <v>2.5165860350641092</v>
      </c>
      <c r="E83" s="100">
        <v>2165.2706245691593</v>
      </c>
      <c r="F83" s="100">
        <v>7.2348143194077732</v>
      </c>
      <c r="G83" s="100">
        <v>6224.8342404184477</v>
      </c>
      <c r="H83" s="100">
        <v>6.5465047027598837</v>
      </c>
      <c r="I83" s="100">
        <v>5632.6126462546035</v>
      </c>
      <c r="J83" s="100">
        <v>0.75708894369890778</v>
      </c>
      <c r="K83" s="100">
        <v>651.39932715854025</v>
      </c>
      <c r="L83" s="100">
        <v>6.2302246981823046</v>
      </c>
      <c r="M83" s="100">
        <v>5360.4853303160544</v>
      </c>
      <c r="N83" s="100">
        <v>6</v>
      </c>
      <c r="O83" s="100">
        <v>5162.3999999999996</v>
      </c>
      <c r="P83" s="100">
        <v>8</v>
      </c>
      <c r="Q83" s="100">
        <v>6883.2</v>
      </c>
      <c r="R83" s="100">
        <v>5.7196027443165463</v>
      </c>
      <c r="S83" s="100">
        <v>4921.1462012099564</v>
      </c>
      <c r="T83" s="100">
        <v>5</v>
      </c>
      <c r="U83" s="100">
        <v>4302</v>
      </c>
      <c r="V83" s="100">
        <v>9</v>
      </c>
      <c r="W83" s="100">
        <v>7743.5999999999995</v>
      </c>
      <c r="X83" s="100">
        <v>5</v>
      </c>
      <c r="Y83" s="100">
        <v>4302</v>
      </c>
      <c r="Z83" s="100">
        <v>7</v>
      </c>
      <c r="AA83" s="100">
        <v>6022.8</v>
      </c>
      <c r="AB83" s="100">
        <v>6.7975744203813209</v>
      </c>
      <c r="AC83" s="100">
        <v>5848.6330312960881</v>
      </c>
      <c r="AD83" s="100">
        <v>7.9062579708436651</v>
      </c>
      <c r="AE83" s="100">
        <v>6802.5443581138888</v>
      </c>
      <c r="AF83" s="100">
        <v>6.7407407407406907</v>
      </c>
      <c r="AG83" s="100">
        <v>5799.7333333332899</v>
      </c>
      <c r="AH83" s="100">
        <v>8</v>
      </c>
      <c r="AI83" s="100">
        <v>6883.2</v>
      </c>
      <c r="AJ83" s="100">
        <v>3.6321268186031248</v>
      </c>
      <c r="AK83" s="100">
        <v>3125.0819147261286</v>
      </c>
      <c r="AL83" s="100">
        <v>4.3812782440121669</v>
      </c>
      <c r="AM83" s="100">
        <v>3769.6518011480684</v>
      </c>
      <c r="AN83" s="100">
        <v>8</v>
      </c>
      <c r="AO83" s="100">
        <v>6883.2</v>
      </c>
      <c r="AP83" s="100">
        <v>5</v>
      </c>
      <c r="AQ83" s="100">
        <v>4302</v>
      </c>
      <c r="AR83" s="100">
        <v>6</v>
      </c>
      <c r="AS83" s="100">
        <v>5162.3999999999996</v>
      </c>
      <c r="AT83" s="100">
        <v>7</v>
      </c>
      <c r="AU83" s="100">
        <v>6022.8</v>
      </c>
      <c r="AV83" s="100">
        <v>6</v>
      </c>
      <c r="AW83" s="100">
        <v>5162.3999999999996</v>
      </c>
      <c r="AX83" s="100">
        <v>5.9784548159109443</v>
      </c>
      <c r="AY83" s="100">
        <v>5143.862523609776</v>
      </c>
      <c r="AZ83" s="100">
        <v>6</v>
      </c>
      <c r="BA83" s="100">
        <v>5162.3999999999996</v>
      </c>
      <c r="BB83" s="100">
        <v>8</v>
      </c>
      <c r="BC83" s="100">
        <v>6883.2</v>
      </c>
      <c r="BD83" s="100">
        <v>7</v>
      </c>
      <c r="BE83" s="100">
        <v>6022.8</v>
      </c>
      <c r="BF83" s="100">
        <v>3.8362770104830721</v>
      </c>
      <c r="BG83" s="100">
        <v>3300.7327398196353</v>
      </c>
      <c r="BH83" s="100">
        <v>7</v>
      </c>
      <c r="BI83" s="100">
        <v>6022.8</v>
      </c>
      <c r="BJ83" s="100">
        <v>7</v>
      </c>
      <c r="BK83" s="100">
        <v>6022.8</v>
      </c>
      <c r="BL83" s="100">
        <v>8.8306105567136211</v>
      </c>
      <c r="BM83" s="100">
        <v>7597.8573229963995</v>
      </c>
      <c r="BN83" s="100">
        <v>0.58936559034420444</v>
      </c>
      <c r="BO83" s="100">
        <v>507.0901539321535</v>
      </c>
      <c r="BP83" s="100">
        <v>6</v>
      </c>
      <c r="BQ83" s="100">
        <v>5162.3999999999996</v>
      </c>
      <c r="BR83" s="100">
        <v>9</v>
      </c>
      <c r="BS83" s="100">
        <v>7743.5999999999995</v>
      </c>
      <c r="BT83" s="100">
        <v>5</v>
      </c>
      <c r="BU83" s="100">
        <v>4302</v>
      </c>
      <c r="BV83" s="100">
        <v>8</v>
      </c>
      <c r="BW83" s="100">
        <v>6883.2</v>
      </c>
      <c r="BX83" s="100">
        <v>5</v>
      </c>
      <c r="BY83" s="100">
        <v>4302</v>
      </c>
      <c r="BZ83" s="100">
        <v>4.7765028852126639</v>
      </c>
      <c r="CA83" s="100">
        <v>4109.7030824369758</v>
      </c>
      <c r="CB83" s="100">
        <v>6.9580737088651148</v>
      </c>
      <c r="CC83" s="100">
        <v>5986.726619107545</v>
      </c>
      <c r="CD83" s="100">
        <v>3.5993665603012155</v>
      </c>
      <c r="CE83" s="100">
        <v>3096.8949884831659</v>
      </c>
      <c r="CF83" s="100">
        <v>6</v>
      </c>
      <c r="CG83" s="100">
        <v>5162.3999999999996</v>
      </c>
      <c r="CH83" s="100">
        <v>8</v>
      </c>
      <c r="CI83" s="100">
        <v>6883.2</v>
      </c>
      <c r="CJ83" s="100">
        <v>5</v>
      </c>
      <c r="CK83" s="100">
        <v>4302</v>
      </c>
      <c r="CL83" s="100">
        <v>8.2469673163628734</v>
      </c>
      <c r="CM83" s="100">
        <v>7095.690678998616</v>
      </c>
      <c r="CN83" s="100">
        <v>6</v>
      </c>
      <c r="CO83" s="100">
        <v>5162.3999999999996</v>
      </c>
      <c r="CP83" s="100">
        <v>3.6333759363164586</v>
      </c>
      <c r="CQ83" s="100">
        <v>3126.1566556066809</v>
      </c>
      <c r="CR83" s="100">
        <v>6</v>
      </c>
      <c r="CS83" s="100">
        <v>5162.3999999999996</v>
      </c>
      <c r="CT83" s="100">
        <v>9</v>
      </c>
      <c r="CU83" s="100">
        <v>7743.5999999999995</v>
      </c>
    </row>
    <row r="84" spans="2:99">
      <c r="C84" s="99" t="s">
        <v>250</v>
      </c>
      <c r="D84" s="100">
        <v>2.5165860350641092</v>
      </c>
      <c r="E84" s="100">
        <v>1965.9570105920818</v>
      </c>
      <c r="F84" s="100">
        <v>7.2348143194077732</v>
      </c>
      <c r="G84" s="100">
        <v>5651.8369463213521</v>
      </c>
      <c r="H84" s="100">
        <v>6.5465047027598837</v>
      </c>
      <c r="I84" s="100">
        <v>5114.1294737960206</v>
      </c>
      <c r="J84" s="100">
        <v>0.75708894369890778</v>
      </c>
      <c r="K84" s="100">
        <v>591.43788281758668</v>
      </c>
      <c r="L84" s="100">
        <v>6.2302246981823046</v>
      </c>
      <c r="M84" s="100">
        <v>4867.051534220016</v>
      </c>
      <c r="N84" s="100">
        <v>7</v>
      </c>
      <c r="O84" s="100">
        <v>5468.4</v>
      </c>
      <c r="P84" s="100">
        <v>8</v>
      </c>
      <c r="Q84" s="100">
        <v>6249.5999999999995</v>
      </c>
      <c r="R84" s="100">
        <v>5.7196027443165463</v>
      </c>
      <c r="S84" s="100">
        <v>4468.1536638600855</v>
      </c>
      <c r="T84" s="100">
        <v>5</v>
      </c>
      <c r="U84" s="100">
        <v>3905.9999999999995</v>
      </c>
      <c r="V84" s="100">
        <v>8</v>
      </c>
      <c r="W84" s="100">
        <v>6249.5999999999995</v>
      </c>
      <c r="X84" s="100">
        <v>5</v>
      </c>
      <c r="Y84" s="100">
        <v>3905.9999999999995</v>
      </c>
      <c r="Z84" s="100">
        <v>7</v>
      </c>
      <c r="AA84" s="100">
        <v>5468.4</v>
      </c>
      <c r="AB84" s="100">
        <v>7.768656480435796</v>
      </c>
      <c r="AC84" s="100">
        <v>6068.8744425164432</v>
      </c>
      <c r="AD84" s="100">
        <v>7.9062579708436651</v>
      </c>
      <c r="AE84" s="100">
        <v>6176.3687268230706</v>
      </c>
      <c r="AF84" s="100">
        <v>6.7407407407406907</v>
      </c>
      <c r="AG84" s="100">
        <v>5265.8666666666268</v>
      </c>
      <c r="AH84" s="100">
        <v>7</v>
      </c>
      <c r="AI84" s="100">
        <v>5468.4</v>
      </c>
      <c r="AJ84" s="100">
        <v>4.2374812883703115</v>
      </c>
      <c r="AK84" s="100">
        <v>3310.3203824748871</v>
      </c>
      <c r="AL84" s="100">
        <v>3.8336184635106463</v>
      </c>
      <c r="AM84" s="100">
        <v>2994.8227436945167</v>
      </c>
      <c r="AN84" s="100">
        <v>7</v>
      </c>
      <c r="AO84" s="100">
        <v>5468.4</v>
      </c>
      <c r="AP84" s="100">
        <v>5</v>
      </c>
      <c r="AQ84" s="100">
        <v>3905.9999999999995</v>
      </c>
      <c r="AR84" s="100">
        <v>7</v>
      </c>
      <c r="AS84" s="100">
        <v>5468.4</v>
      </c>
      <c r="AT84" s="100">
        <v>6</v>
      </c>
      <c r="AU84" s="100">
        <v>4687.2</v>
      </c>
      <c r="AV84" s="100">
        <v>6</v>
      </c>
      <c r="AW84" s="100">
        <v>4687.2</v>
      </c>
      <c r="AX84" s="100">
        <v>5.9784548159109443</v>
      </c>
      <c r="AY84" s="100">
        <v>4670.3689021896289</v>
      </c>
      <c r="AZ84" s="100">
        <v>5</v>
      </c>
      <c r="BA84" s="100">
        <v>3905.9999999999995</v>
      </c>
      <c r="BB84" s="100">
        <v>8</v>
      </c>
      <c r="BC84" s="100">
        <v>6249.5999999999995</v>
      </c>
      <c r="BD84" s="100">
        <v>7</v>
      </c>
      <c r="BE84" s="100">
        <v>5468.4</v>
      </c>
      <c r="BF84" s="100">
        <v>3.8362770104830721</v>
      </c>
      <c r="BG84" s="100">
        <v>2996.8996005893755</v>
      </c>
      <c r="BH84" s="100">
        <v>6</v>
      </c>
      <c r="BI84" s="100">
        <v>4687.2</v>
      </c>
      <c r="BJ84" s="100">
        <v>8</v>
      </c>
      <c r="BK84" s="100">
        <v>6249.5999999999995</v>
      </c>
      <c r="BL84" s="100">
        <v>7.9475495010422588</v>
      </c>
      <c r="BM84" s="100">
        <v>6208.6256702142118</v>
      </c>
      <c r="BN84" s="100">
        <v>0.58936559034420444</v>
      </c>
      <c r="BO84" s="100">
        <v>460.41239917689245</v>
      </c>
      <c r="BP84" s="100">
        <v>6</v>
      </c>
      <c r="BQ84" s="100">
        <v>4687.2</v>
      </c>
      <c r="BR84" s="100">
        <v>8</v>
      </c>
      <c r="BS84" s="100">
        <v>6249.5999999999995</v>
      </c>
      <c r="BT84" s="100">
        <v>5</v>
      </c>
      <c r="BU84" s="100">
        <v>3905.9999999999995</v>
      </c>
      <c r="BV84" s="100">
        <v>8</v>
      </c>
      <c r="BW84" s="100">
        <v>6249.5999999999995</v>
      </c>
      <c r="BX84" s="100">
        <v>6</v>
      </c>
      <c r="BY84" s="100">
        <v>4687.2</v>
      </c>
      <c r="BZ84" s="100">
        <v>6.1412179952734247</v>
      </c>
      <c r="CA84" s="100">
        <v>4797.5194979075986</v>
      </c>
      <c r="CB84" s="100">
        <v>7.9520842387029882</v>
      </c>
      <c r="CC84" s="100">
        <v>6212.1682072747735</v>
      </c>
      <c r="CD84" s="100">
        <v>3.5993665603012155</v>
      </c>
      <c r="CE84" s="100">
        <v>2811.8251569073095</v>
      </c>
      <c r="CF84" s="100">
        <v>5</v>
      </c>
      <c r="CG84" s="100">
        <v>3905.9999999999995</v>
      </c>
      <c r="CH84" s="100">
        <v>8</v>
      </c>
      <c r="CI84" s="100">
        <v>6249.5999999999995</v>
      </c>
      <c r="CJ84" s="100">
        <v>4</v>
      </c>
      <c r="CK84" s="100">
        <v>3124.7999999999997</v>
      </c>
      <c r="CL84" s="100">
        <v>7.3306376145447771</v>
      </c>
      <c r="CM84" s="100">
        <v>5726.6941044823798</v>
      </c>
      <c r="CN84" s="100">
        <v>6</v>
      </c>
      <c r="CO84" s="100">
        <v>4687.2</v>
      </c>
      <c r="CP84" s="100">
        <v>3.6333759363164586</v>
      </c>
      <c r="CQ84" s="100">
        <v>2838.3932814504174</v>
      </c>
      <c r="CR84" s="100">
        <v>6</v>
      </c>
      <c r="CS84" s="100">
        <v>4687.2</v>
      </c>
      <c r="CT84" s="100">
        <v>9</v>
      </c>
      <c r="CU84" s="100">
        <v>7030.7999999999993</v>
      </c>
    </row>
    <row r="85" spans="2:99">
      <c r="C85" s="99" t="s">
        <v>251</v>
      </c>
      <c r="D85" s="100">
        <v>2.4228067357393832</v>
      </c>
      <c r="E85" s="100">
        <v>363.42101036090747</v>
      </c>
      <c r="F85" s="100">
        <v>8.1627984930023239</v>
      </c>
      <c r="G85" s="100">
        <v>1224.4197739503486</v>
      </c>
      <c r="H85" s="100">
        <v>7.6558056433118598</v>
      </c>
      <c r="I85" s="100">
        <v>1148.370846496779</v>
      </c>
      <c r="J85" s="100">
        <v>0.67749184907518489</v>
      </c>
      <c r="K85" s="100">
        <v>101.62377736127773</v>
      </c>
      <c r="L85" s="100">
        <v>6.2877808727278808</v>
      </c>
      <c r="M85" s="100">
        <v>943.16713090918211</v>
      </c>
      <c r="N85" s="100">
        <v>7</v>
      </c>
      <c r="O85" s="100">
        <v>1050</v>
      </c>
      <c r="P85" s="100">
        <v>8</v>
      </c>
      <c r="Q85" s="100">
        <v>1200</v>
      </c>
      <c r="R85" s="100">
        <v>5.7196027443165463</v>
      </c>
      <c r="S85" s="100">
        <v>857.94041164748194</v>
      </c>
      <c r="T85" s="100">
        <v>5</v>
      </c>
      <c r="U85" s="100">
        <v>750</v>
      </c>
      <c r="V85" s="100">
        <v>8</v>
      </c>
      <c r="W85" s="100">
        <v>1200</v>
      </c>
      <c r="X85" s="100">
        <v>5</v>
      </c>
      <c r="Y85" s="100">
        <v>750</v>
      </c>
      <c r="Z85" s="100">
        <v>8</v>
      </c>
      <c r="AA85" s="100">
        <v>1200</v>
      </c>
      <c r="AB85" s="100">
        <v>6.7975744203813209</v>
      </c>
      <c r="AC85" s="100">
        <v>1019.6361630571981</v>
      </c>
      <c r="AD85" s="100">
        <v>7.9062579708436651</v>
      </c>
      <c r="AE85" s="100">
        <v>1185.9386956265498</v>
      </c>
      <c r="AF85" s="100">
        <v>6.7407407407406907</v>
      </c>
      <c r="AG85" s="100">
        <v>1011.1111111111036</v>
      </c>
      <c r="AH85" s="100">
        <v>8</v>
      </c>
      <c r="AI85" s="100">
        <v>1200</v>
      </c>
      <c r="AJ85" s="100">
        <v>4.2374812883703115</v>
      </c>
      <c r="AK85" s="100">
        <v>635.62219325554668</v>
      </c>
      <c r="AL85" s="100">
        <v>4.3812782440121669</v>
      </c>
      <c r="AM85" s="100">
        <v>657.19173660182503</v>
      </c>
      <c r="AN85" s="100">
        <v>7</v>
      </c>
      <c r="AO85" s="100">
        <v>1050</v>
      </c>
      <c r="AP85" s="100">
        <v>6</v>
      </c>
      <c r="AQ85" s="100">
        <v>900</v>
      </c>
      <c r="AR85" s="100">
        <v>7</v>
      </c>
      <c r="AS85" s="100">
        <v>1050</v>
      </c>
      <c r="AT85" s="100">
        <v>7</v>
      </c>
      <c r="AU85" s="100">
        <v>1050</v>
      </c>
      <c r="AV85" s="100">
        <v>7</v>
      </c>
      <c r="AW85" s="100">
        <v>1050</v>
      </c>
      <c r="AX85" s="100">
        <v>5.9784548159109443</v>
      </c>
      <c r="AY85" s="100">
        <v>896.7682223866417</v>
      </c>
      <c r="AZ85" s="100">
        <v>6</v>
      </c>
      <c r="BA85" s="100">
        <v>900</v>
      </c>
      <c r="BB85" s="100">
        <v>8</v>
      </c>
      <c r="BC85" s="100">
        <v>1200</v>
      </c>
      <c r="BD85" s="100">
        <v>7</v>
      </c>
      <c r="BE85" s="100">
        <v>1050</v>
      </c>
      <c r="BF85" s="100">
        <v>4.3158116367934563</v>
      </c>
      <c r="BG85" s="100">
        <v>647.37174551901842</v>
      </c>
      <c r="BH85" s="100">
        <v>6</v>
      </c>
      <c r="BI85" s="100">
        <v>900</v>
      </c>
      <c r="BJ85" s="100">
        <v>8</v>
      </c>
      <c r="BK85" s="100">
        <v>1200</v>
      </c>
      <c r="BL85" s="100">
        <v>8.8306105567136211</v>
      </c>
      <c r="BM85" s="100">
        <v>1324.5915835070432</v>
      </c>
      <c r="BN85" s="100">
        <v>0.75106289412944505</v>
      </c>
      <c r="BO85" s="100">
        <v>112.65943411941676</v>
      </c>
      <c r="BP85" s="100">
        <v>7</v>
      </c>
      <c r="BQ85" s="100">
        <v>1050</v>
      </c>
      <c r="BR85" s="100">
        <v>9</v>
      </c>
      <c r="BS85" s="100">
        <v>1350</v>
      </c>
      <c r="BT85" s="100">
        <v>6</v>
      </c>
      <c r="BU85" s="100">
        <v>900</v>
      </c>
      <c r="BV85" s="100">
        <v>10</v>
      </c>
      <c r="BW85" s="100">
        <v>1500</v>
      </c>
      <c r="BX85" s="100">
        <v>6</v>
      </c>
      <c r="BY85" s="100">
        <v>900</v>
      </c>
      <c r="BZ85" s="100">
        <v>5.4588604402430443</v>
      </c>
      <c r="CA85" s="100">
        <v>818.82906603645665</v>
      </c>
      <c r="CB85" s="100">
        <v>6.9580737088651148</v>
      </c>
      <c r="CC85" s="100">
        <v>1043.7110563297672</v>
      </c>
      <c r="CD85" s="100">
        <v>3.9992961781124619</v>
      </c>
      <c r="CE85" s="100">
        <v>599.89442671686925</v>
      </c>
      <c r="CF85" s="100">
        <v>5</v>
      </c>
      <c r="CG85" s="100">
        <v>750</v>
      </c>
      <c r="CH85" s="100">
        <v>9</v>
      </c>
      <c r="CI85" s="100">
        <v>1350</v>
      </c>
      <c r="CJ85" s="100">
        <v>6</v>
      </c>
      <c r="CK85" s="100">
        <v>900</v>
      </c>
      <c r="CL85" s="100">
        <v>8.2469673163628734</v>
      </c>
      <c r="CM85" s="100">
        <v>1237.045097454431</v>
      </c>
      <c r="CN85" s="100">
        <v>6</v>
      </c>
      <c r="CO85" s="100">
        <v>900</v>
      </c>
      <c r="CP85" s="100">
        <v>4.3600511235797503</v>
      </c>
      <c r="CQ85" s="100">
        <v>654.00766853696257</v>
      </c>
      <c r="CR85" s="100">
        <v>7</v>
      </c>
      <c r="CS85" s="100">
        <v>1050</v>
      </c>
      <c r="CT85" s="100">
        <v>9</v>
      </c>
      <c r="CU85" s="100">
        <v>1350</v>
      </c>
    </row>
    <row r="86" spans="2:99">
      <c r="C86" s="99" t="s">
        <v>252</v>
      </c>
      <c r="D86" s="100">
        <v>2.4134998792064639</v>
      </c>
      <c r="E86" s="100">
        <v>1303.2899347714906</v>
      </c>
      <c r="F86" s="100">
        <v>7.2348143194077732</v>
      </c>
      <c r="G86" s="100">
        <v>3906.7997324801977</v>
      </c>
      <c r="H86" s="100">
        <v>6.6558056433118598</v>
      </c>
      <c r="I86" s="100">
        <v>3594.1350473884045</v>
      </c>
      <c r="J86" s="100">
        <v>0.67749184907518489</v>
      </c>
      <c r="K86" s="100">
        <v>365.84559850059986</v>
      </c>
      <c r="L86" s="100">
        <v>6.2302246981823046</v>
      </c>
      <c r="M86" s="100">
        <v>3364.3213370184444</v>
      </c>
      <c r="N86" s="100">
        <v>6</v>
      </c>
      <c r="O86" s="100">
        <v>3240</v>
      </c>
      <c r="P86" s="100">
        <v>8</v>
      </c>
      <c r="Q86" s="100">
        <v>4320</v>
      </c>
      <c r="R86" s="100">
        <v>5.7196027443165463</v>
      </c>
      <c r="S86" s="100">
        <v>3088.5854819309352</v>
      </c>
      <c r="T86" s="100">
        <v>5</v>
      </c>
      <c r="U86" s="100">
        <v>2700</v>
      </c>
      <c r="V86" s="100">
        <v>8</v>
      </c>
      <c r="W86" s="100">
        <v>4320</v>
      </c>
      <c r="X86" s="100">
        <v>5</v>
      </c>
      <c r="Y86" s="100">
        <v>2700</v>
      </c>
      <c r="Z86" s="100">
        <v>6</v>
      </c>
      <c r="AA86" s="100">
        <v>3240</v>
      </c>
      <c r="AB86" s="100">
        <v>6.7975744203813209</v>
      </c>
      <c r="AC86" s="100">
        <v>3670.6901870059132</v>
      </c>
      <c r="AD86" s="100">
        <v>7.9062579708436651</v>
      </c>
      <c r="AE86" s="100">
        <v>4269.379304255579</v>
      </c>
      <c r="AF86" s="100">
        <v>7.7037037037036464</v>
      </c>
      <c r="AG86" s="100">
        <v>4159.9999999999691</v>
      </c>
      <c r="AH86" s="100">
        <v>8</v>
      </c>
      <c r="AI86" s="100">
        <v>4320</v>
      </c>
      <c r="AJ86" s="100">
        <v>4.2374812883703115</v>
      </c>
      <c r="AK86" s="100">
        <v>2288.239895719968</v>
      </c>
      <c r="AL86" s="100">
        <v>4.3812782440121669</v>
      </c>
      <c r="AM86" s="100">
        <v>2365.8902517665701</v>
      </c>
      <c r="AN86" s="100">
        <v>7</v>
      </c>
      <c r="AO86" s="100">
        <v>3780</v>
      </c>
      <c r="AP86" s="100">
        <v>5</v>
      </c>
      <c r="AQ86" s="100">
        <v>2700</v>
      </c>
      <c r="AR86" s="100">
        <v>6</v>
      </c>
      <c r="AS86" s="100">
        <v>3240</v>
      </c>
      <c r="AT86" s="100">
        <v>7</v>
      </c>
      <c r="AU86" s="100">
        <v>3780</v>
      </c>
      <c r="AV86" s="100">
        <v>6</v>
      </c>
      <c r="AW86" s="100">
        <v>3240</v>
      </c>
      <c r="AX86" s="100">
        <v>5.9784548159109443</v>
      </c>
      <c r="AY86" s="100">
        <v>3228.3656005919097</v>
      </c>
      <c r="AZ86" s="100">
        <v>6</v>
      </c>
      <c r="BA86" s="100">
        <v>3240</v>
      </c>
      <c r="BB86" s="100">
        <v>8</v>
      </c>
      <c r="BC86" s="100">
        <v>4320</v>
      </c>
      <c r="BD86" s="100">
        <v>7</v>
      </c>
      <c r="BE86" s="100">
        <v>3780</v>
      </c>
      <c r="BF86" s="100">
        <v>4.3158116367934563</v>
      </c>
      <c r="BG86" s="100">
        <v>2330.5382838684664</v>
      </c>
      <c r="BH86" s="100">
        <v>7</v>
      </c>
      <c r="BI86" s="100">
        <v>3780</v>
      </c>
      <c r="BJ86" s="100">
        <v>8</v>
      </c>
      <c r="BK86" s="100">
        <v>4320</v>
      </c>
      <c r="BL86" s="100">
        <v>7.9475495010422588</v>
      </c>
      <c r="BM86" s="100">
        <v>4291.67673056282</v>
      </c>
      <c r="BN86" s="100">
        <v>0.68759318873490516</v>
      </c>
      <c r="BO86" s="100">
        <v>371.30032191684876</v>
      </c>
      <c r="BP86" s="100">
        <v>7</v>
      </c>
      <c r="BQ86" s="100">
        <v>3780</v>
      </c>
      <c r="BR86" s="100">
        <v>10</v>
      </c>
      <c r="BS86" s="100">
        <v>5400</v>
      </c>
      <c r="BT86" s="100">
        <v>5</v>
      </c>
      <c r="BU86" s="100">
        <v>2700</v>
      </c>
      <c r="BV86" s="100">
        <v>9</v>
      </c>
      <c r="BW86" s="100">
        <v>4860</v>
      </c>
      <c r="BX86" s="100">
        <v>5</v>
      </c>
      <c r="BY86" s="100">
        <v>2700</v>
      </c>
      <c r="BZ86" s="100">
        <v>5.4588604402430443</v>
      </c>
      <c r="CA86" s="100">
        <v>2947.7846377312439</v>
      </c>
      <c r="CB86" s="100">
        <v>6.9580737088651148</v>
      </c>
      <c r="CC86" s="100">
        <v>3757.3598027871622</v>
      </c>
      <c r="CD86" s="100">
        <v>3.5993665603012155</v>
      </c>
      <c r="CE86" s="100">
        <v>1943.6579425626564</v>
      </c>
      <c r="CF86" s="100">
        <v>6</v>
      </c>
      <c r="CG86" s="100">
        <v>3240</v>
      </c>
      <c r="CH86" s="100">
        <v>9</v>
      </c>
      <c r="CI86" s="100">
        <v>4860</v>
      </c>
      <c r="CJ86" s="100">
        <v>5</v>
      </c>
      <c r="CK86" s="100">
        <v>2700</v>
      </c>
      <c r="CL86" s="100">
        <v>9.1632970181809714</v>
      </c>
      <c r="CM86" s="100">
        <v>4948.180389817725</v>
      </c>
      <c r="CN86" s="100">
        <v>6</v>
      </c>
      <c r="CO86" s="100">
        <v>3240</v>
      </c>
      <c r="CP86" s="100">
        <v>3.6333759363164586</v>
      </c>
      <c r="CQ86" s="100">
        <v>1962.0230056108876</v>
      </c>
      <c r="CR86" s="100">
        <v>6</v>
      </c>
      <c r="CS86" s="100">
        <v>3240</v>
      </c>
      <c r="CT86" s="100">
        <v>10</v>
      </c>
      <c r="CU86" s="100">
        <v>5400</v>
      </c>
    </row>
    <row r="87" spans="2:99">
      <c r="B87" s="99" t="s">
        <v>131</v>
      </c>
      <c r="C87" s="99" t="s">
        <v>253</v>
      </c>
      <c r="D87" s="100">
        <v>4.1441640717776629</v>
      </c>
      <c r="E87" s="100">
        <v>4450.8322130892102</v>
      </c>
      <c r="F87" s="100">
        <v>1.1005095583899955</v>
      </c>
      <c r="G87" s="100">
        <v>1181.9472657108552</v>
      </c>
      <c r="H87" s="100">
        <v>4.5003057289614938</v>
      </c>
      <c r="I87" s="100">
        <v>4833.3283529046448</v>
      </c>
      <c r="J87" s="100">
        <v>6.6518477976833248</v>
      </c>
      <c r="K87" s="100">
        <v>7144.0845347118911</v>
      </c>
      <c r="L87" s="100">
        <v>6.1499488278671164</v>
      </c>
      <c r="M87" s="100">
        <v>6605.0450411292832</v>
      </c>
      <c r="N87" s="100">
        <v>5.3437144901721885</v>
      </c>
      <c r="O87" s="100">
        <v>5739.1493624449304</v>
      </c>
      <c r="P87" s="100">
        <v>2.5055749131961416</v>
      </c>
      <c r="Q87" s="100">
        <v>2690.9874567726561</v>
      </c>
      <c r="R87" s="100">
        <v>3.8767106104736064</v>
      </c>
      <c r="S87" s="100">
        <v>4163.5871956486535</v>
      </c>
      <c r="T87" s="100">
        <v>5.5447088463991863</v>
      </c>
      <c r="U87" s="100">
        <v>5955.0173010327262</v>
      </c>
      <c r="V87" s="100">
        <v>5.1135617431006679</v>
      </c>
      <c r="W87" s="100">
        <v>5491.9653120901175</v>
      </c>
      <c r="X87" s="100">
        <v>4.7715655311062983</v>
      </c>
      <c r="Y87" s="100">
        <v>5124.6613804081644</v>
      </c>
      <c r="Z87" s="100">
        <v>1.7580960176115459</v>
      </c>
      <c r="AA87" s="100">
        <v>1888.1951229148003</v>
      </c>
      <c r="AB87" s="100">
        <v>4.7940103086759098</v>
      </c>
      <c r="AC87" s="100">
        <v>5148.7670715179274</v>
      </c>
      <c r="AD87" s="100">
        <v>4.7834358550832192</v>
      </c>
      <c r="AE87" s="100">
        <v>5137.4101083593778</v>
      </c>
      <c r="AF87" s="100">
        <v>5.000000000000024</v>
      </c>
      <c r="AG87" s="100">
        <v>5370.0000000000255</v>
      </c>
      <c r="AH87" s="100">
        <v>1.9852277280944173</v>
      </c>
      <c r="AI87" s="100">
        <v>2132.134579973404</v>
      </c>
      <c r="AJ87" s="100">
        <v>5.5623372683926569</v>
      </c>
      <c r="AK87" s="100">
        <v>5973.9502262537135</v>
      </c>
      <c r="AL87" s="100">
        <v>5.6811583495910316</v>
      </c>
      <c r="AM87" s="100">
        <v>6101.5640674607675</v>
      </c>
      <c r="AN87" s="100">
        <v>3.031636902356337</v>
      </c>
      <c r="AO87" s="100">
        <v>3255.9780331307061</v>
      </c>
      <c r="AP87" s="100">
        <v>6.4535404955010822</v>
      </c>
      <c r="AQ87" s="100">
        <v>6931.1024921681619</v>
      </c>
      <c r="AR87" s="100">
        <v>4.2170192651415954</v>
      </c>
      <c r="AS87" s="100">
        <v>4529.0786907620732</v>
      </c>
      <c r="AT87" s="100">
        <v>4.3295925781381914</v>
      </c>
      <c r="AU87" s="100">
        <v>4649.982428920418</v>
      </c>
      <c r="AV87" s="100">
        <v>5.2823737464409639</v>
      </c>
      <c r="AW87" s="100">
        <v>5673.2694036775956</v>
      </c>
      <c r="AX87" s="100">
        <v>3.918493304268464</v>
      </c>
      <c r="AY87" s="100">
        <v>4208.4618087843301</v>
      </c>
      <c r="AZ87" s="100">
        <v>3.7292350169620474</v>
      </c>
      <c r="BA87" s="100">
        <v>4005.1984082172389</v>
      </c>
      <c r="BB87" s="100">
        <v>4.3891183681041559</v>
      </c>
      <c r="BC87" s="100">
        <v>4713.9131273438634</v>
      </c>
      <c r="BD87" s="100">
        <v>5.1951611326182316</v>
      </c>
      <c r="BE87" s="100">
        <v>5579.6030564319808</v>
      </c>
      <c r="BF87" s="100">
        <v>6.9167690375681854</v>
      </c>
      <c r="BG87" s="100">
        <v>7428.6099463482315</v>
      </c>
      <c r="BH87" s="100">
        <v>4.4718547016620009</v>
      </c>
      <c r="BI87" s="100">
        <v>4802.7719495849888</v>
      </c>
      <c r="BJ87" s="100">
        <v>2.3332593918785931</v>
      </c>
      <c r="BK87" s="100">
        <v>2505.9205868776089</v>
      </c>
      <c r="BL87" s="100">
        <v>8.6774058235287672</v>
      </c>
      <c r="BM87" s="100">
        <v>9319.5338544698952</v>
      </c>
      <c r="BN87" s="100">
        <v>5.2650460876226344</v>
      </c>
      <c r="BO87" s="100">
        <v>5654.6594981067092</v>
      </c>
      <c r="BP87" s="100">
        <v>6.2114683460289752</v>
      </c>
      <c r="BQ87" s="100">
        <v>6671.1170036351195</v>
      </c>
      <c r="BR87" s="100">
        <v>5.404840164982156</v>
      </c>
      <c r="BS87" s="100">
        <v>5804.7983371908358</v>
      </c>
      <c r="BT87" s="100">
        <v>3.5706791130177846</v>
      </c>
      <c r="BU87" s="100">
        <v>3834.9093673811008</v>
      </c>
      <c r="BV87" s="100">
        <v>2.6812965447095354</v>
      </c>
      <c r="BW87" s="100">
        <v>2879.7124890180412</v>
      </c>
      <c r="BX87" s="100">
        <v>6.6788256850111614</v>
      </c>
      <c r="BY87" s="100">
        <v>7173.0587857019873</v>
      </c>
      <c r="BZ87" s="100">
        <v>5.8775806844586302</v>
      </c>
      <c r="CA87" s="100">
        <v>6312.5216551085687</v>
      </c>
      <c r="CB87" s="100">
        <v>4.4347406481904867</v>
      </c>
      <c r="CC87" s="100">
        <v>4762.911456156583</v>
      </c>
      <c r="CD87" s="100">
        <v>1.1540514524739205</v>
      </c>
      <c r="CE87" s="100">
        <v>1239.4512599569905</v>
      </c>
      <c r="CF87" s="100">
        <v>5.6637021979019933</v>
      </c>
      <c r="CG87" s="100">
        <v>6082.8161605467403</v>
      </c>
      <c r="CH87" s="100">
        <v>2.2907605102519395</v>
      </c>
      <c r="CI87" s="100">
        <v>2460.276788010583</v>
      </c>
      <c r="CJ87" s="100">
        <v>4.7173382367512726</v>
      </c>
      <c r="CK87" s="100">
        <v>5066.4212662708669</v>
      </c>
      <c r="CL87" s="100">
        <v>2.7429511066360379</v>
      </c>
      <c r="CM87" s="100">
        <v>2945.9294885271047</v>
      </c>
      <c r="CN87" s="100">
        <v>4.5729839058236816</v>
      </c>
      <c r="CO87" s="100">
        <v>4911.3847148546338</v>
      </c>
      <c r="CP87" s="100">
        <v>0.22715268351005979</v>
      </c>
      <c r="CQ87" s="100">
        <v>243.96198208980422</v>
      </c>
      <c r="CR87" s="100">
        <v>5.2911971228982901</v>
      </c>
      <c r="CS87" s="100">
        <v>5682.7457099927633</v>
      </c>
      <c r="CT87" s="100">
        <v>5.4357378315765859</v>
      </c>
      <c r="CU87" s="100">
        <v>5837.9824311132534</v>
      </c>
    </row>
    <row r="88" spans="2:99">
      <c r="C88" s="99" t="s">
        <v>254</v>
      </c>
      <c r="D88" s="100">
        <v>3.5180507247465709</v>
      </c>
      <c r="E88" s="100">
        <v>3491.313539238497</v>
      </c>
      <c r="F88" s="100">
        <v>1.1005095583899955</v>
      </c>
      <c r="G88" s="100">
        <v>1092.1456857462315</v>
      </c>
      <c r="H88" s="100">
        <v>4.504072008097836</v>
      </c>
      <c r="I88" s="100">
        <v>4469.8410608362919</v>
      </c>
      <c r="J88" s="100">
        <v>6.7471723643751202</v>
      </c>
      <c r="K88" s="100">
        <v>6695.8938544058692</v>
      </c>
      <c r="L88" s="100">
        <v>6.1499488278671164</v>
      </c>
      <c r="M88" s="100">
        <v>6103.2092167753262</v>
      </c>
      <c r="N88" s="100">
        <v>5.2299608112126164</v>
      </c>
      <c r="O88" s="100">
        <v>5190.2131090474004</v>
      </c>
      <c r="P88" s="100">
        <v>2.5055749131961416</v>
      </c>
      <c r="Q88" s="100">
        <v>2486.5325438558507</v>
      </c>
      <c r="R88" s="100">
        <v>3.8767106104736064</v>
      </c>
      <c r="S88" s="100">
        <v>3847.2476098340071</v>
      </c>
      <c r="T88" s="100">
        <v>5.5590308593219282</v>
      </c>
      <c r="U88" s="100">
        <v>5516.7822247910817</v>
      </c>
      <c r="V88" s="100">
        <v>4.3830529226577148</v>
      </c>
      <c r="W88" s="100">
        <v>4349.741720445516</v>
      </c>
      <c r="X88" s="100">
        <v>4.7715655311062983</v>
      </c>
      <c r="Y88" s="100">
        <v>4735.3016330698902</v>
      </c>
      <c r="Z88" s="100">
        <v>2.0984000003931387</v>
      </c>
      <c r="AA88" s="100">
        <v>2082.4521603901508</v>
      </c>
      <c r="AB88" s="100">
        <v>5.4037914357520851</v>
      </c>
      <c r="AC88" s="100">
        <v>5362.722620840369</v>
      </c>
      <c r="AD88" s="100">
        <v>4.7834358550832192</v>
      </c>
      <c r="AE88" s="100">
        <v>4747.0817425845862</v>
      </c>
      <c r="AF88" s="100">
        <v>6.0000000000000204</v>
      </c>
      <c r="AG88" s="100">
        <v>5954.4000000000206</v>
      </c>
      <c r="AH88" s="100">
        <v>1.9632449153103091</v>
      </c>
      <c r="AI88" s="100">
        <v>1948.3242539539508</v>
      </c>
      <c r="AJ88" s="100">
        <v>6.4820033729079913</v>
      </c>
      <c r="AK88" s="100">
        <v>6432.7401472738902</v>
      </c>
      <c r="AL88" s="100">
        <v>5.6811583495910316</v>
      </c>
      <c r="AM88" s="100">
        <v>5637.9815461341395</v>
      </c>
      <c r="AN88" s="100">
        <v>3.031636902356337</v>
      </c>
      <c r="AO88" s="100">
        <v>3008.596461898429</v>
      </c>
      <c r="AP88" s="100">
        <v>6.4535404955010822</v>
      </c>
      <c r="AQ88" s="100">
        <v>6404.4935877352736</v>
      </c>
      <c r="AR88" s="100">
        <v>4.2170192651415954</v>
      </c>
      <c r="AS88" s="100">
        <v>4184.9699187265196</v>
      </c>
      <c r="AT88" s="100">
        <v>4.3295925781381914</v>
      </c>
      <c r="AU88" s="100">
        <v>4296.6876745443415</v>
      </c>
      <c r="AV88" s="100">
        <v>5.2823737464409639</v>
      </c>
      <c r="AW88" s="100">
        <v>5242.2277059680127</v>
      </c>
      <c r="AX88" s="100">
        <v>3.8358104625513545</v>
      </c>
      <c r="AY88" s="100">
        <v>3806.6583030359643</v>
      </c>
      <c r="AZ88" s="100">
        <v>3.7292350169620474</v>
      </c>
      <c r="BA88" s="100">
        <v>3700.8928308331356</v>
      </c>
      <c r="BB88" s="100">
        <v>3.7707294719428246</v>
      </c>
      <c r="BC88" s="100">
        <v>3742.071927956059</v>
      </c>
      <c r="BD88" s="100">
        <v>4.4529952565299125</v>
      </c>
      <c r="BE88" s="100">
        <v>4419.1524925802851</v>
      </c>
      <c r="BF88" s="100">
        <v>6.0371668855333658</v>
      </c>
      <c r="BG88" s="100">
        <v>5991.2844172033119</v>
      </c>
      <c r="BH88" s="100">
        <v>4.4718547016620009</v>
      </c>
      <c r="BI88" s="100">
        <v>4437.8686059293696</v>
      </c>
      <c r="BJ88" s="100">
        <v>2.5985119373397381</v>
      </c>
      <c r="BK88" s="100">
        <v>2578.7632466159562</v>
      </c>
      <c r="BL88" s="100">
        <v>9.6774058235287672</v>
      </c>
      <c r="BM88" s="100">
        <v>9603.8575392699477</v>
      </c>
      <c r="BN88" s="100">
        <v>5.2650460876226344</v>
      </c>
      <c r="BO88" s="100">
        <v>5225.0317373567023</v>
      </c>
      <c r="BP88" s="100">
        <v>5.5213051964702</v>
      </c>
      <c r="BQ88" s="100">
        <v>5479.3432769770261</v>
      </c>
      <c r="BR88" s="100">
        <v>5.404840164982156</v>
      </c>
      <c r="BS88" s="100">
        <v>5363.7633797282915</v>
      </c>
      <c r="BT88" s="100">
        <v>3.6088430492216768</v>
      </c>
      <c r="BU88" s="100">
        <v>3581.4158420475919</v>
      </c>
      <c r="BV88" s="100">
        <v>3.4292714808490627</v>
      </c>
      <c r="BW88" s="100">
        <v>3403.2090175946096</v>
      </c>
      <c r="BX88" s="100">
        <v>6.6788256850111614</v>
      </c>
      <c r="BY88" s="100">
        <v>6628.066609805076</v>
      </c>
      <c r="BZ88" s="100">
        <v>5.8775806844586302</v>
      </c>
      <c r="CA88" s="100">
        <v>5832.9110712567444</v>
      </c>
      <c r="CB88" s="100">
        <v>4.4347406481904867</v>
      </c>
      <c r="CC88" s="100">
        <v>4401.0366192642387</v>
      </c>
      <c r="CD88" s="100">
        <v>1.3848617429687045</v>
      </c>
      <c r="CE88" s="100">
        <v>1374.3367937221424</v>
      </c>
      <c r="CF88" s="100">
        <v>5.8296277473774909</v>
      </c>
      <c r="CG88" s="100">
        <v>5785.3225764974222</v>
      </c>
      <c r="CH88" s="100">
        <v>2.9316793477650425</v>
      </c>
      <c r="CI88" s="100">
        <v>2909.3985847220279</v>
      </c>
      <c r="CJ88" s="100">
        <v>4.2360088764539237</v>
      </c>
      <c r="CK88" s="100">
        <v>4203.8152089928735</v>
      </c>
      <c r="CL88" s="100">
        <v>2.5847753503404403</v>
      </c>
      <c r="CM88" s="100">
        <v>2565.1310576778528</v>
      </c>
      <c r="CN88" s="100">
        <v>5.1609011645626977</v>
      </c>
      <c r="CO88" s="100">
        <v>5121.6783157120208</v>
      </c>
      <c r="CP88" s="100">
        <v>0.27247605485996235</v>
      </c>
      <c r="CQ88" s="100">
        <v>270.40523684302661</v>
      </c>
      <c r="CR88" s="100">
        <v>5.2911971228982901</v>
      </c>
      <c r="CS88" s="100">
        <v>5250.9840247642633</v>
      </c>
      <c r="CT88" s="100">
        <v>6.1320912283436453</v>
      </c>
      <c r="CU88" s="100">
        <v>6085.4873350082335</v>
      </c>
    </row>
    <row r="89" spans="2:99">
      <c r="C89" s="99" t="s">
        <v>255</v>
      </c>
      <c r="D89" s="100">
        <v>3.5180507247465709</v>
      </c>
      <c r="E89" s="100">
        <v>3736.1698696808585</v>
      </c>
      <c r="F89" s="100">
        <v>1.2839278181216613</v>
      </c>
      <c r="G89" s="100">
        <v>1363.5313428452043</v>
      </c>
      <c r="H89" s="100">
        <v>5.035745628819436</v>
      </c>
      <c r="I89" s="100">
        <v>5347.9618578062409</v>
      </c>
      <c r="J89" s="100">
        <v>6.6502677776375165</v>
      </c>
      <c r="K89" s="100">
        <v>7062.5843798510423</v>
      </c>
      <c r="L89" s="100">
        <v>5.3812052243837263</v>
      </c>
      <c r="M89" s="100">
        <v>5714.8399482955174</v>
      </c>
      <c r="N89" s="100">
        <v>5.2299608112126164</v>
      </c>
      <c r="O89" s="100">
        <v>5554.2183815077988</v>
      </c>
      <c r="P89" s="100">
        <v>2.5469741787306499</v>
      </c>
      <c r="Q89" s="100">
        <v>2704.8865778119502</v>
      </c>
      <c r="R89" s="100">
        <v>3.8767106104736064</v>
      </c>
      <c r="S89" s="100">
        <v>4117.0666683229701</v>
      </c>
      <c r="T89" s="100">
        <v>5.5561664567373796</v>
      </c>
      <c r="U89" s="100">
        <v>5900.6487770550975</v>
      </c>
      <c r="V89" s="100">
        <v>4.3830529226577148</v>
      </c>
      <c r="W89" s="100">
        <v>4654.8022038624931</v>
      </c>
      <c r="X89" s="100">
        <v>4.1907306758550149</v>
      </c>
      <c r="Y89" s="100">
        <v>4450.5559777580256</v>
      </c>
      <c r="Z89" s="100">
        <v>2.0842559744672444</v>
      </c>
      <c r="AA89" s="100">
        <v>2213.4798448842134</v>
      </c>
      <c r="AB89" s="100">
        <v>5.4037914357520851</v>
      </c>
      <c r="AC89" s="100">
        <v>5738.8265047687146</v>
      </c>
      <c r="AD89" s="100">
        <v>4.7615777343851589</v>
      </c>
      <c r="AE89" s="100">
        <v>5056.7955539170389</v>
      </c>
      <c r="AF89" s="100">
        <v>5.0000000000000204</v>
      </c>
      <c r="AG89" s="100">
        <v>5310.0000000000218</v>
      </c>
      <c r="AH89" s="100">
        <v>1.9852277280944173</v>
      </c>
      <c r="AI89" s="100">
        <v>2108.3118472362712</v>
      </c>
      <c r="AJ89" s="100">
        <v>6.4820033729079913</v>
      </c>
      <c r="AK89" s="100">
        <v>6883.8875820282865</v>
      </c>
      <c r="AL89" s="100">
        <v>5.6811583495910316</v>
      </c>
      <c r="AM89" s="100">
        <v>6033.3901672656757</v>
      </c>
      <c r="AN89" s="100">
        <v>3.031636902356337</v>
      </c>
      <c r="AO89" s="100">
        <v>3219.5983903024298</v>
      </c>
      <c r="AP89" s="100">
        <v>5.5316061390009272</v>
      </c>
      <c r="AQ89" s="100">
        <v>5874.565719618985</v>
      </c>
      <c r="AR89" s="100">
        <v>4.2170192651415954</v>
      </c>
      <c r="AS89" s="100">
        <v>4478.4744595803741</v>
      </c>
      <c r="AT89" s="100">
        <v>4.3968919446377512</v>
      </c>
      <c r="AU89" s="100">
        <v>4669.499245205292</v>
      </c>
      <c r="AV89" s="100">
        <v>4.909713347257683</v>
      </c>
      <c r="AW89" s="100">
        <v>5214.1155747876592</v>
      </c>
      <c r="AX89" s="100">
        <v>3.918493304268464</v>
      </c>
      <c r="AY89" s="100">
        <v>4161.4398891331084</v>
      </c>
      <c r="AZ89" s="100">
        <v>3.7292350169620474</v>
      </c>
      <c r="BA89" s="100">
        <v>3960.4475880136943</v>
      </c>
      <c r="BB89" s="100">
        <v>3.7707294719428246</v>
      </c>
      <c r="BC89" s="100">
        <v>4004.5146992032796</v>
      </c>
      <c r="BD89" s="100">
        <v>4.4529952565299125</v>
      </c>
      <c r="BE89" s="100">
        <v>4729.0809624347667</v>
      </c>
      <c r="BF89" s="100">
        <v>5.2776129122089159</v>
      </c>
      <c r="BG89" s="100">
        <v>5604.8249127658692</v>
      </c>
      <c r="BH89" s="100">
        <v>3.7463827095039091</v>
      </c>
      <c r="BI89" s="100">
        <v>3978.6584374931513</v>
      </c>
      <c r="BJ89" s="100">
        <v>2.5985119373397381</v>
      </c>
      <c r="BK89" s="100">
        <v>2759.6196774548016</v>
      </c>
      <c r="BL89" s="100">
        <v>9.6774058235287672</v>
      </c>
      <c r="BM89" s="100">
        <v>10277.404984587551</v>
      </c>
      <c r="BN89" s="100">
        <v>4.5128966465336866</v>
      </c>
      <c r="BO89" s="100">
        <v>4792.6962386187752</v>
      </c>
      <c r="BP89" s="100">
        <v>6.2114683460289752</v>
      </c>
      <c r="BQ89" s="100">
        <v>6596.5793834827718</v>
      </c>
      <c r="BR89" s="100">
        <v>5.404840164982156</v>
      </c>
      <c r="BS89" s="100">
        <v>5739.9402552110496</v>
      </c>
      <c r="BT89" s="100">
        <v>4.3000805101028989</v>
      </c>
      <c r="BU89" s="100">
        <v>4566.6855017292783</v>
      </c>
      <c r="BV89" s="100">
        <v>3.0643389082394688</v>
      </c>
      <c r="BW89" s="100">
        <v>3254.3279205503159</v>
      </c>
      <c r="BX89" s="100">
        <v>6.8485321062639519</v>
      </c>
      <c r="BY89" s="100">
        <v>7273.1410968523169</v>
      </c>
      <c r="BZ89" s="100">
        <v>5.8775806844586302</v>
      </c>
      <c r="CA89" s="100">
        <v>6241.9906868950657</v>
      </c>
      <c r="CB89" s="100">
        <v>3.8012062698775608</v>
      </c>
      <c r="CC89" s="100">
        <v>4036.8810586099694</v>
      </c>
      <c r="CD89" s="100">
        <v>1.3848617429687045</v>
      </c>
      <c r="CE89" s="100">
        <v>1470.7231710327642</v>
      </c>
      <c r="CF89" s="100">
        <v>6.6637021979019933</v>
      </c>
      <c r="CG89" s="100">
        <v>7076.8517341719171</v>
      </c>
      <c r="CH89" s="100">
        <v>2.6044278463004793</v>
      </c>
      <c r="CI89" s="100">
        <v>2765.9023727711092</v>
      </c>
      <c r="CJ89" s="100">
        <v>4.6457889926604334</v>
      </c>
      <c r="CK89" s="100">
        <v>4933.8279102053802</v>
      </c>
      <c r="CL89" s="100">
        <v>3.0667229884113576</v>
      </c>
      <c r="CM89" s="100">
        <v>3256.8598136928617</v>
      </c>
      <c r="CN89" s="100">
        <v>5.1602393062096628</v>
      </c>
      <c r="CO89" s="100">
        <v>5480.1741431946621</v>
      </c>
      <c r="CP89" s="100">
        <v>0.27194022809941515</v>
      </c>
      <c r="CQ89" s="100">
        <v>288.8005222415789</v>
      </c>
      <c r="CR89" s="100">
        <v>5.3116274181251697</v>
      </c>
      <c r="CS89" s="100">
        <v>5640.9483180489306</v>
      </c>
      <c r="CT89" s="100">
        <v>5.480767612429883</v>
      </c>
      <c r="CU89" s="100">
        <v>5820.5752044005358</v>
      </c>
    </row>
    <row r="90" spans="2:99">
      <c r="C90" s="99" t="s">
        <v>256</v>
      </c>
      <c r="D90" s="100">
        <v>4.1441640717776629</v>
      </c>
      <c r="E90" s="100">
        <v>4595.0491227870725</v>
      </c>
      <c r="F90" s="100">
        <v>1.1005095583899955</v>
      </c>
      <c r="G90" s="100">
        <v>1220.2449983428271</v>
      </c>
      <c r="H90" s="100">
        <v>4.504072008097836</v>
      </c>
      <c r="I90" s="100">
        <v>4994.1150425788801</v>
      </c>
      <c r="J90" s="100">
        <v>5.8540881800370572</v>
      </c>
      <c r="K90" s="100">
        <v>6491.0129740250886</v>
      </c>
      <c r="L90" s="100">
        <v>6.1499488278671164</v>
      </c>
      <c r="M90" s="100">
        <v>6819.0632603390586</v>
      </c>
      <c r="N90" s="100">
        <v>5.2299608112126164</v>
      </c>
      <c r="O90" s="100">
        <v>5798.980547472549</v>
      </c>
      <c r="P90" s="100">
        <v>2.548331109344089</v>
      </c>
      <c r="Q90" s="100">
        <v>2825.589534040726</v>
      </c>
      <c r="R90" s="100">
        <v>3.8767106104736064</v>
      </c>
      <c r="S90" s="100">
        <v>4298.4967248931343</v>
      </c>
      <c r="T90" s="100">
        <v>5.5447088463991863</v>
      </c>
      <c r="U90" s="100">
        <v>6147.9731688874172</v>
      </c>
      <c r="V90" s="100">
        <v>4.3830529226577148</v>
      </c>
      <c r="W90" s="100">
        <v>4859.9290806428744</v>
      </c>
      <c r="X90" s="100">
        <v>4.1907306758550149</v>
      </c>
      <c r="Y90" s="100">
        <v>4646.6821733880406</v>
      </c>
      <c r="Z90" s="100">
        <v>2.0842559744672444</v>
      </c>
      <c r="AA90" s="100">
        <v>2311.0230244892805</v>
      </c>
      <c r="AB90" s="100">
        <v>4.7940103086759098</v>
      </c>
      <c r="AC90" s="100">
        <v>5315.5986302598485</v>
      </c>
      <c r="AD90" s="100">
        <v>3.9881649280585476</v>
      </c>
      <c r="AE90" s="100">
        <v>4422.0772722313177</v>
      </c>
      <c r="AF90" s="100">
        <v>5.000000000000024</v>
      </c>
      <c r="AG90" s="100">
        <v>5544.0000000000264</v>
      </c>
      <c r="AH90" s="100">
        <v>1.9632449153103091</v>
      </c>
      <c r="AI90" s="100">
        <v>2176.8459620960707</v>
      </c>
      <c r="AJ90" s="100">
        <v>6.4820033729079913</v>
      </c>
      <c r="AK90" s="100">
        <v>7187.2453398803809</v>
      </c>
      <c r="AL90" s="100">
        <v>4.8695642996494559</v>
      </c>
      <c r="AM90" s="100">
        <v>5399.3728954513163</v>
      </c>
      <c r="AN90" s="100">
        <v>3.789546127945421</v>
      </c>
      <c r="AO90" s="100">
        <v>4201.8487466658826</v>
      </c>
      <c r="AP90" s="100">
        <v>5.5316061390009272</v>
      </c>
      <c r="AQ90" s="100">
        <v>6133.4448869242278</v>
      </c>
      <c r="AR90" s="100">
        <v>3.4255175061631018</v>
      </c>
      <c r="AS90" s="100">
        <v>3798.2138108336471</v>
      </c>
      <c r="AT90" s="100">
        <v>4.3968919446377512</v>
      </c>
      <c r="AU90" s="100">
        <v>4875.2737882143383</v>
      </c>
      <c r="AV90" s="100">
        <v>4.3090894987947586</v>
      </c>
      <c r="AW90" s="100">
        <v>4777.9184362636279</v>
      </c>
      <c r="AX90" s="100">
        <v>3.8358104625513545</v>
      </c>
      <c r="AY90" s="100">
        <v>4253.146640876942</v>
      </c>
      <c r="AZ90" s="100">
        <v>3.7292350169620474</v>
      </c>
      <c r="BA90" s="100">
        <v>4134.9757868075176</v>
      </c>
      <c r="BB90" s="100">
        <v>3.7707294719428246</v>
      </c>
      <c r="BC90" s="100">
        <v>4180.9848384902034</v>
      </c>
      <c r="BD90" s="100">
        <v>4.4529952565299125</v>
      </c>
      <c r="BE90" s="100">
        <v>4937.4811404403663</v>
      </c>
      <c r="BF90" s="100">
        <v>6.0371668855333658</v>
      </c>
      <c r="BG90" s="100">
        <v>6694.0106426793955</v>
      </c>
      <c r="BH90" s="100">
        <v>4.4718547016620009</v>
      </c>
      <c r="BI90" s="100">
        <v>4958.3924932028267</v>
      </c>
      <c r="BJ90" s="100">
        <v>2.3311998204767579</v>
      </c>
      <c r="BK90" s="100">
        <v>2584.8343609446292</v>
      </c>
      <c r="BL90" s="100">
        <v>8.6774058235287672</v>
      </c>
      <c r="BM90" s="100">
        <v>9621.5075771286974</v>
      </c>
      <c r="BN90" s="100">
        <v>5.2650460876226344</v>
      </c>
      <c r="BO90" s="100">
        <v>5837.8831019559766</v>
      </c>
      <c r="BP90" s="100">
        <v>5.5213051964702</v>
      </c>
      <c r="BQ90" s="100">
        <v>6122.0232018461575</v>
      </c>
      <c r="BR90" s="100">
        <v>5.404840164982156</v>
      </c>
      <c r="BS90" s="100">
        <v>5992.8867749322144</v>
      </c>
      <c r="BT90" s="100">
        <v>3.6088430492216768</v>
      </c>
      <c r="BU90" s="100">
        <v>4001.4851729769948</v>
      </c>
      <c r="BV90" s="100">
        <v>3.4111616899287229</v>
      </c>
      <c r="BW90" s="100">
        <v>3782.2960817929679</v>
      </c>
      <c r="BX90" s="100">
        <v>6.6788256850111614</v>
      </c>
      <c r="BY90" s="100">
        <v>7405.4819195403752</v>
      </c>
      <c r="BZ90" s="100">
        <v>6.6122782700159588</v>
      </c>
      <c r="CA90" s="100">
        <v>7331.6941457936946</v>
      </c>
      <c r="CB90" s="100">
        <v>4.4347406481904867</v>
      </c>
      <c r="CC90" s="100">
        <v>4917.2404307136112</v>
      </c>
      <c r="CD90" s="100">
        <v>1.1540514524739205</v>
      </c>
      <c r="CE90" s="100">
        <v>1279.612250503083</v>
      </c>
      <c r="CF90" s="100">
        <v>5.6637021979019933</v>
      </c>
      <c r="CG90" s="100">
        <v>6279.9129970337299</v>
      </c>
      <c r="CH90" s="100">
        <v>2.6180120117165027</v>
      </c>
      <c r="CI90" s="100">
        <v>2902.8517185912578</v>
      </c>
      <c r="CJ90" s="100">
        <v>4.2083811028329796</v>
      </c>
      <c r="CK90" s="100">
        <v>4666.2529668212073</v>
      </c>
      <c r="CL90" s="100">
        <v>3.0667229884113576</v>
      </c>
      <c r="CM90" s="100">
        <v>3400.3824495505132</v>
      </c>
      <c r="CN90" s="100">
        <v>4.4851986846881822</v>
      </c>
      <c r="CO90" s="100">
        <v>4973.1883015822559</v>
      </c>
      <c r="CP90" s="100">
        <v>0.27194022809941515</v>
      </c>
      <c r="CQ90" s="100">
        <v>301.52732491663153</v>
      </c>
      <c r="CR90" s="100">
        <v>5.2911971228982901</v>
      </c>
      <c r="CS90" s="100">
        <v>5866.8793698696236</v>
      </c>
      <c r="CT90" s="100">
        <v>5.4357378315765859</v>
      </c>
      <c r="CU90" s="100">
        <v>6027.1461076521182</v>
      </c>
    </row>
    <row r="91" spans="2:99">
      <c r="C91" s="99" t="s">
        <v>257</v>
      </c>
      <c r="D91" s="100">
        <v>4.1441640717776629</v>
      </c>
      <c r="E91" s="100">
        <v>4709.4280511681354</v>
      </c>
      <c r="F91" s="100">
        <v>1.1005095583899955</v>
      </c>
      <c r="G91" s="100">
        <v>1250.6190621543908</v>
      </c>
      <c r="H91" s="100">
        <v>4.3856418766106362</v>
      </c>
      <c r="I91" s="100">
        <v>4983.843428580326</v>
      </c>
      <c r="J91" s="100">
        <v>5.7556035732536452</v>
      </c>
      <c r="K91" s="100">
        <v>6540.6679006454415</v>
      </c>
      <c r="L91" s="100">
        <v>5.3812052243837263</v>
      </c>
      <c r="M91" s="100">
        <v>6115.201616989666</v>
      </c>
      <c r="N91" s="100">
        <v>5.2299608112126164</v>
      </c>
      <c r="O91" s="100">
        <v>5943.3274658620167</v>
      </c>
      <c r="P91" s="100">
        <v>2.5055749131961416</v>
      </c>
      <c r="Q91" s="100">
        <v>2847.3353313560951</v>
      </c>
      <c r="R91" s="100">
        <v>3.8767106104736064</v>
      </c>
      <c r="S91" s="100">
        <v>4405.4939377422061</v>
      </c>
      <c r="T91" s="100">
        <v>5.5447088463991863</v>
      </c>
      <c r="U91" s="100">
        <v>6301.0071330480341</v>
      </c>
      <c r="V91" s="100">
        <v>4.3830529226577148</v>
      </c>
      <c r="W91" s="100">
        <v>4980.9013413082266</v>
      </c>
      <c r="X91" s="100">
        <v>4.1907306758550149</v>
      </c>
      <c r="Y91" s="100">
        <v>4762.3463400416385</v>
      </c>
      <c r="Z91" s="100">
        <v>1.7580960176115459</v>
      </c>
      <c r="AA91" s="100">
        <v>1997.9003144137605</v>
      </c>
      <c r="AB91" s="100">
        <v>4.7940103086759098</v>
      </c>
      <c r="AC91" s="100">
        <v>5447.9133147793036</v>
      </c>
      <c r="AD91" s="100">
        <v>4.0107611920650577</v>
      </c>
      <c r="AE91" s="100">
        <v>4557.829018662731</v>
      </c>
      <c r="AF91" s="100">
        <v>6.000000000000024</v>
      </c>
      <c r="AG91" s="100">
        <v>6818.400000000026</v>
      </c>
      <c r="AH91" s="100">
        <v>1.9852277280944173</v>
      </c>
      <c r="AI91" s="100">
        <v>2256.0127902064955</v>
      </c>
      <c r="AJ91" s="100">
        <v>6.4820033729079913</v>
      </c>
      <c r="AK91" s="100">
        <v>7366.1486329726404</v>
      </c>
      <c r="AL91" s="100">
        <v>5.6811583495910316</v>
      </c>
      <c r="AM91" s="100">
        <v>6456.0683484752471</v>
      </c>
      <c r="AN91" s="100">
        <v>3.031636902356337</v>
      </c>
      <c r="AO91" s="100">
        <v>3445.1521758377407</v>
      </c>
      <c r="AP91" s="100">
        <v>5.5316061390009272</v>
      </c>
      <c r="AQ91" s="100">
        <v>6286.1172163606534</v>
      </c>
      <c r="AR91" s="100">
        <v>4.2170192651415954</v>
      </c>
      <c r="AS91" s="100">
        <v>4792.2206929069089</v>
      </c>
      <c r="AT91" s="100">
        <v>4.3968919446377512</v>
      </c>
      <c r="AU91" s="100">
        <v>4996.6280058863395</v>
      </c>
      <c r="AV91" s="100">
        <v>5.2823737464409639</v>
      </c>
      <c r="AW91" s="100">
        <v>6002.8895254555109</v>
      </c>
      <c r="AX91" s="100">
        <v>3.918493304268464</v>
      </c>
      <c r="AY91" s="100">
        <v>4452.9757909706823</v>
      </c>
      <c r="AZ91" s="100">
        <v>3.7292350169620474</v>
      </c>
      <c r="BA91" s="100">
        <v>4237.9026732756702</v>
      </c>
      <c r="BB91" s="100">
        <v>4.3891183681041559</v>
      </c>
      <c r="BC91" s="100">
        <v>4987.7941135135625</v>
      </c>
      <c r="BD91" s="100">
        <v>4.4529952565299125</v>
      </c>
      <c r="BE91" s="100">
        <v>5060.383809520592</v>
      </c>
      <c r="BF91" s="100">
        <v>5.217588822853731</v>
      </c>
      <c r="BG91" s="100">
        <v>5929.2679382909791</v>
      </c>
      <c r="BH91" s="100">
        <v>3.7463827095039091</v>
      </c>
      <c r="BI91" s="100">
        <v>4257.3893110802419</v>
      </c>
      <c r="BJ91" s="100">
        <v>2.3291402490749231</v>
      </c>
      <c r="BK91" s="100">
        <v>2646.8349790487423</v>
      </c>
      <c r="BL91" s="100">
        <v>8.6774058235287672</v>
      </c>
      <c r="BM91" s="100">
        <v>9861.0039778580904</v>
      </c>
      <c r="BN91" s="100">
        <v>4.5128966465336866</v>
      </c>
      <c r="BO91" s="100">
        <v>5128.4557491208807</v>
      </c>
      <c r="BP91" s="100">
        <v>6.2114683460289752</v>
      </c>
      <c r="BQ91" s="100">
        <v>7058.7126284273263</v>
      </c>
      <c r="BR91" s="100">
        <v>6.1769601885510363</v>
      </c>
      <c r="BS91" s="100">
        <v>7019.4975582693969</v>
      </c>
      <c r="BT91" s="100">
        <v>3.6088430492216768</v>
      </c>
      <c r="BU91" s="100">
        <v>4101.0892411355126</v>
      </c>
      <c r="BV91" s="100">
        <v>3.0281193263987891</v>
      </c>
      <c r="BW91" s="100">
        <v>3441.1548025195834</v>
      </c>
      <c r="BX91" s="100">
        <v>6.8485321062639519</v>
      </c>
      <c r="BY91" s="100">
        <v>7782.671885558354</v>
      </c>
      <c r="BZ91" s="100">
        <v>5.8775806844586302</v>
      </c>
      <c r="CA91" s="100">
        <v>6679.2826898187868</v>
      </c>
      <c r="CB91" s="100">
        <v>4.4347406481904867</v>
      </c>
      <c r="CC91" s="100">
        <v>5039.6392726036684</v>
      </c>
      <c r="CD91" s="100">
        <v>1.3848617429687045</v>
      </c>
      <c r="CE91" s="100">
        <v>1573.7568847096356</v>
      </c>
      <c r="CF91" s="100">
        <v>5.6637021979019933</v>
      </c>
      <c r="CG91" s="100">
        <v>6436.231177695824</v>
      </c>
      <c r="CH91" s="100">
        <v>2.6180120117165027</v>
      </c>
      <c r="CI91" s="100">
        <v>2975.1088501146332</v>
      </c>
      <c r="CJ91" s="100">
        <v>4.2083811028329796</v>
      </c>
      <c r="CK91" s="100">
        <v>4782.4042852593975</v>
      </c>
      <c r="CL91" s="100">
        <v>3.0448433434131257</v>
      </c>
      <c r="CM91" s="100">
        <v>3460.1599754546755</v>
      </c>
      <c r="CN91" s="100">
        <v>4.5729839058236816</v>
      </c>
      <c r="CO91" s="100">
        <v>5196.7389105780312</v>
      </c>
      <c r="CP91" s="100">
        <v>0.27247605485996235</v>
      </c>
      <c r="CQ91" s="100">
        <v>309.64178874286119</v>
      </c>
      <c r="CR91" s="100">
        <v>4.6476739908595235</v>
      </c>
      <c r="CS91" s="100">
        <v>5281.6167232127618</v>
      </c>
      <c r="CT91" s="100">
        <v>6.1320912283436453</v>
      </c>
      <c r="CU91" s="100">
        <v>6968.5084718897178</v>
      </c>
    </row>
    <row r="92" spans="2:99">
      <c r="C92" s="99" t="s">
        <v>258</v>
      </c>
      <c r="D92" s="100">
        <v>4.1441640717776629</v>
      </c>
      <c r="E92" s="100">
        <v>3252.3399635311098</v>
      </c>
      <c r="F92" s="100">
        <v>1.1005095583899955</v>
      </c>
      <c r="G92" s="100">
        <v>863.67990142446843</v>
      </c>
      <c r="H92" s="100">
        <v>5.1541757603066376</v>
      </c>
      <c r="I92" s="100">
        <v>4044.9971366886489</v>
      </c>
      <c r="J92" s="100">
        <v>6.6502677776375165</v>
      </c>
      <c r="K92" s="100">
        <v>5219.1301518899227</v>
      </c>
      <c r="L92" s="100">
        <v>6.3290621399917004</v>
      </c>
      <c r="M92" s="100">
        <v>4967.0479674654862</v>
      </c>
      <c r="N92" s="100">
        <v>5.2299608112126164</v>
      </c>
      <c r="O92" s="100">
        <v>4104.4732446396611</v>
      </c>
      <c r="P92" s="100">
        <v>2.5469741787306499</v>
      </c>
      <c r="Q92" s="100">
        <v>1998.865335467814</v>
      </c>
      <c r="R92" s="100">
        <v>3.8767106104736064</v>
      </c>
      <c r="S92" s="100">
        <v>3042.4424870996863</v>
      </c>
      <c r="T92" s="100">
        <v>4.7852797663403859</v>
      </c>
      <c r="U92" s="100">
        <v>3755.4875606239348</v>
      </c>
      <c r="V92" s="100">
        <v>4.3830529226577148</v>
      </c>
      <c r="W92" s="100">
        <v>3439.8199337017745</v>
      </c>
      <c r="X92" s="100">
        <v>4.8027872033803058</v>
      </c>
      <c r="Y92" s="100">
        <v>3769.2273972128637</v>
      </c>
      <c r="Z92" s="100">
        <v>2.4104159313229427</v>
      </c>
      <c r="AA92" s="100">
        <v>1891.6944229022454</v>
      </c>
      <c r="AB92" s="100">
        <v>4.8816007118663549</v>
      </c>
      <c r="AC92" s="100">
        <v>3831.080238672715</v>
      </c>
      <c r="AD92" s="100">
        <v>4.0026416156721165</v>
      </c>
      <c r="AE92" s="100">
        <v>3141.273139979477</v>
      </c>
      <c r="AF92" s="100">
        <v>5.000000000000024</v>
      </c>
      <c r="AG92" s="100">
        <v>3924.0000000000186</v>
      </c>
      <c r="AH92" s="100">
        <v>2.4045948153736423</v>
      </c>
      <c r="AI92" s="100">
        <v>1887.1260111052343</v>
      </c>
      <c r="AJ92" s="100">
        <v>6.4820033729079913</v>
      </c>
      <c r="AK92" s="100">
        <v>5087.0762470581913</v>
      </c>
      <c r="AL92" s="100">
        <v>5.6811583495910316</v>
      </c>
      <c r="AM92" s="100">
        <v>4458.5730727590417</v>
      </c>
      <c r="AN92" s="100">
        <v>3.031636902356337</v>
      </c>
      <c r="AO92" s="100">
        <v>2379.2286409692533</v>
      </c>
      <c r="AP92" s="100">
        <v>6.4535404955010822</v>
      </c>
      <c r="AQ92" s="100">
        <v>5064.7385808692488</v>
      </c>
      <c r="AR92" s="100">
        <v>5.008521024120089</v>
      </c>
      <c r="AS92" s="100">
        <v>3930.6872997294458</v>
      </c>
      <c r="AT92" s="100">
        <v>4.3295925781381914</v>
      </c>
      <c r="AU92" s="100">
        <v>3397.8642553228524</v>
      </c>
      <c r="AV92" s="100">
        <v>4.6817498979780385</v>
      </c>
      <c r="AW92" s="100">
        <v>3674.2373199331646</v>
      </c>
      <c r="AX92" s="100">
        <v>3.918493304268464</v>
      </c>
      <c r="AY92" s="100">
        <v>3075.2335451898903</v>
      </c>
      <c r="AZ92" s="100">
        <v>3.7400244879690745</v>
      </c>
      <c r="BA92" s="100">
        <v>2935.1712181581297</v>
      </c>
      <c r="BB92" s="100">
        <v>4.3891183681041559</v>
      </c>
      <c r="BC92" s="100">
        <v>3444.5800952881414</v>
      </c>
      <c r="BD92" s="100">
        <v>4.4529952565299125</v>
      </c>
      <c r="BE92" s="100">
        <v>3494.7106773246751</v>
      </c>
      <c r="BF92" s="100">
        <v>6.0371668855333658</v>
      </c>
      <c r="BG92" s="100">
        <v>4737.9685717665852</v>
      </c>
      <c r="BH92" s="100">
        <v>4.4718547016620009</v>
      </c>
      <c r="BI92" s="100">
        <v>3509.5115698643381</v>
      </c>
      <c r="BJ92" s="100">
        <v>2.55394046589972</v>
      </c>
      <c r="BK92" s="100">
        <v>2004.3324776381</v>
      </c>
      <c r="BL92" s="100">
        <v>9.8467572794109586</v>
      </c>
      <c r="BM92" s="100">
        <v>7727.7351128817199</v>
      </c>
      <c r="BN92" s="100">
        <v>5.2650460876226344</v>
      </c>
      <c r="BO92" s="100">
        <v>4132.0081695662429</v>
      </c>
      <c r="BP92" s="100">
        <v>6.9016314955877496</v>
      </c>
      <c r="BQ92" s="100">
        <v>5416.4003977372658</v>
      </c>
      <c r="BR92" s="100">
        <v>5.404840164982156</v>
      </c>
      <c r="BS92" s="100">
        <v>4241.7185614779955</v>
      </c>
      <c r="BT92" s="100">
        <v>3.5706791130177846</v>
      </c>
      <c r="BU92" s="100">
        <v>2802.268967896357</v>
      </c>
      <c r="BV92" s="100">
        <v>3.0462291173191285</v>
      </c>
      <c r="BW92" s="100">
        <v>2390.6806112720519</v>
      </c>
      <c r="BX92" s="100">
        <v>7.8485321062639519</v>
      </c>
      <c r="BY92" s="100">
        <v>6159.5279969959493</v>
      </c>
      <c r="BZ92" s="100">
        <v>5.8775806844586302</v>
      </c>
      <c r="CA92" s="100">
        <v>4612.7253211631323</v>
      </c>
      <c r="CB92" s="100">
        <v>4.4347406481904867</v>
      </c>
      <c r="CC92" s="100">
        <v>3480.3844606998937</v>
      </c>
      <c r="CD92" s="100">
        <v>1.1540514524739205</v>
      </c>
      <c r="CE92" s="100">
        <v>905.69957990153273</v>
      </c>
      <c r="CF92" s="100">
        <v>5.8296277473774909</v>
      </c>
      <c r="CG92" s="100">
        <v>4575.0918561418548</v>
      </c>
      <c r="CH92" s="100">
        <v>2.6180120117165027</v>
      </c>
      <c r="CI92" s="100">
        <v>2054.6158267951114</v>
      </c>
      <c r="CJ92" s="100">
        <v>4.2360088764539237</v>
      </c>
      <c r="CK92" s="100">
        <v>3324.4197662410393</v>
      </c>
      <c r="CL92" s="100">
        <v>3.5267909814840426</v>
      </c>
      <c r="CM92" s="100">
        <v>2767.8255622686765</v>
      </c>
      <c r="CN92" s="100">
        <v>4.4858605430412162</v>
      </c>
      <c r="CO92" s="100">
        <v>3520.5033541787461</v>
      </c>
      <c r="CP92" s="100">
        <v>0.31672777268877056</v>
      </c>
      <c r="CQ92" s="100">
        <v>248.56795600614711</v>
      </c>
      <c r="CR92" s="100">
        <v>5.2911971228982901</v>
      </c>
      <c r="CS92" s="100">
        <v>4152.5315020505777</v>
      </c>
      <c r="CT92" s="100">
        <v>5.480767612429883</v>
      </c>
      <c r="CU92" s="100">
        <v>4301.3064222349722</v>
      </c>
    </row>
    <row r="93" spans="2:99">
      <c r="C93" s="99" t="s">
        <v>259</v>
      </c>
      <c r="D93" s="100">
        <v>4.3468835391021035</v>
      </c>
      <c r="E93" s="100">
        <v>3014.998422721219</v>
      </c>
      <c r="F93" s="100">
        <v>1.1005095583899955</v>
      </c>
      <c r="G93" s="100">
        <v>763.31342969930097</v>
      </c>
      <c r="H93" s="100">
        <v>4.5003057289614938</v>
      </c>
      <c r="I93" s="100">
        <v>3121.4120536076921</v>
      </c>
      <c r="J93" s="100">
        <v>6.7471723643751202</v>
      </c>
      <c r="K93" s="100">
        <v>4679.8387519305834</v>
      </c>
      <c r="L93" s="100">
        <v>6.9186924313505056</v>
      </c>
      <c r="M93" s="100">
        <v>4798.8050703847111</v>
      </c>
      <c r="N93" s="100">
        <v>5.3437144901721885</v>
      </c>
      <c r="O93" s="100">
        <v>3706.4003703834301</v>
      </c>
      <c r="P93" s="100">
        <v>2.5469741787306499</v>
      </c>
      <c r="Q93" s="100">
        <v>1766.5812903675787</v>
      </c>
      <c r="R93" s="100">
        <v>3.8958159773119996</v>
      </c>
      <c r="S93" s="100">
        <v>2702.1379618636029</v>
      </c>
      <c r="T93" s="100">
        <v>5.5561664567373796</v>
      </c>
      <c r="U93" s="100">
        <v>3853.7570543930465</v>
      </c>
      <c r="V93" s="100">
        <v>4.3830529226577148</v>
      </c>
      <c r="W93" s="100">
        <v>3040.085507155391</v>
      </c>
      <c r="X93" s="100">
        <v>4.1907306758550149</v>
      </c>
      <c r="Y93" s="100">
        <v>2906.6907967730385</v>
      </c>
      <c r="Z93" s="100">
        <v>2.0842559744672444</v>
      </c>
      <c r="AA93" s="100">
        <v>1445.6399438904807</v>
      </c>
      <c r="AB93" s="100">
        <v>5.4913818389425311</v>
      </c>
      <c r="AC93" s="100">
        <v>3808.8224434905396</v>
      </c>
      <c r="AD93" s="100">
        <v>4.0107611920650577</v>
      </c>
      <c r="AE93" s="100">
        <v>2781.8639628163241</v>
      </c>
      <c r="AF93" s="100">
        <v>6.000000000000024</v>
      </c>
      <c r="AG93" s="100">
        <v>4161.6000000000167</v>
      </c>
      <c r="AH93" s="100">
        <v>1.9852277280944173</v>
      </c>
      <c r="AI93" s="100">
        <v>1376.9539522062878</v>
      </c>
      <c r="AJ93" s="100">
        <v>6.4820033729079913</v>
      </c>
      <c r="AK93" s="100">
        <v>4495.917539448983</v>
      </c>
      <c r="AL93" s="100">
        <v>5.6811583495910316</v>
      </c>
      <c r="AM93" s="100">
        <v>3940.4514312763395</v>
      </c>
      <c r="AN93" s="100">
        <v>3.789546127945421</v>
      </c>
      <c r="AO93" s="100">
        <v>2628.4291943429439</v>
      </c>
      <c r="AP93" s="100">
        <v>5.5316061390009272</v>
      </c>
      <c r="AQ93" s="100">
        <v>3836.7220180110435</v>
      </c>
      <c r="AR93" s="100">
        <v>4.2170192651415954</v>
      </c>
      <c r="AS93" s="100">
        <v>2924.9245623022107</v>
      </c>
      <c r="AT93" s="100">
        <v>4.3295925781381914</v>
      </c>
      <c r="AU93" s="100">
        <v>3003.0054121966496</v>
      </c>
      <c r="AV93" s="100">
        <v>5.8829975949038884</v>
      </c>
      <c r="AW93" s="100">
        <v>4080.4471318253372</v>
      </c>
      <c r="AX93" s="100">
        <v>3.8358104625513545</v>
      </c>
      <c r="AY93" s="100">
        <v>2660.5181368256194</v>
      </c>
      <c r="AZ93" s="100">
        <v>3.7292350169620474</v>
      </c>
      <c r="BA93" s="100">
        <v>2586.5974077648762</v>
      </c>
      <c r="BB93" s="100">
        <v>4.3891183681041559</v>
      </c>
      <c r="BC93" s="100">
        <v>3044.2925001170424</v>
      </c>
      <c r="BD93" s="100">
        <v>4.4529952565299125</v>
      </c>
      <c r="BE93" s="100">
        <v>3088.5975099291472</v>
      </c>
      <c r="BF93" s="100">
        <v>6.0971909748885507</v>
      </c>
      <c r="BG93" s="100">
        <v>4229.0116601826985</v>
      </c>
      <c r="BH93" s="100">
        <v>4.4718547016620009</v>
      </c>
      <c r="BI93" s="100">
        <v>3101.6784210727637</v>
      </c>
      <c r="BJ93" s="100">
        <v>2.5985119373397381</v>
      </c>
      <c r="BK93" s="100">
        <v>1802.3278797388423</v>
      </c>
      <c r="BL93" s="100">
        <v>9.6774058235287672</v>
      </c>
      <c r="BM93" s="100">
        <v>6712.2486791995534</v>
      </c>
      <c r="BN93" s="100">
        <v>4.5128966465336866</v>
      </c>
      <c r="BO93" s="100">
        <v>3130.1451140357653</v>
      </c>
      <c r="BP93" s="100">
        <v>6.9016314955877496</v>
      </c>
      <c r="BQ93" s="100">
        <v>4786.9716053396633</v>
      </c>
      <c r="BR93" s="100">
        <v>6.1769601885510363</v>
      </c>
      <c r="BS93" s="100">
        <v>4284.3395867789986</v>
      </c>
      <c r="BT93" s="100">
        <v>3.6088430492216768</v>
      </c>
      <c r="BU93" s="100">
        <v>2503.0935389401552</v>
      </c>
      <c r="BV93" s="100">
        <v>3.0462291173191285</v>
      </c>
      <c r="BW93" s="100">
        <v>2112.8645157725477</v>
      </c>
      <c r="BX93" s="100">
        <v>6.8485321062639519</v>
      </c>
      <c r="BY93" s="100">
        <v>4750.1418689046768</v>
      </c>
      <c r="BZ93" s="100">
        <v>6.6122782700159588</v>
      </c>
      <c r="CA93" s="100">
        <v>4586.2762080830689</v>
      </c>
      <c r="CB93" s="100">
        <v>5.0682750265034144</v>
      </c>
      <c r="CC93" s="100">
        <v>3515.3555583827683</v>
      </c>
      <c r="CD93" s="100">
        <v>1.3848617429687045</v>
      </c>
      <c r="CE93" s="100">
        <v>960.54010492309339</v>
      </c>
      <c r="CF93" s="100">
        <v>6.8296277473774909</v>
      </c>
      <c r="CG93" s="100">
        <v>4737.0298055810281</v>
      </c>
      <c r="CH93" s="100">
        <v>2.6180120117165027</v>
      </c>
      <c r="CI93" s="100">
        <v>1815.8531313265662</v>
      </c>
      <c r="CJ93" s="100">
        <v>4.2390786290784721</v>
      </c>
      <c r="CK93" s="100">
        <v>2940.2249371288285</v>
      </c>
      <c r="CL93" s="100">
        <v>3.2248987447069553</v>
      </c>
      <c r="CM93" s="100">
        <v>2236.7897693287441</v>
      </c>
      <c r="CN93" s="100">
        <v>5.2473626689921282</v>
      </c>
      <c r="CO93" s="100">
        <v>3639.5707472129402</v>
      </c>
      <c r="CP93" s="100">
        <v>0.31672777268877056</v>
      </c>
      <c r="CQ93" s="100">
        <v>219.68238313693126</v>
      </c>
      <c r="CR93" s="100">
        <v>5.2911971228982901</v>
      </c>
      <c r="CS93" s="100">
        <v>3669.9743244422543</v>
      </c>
      <c r="CT93" s="100">
        <v>6.0870614474903464</v>
      </c>
      <c r="CU93" s="100">
        <v>4221.9858199793043</v>
      </c>
    </row>
    <row r="94" spans="2:99">
      <c r="C94" s="99" t="s">
        <v>260</v>
      </c>
      <c r="D94" s="100">
        <v>4.1441640717776629</v>
      </c>
      <c r="E94" s="100">
        <v>4943.158904816396</v>
      </c>
      <c r="F94" s="100">
        <v>1.1005095583899955</v>
      </c>
      <c r="G94" s="100">
        <v>1312.6878012475865</v>
      </c>
      <c r="H94" s="100">
        <v>4.5003057289614938</v>
      </c>
      <c r="I94" s="100">
        <v>5367.9646735052693</v>
      </c>
      <c r="J94" s="100">
        <v>5.7571835932994535</v>
      </c>
      <c r="K94" s="100">
        <v>6867.1685900875882</v>
      </c>
      <c r="L94" s="100">
        <v>6.1499488278671164</v>
      </c>
      <c r="M94" s="100">
        <v>7335.6589618798962</v>
      </c>
      <c r="N94" s="100">
        <v>5.2299608112126164</v>
      </c>
      <c r="O94" s="100">
        <v>6238.2972556144086</v>
      </c>
      <c r="P94" s="100">
        <v>2.5469741787306499</v>
      </c>
      <c r="Q94" s="100">
        <v>3038.030800389919</v>
      </c>
      <c r="R94" s="100">
        <v>3.8767106104736064</v>
      </c>
      <c r="S94" s="100">
        <v>4624.1404161729179</v>
      </c>
      <c r="T94" s="100">
        <v>4.8439106351683687</v>
      </c>
      <c r="U94" s="100">
        <v>5777.8166056288301</v>
      </c>
      <c r="V94" s="100">
        <v>4.3830529226577148</v>
      </c>
      <c r="W94" s="100">
        <v>5228.1055261461224</v>
      </c>
      <c r="X94" s="100">
        <v>4.1907306758550149</v>
      </c>
      <c r="Y94" s="100">
        <v>4998.7035501598612</v>
      </c>
      <c r="Z94" s="100">
        <v>2.0984000003931387</v>
      </c>
      <c r="AA94" s="100">
        <v>2502.9715204689355</v>
      </c>
      <c r="AB94" s="100">
        <v>4.7940103086759098</v>
      </c>
      <c r="AC94" s="100">
        <v>5718.2954961886253</v>
      </c>
      <c r="AD94" s="100">
        <v>3.9874267847500979</v>
      </c>
      <c r="AE94" s="100">
        <v>4756.2026688499163</v>
      </c>
      <c r="AF94" s="100">
        <v>6.000000000000024</v>
      </c>
      <c r="AG94" s="100">
        <v>7156.8000000000284</v>
      </c>
      <c r="AH94" s="100">
        <v>2.4265776281577507</v>
      </c>
      <c r="AI94" s="100">
        <v>2894.4217948665651</v>
      </c>
      <c r="AJ94" s="100">
        <v>5.4820033729079913</v>
      </c>
      <c r="AK94" s="100">
        <v>6538.9336232046517</v>
      </c>
      <c r="AL94" s="100">
        <v>5.6811583495910316</v>
      </c>
      <c r="AM94" s="100">
        <v>6776.4856793921826</v>
      </c>
      <c r="AN94" s="100">
        <v>3.031636902356337</v>
      </c>
      <c r="AO94" s="100">
        <v>3616.1364971306384</v>
      </c>
      <c r="AP94" s="100">
        <v>5.5316061390009272</v>
      </c>
      <c r="AQ94" s="100">
        <v>6598.0998026003053</v>
      </c>
      <c r="AR94" s="100">
        <v>4.2170192651415954</v>
      </c>
      <c r="AS94" s="100">
        <v>5030.0605794608946</v>
      </c>
      <c r="AT94" s="100">
        <v>4.3295925781381914</v>
      </c>
      <c r="AU94" s="100">
        <v>5164.3380272032346</v>
      </c>
      <c r="AV94" s="100">
        <v>4.6817498979780385</v>
      </c>
      <c r="AW94" s="100">
        <v>5584.3912783082042</v>
      </c>
      <c r="AX94" s="100">
        <v>3.1347946434147707</v>
      </c>
      <c r="AY94" s="100">
        <v>3739.1830506651381</v>
      </c>
      <c r="AZ94" s="100">
        <v>3.7292350169620474</v>
      </c>
      <c r="BA94" s="100">
        <v>4448.2315282323298</v>
      </c>
      <c r="BB94" s="100">
        <v>3.7707294719428246</v>
      </c>
      <c r="BC94" s="100">
        <v>4497.7261141334011</v>
      </c>
      <c r="BD94" s="100">
        <v>5.1951611326182316</v>
      </c>
      <c r="BE94" s="100">
        <v>6196.7881989870266</v>
      </c>
      <c r="BF94" s="100">
        <v>5.217588822853731</v>
      </c>
      <c r="BG94" s="100">
        <v>6223.5399478999298</v>
      </c>
      <c r="BH94" s="100">
        <v>4.4718547016620009</v>
      </c>
      <c r="BI94" s="100">
        <v>5334.0282881424346</v>
      </c>
      <c r="BJ94" s="100">
        <v>2.3291402490749231</v>
      </c>
      <c r="BK94" s="100">
        <v>2778.1984890965682</v>
      </c>
      <c r="BL94" s="100">
        <v>8.6774058235287672</v>
      </c>
      <c r="BM94" s="100">
        <v>10350.409666305113</v>
      </c>
      <c r="BN94" s="100">
        <v>4.5128966465336866</v>
      </c>
      <c r="BO94" s="100">
        <v>5382.9831199853816</v>
      </c>
      <c r="BP94" s="100">
        <v>5.5213051964702</v>
      </c>
      <c r="BQ94" s="100">
        <v>6585.8128383496542</v>
      </c>
      <c r="BR94" s="100">
        <v>5.404840164982156</v>
      </c>
      <c r="BS94" s="100">
        <v>6446.8933487907152</v>
      </c>
      <c r="BT94" s="100">
        <v>3.6088430492216768</v>
      </c>
      <c r="BU94" s="100">
        <v>4304.6279891116155</v>
      </c>
      <c r="BV94" s="100">
        <v>3.4111616899287229</v>
      </c>
      <c r="BW94" s="100">
        <v>4068.8336637469806</v>
      </c>
      <c r="BX94" s="100">
        <v>6.6788256850111614</v>
      </c>
      <c r="BY94" s="100">
        <v>7966.5032770813132</v>
      </c>
      <c r="BZ94" s="100">
        <v>5.8775806844586302</v>
      </c>
      <c r="CA94" s="100">
        <v>7010.7782404222535</v>
      </c>
      <c r="CB94" s="100">
        <v>4.4347406481904867</v>
      </c>
      <c r="CC94" s="100">
        <v>5289.7586451616125</v>
      </c>
      <c r="CD94" s="100">
        <v>1.1540514524739205</v>
      </c>
      <c r="CE94" s="100">
        <v>1376.5525725108923</v>
      </c>
      <c r="CF94" s="100">
        <v>6.6637021979019933</v>
      </c>
      <c r="CG94" s="100">
        <v>7948.4639816574972</v>
      </c>
      <c r="CH94" s="100">
        <v>2.3179288410839853</v>
      </c>
      <c r="CI94" s="100">
        <v>2764.8255216449775</v>
      </c>
      <c r="CJ94" s="100">
        <v>4.7142684841267233</v>
      </c>
      <c r="CK94" s="100">
        <v>5623.1794478663551</v>
      </c>
      <c r="CL94" s="100">
        <v>3.2277193303783962</v>
      </c>
      <c r="CM94" s="100">
        <v>3850.0236172753507</v>
      </c>
      <c r="CN94" s="100">
        <v>4.4858605430412162</v>
      </c>
      <c r="CO94" s="100">
        <v>5350.7344557395627</v>
      </c>
      <c r="CP94" s="100">
        <v>0.22715268351005979</v>
      </c>
      <c r="CQ94" s="100">
        <v>270.9477208907993</v>
      </c>
      <c r="CR94" s="100">
        <v>4.6476739908595235</v>
      </c>
      <c r="CS94" s="100">
        <v>5543.7455362972396</v>
      </c>
      <c r="CT94" s="100">
        <v>4.8294439965161224</v>
      </c>
      <c r="CU94" s="100">
        <v>5760.5607990444305</v>
      </c>
    </row>
    <row r="95" spans="2:99">
      <c r="B95" s="99" t="s">
        <v>132</v>
      </c>
      <c r="C95" s="99" t="s">
        <v>261</v>
      </c>
      <c r="D95" s="100">
        <v>9.9459937722663909</v>
      </c>
      <c r="E95" s="100">
        <v>3270.2427523211895</v>
      </c>
      <c r="F95" s="100">
        <v>2.2077636437856842</v>
      </c>
      <c r="G95" s="100">
        <v>725.91268607673305</v>
      </c>
      <c r="H95" s="100">
        <v>7.1890206361931561</v>
      </c>
      <c r="I95" s="100">
        <v>2363.74998518031</v>
      </c>
      <c r="J95" s="100">
        <v>7.1737244764241126</v>
      </c>
      <c r="K95" s="100">
        <v>2358.7206078482482</v>
      </c>
      <c r="L95" s="100">
        <v>5.3812052243837263</v>
      </c>
      <c r="M95" s="100">
        <v>1769.3402777773692</v>
      </c>
      <c r="N95" s="100">
        <v>6.8441796840674627</v>
      </c>
      <c r="O95" s="100">
        <v>2250.3662801213818</v>
      </c>
      <c r="P95" s="100">
        <v>8.1120690187365785</v>
      </c>
      <c r="Q95" s="100">
        <v>2667.248293360587</v>
      </c>
      <c r="R95" s="100">
        <v>7.0178116041024303</v>
      </c>
      <c r="S95" s="100">
        <v>2307.4564554288791</v>
      </c>
      <c r="T95" s="100">
        <v>7.2007901781093366</v>
      </c>
      <c r="U95" s="100">
        <v>2367.6198105623498</v>
      </c>
      <c r="V95" s="100">
        <v>9.4966146657583845</v>
      </c>
      <c r="W95" s="100">
        <v>3122.4869021013569</v>
      </c>
      <c r="X95" s="100">
        <v>7.5810751867336412</v>
      </c>
      <c r="Y95" s="100">
        <v>2492.6575213980213</v>
      </c>
      <c r="Z95" s="100">
        <v>2.1125440263190338</v>
      </c>
      <c r="AA95" s="100">
        <v>694.60447585369832</v>
      </c>
      <c r="AB95" s="100">
        <v>6.8971433245736158</v>
      </c>
      <c r="AC95" s="100">
        <v>2267.7807251198051</v>
      </c>
      <c r="AD95" s="100">
        <v>7.103674274063053</v>
      </c>
      <c r="AE95" s="100">
        <v>2335.6881013119319</v>
      </c>
      <c r="AF95" s="100">
        <v>8.0000000000000249</v>
      </c>
      <c r="AG95" s="100">
        <v>2630.4000000000083</v>
      </c>
      <c r="AH95" s="100">
        <v>4.6992755668267421</v>
      </c>
      <c r="AI95" s="100">
        <v>1545.1218063726328</v>
      </c>
      <c r="AJ95" s="100">
        <v>11.803338954846653</v>
      </c>
      <c r="AK95" s="100">
        <v>3880.9378483535797</v>
      </c>
      <c r="AL95" s="100">
        <v>6.4927523995326091</v>
      </c>
      <c r="AM95" s="100">
        <v>2134.8169889663218</v>
      </c>
      <c r="AN95" s="100">
        <v>7.579092255890842</v>
      </c>
      <c r="AO95" s="100">
        <v>2492.005533736909</v>
      </c>
      <c r="AP95" s="100">
        <v>6.4535404955010822</v>
      </c>
      <c r="AQ95" s="100">
        <v>2121.924114920756</v>
      </c>
      <c r="AR95" s="100">
        <v>7.8371696239915423</v>
      </c>
      <c r="AS95" s="100">
        <v>2576.8613723684193</v>
      </c>
      <c r="AT95" s="100">
        <v>7.5375290479504207</v>
      </c>
      <c r="AU95" s="100">
        <v>2478.3395509660986</v>
      </c>
      <c r="AV95" s="100">
        <v>5.2124266698307338</v>
      </c>
      <c r="AW95" s="100">
        <v>1713.8458890403454</v>
      </c>
      <c r="AX95" s="100">
        <v>9.0736525633758767</v>
      </c>
      <c r="AY95" s="100">
        <v>2983.4169628379882</v>
      </c>
      <c r="AZ95" s="100">
        <v>5.9793637433141402</v>
      </c>
      <c r="BA95" s="100">
        <v>1966.0147988016893</v>
      </c>
      <c r="BB95" s="100">
        <v>7.0566125216455262</v>
      </c>
      <c r="BC95" s="100">
        <v>2320.214197117049</v>
      </c>
      <c r="BD95" s="100">
        <v>9.648156389148145</v>
      </c>
      <c r="BE95" s="100">
        <v>3172.31382075191</v>
      </c>
      <c r="BF95" s="100">
        <v>5.737046438757444</v>
      </c>
      <c r="BG95" s="100">
        <v>1886.3408690634476</v>
      </c>
      <c r="BH95" s="100">
        <v>5.3163494425335402</v>
      </c>
      <c r="BI95" s="100">
        <v>1748.0156967050282</v>
      </c>
      <c r="BJ95" s="100">
        <v>3.5738738020952554</v>
      </c>
      <c r="BK95" s="100">
        <v>1175.0897061289199</v>
      </c>
      <c r="BL95" s="100">
        <v>8.6935145588219171</v>
      </c>
      <c r="BM95" s="100">
        <v>2858.4275869406465</v>
      </c>
      <c r="BN95" s="100">
        <v>8.2736438519784254</v>
      </c>
      <c r="BO95" s="100">
        <v>2720.3740985305062</v>
      </c>
      <c r="BP95" s="100">
        <v>5.5213051964702</v>
      </c>
      <c r="BQ95" s="100">
        <v>1815.4051485994019</v>
      </c>
      <c r="BR95" s="100">
        <v>6.9490802121199158</v>
      </c>
      <c r="BS95" s="100">
        <v>2284.8575737450283</v>
      </c>
      <c r="BT95" s="100">
        <v>6.2211371479309951</v>
      </c>
      <c r="BU95" s="100">
        <v>2045.5098942397112</v>
      </c>
      <c r="BV95" s="100">
        <v>2.6812965447095354</v>
      </c>
      <c r="BW95" s="100">
        <v>881.6103039004953</v>
      </c>
      <c r="BX95" s="100">
        <v>8.5273577912751151</v>
      </c>
      <c r="BY95" s="100">
        <v>2803.7952417712581</v>
      </c>
      <c r="BZ95" s="100">
        <v>7.3469758555732874</v>
      </c>
      <c r="CA95" s="100">
        <v>2415.6856613124969</v>
      </c>
      <c r="CB95" s="100">
        <v>7.6024125397551217</v>
      </c>
      <c r="CC95" s="100">
        <v>2499.6732430714842</v>
      </c>
      <c r="CD95" s="100">
        <v>2.7697234859374089</v>
      </c>
      <c r="CE95" s="100">
        <v>910.68508217622013</v>
      </c>
      <c r="CF95" s="100">
        <v>9.8251810442304812</v>
      </c>
      <c r="CG95" s="100">
        <v>3230.5195273429822</v>
      </c>
      <c r="CH95" s="100">
        <v>3.2453466838135832</v>
      </c>
      <c r="CI95" s="100">
        <v>1067.0699896379062</v>
      </c>
      <c r="CJ95" s="100">
        <v>5.9385661600883779</v>
      </c>
      <c r="CK95" s="100">
        <v>1952.6005534370588</v>
      </c>
      <c r="CL95" s="100">
        <v>6.2464850368393101</v>
      </c>
      <c r="CM95" s="100">
        <v>2053.8442801127653</v>
      </c>
      <c r="CN95" s="100">
        <v>6.6792724079932775</v>
      </c>
      <c r="CO95" s="100">
        <v>2196.1447677481897</v>
      </c>
      <c r="CP95" s="100">
        <v>0.54334462943828321</v>
      </c>
      <c r="CQ95" s="100">
        <v>178.65171415930752</v>
      </c>
      <c r="CR95" s="100">
        <v>6.6395342726564621</v>
      </c>
      <c r="CS95" s="100">
        <v>2183.0788688494449</v>
      </c>
      <c r="CT95" s="100">
        <v>6.8284446251107056</v>
      </c>
      <c r="CU95" s="100">
        <v>2245.1925927364</v>
      </c>
    </row>
    <row r="96" spans="2:99">
      <c r="C96" s="99" t="s">
        <v>262</v>
      </c>
      <c r="D96" s="100">
        <v>9.9459937722663909</v>
      </c>
      <c r="E96" s="100">
        <v>6910.4764729706876</v>
      </c>
      <c r="F96" s="100">
        <v>2.2069205779099725</v>
      </c>
      <c r="G96" s="100">
        <v>1533.3684175318488</v>
      </c>
      <c r="H96" s="100">
        <v>6.4242530316334969</v>
      </c>
      <c r="I96" s="100">
        <v>4463.5710063789538</v>
      </c>
      <c r="J96" s="100">
        <v>7.2316952980631388</v>
      </c>
      <c r="K96" s="100">
        <v>5024.5818930942687</v>
      </c>
      <c r="L96" s="100">
        <v>5.3812052243837263</v>
      </c>
      <c r="M96" s="100">
        <v>3738.8613899018128</v>
      </c>
      <c r="N96" s="100">
        <v>6.8441796840674627</v>
      </c>
      <c r="O96" s="100">
        <v>4755.3360444900727</v>
      </c>
      <c r="P96" s="100">
        <v>6.2846369157576083</v>
      </c>
      <c r="Q96" s="100">
        <v>4366.5657290683857</v>
      </c>
      <c r="R96" s="100">
        <v>8.3676973779621573</v>
      </c>
      <c r="S96" s="100">
        <v>5813.8761382081066</v>
      </c>
      <c r="T96" s="100">
        <v>7.2007901781093366</v>
      </c>
      <c r="U96" s="100">
        <v>5003.1090157503668</v>
      </c>
      <c r="V96" s="100">
        <v>8.0355970248724784</v>
      </c>
      <c r="W96" s="100">
        <v>5583.1328128813975</v>
      </c>
      <c r="X96" s="100">
        <v>7.0002403314823569</v>
      </c>
      <c r="Y96" s="100">
        <v>4863.7669823139413</v>
      </c>
      <c r="Z96" s="100">
        <v>2.0842559744672444</v>
      </c>
      <c r="AA96" s="100">
        <v>1448.1410510598414</v>
      </c>
      <c r="AB96" s="100">
        <v>6.8971433245736158</v>
      </c>
      <c r="AC96" s="100">
        <v>4792.1351819137481</v>
      </c>
      <c r="AD96" s="100">
        <v>7.081078010056542</v>
      </c>
      <c r="AE96" s="100">
        <v>4919.933001387285</v>
      </c>
      <c r="AF96" s="100">
        <v>7.000000000000024</v>
      </c>
      <c r="AG96" s="100">
        <v>4863.6000000000167</v>
      </c>
      <c r="AH96" s="100">
        <v>4.8548489006966662</v>
      </c>
      <c r="AI96" s="100">
        <v>3373.1490162040436</v>
      </c>
      <c r="AJ96" s="100">
        <v>11.803338954846653</v>
      </c>
      <c r="AK96" s="100">
        <v>8200.9599058274543</v>
      </c>
      <c r="AL96" s="100">
        <v>5.6811583495910316</v>
      </c>
      <c r="AM96" s="100">
        <v>3947.2688212958483</v>
      </c>
      <c r="AN96" s="100">
        <v>7.579092255890842</v>
      </c>
      <c r="AO96" s="100">
        <v>5265.953299392957</v>
      </c>
      <c r="AP96" s="100">
        <v>5.5316061390009272</v>
      </c>
      <c r="AQ96" s="100">
        <v>3843.3599453778438</v>
      </c>
      <c r="AR96" s="100">
        <v>7.77229200642926</v>
      </c>
      <c r="AS96" s="100">
        <v>5400.1884860670498</v>
      </c>
      <c r="AT96" s="100">
        <v>7.5375290479504207</v>
      </c>
      <c r="AU96" s="100">
        <v>5237.0751825159523</v>
      </c>
      <c r="AV96" s="100">
        <v>5.8130505182936574</v>
      </c>
      <c r="AW96" s="100">
        <v>4038.9075001104329</v>
      </c>
      <c r="AX96" s="100">
        <v>9.7746683825124592</v>
      </c>
      <c r="AY96" s="100">
        <v>6791.439592169656</v>
      </c>
      <c r="AZ96" s="100">
        <v>5.2335167399217317</v>
      </c>
      <c r="BA96" s="100">
        <v>3636.2474308976189</v>
      </c>
      <c r="BB96" s="100">
        <v>6.9596432371975023</v>
      </c>
      <c r="BC96" s="100">
        <v>4835.5601212048241</v>
      </c>
      <c r="BD96" s="100">
        <v>8.1638246369715066</v>
      </c>
      <c r="BE96" s="100">
        <v>5672.2253577678021</v>
      </c>
      <c r="BF96" s="100">
        <v>5.737046438757444</v>
      </c>
      <c r="BG96" s="100">
        <v>3986.0998656486718</v>
      </c>
      <c r="BH96" s="100">
        <v>6.0418214346916326</v>
      </c>
      <c r="BI96" s="100">
        <v>4197.8575328237457</v>
      </c>
      <c r="BJ96" s="100">
        <v>3.0516016037288591</v>
      </c>
      <c r="BK96" s="100">
        <v>2120.2527942708111</v>
      </c>
      <c r="BL96" s="100">
        <v>7.693514558821918</v>
      </c>
      <c r="BM96" s="100">
        <v>5345.4539154694685</v>
      </c>
      <c r="BN96" s="100">
        <v>8.2736438519784254</v>
      </c>
      <c r="BO96" s="100">
        <v>5748.5277483546097</v>
      </c>
      <c r="BP96" s="100">
        <v>5.5213051964702</v>
      </c>
      <c r="BQ96" s="100">
        <v>3836.2028505074945</v>
      </c>
      <c r="BR96" s="100">
        <v>5.404840164982156</v>
      </c>
      <c r="BS96" s="100">
        <v>3755.2829466296016</v>
      </c>
      <c r="BT96" s="100">
        <v>6.2211371479309951</v>
      </c>
      <c r="BU96" s="100">
        <v>4322.4460903824547</v>
      </c>
      <c r="BV96" s="100">
        <v>2.3344737630202812</v>
      </c>
      <c r="BW96" s="100">
        <v>1621.9923705464912</v>
      </c>
      <c r="BX96" s="100">
        <v>7.6970642125279038</v>
      </c>
      <c r="BY96" s="100">
        <v>5347.9202148643872</v>
      </c>
      <c r="BZ96" s="100">
        <v>8.0816734411306168</v>
      </c>
      <c r="CA96" s="100">
        <v>5615.1467068975526</v>
      </c>
      <c r="CB96" s="100">
        <v>7.6024125397551217</v>
      </c>
      <c r="CC96" s="100">
        <v>5282.1562326218582</v>
      </c>
      <c r="CD96" s="100">
        <v>2.5389131954426252</v>
      </c>
      <c r="CE96" s="100">
        <v>1764.0368881935358</v>
      </c>
      <c r="CF96" s="100">
        <v>8.8251810442304812</v>
      </c>
      <c r="CG96" s="100">
        <v>6131.735789531338</v>
      </c>
      <c r="CH96" s="100">
        <v>3.2589308492296052</v>
      </c>
      <c r="CI96" s="100">
        <v>2264.3051540447295</v>
      </c>
      <c r="CJ96" s="100">
        <v>5.9385661600883779</v>
      </c>
      <c r="CK96" s="100">
        <v>4126.1157680294045</v>
      </c>
      <c r="CL96" s="100">
        <v>5.7363315420539855</v>
      </c>
      <c r="CM96" s="100">
        <v>3985.603155419109</v>
      </c>
      <c r="CN96" s="100">
        <v>6.6792724079932775</v>
      </c>
      <c r="CO96" s="100">
        <v>4640.7584690737285</v>
      </c>
      <c r="CP96" s="100">
        <v>0.5438804561988303</v>
      </c>
      <c r="CQ96" s="100">
        <v>377.88814096694728</v>
      </c>
      <c r="CR96" s="100">
        <v>6.6395342726564621</v>
      </c>
      <c r="CS96" s="100">
        <v>4613.1484126417099</v>
      </c>
      <c r="CT96" s="100">
        <v>5.8619125432238519</v>
      </c>
      <c r="CU96" s="100">
        <v>4072.856835031932</v>
      </c>
    </row>
    <row r="97" spans="2:99">
      <c r="C97" s="99" t="s">
        <v>263</v>
      </c>
      <c r="D97" s="100">
        <v>9.9459937722663909</v>
      </c>
      <c r="E97" s="100">
        <v>3902.8079562373314</v>
      </c>
      <c r="F97" s="100">
        <v>2.0235023181783069</v>
      </c>
      <c r="G97" s="100">
        <v>794.02230965316755</v>
      </c>
      <c r="H97" s="100">
        <v>6.4242530316334969</v>
      </c>
      <c r="I97" s="100">
        <v>2520.8768896129841</v>
      </c>
      <c r="J97" s="100">
        <v>7.134790711325536</v>
      </c>
      <c r="K97" s="100">
        <v>2799.6918751241401</v>
      </c>
      <c r="L97" s="100">
        <v>6.1499488278671164</v>
      </c>
      <c r="M97" s="100">
        <v>2413.2399200550562</v>
      </c>
      <c r="N97" s="100">
        <v>6.8441796840674627</v>
      </c>
      <c r="O97" s="100">
        <v>2685.6561080280721</v>
      </c>
      <c r="P97" s="100">
        <v>8.0706697532020701</v>
      </c>
      <c r="Q97" s="100">
        <v>3166.9308111564919</v>
      </c>
      <c r="R97" s="100">
        <v>7.7152104872704266</v>
      </c>
      <c r="S97" s="100">
        <v>3027.4485952049154</v>
      </c>
      <c r="T97" s="100">
        <v>5.6361909607942176</v>
      </c>
      <c r="U97" s="100">
        <v>2211.6413330156506</v>
      </c>
      <c r="V97" s="100">
        <v>9.4966146657583845</v>
      </c>
      <c r="W97" s="100">
        <v>3726.4715948435901</v>
      </c>
      <c r="X97" s="100">
        <v>7.550853118266688</v>
      </c>
      <c r="Y97" s="100">
        <v>2962.9547636078482</v>
      </c>
      <c r="Z97" s="100">
        <v>2.4245599572488374</v>
      </c>
      <c r="AA97" s="100">
        <v>951.39732722444376</v>
      </c>
      <c r="AB97" s="100">
        <v>6.8957660214363852</v>
      </c>
      <c r="AC97" s="100">
        <v>2705.8985868116374</v>
      </c>
      <c r="AD97" s="100">
        <v>6.3302614677364417</v>
      </c>
      <c r="AE97" s="100">
        <v>2483.9945999397796</v>
      </c>
      <c r="AF97" s="100">
        <v>8.0000000000000195</v>
      </c>
      <c r="AG97" s="100">
        <v>3139.2000000000075</v>
      </c>
      <c r="AH97" s="100">
        <v>5.6039581797375169</v>
      </c>
      <c r="AI97" s="100">
        <v>2198.9931897290016</v>
      </c>
      <c r="AJ97" s="100">
        <v>11.803338954846653</v>
      </c>
      <c r="AK97" s="100">
        <v>4631.6302058818264</v>
      </c>
      <c r="AL97" s="100">
        <v>7.3043464494741848</v>
      </c>
      <c r="AM97" s="100">
        <v>2866.22554677367</v>
      </c>
      <c r="AN97" s="100">
        <v>8.3370014814799251</v>
      </c>
      <c r="AO97" s="100">
        <v>3271.4393813327224</v>
      </c>
      <c r="AP97" s="100">
        <v>5.5316061390009272</v>
      </c>
      <c r="AQ97" s="100">
        <v>2170.6022489439638</v>
      </c>
      <c r="AR97" s="100">
        <v>6.9807902474507673</v>
      </c>
      <c r="AS97" s="100">
        <v>2739.2620930996809</v>
      </c>
      <c r="AT97" s="100">
        <v>6.2812742066253389</v>
      </c>
      <c r="AU97" s="100">
        <v>2464.7719986797829</v>
      </c>
      <c r="AV97" s="100">
        <v>5.1207848761407098</v>
      </c>
      <c r="AW97" s="100">
        <v>2009.3959853976144</v>
      </c>
      <c r="AX97" s="100">
        <v>8.2899539025221838</v>
      </c>
      <c r="AY97" s="100">
        <v>3252.9779113497048</v>
      </c>
      <c r="AZ97" s="100">
        <v>5.9793637433141402</v>
      </c>
      <c r="BA97" s="100">
        <v>2346.3023328764684</v>
      </c>
      <c r="BB97" s="100">
        <v>7.6750014178068566</v>
      </c>
      <c r="BC97" s="100">
        <v>3011.6705563474102</v>
      </c>
      <c r="BD97" s="100">
        <v>8.1638246369715066</v>
      </c>
      <c r="BE97" s="100">
        <v>3203.4847875476189</v>
      </c>
      <c r="BF97" s="100">
        <v>5.737046438757444</v>
      </c>
      <c r="BG97" s="100">
        <v>2251.2170225684208</v>
      </c>
      <c r="BH97" s="100">
        <v>6.0120657475132706</v>
      </c>
      <c r="BI97" s="100">
        <v>2359.1345993242071</v>
      </c>
      <c r="BJ97" s="100">
        <v>3.0392495683692946</v>
      </c>
      <c r="BK97" s="100">
        <v>1192.601530628111</v>
      </c>
      <c r="BL97" s="100">
        <v>8.6935145588219171</v>
      </c>
      <c r="BM97" s="100">
        <v>3411.3351128817203</v>
      </c>
      <c r="BN97" s="100">
        <v>8.2736438519784254</v>
      </c>
      <c r="BO97" s="100">
        <v>3246.5778475163338</v>
      </c>
      <c r="BP97" s="100">
        <v>5.5213051964702</v>
      </c>
      <c r="BQ97" s="100">
        <v>2166.5601590949063</v>
      </c>
      <c r="BR97" s="100">
        <v>5.404840164982156</v>
      </c>
      <c r="BS97" s="100">
        <v>2120.8592807389978</v>
      </c>
      <c r="BT97" s="100">
        <v>5.6014502909237578</v>
      </c>
      <c r="BU97" s="100">
        <v>2198.0090941584826</v>
      </c>
      <c r="BV97" s="100">
        <v>2.6812965447095354</v>
      </c>
      <c r="BW97" s="100">
        <v>1052.1407641440217</v>
      </c>
      <c r="BX97" s="100">
        <v>8.5273577912751151</v>
      </c>
      <c r="BY97" s="100">
        <v>3346.1351972963548</v>
      </c>
      <c r="BZ97" s="100">
        <v>8.0816734411306168</v>
      </c>
      <c r="CA97" s="100">
        <v>3171.2486582996539</v>
      </c>
      <c r="CB97" s="100">
        <v>6.9688781614421949</v>
      </c>
      <c r="CC97" s="100">
        <v>2734.5877905499169</v>
      </c>
      <c r="CD97" s="100">
        <v>2.5389131954426252</v>
      </c>
      <c r="CE97" s="100">
        <v>996.26953789168601</v>
      </c>
      <c r="CF97" s="100">
        <v>9.9911065937059789</v>
      </c>
      <c r="CG97" s="100">
        <v>3920.5102273702259</v>
      </c>
      <c r="CH97" s="100">
        <v>3.2589308492296052</v>
      </c>
      <c r="CI97" s="100">
        <v>1278.8044652376971</v>
      </c>
      <c r="CJ97" s="100">
        <v>5.9723334389584206</v>
      </c>
      <c r="CK97" s="100">
        <v>2343.5436414472842</v>
      </c>
      <c r="CL97" s="100">
        <v>5.7673579844398351</v>
      </c>
      <c r="CM97" s="100">
        <v>2263.1112730941913</v>
      </c>
      <c r="CN97" s="100">
        <v>6.5921490452108129</v>
      </c>
      <c r="CO97" s="100">
        <v>2586.7592853407227</v>
      </c>
      <c r="CP97" s="100">
        <v>0.58813217402763862</v>
      </c>
      <c r="CQ97" s="100">
        <v>230.78306508844537</v>
      </c>
      <c r="CR97" s="100">
        <v>6.6395342726564621</v>
      </c>
      <c r="CS97" s="100">
        <v>2605.3532485903957</v>
      </c>
      <c r="CT97" s="100">
        <v>6.8734744059640036</v>
      </c>
      <c r="CU97" s="100">
        <v>2697.151356900275</v>
      </c>
    </row>
    <row r="98" spans="2:99">
      <c r="C98" s="99" t="s">
        <v>264</v>
      </c>
      <c r="D98" s="100">
        <v>10.774826586621922</v>
      </c>
      <c r="E98" s="100">
        <v>5663.2488539284823</v>
      </c>
      <c r="F98" s="100">
        <v>2.0243453840540186</v>
      </c>
      <c r="G98" s="100">
        <v>1063.9959338587923</v>
      </c>
      <c r="H98" s="100">
        <v>6.4242530316334969</v>
      </c>
      <c r="I98" s="100">
        <v>3376.587393426566</v>
      </c>
      <c r="J98" s="100">
        <v>6.3370310936792684</v>
      </c>
      <c r="K98" s="100">
        <v>3330.7435428378235</v>
      </c>
      <c r="L98" s="100">
        <v>5.3812052243837263</v>
      </c>
      <c r="M98" s="100">
        <v>2828.3614659360865</v>
      </c>
      <c r="N98" s="100">
        <v>5.8664397292006818</v>
      </c>
      <c r="O98" s="100">
        <v>3083.4007216678783</v>
      </c>
      <c r="P98" s="100">
        <v>7.4753254740539168</v>
      </c>
      <c r="Q98" s="100">
        <v>3929.0310691627387</v>
      </c>
      <c r="R98" s="100">
        <v>7.6511931279557697</v>
      </c>
      <c r="S98" s="100">
        <v>4021.4671080535527</v>
      </c>
      <c r="T98" s="100">
        <v>6.3956200408530197</v>
      </c>
      <c r="U98" s="100">
        <v>3361.5378934723472</v>
      </c>
      <c r="V98" s="100">
        <v>8.7661058453154297</v>
      </c>
      <c r="W98" s="100">
        <v>4607.46523229779</v>
      </c>
      <c r="X98" s="100">
        <v>6.3891834077641212</v>
      </c>
      <c r="Y98" s="100">
        <v>3358.1547991208222</v>
      </c>
      <c r="Z98" s="100">
        <v>2.0984000003931387</v>
      </c>
      <c r="AA98" s="100">
        <v>1102.9190402066338</v>
      </c>
      <c r="AB98" s="100">
        <v>6.2873621974974387</v>
      </c>
      <c r="AC98" s="100">
        <v>3304.6375710046541</v>
      </c>
      <c r="AD98" s="100">
        <v>7.103674274063053</v>
      </c>
      <c r="AE98" s="100">
        <v>3733.691198447541</v>
      </c>
      <c r="AF98" s="100">
        <v>7.000000000000024</v>
      </c>
      <c r="AG98" s="100">
        <v>3679.2000000000126</v>
      </c>
      <c r="AH98" s="100">
        <v>4.6772927540426341</v>
      </c>
      <c r="AI98" s="100">
        <v>2458.3850715248086</v>
      </c>
      <c r="AJ98" s="100">
        <v>12.803338954846653</v>
      </c>
      <c r="AK98" s="100">
        <v>6729.4349546674011</v>
      </c>
      <c r="AL98" s="100">
        <v>7.3043464494741848</v>
      </c>
      <c r="AM98" s="100">
        <v>3839.1644938436316</v>
      </c>
      <c r="AN98" s="100">
        <v>7.579092255890842</v>
      </c>
      <c r="AO98" s="100">
        <v>3983.5708896962269</v>
      </c>
      <c r="AP98" s="100">
        <v>5.5316061390009272</v>
      </c>
      <c r="AQ98" s="100">
        <v>2907.4121866588875</v>
      </c>
      <c r="AR98" s="100">
        <v>7.123515830806439</v>
      </c>
      <c r="AS98" s="100">
        <v>3744.1199206718643</v>
      </c>
      <c r="AT98" s="100">
        <v>6.7523697721222531</v>
      </c>
      <c r="AU98" s="100">
        <v>3549.0455522274565</v>
      </c>
      <c r="AV98" s="100">
        <v>5.8130505182936574</v>
      </c>
      <c r="AW98" s="100">
        <v>3055.3393524151465</v>
      </c>
      <c r="AX98" s="100">
        <v>9.7746683825124592</v>
      </c>
      <c r="AY98" s="100">
        <v>5137.565701848549</v>
      </c>
      <c r="AZ98" s="100">
        <v>6.7252107467065505</v>
      </c>
      <c r="BA98" s="100">
        <v>3534.7707684689631</v>
      </c>
      <c r="BB98" s="100">
        <v>7.0566125216455262</v>
      </c>
      <c r="BC98" s="100">
        <v>3708.955541376889</v>
      </c>
      <c r="BD98" s="100">
        <v>7.4216587608831883</v>
      </c>
      <c r="BE98" s="100">
        <v>3900.8238447202039</v>
      </c>
      <c r="BF98" s="100">
        <v>5.737046438757444</v>
      </c>
      <c r="BG98" s="100">
        <v>3015.3916082109126</v>
      </c>
      <c r="BH98" s="100">
        <v>5.3461051297119022</v>
      </c>
      <c r="BI98" s="100">
        <v>2809.912856176576</v>
      </c>
      <c r="BJ98" s="100">
        <v>3.0516016037288591</v>
      </c>
      <c r="BK98" s="100">
        <v>1603.9218029198885</v>
      </c>
      <c r="BL98" s="100">
        <v>8.6935145588219171</v>
      </c>
      <c r="BM98" s="100">
        <v>4569.3112521167996</v>
      </c>
      <c r="BN98" s="100">
        <v>7.5214944108894777</v>
      </c>
      <c r="BO98" s="100">
        <v>3953.2974623635096</v>
      </c>
      <c r="BP98" s="100">
        <v>6.2114683460289752</v>
      </c>
      <c r="BQ98" s="100">
        <v>3264.7477626728296</v>
      </c>
      <c r="BR98" s="100">
        <v>5.404840164982156</v>
      </c>
      <c r="BS98" s="100">
        <v>2840.7839907146213</v>
      </c>
      <c r="BT98" s="100">
        <v>5.5298996870497739</v>
      </c>
      <c r="BU98" s="100">
        <v>2906.5152755133613</v>
      </c>
      <c r="BV98" s="100">
        <v>2.6812965447095354</v>
      </c>
      <c r="BW98" s="100">
        <v>1409.2894638993318</v>
      </c>
      <c r="BX98" s="100">
        <v>8.5273577912751151</v>
      </c>
      <c r="BY98" s="100">
        <v>4481.9792550942011</v>
      </c>
      <c r="BZ98" s="100">
        <v>8.0816734411306168</v>
      </c>
      <c r="CA98" s="100">
        <v>4247.7275606582525</v>
      </c>
      <c r="CB98" s="100">
        <v>7.6024125397551217</v>
      </c>
      <c r="CC98" s="100">
        <v>3995.8280308952922</v>
      </c>
      <c r="CD98" s="100">
        <v>2.5389131954426252</v>
      </c>
      <c r="CE98" s="100">
        <v>1334.4527755246438</v>
      </c>
      <c r="CF98" s="100">
        <v>9.6592554947549818</v>
      </c>
      <c r="CG98" s="100">
        <v>5076.9046880432188</v>
      </c>
      <c r="CH98" s="100">
        <v>3.2453466838135832</v>
      </c>
      <c r="CI98" s="100">
        <v>1705.7542170124193</v>
      </c>
      <c r="CJ98" s="100">
        <v>5.9007841948675823</v>
      </c>
      <c r="CK98" s="100">
        <v>3101.4521728224013</v>
      </c>
      <c r="CL98" s="100">
        <v>5.7645373987683932</v>
      </c>
      <c r="CM98" s="100">
        <v>3029.8408567926676</v>
      </c>
      <c r="CN98" s="100">
        <v>7.2665278083792604</v>
      </c>
      <c r="CO98" s="100">
        <v>3819.2870160841394</v>
      </c>
      <c r="CP98" s="100">
        <v>0.58866800078818571</v>
      </c>
      <c r="CQ98" s="100">
        <v>309.40390121427043</v>
      </c>
      <c r="CR98" s="100">
        <v>7.3034876999221083</v>
      </c>
      <c r="CS98" s="100">
        <v>3838.7131350790605</v>
      </c>
      <c r="CT98" s="100">
        <v>6.8284446251107056</v>
      </c>
      <c r="CU98" s="100">
        <v>3589.0304949581869</v>
      </c>
    </row>
    <row r="99" spans="2:99">
      <c r="C99" s="99" t="s">
        <v>265</v>
      </c>
      <c r="D99" s="100">
        <v>6.6306625148442597</v>
      </c>
      <c r="E99" s="100">
        <v>27904.480127470579</v>
      </c>
      <c r="F99" s="100">
        <v>1.4724044731075971</v>
      </c>
      <c r="G99" s="100">
        <v>6196.4669846260113</v>
      </c>
      <c r="H99" s="100">
        <v>5.1579420394429798</v>
      </c>
      <c r="I99" s="100">
        <v>21706.683278791836</v>
      </c>
      <c r="J99" s="100">
        <v>5.1516531290825842</v>
      </c>
      <c r="K99" s="100">
        <v>21680.217028431147</v>
      </c>
      <c r="L99" s="100">
        <v>3.8437180174169474</v>
      </c>
      <c r="M99" s="100">
        <v>16175.90290449748</v>
      </c>
      <c r="N99" s="100">
        <v>4.8886997743339018</v>
      </c>
      <c r="O99" s="100">
        <v>20573.60413030679</v>
      </c>
      <c r="P99" s="100">
        <v>5.6892926366094541</v>
      </c>
      <c r="Q99" s="100">
        <v>23942.819131907225</v>
      </c>
      <c r="R99" s="100">
        <v>5.1625790250186769</v>
      </c>
      <c r="S99" s="100">
        <v>21726.197568888598</v>
      </c>
      <c r="T99" s="100">
        <v>4.8310208235379006</v>
      </c>
      <c r="U99" s="100">
        <v>20330.8680337769</v>
      </c>
      <c r="V99" s="100">
        <v>5.844070563543621</v>
      </c>
      <c r="W99" s="100">
        <v>24594.186559616974</v>
      </c>
      <c r="X99" s="100">
        <v>5.2275136972615535</v>
      </c>
      <c r="Y99" s="100">
        <v>21999.46864355552</v>
      </c>
      <c r="Z99" s="100">
        <v>1.4036480089040575</v>
      </c>
      <c r="AA99" s="100">
        <v>5907.1122806718349</v>
      </c>
      <c r="AB99" s="100">
        <v>4.8898645306897341</v>
      </c>
      <c r="AC99" s="100">
        <v>20578.505890954675</v>
      </c>
      <c r="AD99" s="100">
        <v>4.7534581579922177</v>
      </c>
      <c r="AE99" s="100">
        <v>20004.453312094447</v>
      </c>
      <c r="AF99" s="100">
        <v>6.0000000000000204</v>
      </c>
      <c r="AG99" s="100">
        <v>25250.400000000085</v>
      </c>
      <c r="AH99" s="100">
        <v>3.5307992005066668</v>
      </c>
      <c r="AI99" s="100">
        <v>14859.015355412255</v>
      </c>
      <c r="AJ99" s="100">
        <v>8.6426711638773224</v>
      </c>
      <c r="AK99" s="100">
        <v>36371.817326061318</v>
      </c>
      <c r="AL99" s="100">
        <v>4.8695642996494559</v>
      </c>
      <c r="AM99" s="100">
        <v>20493.074398644767</v>
      </c>
      <c r="AN99" s="100">
        <v>5.3053645791235899</v>
      </c>
      <c r="AO99" s="100">
        <v>22327.096294783714</v>
      </c>
      <c r="AP99" s="100">
        <v>4.6096717825007731</v>
      </c>
      <c r="AQ99" s="100">
        <v>19399.342729476251</v>
      </c>
      <c r="AR99" s="100">
        <v>6.05953325334771</v>
      </c>
      <c r="AS99" s="100">
        <v>25500.939743388499</v>
      </c>
      <c r="AT99" s="100">
        <v>5.114751853966359</v>
      </c>
      <c r="AU99" s="100">
        <v>21524.921702232023</v>
      </c>
      <c r="AV99" s="100">
        <v>3.8278953855248368</v>
      </c>
      <c r="AW99" s="100">
        <v>16109.314940442722</v>
      </c>
      <c r="AX99" s="100">
        <v>5.6081265530926672</v>
      </c>
      <c r="AY99" s="100">
        <v>23601.239786035178</v>
      </c>
      <c r="AZ99" s="100">
        <v>4.4840732461936463</v>
      </c>
      <c r="BA99" s="100">
        <v>18870.773849281341</v>
      </c>
      <c r="BB99" s="100">
        <v>5.7228654448748406</v>
      </c>
      <c r="BC99" s="100">
        <v>24084.106938211276</v>
      </c>
      <c r="BD99" s="100">
        <v>5.9373270087065508</v>
      </c>
      <c r="BE99" s="100">
        <v>24986.646983440645</v>
      </c>
      <c r="BF99" s="100">
        <v>4.0978903133981746</v>
      </c>
      <c r="BG99" s="100">
        <v>17245.561594904877</v>
      </c>
      <c r="BH99" s="100">
        <v>3.8356497710389941</v>
      </c>
      <c r="BI99" s="100">
        <v>16141.948496440502</v>
      </c>
      <c r="BJ99" s="100">
        <v>2.22496118242079</v>
      </c>
      <c r="BK99" s="100">
        <v>9363.5266400996516</v>
      </c>
      <c r="BL99" s="100">
        <v>6.3548116470575344</v>
      </c>
      <c r="BM99" s="100">
        <v>26743.589335476925</v>
      </c>
      <c r="BN99" s="100">
        <v>6.7693449698005308</v>
      </c>
      <c r="BO99" s="100">
        <v>28488.111370908551</v>
      </c>
      <c r="BP99" s="100">
        <v>4.1409788973526496</v>
      </c>
      <c r="BQ99" s="100">
        <v>17426.89559161889</v>
      </c>
      <c r="BR99" s="100">
        <v>4.6327201414132766</v>
      </c>
      <c r="BS99" s="100">
        <v>19496.33944312363</v>
      </c>
      <c r="BT99" s="100">
        <v>4.1474247652873304</v>
      </c>
      <c r="BU99" s="100">
        <v>17454.022382235198</v>
      </c>
      <c r="BV99" s="100">
        <v>1.9333216085700076</v>
      </c>
      <c r="BW99" s="100">
        <v>8136.1906575060193</v>
      </c>
      <c r="BX99" s="100">
        <v>6.187944948769533</v>
      </c>
      <c r="BY99" s="100">
        <v>26041.347522401702</v>
      </c>
      <c r="BZ99" s="100">
        <v>5.1428830989013008</v>
      </c>
      <c r="CA99" s="100">
        <v>21643.309233416232</v>
      </c>
      <c r="CB99" s="100">
        <v>5.0682750265034144</v>
      </c>
      <c r="CC99" s="100">
        <v>21329.328621536966</v>
      </c>
      <c r="CD99" s="100">
        <v>2.0772926144530568</v>
      </c>
      <c r="CE99" s="100">
        <v>8742.0782386642441</v>
      </c>
      <c r="CF99" s="100">
        <v>6.6592554947549818</v>
      </c>
      <c r="CG99" s="100">
        <v>28024.810824126864</v>
      </c>
      <c r="CH99" s="100">
        <v>2.6044278463004793</v>
      </c>
      <c r="CI99" s="100">
        <v>10960.474148370937</v>
      </c>
      <c r="CJ99" s="100">
        <v>3.8977780043382513</v>
      </c>
      <c r="CK99" s="100">
        <v>16403.408953457096</v>
      </c>
      <c r="CL99" s="100">
        <v>4.2283589816592491</v>
      </c>
      <c r="CM99" s="100">
        <v>17794.625938414782</v>
      </c>
      <c r="CN99" s="100">
        <v>4.4818893929230068</v>
      </c>
      <c r="CO99" s="100">
        <v>18861.583321177179</v>
      </c>
      <c r="CP99" s="100">
        <v>0.3631227975597674</v>
      </c>
      <c r="CQ99" s="100">
        <v>1528.165981250525</v>
      </c>
      <c r="CR99" s="100">
        <v>4.6885345813132844</v>
      </c>
      <c r="CS99" s="100">
        <v>19731.228931998823</v>
      </c>
      <c r="CT99" s="100">
        <v>4.8294439965161224</v>
      </c>
      <c r="CU99" s="100">
        <v>20324.232114938448</v>
      </c>
    </row>
    <row r="100" spans="2:99">
      <c r="C100" s="99" t="s">
        <v>266</v>
      </c>
      <c r="D100" s="100">
        <v>9.9459937722663909</v>
      </c>
      <c r="E100" s="100">
        <v>3222.5019822143108</v>
      </c>
      <c r="F100" s="100">
        <v>2.3911819035173507</v>
      </c>
      <c r="G100" s="100">
        <v>774.74293673962165</v>
      </c>
      <c r="H100" s="100">
        <v>7.1890206361931561</v>
      </c>
      <c r="I100" s="100">
        <v>2329.2426861265826</v>
      </c>
      <c r="J100" s="100">
        <v>7.134790711325536</v>
      </c>
      <c r="K100" s="100">
        <v>2311.6721904694737</v>
      </c>
      <c r="L100" s="100">
        <v>6.1499488278671164</v>
      </c>
      <c r="M100" s="100">
        <v>1992.5834202289457</v>
      </c>
      <c r="N100" s="100">
        <v>7.9817164736631794</v>
      </c>
      <c r="O100" s="100">
        <v>2586.07613746687</v>
      </c>
      <c r="P100" s="100">
        <v>6.9213804604402691</v>
      </c>
      <c r="Q100" s="100">
        <v>2242.5272691826472</v>
      </c>
      <c r="R100" s="100">
        <v>7.7343158541088197</v>
      </c>
      <c r="S100" s="100">
        <v>2505.9183367312576</v>
      </c>
      <c r="T100" s="100">
        <v>6.3956200408530197</v>
      </c>
      <c r="U100" s="100">
        <v>2072.1808932363783</v>
      </c>
      <c r="V100" s="100">
        <v>8.0355970248724784</v>
      </c>
      <c r="W100" s="100">
        <v>2603.533436058683</v>
      </c>
      <c r="X100" s="100">
        <v>6.9700182630154046</v>
      </c>
      <c r="Y100" s="100">
        <v>2258.285917216991</v>
      </c>
      <c r="Z100" s="100">
        <v>2.0984000003931387</v>
      </c>
      <c r="AA100" s="100">
        <v>679.88160012737694</v>
      </c>
      <c r="AB100" s="100">
        <v>6.1997717943069928</v>
      </c>
      <c r="AC100" s="100">
        <v>2008.7260613554656</v>
      </c>
      <c r="AD100" s="100">
        <v>6.3309996110448905</v>
      </c>
      <c r="AE100" s="100">
        <v>2051.2438739785443</v>
      </c>
      <c r="AF100" s="100">
        <v>8.0000000000000249</v>
      </c>
      <c r="AG100" s="100">
        <v>2592.0000000000082</v>
      </c>
      <c r="AH100" s="100">
        <v>4.6992755668267421</v>
      </c>
      <c r="AI100" s="100">
        <v>1522.5652836518643</v>
      </c>
      <c r="AJ100" s="100">
        <v>11.803338954846653</v>
      </c>
      <c r="AK100" s="100">
        <v>3824.2818213703158</v>
      </c>
      <c r="AL100" s="100">
        <v>7.3043464494741848</v>
      </c>
      <c r="AM100" s="100">
        <v>2366.6082496296358</v>
      </c>
      <c r="AN100" s="100">
        <v>7.579092255890842</v>
      </c>
      <c r="AO100" s="100">
        <v>2455.6258909086328</v>
      </c>
      <c r="AP100" s="100">
        <v>6.4535404955010822</v>
      </c>
      <c r="AQ100" s="100">
        <v>2090.9471205423506</v>
      </c>
      <c r="AR100" s="100">
        <v>6.3320140718279463</v>
      </c>
      <c r="AS100" s="100">
        <v>2051.5725592722547</v>
      </c>
      <c r="AT100" s="100">
        <v>6.2812742066253389</v>
      </c>
      <c r="AU100" s="100">
        <v>2035.1328429466098</v>
      </c>
      <c r="AV100" s="100">
        <v>5.9046923119836823</v>
      </c>
      <c r="AW100" s="100">
        <v>1913.120309082713</v>
      </c>
      <c r="AX100" s="100">
        <v>8.3726367442392924</v>
      </c>
      <c r="AY100" s="100">
        <v>2712.7343051335306</v>
      </c>
      <c r="AZ100" s="100">
        <v>5.9793637433141402</v>
      </c>
      <c r="BA100" s="100">
        <v>1937.3138528337815</v>
      </c>
      <c r="BB100" s="100">
        <v>7.5780321333588336</v>
      </c>
      <c r="BC100" s="100">
        <v>2455.2824112082621</v>
      </c>
      <c r="BD100" s="100">
        <v>8.1638246369715066</v>
      </c>
      <c r="BE100" s="100">
        <v>2645.0791823787681</v>
      </c>
      <c r="BF100" s="100">
        <v>5.737046438757444</v>
      </c>
      <c r="BG100" s="100">
        <v>1858.8030461574119</v>
      </c>
      <c r="BH100" s="100">
        <v>5.3461051297119022</v>
      </c>
      <c r="BI100" s="100">
        <v>1732.1380620266564</v>
      </c>
      <c r="BJ100" s="100">
        <v>3.3189137205918393</v>
      </c>
      <c r="BK100" s="100">
        <v>1075.328045471756</v>
      </c>
      <c r="BL100" s="100">
        <v>7.5241631029397258</v>
      </c>
      <c r="BM100" s="100">
        <v>2437.828845352471</v>
      </c>
      <c r="BN100" s="100">
        <v>9.0257932930673732</v>
      </c>
      <c r="BO100" s="100">
        <v>2924.3570269538291</v>
      </c>
      <c r="BP100" s="100">
        <v>4.8311420469114248</v>
      </c>
      <c r="BQ100" s="100">
        <v>1565.2900231993017</v>
      </c>
      <c r="BR100" s="100">
        <v>6.1769601885510363</v>
      </c>
      <c r="BS100" s="100">
        <v>2001.3351010905358</v>
      </c>
      <c r="BT100" s="100">
        <v>6.2211371479309951</v>
      </c>
      <c r="BU100" s="100">
        <v>2015.6484359296423</v>
      </c>
      <c r="BV100" s="100">
        <v>3.0643389082394688</v>
      </c>
      <c r="BW100" s="100">
        <v>992.84580626958791</v>
      </c>
      <c r="BX100" s="100">
        <v>8.5273577912751151</v>
      </c>
      <c r="BY100" s="100">
        <v>2762.8639243731373</v>
      </c>
      <c r="BZ100" s="100">
        <v>8.0816734411306168</v>
      </c>
      <c r="CA100" s="100">
        <v>2618.4621949263196</v>
      </c>
      <c r="CB100" s="100">
        <v>7.6024125397551217</v>
      </c>
      <c r="CC100" s="100">
        <v>2463.1816628806596</v>
      </c>
      <c r="CD100" s="100">
        <v>3.0005337764321931</v>
      </c>
      <c r="CE100" s="100">
        <v>972.17294356403056</v>
      </c>
      <c r="CF100" s="100">
        <v>9.6592554947549818</v>
      </c>
      <c r="CG100" s="100">
        <v>3129.5987803006142</v>
      </c>
      <c r="CH100" s="100">
        <v>3.559014019862123</v>
      </c>
      <c r="CI100" s="100">
        <v>1153.1205424353279</v>
      </c>
      <c r="CJ100" s="100">
        <v>5.9038539474921308</v>
      </c>
      <c r="CK100" s="100">
        <v>1912.8486789874503</v>
      </c>
      <c r="CL100" s="100">
        <v>5.7363315420539855</v>
      </c>
      <c r="CM100" s="100">
        <v>1858.5714196254912</v>
      </c>
      <c r="CN100" s="100">
        <v>6.5921490452108129</v>
      </c>
      <c r="CO100" s="100">
        <v>2135.8562906483035</v>
      </c>
      <c r="CP100" s="100">
        <v>0.58813217402763862</v>
      </c>
      <c r="CQ100" s="100">
        <v>190.55482438495491</v>
      </c>
      <c r="CR100" s="100">
        <v>7.3034876999221083</v>
      </c>
      <c r="CS100" s="100">
        <v>2366.3300147747632</v>
      </c>
      <c r="CT100" s="100">
        <v>6.5132361591376133</v>
      </c>
      <c r="CU100" s="100">
        <v>2110.2885155605868</v>
      </c>
    </row>
    <row r="101" spans="2:99">
      <c r="C101" s="99" t="s">
        <v>267</v>
      </c>
      <c r="D101" s="100">
        <v>9.1171609579108566</v>
      </c>
      <c r="E101" s="100">
        <v>6597.1776691442956</v>
      </c>
      <c r="F101" s="100">
        <v>2.0235023181783069</v>
      </c>
      <c r="G101" s="100">
        <v>1464.2062774338231</v>
      </c>
      <c r="H101" s="100">
        <v>6.5389168839843563</v>
      </c>
      <c r="I101" s="100">
        <v>4731.5602572510807</v>
      </c>
      <c r="J101" s="100">
        <v>7.134790711325536</v>
      </c>
      <c r="K101" s="100">
        <v>5162.7345587151576</v>
      </c>
      <c r="L101" s="100">
        <v>6.436530127266451</v>
      </c>
      <c r="M101" s="100">
        <v>4657.473200090004</v>
      </c>
      <c r="N101" s="100">
        <v>5.8664397292006818</v>
      </c>
      <c r="O101" s="100">
        <v>4244.9557880496131</v>
      </c>
      <c r="P101" s="100">
        <v>7.5167247395884242</v>
      </c>
      <c r="Q101" s="100">
        <v>5439.1020215661838</v>
      </c>
      <c r="R101" s="100">
        <v>7.0818289634170872</v>
      </c>
      <c r="S101" s="100">
        <v>5124.4114379286048</v>
      </c>
      <c r="T101" s="100">
        <v>7.155049120911821</v>
      </c>
      <c r="U101" s="100">
        <v>5177.3935438917943</v>
      </c>
      <c r="V101" s="100">
        <v>8.0355970248724784</v>
      </c>
      <c r="W101" s="100">
        <v>5814.5580071977256</v>
      </c>
      <c r="X101" s="100">
        <v>6.9700182630154046</v>
      </c>
      <c r="Y101" s="100">
        <v>5043.505215117947</v>
      </c>
      <c r="Z101" s="100">
        <v>2.0842559744672444</v>
      </c>
      <c r="AA101" s="100">
        <v>1508.167623124498</v>
      </c>
      <c r="AB101" s="100">
        <v>6.285984894360209</v>
      </c>
      <c r="AC101" s="100">
        <v>4548.5386695590478</v>
      </c>
      <c r="AD101" s="100">
        <v>6.3228800346519494</v>
      </c>
      <c r="AE101" s="100">
        <v>4575.2359930741504</v>
      </c>
      <c r="AF101" s="100">
        <v>8.0000000000000249</v>
      </c>
      <c r="AG101" s="100">
        <v>5788.8000000000184</v>
      </c>
      <c r="AH101" s="100">
        <v>4.6772927540426341</v>
      </c>
      <c r="AI101" s="100">
        <v>3384.48903682525</v>
      </c>
      <c r="AJ101" s="100">
        <v>9.8033389548466534</v>
      </c>
      <c r="AK101" s="100">
        <v>7093.696067727039</v>
      </c>
      <c r="AL101" s="100">
        <v>5.6811583495910316</v>
      </c>
      <c r="AM101" s="100">
        <v>4110.8861817640709</v>
      </c>
      <c r="AN101" s="100">
        <v>7.579092255890842</v>
      </c>
      <c r="AO101" s="100">
        <v>5484.2311563626135</v>
      </c>
      <c r="AP101" s="100">
        <v>6.4535404955010822</v>
      </c>
      <c r="AQ101" s="100">
        <v>4669.7819025445833</v>
      </c>
      <c r="AR101" s="100">
        <v>7.77229200642926</v>
      </c>
      <c r="AS101" s="100">
        <v>5624.0304958522129</v>
      </c>
      <c r="AT101" s="100">
        <v>6.7523697721222531</v>
      </c>
      <c r="AU101" s="100">
        <v>4886.0147671076629</v>
      </c>
      <c r="AV101" s="100">
        <v>5.2124266698307338</v>
      </c>
      <c r="AW101" s="100">
        <v>3771.7119382895189</v>
      </c>
      <c r="AX101" s="100">
        <v>9.7746683825124592</v>
      </c>
      <c r="AY101" s="100">
        <v>7072.9500415860157</v>
      </c>
      <c r="AZ101" s="100">
        <v>5.966776027139276</v>
      </c>
      <c r="BA101" s="100">
        <v>4317.5591332379799</v>
      </c>
      <c r="BB101" s="100">
        <v>6.9596432371975023</v>
      </c>
      <c r="BC101" s="100">
        <v>5035.9978464361129</v>
      </c>
      <c r="BD101" s="100">
        <v>7.4216587608831883</v>
      </c>
      <c r="BE101" s="100">
        <v>5370.3122793750754</v>
      </c>
      <c r="BF101" s="100">
        <v>5.737046438757444</v>
      </c>
      <c r="BG101" s="100">
        <v>4151.3268030848867</v>
      </c>
      <c r="BH101" s="100">
        <v>5.2865937553551783</v>
      </c>
      <c r="BI101" s="100">
        <v>3825.379241375007</v>
      </c>
      <c r="BJ101" s="100">
        <v>3.5862258374548195</v>
      </c>
      <c r="BK101" s="100">
        <v>2594.9930159823075</v>
      </c>
      <c r="BL101" s="100">
        <v>7.5241631029397258</v>
      </c>
      <c r="BM101" s="100">
        <v>5444.4844212871858</v>
      </c>
      <c r="BN101" s="100">
        <v>9.0257932930673732</v>
      </c>
      <c r="BO101" s="100">
        <v>6531.0640268635516</v>
      </c>
      <c r="BP101" s="100">
        <v>5.5213051964702</v>
      </c>
      <c r="BQ101" s="100">
        <v>3995.216440165837</v>
      </c>
      <c r="BR101" s="100">
        <v>5.404840164982156</v>
      </c>
      <c r="BS101" s="100">
        <v>3910.9423433810884</v>
      </c>
      <c r="BT101" s="100">
        <v>5.5298996870497739</v>
      </c>
      <c r="BU101" s="100">
        <v>4001.4354135492163</v>
      </c>
      <c r="BV101" s="100">
        <v>2.6812965447095354</v>
      </c>
      <c r="BW101" s="100">
        <v>1940.18617975182</v>
      </c>
      <c r="BX101" s="100">
        <v>8.6970642125279038</v>
      </c>
      <c r="BY101" s="100">
        <v>6293.1956641851912</v>
      </c>
      <c r="BZ101" s="100">
        <v>7.3469758555732874</v>
      </c>
      <c r="CA101" s="100">
        <v>5316.2717290928313</v>
      </c>
      <c r="CB101" s="100">
        <v>7.6024125397551217</v>
      </c>
      <c r="CC101" s="100">
        <v>5501.1057137668058</v>
      </c>
      <c r="CD101" s="100">
        <v>2.5389131954426252</v>
      </c>
      <c r="CE101" s="100">
        <v>1837.1575882222837</v>
      </c>
      <c r="CF101" s="100">
        <v>8.6592554947549818</v>
      </c>
      <c r="CG101" s="100">
        <v>6265.837276004705</v>
      </c>
      <c r="CH101" s="100">
        <v>3.5454298544460996</v>
      </c>
      <c r="CI101" s="100">
        <v>2565.4730426771976</v>
      </c>
      <c r="CJ101" s="100">
        <v>5.8670169159975396</v>
      </c>
      <c r="CK101" s="100">
        <v>4245.3734404158195</v>
      </c>
      <c r="CL101" s="100">
        <v>6.2464850368393101</v>
      </c>
      <c r="CM101" s="100">
        <v>4519.9565726569253</v>
      </c>
      <c r="CN101" s="100">
        <v>6.0048936448248309</v>
      </c>
      <c r="CO101" s="100">
        <v>4345.1410413952481</v>
      </c>
      <c r="CP101" s="100">
        <v>0.54334462943828321</v>
      </c>
      <c r="CQ101" s="100">
        <v>393.16417386154177</v>
      </c>
      <c r="CR101" s="100">
        <v>6.6599645678833417</v>
      </c>
      <c r="CS101" s="100">
        <v>4819.1503613203859</v>
      </c>
      <c r="CT101" s="100">
        <v>6.8284446251107056</v>
      </c>
      <c r="CU101" s="100">
        <v>4941.062530730107</v>
      </c>
    </row>
    <row r="102" spans="2:99">
      <c r="C102" s="99" t="s">
        <v>268</v>
      </c>
      <c r="D102" s="100">
        <v>10.774826586621922</v>
      </c>
      <c r="E102" s="100">
        <v>5727.897813448214</v>
      </c>
      <c r="F102" s="100">
        <v>2.2077636437856842</v>
      </c>
      <c r="G102" s="100">
        <v>1173.6471530364697</v>
      </c>
      <c r="H102" s="100">
        <v>6.5389168839843563</v>
      </c>
      <c r="I102" s="100">
        <v>3476.0882155260838</v>
      </c>
      <c r="J102" s="100">
        <v>7.2316952980631388</v>
      </c>
      <c r="K102" s="100">
        <v>3844.3692204503645</v>
      </c>
      <c r="L102" s="100">
        <v>5.6677865237830627</v>
      </c>
      <c r="M102" s="100">
        <v>3012.9953160430764</v>
      </c>
      <c r="N102" s="100">
        <v>6.8441796840674627</v>
      </c>
      <c r="O102" s="100">
        <v>3638.3659200502634</v>
      </c>
      <c r="P102" s="100">
        <v>7.4753254740539168</v>
      </c>
      <c r="Q102" s="100">
        <v>3973.8830220070622</v>
      </c>
      <c r="R102" s="100">
        <v>7.7152104872704266</v>
      </c>
      <c r="S102" s="100">
        <v>4101.4058950329591</v>
      </c>
      <c r="T102" s="100">
        <v>6.3956200408530197</v>
      </c>
      <c r="U102" s="100">
        <v>3399.9116137174656</v>
      </c>
      <c r="V102" s="100">
        <v>8.7661058453154297</v>
      </c>
      <c r="W102" s="100">
        <v>4660.0618673696827</v>
      </c>
      <c r="X102" s="100">
        <v>7.550853118266688</v>
      </c>
      <c r="Y102" s="100">
        <v>4014.0335176705717</v>
      </c>
      <c r="Z102" s="100">
        <v>2.0984000003931387</v>
      </c>
      <c r="AA102" s="100">
        <v>1115.5094402089926</v>
      </c>
      <c r="AB102" s="100">
        <v>6.1997717943069928</v>
      </c>
      <c r="AC102" s="100">
        <v>3295.7986858535974</v>
      </c>
      <c r="AD102" s="100">
        <v>6.3454762986584603</v>
      </c>
      <c r="AE102" s="100">
        <v>3373.2552003668375</v>
      </c>
      <c r="AF102" s="100">
        <v>7.000000000000024</v>
      </c>
      <c r="AG102" s="100">
        <v>3721.200000000013</v>
      </c>
      <c r="AH102" s="100">
        <v>5.118642654105968</v>
      </c>
      <c r="AI102" s="100">
        <v>2721.0704349227326</v>
      </c>
      <c r="AJ102" s="100">
        <v>10.803338954846653</v>
      </c>
      <c r="AK102" s="100">
        <v>5743.0549883964813</v>
      </c>
      <c r="AL102" s="100">
        <v>6.4927523995326091</v>
      </c>
      <c r="AM102" s="100">
        <v>3451.5471755915351</v>
      </c>
      <c r="AN102" s="100">
        <v>8.3370014814799251</v>
      </c>
      <c r="AO102" s="100">
        <v>4431.9499875547281</v>
      </c>
      <c r="AP102" s="100">
        <v>6.4535404955010822</v>
      </c>
      <c r="AQ102" s="100">
        <v>3430.7021274083754</v>
      </c>
      <c r="AR102" s="100">
        <v>7.0456678650130495</v>
      </c>
      <c r="AS102" s="100">
        <v>3745.4770370409374</v>
      </c>
      <c r="AT102" s="100">
        <v>7.0664334824535064</v>
      </c>
      <c r="AU102" s="100">
        <v>3756.5160392722842</v>
      </c>
      <c r="AV102" s="100">
        <v>5.1207848761407098</v>
      </c>
      <c r="AW102" s="100">
        <v>2722.2092401564014</v>
      </c>
      <c r="AX102" s="100">
        <v>9.6919855407953506</v>
      </c>
      <c r="AY102" s="100">
        <v>5152.2595134868088</v>
      </c>
      <c r="AZ102" s="100">
        <v>5.977565498146304</v>
      </c>
      <c r="BA102" s="100">
        <v>3177.6738188145755</v>
      </c>
      <c r="BB102" s="100">
        <v>6.9596432371975023</v>
      </c>
      <c r="BC102" s="100">
        <v>3699.7463448941926</v>
      </c>
      <c r="BD102" s="100">
        <v>8.9059905130598249</v>
      </c>
      <c r="BE102" s="100">
        <v>4734.4245567426033</v>
      </c>
      <c r="BF102" s="100">
        <v>5.737046438757444</v>
      </c>
      <c r="BG102" s="100">
        <v>3049.8138868434576</v>
      </c>
      <c r="BH102" s="100">
        <v>6.0418214346916326</v>
      </c>
      <c r="BI102" s="100">
        <v>3211.8322746820722</v>
      </c>
      <c r="BJ102" s="100">
        <v>3.3065616852322748</v>
      </c>
      <c r="BK102" s="100">
        <v>1757.7681918694773</v>
      </c>
      <c r="BL102" s="100">
        <v>7.693514558821918</v>
      </c>
      <c r="BM102" s="100">
        <v>4089.8723394697317</v>
      </c>
      <c r="BN102" s="100">
        <v>7.5214944108894777</v>
      </c>
      <c r="BO102" s="100">
        <v>3998.4264288288464</v>
      </c>
      <c r="BP102" s="100">
        <v>5.5213051964702</v>
      </c>
      <c r="BQ102" s="100">
        <v>2935.1258424435587</v>
      </c>
      <c r="BR102" s="100">
        <v>6.1769601885510363</v>
      </c>
      <c r="BS102" s="100">
        <v>3283.672036233731</v>
      </c>
      <c r="BT102" s="100">
        <v>6.2211371479309951</v>
      </c>
      <c r="BU102" s="100">
        <v>3307.1565078401172</v>
      </c>
      <c r="BV102" s="100">
        <v>2.6812965447095354</v>
      </c>
      <c r="BW102" s="100">
        <v>1425.3772431675891</v>
      </c>
      <c r="BX102" s="100">
        <v>8.6970642125279038</v>
      </c>
      <c r="BY102" s="100">
        <v>4623.3593353798342</v>
      </c>
      <c r="BZ102" s="100">
        <v>8.0816734411306168</v>
      </c>
      <c r="CA102" s="100">
        <v>4296.2176013050357</v>
      </c>
      <c r="CB102" s="100">
        <v>7.6024125397551217</v>
      </c>
      <c r="CC102" s="100">
        <v>4041.4425061338229</v>
      </c>
      <c r="CD102" s="100">
        <v>2.7697234859374089</v>
      </c>
      <c r="CE102" s="100">
        <v>1472.3850051243267</v>
      </c>
      <c r="CF102" s="100">
        <v>9.9911065937059789</v>
      </c>
      <c r="CG102" s="100">
        <v>5311.2722652140983</v>
      </c>
      <c r="CH102" s="100">
        <v>3.2453466838135832</v>
      </c>
      <c r="CI102" s="100">
        <v>1725.2262971153009</v>
      </c>
      <c r="CJ102" s="100">
        <v>5.4910040786610725</v>
      </c>
      <c r="CK102" s="100">
        <v>2919.0177682162262</v>
      </c>
      <c r="CL102" s="100">
        <v>5.7363315420539855</v>
      </c>
      <c r="CM102" s="100">
        <v>3049.433847755899</v>
      </c>
      <c r="CN102" s="100">
        <v>6.5921490452108129</v>
      </c>
      <c r="CO102" s="100">
        <v>3504.3864324340684</v>
      </c>
      <c r="CP102" s="100">
        <v>0.58866800078818571</v>
      </c>
      <c r="CQ102" s="100">
        <v>312.93590921899954</v>
      </c>
      <c r="CR102" s="100">
        <v>5.9960111406176964</v>
      </c>
      <c r="CS102" s="100">
        <v>3187.4795223523674</v>
      </c>
      <c r="CT102" s="100">
        <v>6.1771210091969442</v>
      </c>
      <c r="CU102" s="100">
        <v>3283.7575284890959</v>
      </c>
    </row>
    <row r="103" spans="2:99">
      <c r="C103" s="99" t="s">
        <v>269</v>
      </c>
      <c r="D103" s="100">
        <v>10.774826586621922</v>
      </c>
      <c r="E103" s="100">
        <v>6348.5278248376353</v>
      </c>
      <c r="F103" s="100">
        <v>2.3911819035173507</v>
      </c>
      <c r="G103" s="100">
        <v>1408.8843775524228</v>
      </c>
      <c r="H103" s="100">
        <v>6.5389168839843563</v>
      </c>
      <c r="I103" s="100">
        <v>3852.7298280435825</v>
      </c>
      <c r="J103" s="100">
        <v>7.2316952980631388</v>
      </c>
      <c r="K103" s="100">
        <v>4260.9148696188013</v>
      </c>
      <c r="L103" s="100">
        <v>6.4723527896913691</v>
      </c>
      <c r="M103" s="100">
        <v>3813.5102636861543</v>
      </c>
      <c r="N103" s="100">
        <v>6.8441796840674627</v>
      </c>
      <c r="O103" s="100">
        <v>4032.5906698525487</v>
      </c>
      <c r="P103" s="100">
        <v>7.5167247395884242</v>
      </c>
      <c r="Q103" s="100">
        <v>4428.854216565499</v>
      </c>
      <c r="R103" s="100">
        <v>8.348592011123765</v>
      </c>
      <c r="S103" s="100">
        <v>4918.9904129541219</v>
      </c>
      <c r="T103" s="100">
        <v>6.3956200408530197</v>
      </c>
      <c r="U103" s="100">
        <v>3768.2993280705987</v>
      </c>
      <c r="V103" s="100">
        <v>8.7661058453154297</v>
      </c>
      <c r="W103" s="100">
        <v>5164.9895640598506</v>
      </c>
      <c r="X103" s="100">
        <v>7.550853118266688</v>
      </c>
      <c r="Y103" s="100">
        <v>4448.9626572827319</v>
      </c>
      <c r="Z103" s="100">
        <v>2.0842559744672444</v>
      </c>
      <c r="AA103" s="100">
        <v>1228.0436201561004</v>
      </c>
      <c r="AB103" s="100">
        <v>6.2873621974974387</v>
      </c>
      <c r="AC103" s="100">
        <v>3704.5138067654907</v>
      </c>
      <c r="AD103" s="100">
        <v>6.3302614677364417</v>
      </c>
      <c r="AE103" s="100">
        <v>3729.7900567903112</v>
      </c>
      <c r="AF103" s="100">
        <v>8.0000000000000195</v>
      </c>
      <c r="AG103" s="100">
        <v>4713.6000000000113</v>
      </c>
      <c r="AH103" s="100">
        <v>5.118642654105968</v>
      </c>
      <c r="AI103" s="100">
        <v>3015.9042517992361</v>
      </c>
      <c r="AJ103" s="100">
        <v>10.803338954846653</v>
      </c>
      <c r="AK103" s="100">
        <v>6365.3273121956472</v>
      </c>
      <c r="AL103" s="100">
        <v>6.4927523995326091</v>
      </c>
      <c r="AM103" s="100">
        <v>3825.529713804613</v>
      </c>
      <c r="AN103" s="100">
        <v>8.3370014814799251</v>
      </c>
      <c r="AO103" s="100">
        <v>4912.1612728879709</v>
      </c>
      <c r="AP103" s="100">
        <v>6.4535404955010822</v>
      </c>
      <c r="AQ103" s="100">
        <v>3802.4260599492372</v>
      </c>
      <c r="AR103" s="100">
        <v>7.8371696239915423</v>
      </c>
      <c r="AS103" s="100">
        <v>4617.6603424558161</v>
      </c>
      <c r="AT103" s="100">
        <v>6.7523697721222531</v>
      </c>
      <c r="AU103" s="100">
        <v>3978.4962697344313</v>
      </c>
      <c r="AV103" s="100">
        <v>5.3040684635207569</v>
      </c>
      <c r="AW103" s="100">
        <v>3125.1571387064296</v>
      </c>
      <c r="AX103" s="100">
        <v>8.9909697216587663</v>
      </c>
      <c r="AY103" s="100">
        <v>5297.4793600013445</v>
      </c>
      <c r="AZ103" s="100">
        <v>5.977565498146304</v>
      </c>
      <c r="BA103" s="100">
        <v>3521.981591507802</v>
      </c>
      <c r="BB103" s="100">
        <v>7.0566125216455262</v>
      </c>
      <c r="BC103" s="100">
        <v>4157.7560977535431</v>
      </c>
      <c r="BD103" s="100">
        <v>8.1638246369715066</v>
      </c>
      <c r="BE103" s="100">
        <v>4810.1254761036107</v>
      </c>
      <c r="BF103" s="100">
        <v>4.9174683760778093</v>
      </c>
      <c r="BG103" s="100">
        <v>2897.3723671850448</v>
      </c>
      <c r="BH103" s="100">
        <v>6.0418214346916326</v>
      </c>
      <c r="BI103" s="100">
        <v>3559.8411893203097</v>
      </c>
      <c r="BJ103" s="100">
        <v>3.5738738020952554</v>
      </c>
      <c r="BK103" s="100">
        <v>2105.7264441945244</v>
      </c>
      <c r="BL103" s="100">
        <v>8.5241631029397258</v>
      </c>
      <c r="BM103" s="100">
        <v>5022.4369002520862</v>
      </c>
      <c r="BN103" s="100">
        <v>8.2736438519784254</v>
      </c>
      <c r="BO103" s="100">
        <v>4874.8309575856874</v>
      </c>
      <c r="BP103" s="100">
        <v>5.5213051964702</v>
      </c>
      <c r="BQ103" s="100">
        <v>3253.1530217602417</v>
      </c>
      <c r="BR103" s="100">
        <v>6.1769601885510363</v>
      </c>
      <c r="BS103" s="100">
        <v>3639.46494309427</v>
      </c>
      <c r="BT103" s="100">
        <v>6.2211371479309951</v>
      </c>
      <c r="BU103" s="100">
        <v>3665.494007560942</v>
      </c>
      <c r="BV103" s="100">
        <v>3.0462291173191285</v>
      </c>
      <c r="BW103" s="100">
        <v>1794.8381959244302</v>
      </c>
      <c r="BX103" s="100">
        <v>8.6970642125279038</v>
      </c>
      <c r="BY103" s="100">
        <v>5124.31023402144</v>
      </c>
      <c r="BZ103" s="100">
        <v>8.0816734411306168</v>
      </c>
      <c r="CA103" s="100">
        <v>4761.7219915141586</v>
      </c>
      <c r="CB103" s="100">
        <v>7.6024125397551217</v>
      </c>
      <c r="CC103" s="100">
        <v>4479.3414684237168</v>
      </c>
      <c r="CD103" s="100">
        <v>2.7697234859374089</v>
      </c>
      <c r="CE103" s="100">
        <v>1631.9210779143211</v>
      </c>
      <c r="CF103" s="100">
        <v>9.8251810442304812</v>
      </c>
      <c r="CG103" s="100">
        <v>5788.9966712605992</v>
      </c>
      <c r="CH103" s="100">
        <v>3.572598185278145</v>
      </c>
      <c r="CI103" s="100">
        <v>2104.9748507658828</v>
      </c>
      <c r="CJ103" s="100">
        <v>5.9723334389584206</v>
      </c>
      <c r="CK103" s="100">
        <v>3518.8988622343009</v>
      </c>
      <c r="CL103" s="100">
        <v>4.8194763807091743</v>
      </c>
      <c r="CM103" s="100">
        <v>2839.635483513845</v>
      </c>
      <c r="CN103" s="100">
        <v>6.5921490452108129</v>
      </c>
      <c r="CO103" s="100">
        <v>3884.0942174382103</v>
      </c>
      <c r="CP103" s="100">
        <v>0.49855708484892786</v>
      </c>
      <c r="CQ103" s="100">
        <v>293.74983439298825</v>
      </c>
      <c r="CR103" s="100">
        <v>5.9960111406176964</v>
      </c>
      <c r="CS103" s="100">
        <v>3532.8497640519463</v>
      </c>
      <c r="CT103" s="100">
        <v>6.8284446251107056</v>
      </c>
      <c r="CU103" s="100">
        <v>4023.3195731152273</v>
      </c>
    </row>
    <row r="104" spans="2:99">
      <c r="C104" s="99" t="s">
        <v>270</v>
      </c>
      <c r="D104" s="100">
        <v>9.1171609579108566</v>
      </c>
      <c r="E104" s="100">
        <v>5765.6925897828251</v>
      </c>
      <c r="F104" s="100">
        <v>2.2069205779099725</v>
      </c>
      <c r="G104" s="100">
        <v>1395.6565734702665</v>
      </c>
      <c r="H104" s="100">
        <v>6.4242530316334969</v>
      </c>
      <c r="I104" s="100">
        <v>4062.6976172050231</v>
      </c>
      <c r="J104" s="100">
        <v>5.3679852263032286</v>
      </c>
      <c r="K104" s="100">
        <v>3394.7138571141618</v>
      </c>
      <c r="L104" s="100">
        <v>5.6677865237830627</v>
      </c>
      <c r="M104" s="100">
        <v>3584.3081976404087</v>
      </c>
      <c r="N104" s="100">
        <v>5.8664397292006818</v>
      </c>
      <c r="O104" s="100">
        <v>3709.9364847465108</v>
      </c>
      <c r="P104" s="100">
        <v>6.9213804604402691</v>
      </c>
      <c r="Q104" s="100">
        <v>4377.0810031824258</v>
      </c>
      <c r="R104" s="100">
        <v>8.284574651809109</v>
      </c>
      <c r="S104" s="100">
        <v>5239.16500980408</v>
      </c>
      <c r="T104" s="100">
        <v>5.6361909607942176</v>
      </c>
      <c r="U104" s="100">
        <v>3564.3271636062632</v>
      </c>
      <c r="V104" s="100">
        <v>8.0355970248724784</v>
      </c>
      <c r="W104" s="100">
        <v>5081.711558529355</v>
      </c>
      <c r="X104" s="100">
        <v>6.9700182630154046</v>
      </c>
      <c r="Y104" s="100">
        <v>4407.8395495309414</v>
      </c>
      <c r="Z104" s="100">
        <v>2.0984000003931387</v>
      </c>
      <c r="AA104" s="100">
        <v>1327.0281602486209</v>
      </c>
      <c r="AB104" s="100">
        <v>6.2873621974974387</v>
      </c>
      <c r="AC104" s="100">
        <v>3976.12785369738</v>
      </c>
      <c r="AD104" s="100">
        <v>7.0962928409785606</v>
      </c>
      <c r="AE104" s="100">
        <v>4487.6955926348419</v>
      </c>
      <c r="AF104" s="100">
        <v>7.000000000000024</v>
      </c>
      <c r="AG104" s="100">
        <v>4426.8000000000147</v>
      </c>
      <c r="AH104" s="100">
        <v>5.1626082796741848</v>
      </c>
      <c r="AI104" s="100">
        <v>3264.8334760659545</v>
      </c>
      <c r="AJ104" s="100">
        <v>11</v>
      </c>
      <c r="AK104" s="100">
        <v>6956.4</v>
      </c>
      <c r="AL104" s="100">
        <v>6.4927523995326091</v>
      </c>
      <c r="AM104" s="100">
        <v>4106.0166174644219</v>
      </c>
      <c r="AN104" s="100">
        <v>7.579092255890842</v>
      </c>
      <c r="AO104" s="100">
        <v>4793.0179426253681</v>
      </c>
      <c r="AP104" s="100">
        <v>5.5316061390009272</v>
      </c>
      <c r="AQ104" s="100">
        <v>3498.1877223041861</v>
      </c>
      <c r="AR104" s="100">
        <v>7.77229200642926</v>
      </c>
      <c r="AS104" s="100">
        <v>4915.1974648658643</v>
      </c>
      <c r="AT104" s="100">
        <v>6.7523697721222531</v>
      </c>
      <c r="AU104" s="100">
        <v>4270.1986438901131</v>
      </c>
      <c r="AV104" s="100">
        <v>5.2124266698307338</v>
      </c>
      <c r="AW104" s="100">
        <v>3296.3386260009561</v>
      </c>
      <c r="AX104" s="100">
        <v>9.7746683825124592</v>
      </c>
      <c r="AY104" s="100">
        <v>6181.5002851008794</v>
      </c>
      <c r="AZ104" s="100">
        <v>5.9793637433141402</v>
      </c>
      <c r="BA104" s="100">
        <v>3781.3496312718621</v>
      </c>
      <c r="BB104" s="100">
        <v>7.6750014178068566</v>
      </c>
      <c r="BC104" s="100">
        <v>4853.6708966210563</v>
      </c>
      <c r="BD104" s="100">
        <v>8.9059905130598249</v>
      </c>
      <c r="BE104" s="100">
        <v>5632.1484004590329</v>
      </c>
      <c r="BF104" s="100">
        <v>5.737046438757444</v>
      </c>
      <c r="BG104" s="100">
        <v>3628.1081678702076</v>
      </c>
      <c r="BH104" s="100">
        <v>6.0418214346916326</v>
      </c>
      <c r="BI104" s="100">
        <v>3820.8478752989881</v>
      </c>
      <c r="BJ104" s="100">
        <v>3.5862258374548195</v>
      </c>
      <c r="BK104" s="100">
        <v>2267.929219606428</v>
      </c>
      <c r="BL104" s="100">
        <v>7.5241631029397258</v>
      </c>
      <c r="BM104" s="100">
        <v>4758.2807462990822</v>
      </c>
      <c r="BN104" s="100">
        <v>7.5214944108894777</v>
      </c>
      <c r="BO104" s="100">
        <v>4756.5930654465055</v>
      </c>
      <c r="BP104" s="100">
        <v>4.8311420469114248</v>
      </c>
      <c r="BQ104" s="100">
        <v>3055.214230466785</v>
      </c>
      <c r="BR104" s="100">
        <v>6.9490802121199158</v>
      </c>
      <c r="BS104" s="100">
        <v>4394.5983261446345</v>
      </c>
      <c r="BT104" s="100">
        <v>5.6116718057628985</v>
      </c>
      <c r="BU104" s="100">
        <v>3548.8212499644569</v>
      </c>
      <c r="BV104" s="100">
        <v>2.6812965447095354</v>
      </c>
      <c r="BW104" s="100">
        <v>1695.6519348743102</v>
      </c>
      <c r="BX104" s="100">
        <v>8.3576513700223227</v>
      </c>
      <c r="BY104" s="100">
        <v>5285.3787264021166</v>
      </c>
      <c r="BZ104" s="100">
        <v>8.0816734411306168</v>
      </c>
      <c r="CA104" s="100">
        <v>5110.8502841710015</v>
      </c>
      <c r="CB104" s="100">
        <v>6.9688781614421949</v>
      </c>
      <c r="CC104" s="100">
        <v>4407.118549296044</v>
      </c>
      <c r="CD104" s="100">
        <v>2.5389131954426252</v>
      </c>
      <c r="CE104" s="100">
        <v>1605.6087047979161</v>
      </c>
      <c r="CF104" s="100">
        <v>8.9911065937059789</v>
      </c>
      <c r="CG104" s="100">
        <v>5685.9758098596612</v>
      </c>
      <c r="CH104" s="100">
        <v>3.2453466838135832</v>
      </c>
      <c r="CI104" s="100">
        <v>2052.3572428437101</v>
      </c>
      <c r="CJ104" s="100">
        <v>4.9759074394936809</v>
      </c>
      <c r="CK104" s="100">
        <v>3146.7638647358035</v>
      </c>
      <c r="CL104" s="100">
        <v>5.783371656851009</v>
      </c>
      <c r="CM104" s="100">
        <v>3657.4042357925778</v>
      </c>
      <c r="CN104" s="100">
        <v>6.6792724079932775</v>
      </c>
      <c r="CO104" s="100">
        <v>4223.9718708149485</v>
      </c>
      <c r="CP104" s="100">
        <v>0.54334462943828321</v>
      </c>
      <c r="CQ104" s="100">
        <v>343.61114365677031</v>
      </c>
      <c r="CR104" s="100">
        <v>5.9960111406176964</v>
      </c>
      <c r="CS104" s="100">
        <v>3791.877445326631</v>
      </c>
      <c r="CT104" s="100">
        <v>6.5132361591376133</v>
      </c>
      <c r="CU104" s="100">
        <v>4118.9705470386261</v>
      </c>
    </row>
    <row r="105" spans="2:99">
      <c r="C105" s="99" t="s">
        <v>271</v>
      </c>
      <c r="D105" s="100">
        <v>10.774826586621922</v>
      </c>
      <c r="E105" s="100">
        <v>5999.4234434310856</v>
      </c>
      <c r="F105" s="100">
        <v>2.2077636437856842</v>
      </c>
      <c r="G105" s="100">
        <v>1229.282796859869</v>
      </c>
      <c r="H105" s="100">
        <v>7.1890206361931561</v>
      </c>
      <c r="I105" s="100">
        <v>4002.8466902323489</v>
      </c>
      <c r="J105" s="100">
        <v>7.134790711325536</v>
      </c>
      <c r="K105" s="100">
        <v>3972.651468066058</v>
      </c>
      <c r="L105" s="100">
        <v>5.6677865237830627</v>
      </c>
      <c r="M105" s="100">
        <v>3155.823536442409</v>
      </c>
      <c r="N105" s="100">
        <v>5.8664397292006818</v>
      </c>
      <c r="O105" s="100">
        <v>3266.4336412189396</v>
      </c>
      <c r="P105" s="100">
        <v>7.5167247395884242</v>
      </c>
      <c r="Q105" s="100">
        <v>4185.3123350028345</v>
      </c>
      <c r="R105" s="100">
        <v>7.7152104872704266</v>
      </c>
      <c r="S105" s="100">
        <v>4295.8291993121729</v>
      </c>
      <c r="T105" s="100">
        <v>7.155049120911821</v>
      </c>
      <c r="U105" s="100">
        <v>3983.9313505237014</v>
      </c>
      <c r="V105" s="100">
        <v>8.0355970248724784</v>
      </c>
      <c r="W105" s="100">
        <v>4474.2204234489955</v>
      </c>
      <c r="X105" s="100">
        <v>7.0002403314823569</v>
      </c>
      <c r="Y105" s="100">
        <v>3897.7338165693759</v>
      </c>
      <c r="Z105" s="100">
        <v>2.0984000003931387</v>
      </c>
      <c r="AA105" s="100">
        <v>1168.3891202188995</v>
      </c>
      <c r="AB105" s="100">
        <v>6.1997717943069928</v>
      </c>
      <c r="AC105" s="100">
        <v>3452.0329350701331</v>
      </c>
      <c r="AD105" s="100">
        <v>6.3302614677364417</v>
      </c>
      <c r="AE105" s="100">
        <v>3524.6895852356506</v>
      </c>
      <c r="AF105" s="100">
        <v>8.0000000000000249</v>
      </c>
      <c r="AG105" s="100">
        <v>4454.4000000000133</v>
      </c>
      <c r="AH105" s="100">
        <v>4.8548489006966662</v>
      </c>
      <c r="AI105" s="100">
        <v>2703.1798679079034</v>
      </c>
      <c r="AJ105" s="100">
        <v>11</v>
      </c>
      <c r="AK105" s="100">
        <v>6124.7999999999993</v>
      </c>
      <c r="AL105" s="100">
        <v>6.4927523995326091</v>
      </c>
      <c r="AM105" s="100">
        <v>3615.1645360597563</v>
      </c>
      <c r="AN105" s="100">
        <v>8.3370014814799251</v>
      </c>
      <c r="AO105" s="100">
        <v>4642.0424248880217</v>
      </c>
      <c r="AP105" s="100">
        <v>6.4535404955010822</v>
      </c>
      <c r="AQ105" s="100">
        <v>3593.3313478950022</v>
      </c>
      <c r="AR105" s="100">
        <v>6.9807902474507673</v>
      </c>
      <c r="AS105" s="100">
        <v>3886.9040097805869</v>
      </c>
      <c r="AT105" s="100">
        <v>6.2812742066253389</v>
      </c>
      <c r="AU105" s="100">
        <v>3497.4134782489882</v>
      </c>
      <c r="AV105" s="100">
        <v>5.3040684635207569</v>
      </c>
      <c r="AW105" s="100">
        <v>2953.3053204883572</v>
      </c>
      <c r="AX105" s="100">
        <v>8.3726367442392924</v>
      </c>
      <c r="AY105" s="100">
        <v>4661.8841391924379</v>
      </c>
      <c r="AZ105" s="100">
        <v>5.977565498146304</v>
      </c>
      <c r="BA105" s="100">
        <v>3328.308469367862</v>
      </c>
      <c r="BB105" s="100">
        <v>7.6750014178068566</v>
      </c>
      <c r="BC105" s="100">
        <v>4273.4407894348578</v>
      </c>
      <c r="BD105" s="100">
        <v>8.1638246369715066</v>
      </c>
      <c r="BE105" s="100">
        <v>4545.6175578657349</v>
      </c>
      <c r="BF105" s="100">
        <v>5.737046438757444</v>
      </c>
      <c r="BG105" s="100">
        <v>3194.3874571001447</v>
      </c>
      <c r="BH105" s="100">
        <v>5.3461051297119022</v>
      </c>
      <c r="BI105" s="100">
        <v>2976.7113362235868</v>
      </c>
      <c r="BJ105" s="100">
        <v>3.5738738020952554</v>
      </c>
      <c r="BK105" s="100">
        <v>1989.932933006638</v>
      </c>
      <c r="BL105" s="100">
        <v>8.5241631029397258</v>
      </c>
      <c r="BM105" s="100">
        <v>4746.2540157168387</v>
      </c>
      <c r="BN105" s="100">
        <v>7.5214944108894777</v>
      </c>
      <c r="BO105" s="100">
        <v>4187.9680879832604</v>
      </c>
      <c r="BP105" s="100">
        <v>6.2114683460289752</v>
      </c>
      <c r="BQ105" s="100">
        <v>3458.545575068933</v>
      </c>
      <c r="BR105" s="100">
        <v>6.1769601885510363</v>
      </c>
      <c r="BS105" s="100">
        <v>3439.3314329852169</v>
      </c>
      <c r="BT105" s="100">
        <v>5.5298996870497739</v>
      </c>
      <c r="BU105" s="100">
        <v>3079.0481457493138</v>
      </c>
      <c r="BV105" s="100">
        <v>3.0462291173191285</v>
      </c>
      <c r="BW105" s="100">
        <v>1696.1403725232906</v>
      </c>
      <c r="BX105" s="100">
        <v>8.5273577912751151</v>
      </c>
      <c r="BY105" s="100">
        <v>4748.0328181819841</v>
      </c>
      <c r="BZ105" s="100">
        <v>8.0816734411306168</v>
      </c>
      <c r="CA105" s="100">
        <v>4499.8757720215272</v>
      </c>
      <c r="CB105" s="100">
        <v>6.9688781614421949</v>
      </c>
      <c r="CC105" s="100">
        <v>3880.2713602910139</v>
      </c>
      <c r="CD105" s="100">
        <v>2.7697234859374089</v>
      </c>
      <c r="CE105" s="100">
        <v>1542.1820369699492</v>
      </c>
      <c r="CF105" s="100">
        <v>9.6592554947549818</v>
      </c>
      <c r="CG105" s="100">
        <v>5378.2734594795738</v>
      </c>
      <c r="CH105" s="100">
        <v>3.2453466838135832</v>
      </c>
      <c r="CI105" s="100">
        <v>1807.0090335474029</v>
      </c>
      <c r="CJ105" s="100">
        <v>5.0198034111231742</v>
      </c>
      <c r="CK105" s="100">
        <v>2795.0265393133832</v>
      </c>
      <c r="CL105" s="100">
        <v>5.5421001137606396</v>
      </c>
      <c r="CM105" s="100">
        <v>3085.8413433419237</v>
      </c>
      <c r="CN105" s="100">
        <v>6.5921490452108129</v>
      </c>
      <c r="CO105" s="100">
        <v>3670.5085883733805</v>
      </c>
      <c r="CP105" s="100">
        <v>0.54334462943828321</v>
      </c>
      <c r="CQ105" s="100">
        <v>302.53428967123608</v>
      </c>
      <c r="CR105" s="100">
        <v>7.3034876999221083</v>
      </c>
      <c r="CS105" s="100">
        <v>4066.5819513166298</v>
      </c>
      <c r="CT105" s="100">
        <v>6.8284446251107056</v>
      </c>
      <c r="CU105" s="100">
        <v>3802.0779672616404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362.37109157328615</v>
      </c>
      <c r="E109" s="100">
        <f>SUM(L$6:L$19)+SUM(N$6:N$19)+SUM(P$6:P$19)+SUM(R$6:R$19)</f>
        <v>278.63380994522169</v>
      </c>
      <c r="F109" s="100">
        <f>SUM(T$6:T$19)+SUM(V$6:V$19)+SUM(X$6:X$19)+SUM(Z$6:Z$19)</f>
        <v>242.36061391153794</v>
      </c>
      <c r="G109" s="100">
        <f>SUM(AB$6:AB$19)+SUM(AD$6:AD$19)+SUM(AF$6:AF$19)+SUM(AH$6:AH$19)</f>
        <v>332.14736448267865</v>
      </c>
      <c r="H109" s="100">
        <f>SUM(AJ$6:AJ$19)+SUM(AL$6:AL$19)+SUM(AN$6:AN$19)+SUM(AP$6:AP$19)</f>
        <v>249.55074671712873</v>
      </c>
      <c r="I109" s="100">
        <f>SUM(AR$6:AR$19)+SUM(AT$6:AT$19)+SUM(AV$6:AV$19)+SUM(AX$6:AX$19)</f>
        <v>318.98205579172873</v>
      </c>
      <c r="J109" s="100">
        <f>SUM(AZ$6:AZ$19)+SUM(BB$6:BB$19)+SUM(BD$6:BD$19)+SUM(BF$6:BF$19)</f>
        <v>286.57501529274509</v>
      </c>
      <c r="K109" s="100">
        <f>SUM(BH$6:BH$19)+SUM(BJ$6:BJ$19)+SUM(BL$6:BL$19)+SUM(BN$6:BN$19)</f>
        <v>355.98052280533699</v>
      </c>
      <c r="L109" s="100">
        <f>SUM(BP$6:BP$19)+SUM(BR$6:BR$19)+SUM(BT$6:BT$19)+SUM(BV$6:BV$19)</f>
        <v>347.83918822956036</v>
      </c>
      <c r="M109" s="100">
        <f>SUM(BX$6:BX$19)+SUM(BZ$6:BZ$19)+SUM(CB$6:CB$19)+SUM(CD$6:CD$19)</f>
        <v>210.78410562937</v>
      </c>
      <c r="N109" s="100">
        <f>SUM(CF$6:CF$19)+SUM(CH$6:CH$19)+SUM(CJ$6:CJ$19)+SUM(CL$6:CL$19)</f>
        <v>496.16219659914401</v>
      </c>
      <c r="O109" s="100">
        <f>SUM(CN$6:CN$19)+SUM(CP$6:CP$19)+SUM(CR$6:CR$19)+SUM(CT$6:CT$19)</f>
        <v>223.9705911269848</v>
      </c>
    </row>
    <row r="110" spans="2:99">
      <c r="C110" s="99" t="s">
        <v>127</v>
      </c>
      <c r="D110" s="100">
        <f>SUM(D$20:D$36)+SUM(F$20:F$36)+SUM(H$20:H$36)+SUM(J$20:J$36)</f>
        <v>548.48934887717974</v>
      </c>
      <c r="E110" s="100">
        <f>SUM(L$20:L$36)+SUM(N$20:N$36)+SUM(P$20:P$36)+SUM(R$20:R$36)</f>
        <v>315.45944677058668</v>
      </c>
      <c r="F110" s="100">
        <f>SUM(T$20:T$36)+SUM(V$20:V$36)+SUM(X$20:X$36)+SUM(Z$20:Z$36)</f>
        <v>461.88361859824727</v>
      </c>
      <c r="G110" s="100">
        <f>SUM(AB$20:AB$36)+SUM(AD$20:AD$36)+SUM(AF$20:AF$36)+SUM(AH$20:AH$36)</f>
        <v>472.96651473966432</v>
      </c>
      <c r="H110" s="100">
        <f>SUM(AJ$20:AJ$36)+SUM(AL$20:AL$36)+SUM(AN$20:AN$36)+SUM(AP$20:AP$36)</f>
        <v>379.93045318300551</v>
      </c>
      <c r="I110" s="100">
        <f>SUM(AR$20:AR$36)+SUM(AT$20:AT$36)+SUM(AV$20:AV$36)+SUM(AX$20:AX$36)</f>
        <v>499.79851689507751</v>
      </c>
      <c r="J110" s="100">
        <f>SUM(AZ$20:AZ$36)+SUM(BB$20:BB$36)+SUM(BD$20:BD$36)+SUM(BF$20:BF$36)</f>
        <v>439.29269126661529</v>
      </c>
      <c r="K110" s="100">
        <f>SUM(BH$20:BH$36)+SUM(BJ$20:BJ$36)+SUM(BL$20:BL$36)+SUM(BN$20:BN$36)</f>
        <v>478.05833744969277</v>
      </c>
      <c r="L110" s="100">
        <f>SUM(BP$20:BP$36)+SUM(BR$20:BR$36)+SUM(BT$20:BT$36)+SUM(BV$20:BV$36)</f>
        <v>366.11609109958169</v>
      </c>
      <c r="M110" s="100">
        <f>SUM(BX$20:BX$36)+SUM(BZ$20:BZ$36)+SUM(CB$20:CB$36)+SUM(CD$20:CD$36)</f>
        <v>291.59196142152501</v>
      </c>
      <c r="N110" s="100">
        <f>SUM(CF$20:CF$36)+SUM(CH$20:CH$36)+SUM(CJ$20:CJ$36)+SUM(CL$20:CL$36)</f>
        <v>575.29224416936859</v>
      </c>
      <c r="O110" s="100">
        <f>SUM(CN$20:CN$36)+SUM(CP$20:CP$36)+SUM(CR$20:CR$36)+SUM(CT$20:CT$36)</f>
        <v>326.92554796006334</v>
      </c>
    </row>
    <row r="111" spans="2:99">
      <c r="C111" s="99" t="s">
        <v>128</v>
      </c>
      <c r="D111" s="100">
        <f>SUM(D$37:D$48)+SUM(F$37:F$48)+SUM(H$37:H$48)+SUM(J$37:J$48)</f>
        <v>646.5606397277013</v>
      </c>
      <c r="E111" s="100">
        <f>SUM(L$37:L$48)+SUM(N$37:N$48)+SUM(P$37:P$48)+SUM(R$37:R$48)</f>
        <v>494.91334613251144</v>
      </c>
      <c r="F111" s="100">
        <f>SUM(T$37:T$48)+SUM(V$37:V$48)+SUM(X$37:X$48)+SUM(Z$37:Z$48)</f>
        <v>568.14520597348792</v>
      </c>
      <c r="G111" s="100">
        <f>SUM(AB$37:AB$48)+SUM(AD$37:AD$48)+SUM(AF$37:AF$48)+SUM(AH$37:AH$48)</f>
        <v>577.55846308924174</v>
      </c>
      <c r="H111" s="100">
        <f>SUM(AJ$37:AJ$48)+SUM(AL$37:AL$48)+SUM(AN$37:AN$48)+SUM(AP$37:AP$48)</f>
        <v>452.32185890143899</v>
      </c>
      <c r="I111" s="100">
        <f>SUM(AR$37:AR$48)+SUM(AT$37:AT$48)+SUM(AV$37:AV$48)+SUM(AX$37:AX$48)</f>
        <v>540.75982156166401</v>
      </c>
      <c r="J111" s="100">
        <f>SUM(AZ$37:AZ$48)+SUM(BB$37:BB$48)+SUM(BD$37:BD$48)+SUM(BF$37:BF$48)</f>
        <v>523.36206719372763</v>
      </c>
      <c r="K111" s="100">
        <f>SUM(BH$37:BH$48)+SUM(BJ$37:BJ$48)+SUM(BL$37:BL$48)+SUM(BN$37:BN$48)</f>
        <v>605.8072522292714</v>
      </c>
      <c r="L111" s="100">
        <f>SUM(BP$37:BP$48)+SUM(BR$37:BR$48)+SUM(BT$37:BT$48)+SUM(BV$37:BV$48)</f>
        <v>392.06314765765262</v>
      </c>
      <c r="M111" s="100">
        <f>SUM(BX$37:BX$48)+SUM(BZ$37:BZ$48)+SUM(CB$37:CB$48)+SUM(CD$37:CD$48)</f>
        <v>336.38898002435587</v>
      </c>
      <c r="N111" s="100">
        <f>SUM(CF$37:CF$48)+SUM(CH$37:CH$48)+SUM(CJ$37:CJ$48)+SUM(CL$37:CL$48)</f>
        <v>674.28782157001808</v>
      </c>
      <c r="O111" s="100">
        <f>SUM(CN$37:CN$48)+SUM(CP$37:CP$48)+SUM(CR$37:CR$48)+SUM(CT$37:CT$48)</f>
        <v>430.54582167987314</v>
      </c>
    </row>
    <row r="112" spans="2:99">
      <c r="C112" s="99" t="s">
        <v>129</v>
      </c>
      <c r="D112" s="100">
        <f>SUM(D$49:D$70)+SUM(F$49:F$70)+SUM(H$49:H$70)+SUM(J$49:J$70)</f>
        <v>676.63858764034285</v>
      </c>
      <c r="E112" s="100">
        <f>SUM(L$49:L$70)+SUM(N$49:N$70)+SUM(P$49:P$70)+SUM(R$49:R$70)</f>
        <v>446.11787336284414</v>
      </c>
      <c r="F112" s="100">
        <f>SUM(T$49:T$70)+SUM(V$49:V$70)+SUM(X$49:X$70)+SUM(Z$49:Z$70)</f>
        <v>564.68924536539635</v>
      </c>
      <c r="G112" s="100">
        <f>SUM(AB$49:AB$70)+SUM(AD$49:AD$70)+SUM(AF$49:AF$70)+SUM(AH$49:AH$70)</f>
        <v>604.66086030518909</v>
      </c>
      <c r="H112" s="100">
        <f>SUM(AJ$49:AJ$70)+SUM(AL$49:AL$70)+SUM(AN$49:AN$70)+SUM(AP$49:AP$70)</f>
        <v>494.49799700192318</v>
      </c>
      <c r="I112" s="100">
        <f>SUM(AR$49:AR$70)+SUM(AT$49:AT$70)+SUM(AV$49:AV$70)+SUM(AX$49:AX$70)</f>
        <v>612.81192419637705</v>
      </c>
      <c r="J112" s="100">
        <f>SUM(AZ$49:AZ$70)+SUM(BB$49:BB$70)+SUM(BD$49:BD$70)+SUM(BF$49:BF$70)</f>
        <v>638.13598933524952</v>
      </c>
      <c r="K112" s="100">
        <f>SUM(BH$49:BH$70)+SUM(BJ$49:BJ$70)+SUM(BL$49:BL$70)+SUM(BN$49:BN$70)</f>
        <v>474.99661093750512</v>
      </c>
      <c r="L112" s="100">
        <f>SUM(BP$49:BP$70)+SUM(BR$49:BR$70)+SUM(BT$49:BT$70)+SUM(BV$49:BV$70)</f>
        <v>554.23622767960433</v>
      </c>
      <c r="M112" s="100">
        <f>SUM(BX$49:BX$70)+SUM(BZ$49:BZ$70)+SUM(CB$49:CB$70)+SUM(CD$49:CD$70)</f>
        <v>429.45311057060678</v>
      </c>
      <c r="N112" s="100">
        <f>SUM(CF$49:CF$70)+SUM(CH$49:CH$70)+SUM(CJ$49:CJ$70)+SUM(CL$49:CL$70)</f>
        <v>658.56002534247898</v>
      </c>
      <c r="O112" s="100">
        <f>SUM(CN$49:CN$70)+SUM(CP$49:CP$70)+SUM(CR$49:CR$70)+SUM(CT$49:CT$70)</f>
        <v>473.68335697714519</v>
      </c>
    </row>
    <row r="113" spans="2:15">
      <c r="C113" s="99" t="s">
        <v>130</v>
      </c>
      <c r="D113" s="100">
        <f>SUM(D$71:D$86)+SUM(F$71:F$86)+SUM(H$71:H$86)+SUM(J$71:J$86)</f>
        <v>277.4458934357632</v>
      </c>
      <c r="E113" s="100">
        <f>SUM(L$71:L$86)+SUM(N$71:N$86)+SUM(P$71:P$86)+SUM(R$71:R$86)</f>
        <v>422.88896746718899</v>
      </c>
      <c r="F113" s="100">
        <f>SUM(T$71:T$86)+SUM(V$71:V$86)+SUM(X$71:X$86)+SUM(Z$71:Z$86)</f>
        <v>409</v>
      </c>
      <c r="G113" s="100">
        <f>SUM(AB$71:AB$86)+SUM(AD$71:AD$86)+SUM(AF$71:AF$86)+SUM(AH$71:AH$86)</f>
        <v>474.18504565914122</v>
      </c>
      <c r="H113" s="100">
        <f>SUM(AJ$71:AJ$86)+SUM(AL$71:AL$86)+SUM(AN$71:AN$86)+SUM(AP$71:AP$86)</f>
        <v>341.88674745550441</v>
      </c>
      <c r="I113" s="100">
        <f>SUM(AR$71:AR$86)+SUM(AT$71:AT$86)+SUM(AV$71:AV$86)+SUM(AX$71:AX$86)</f>
        <v>412.66964051063451</v>
      </c>
      <c r="J113" s="100">
        <f>SUM(AZ$71:AZ$86)+SUM(BB$71:BB$86)+SUM(BD$71:BD$86)+SUM(BF$71:BF$86)</f>
        <v>400.21670917821223</v>
      </c>
      <c r="K113" s="100">
        <f>SUM(BH$71:BH$86)+SUM(BJ$71:BJ$86)+SUM(BL$71:BL$86)+SUM(BN$71:BN$86)</f>
        <v>366.30428166443699</v>
      </c>
      <c r="L113" s="100">
        <f>SUM(BP$71:BP$86)+SUM(BR$71:BR$86)+SUM(BT$71:BT$86)+SUM(BV$71:BV$86)</f>
        <v>473</v>
      </c>
      <c r="M113" s="100">
        <f>SUM(BX$71:BX$86)+SUM(BZ$71:BZ$86)+SUM(CB$71:CB$86)+SUM(CD$71:CD$86)</f>
        <v>352.17241392456259</v>
      </c>
      <c r="N113" s="100">
        <f>SUM(CF$71:CF$86)+SUM(CH$71:CH$86)+SUM(CJ$71:CJ$86)+SUM(CL$71:CL$86)</f>
        <v>429.95147706180592</v>
      </c>
      <c r="O113" s="100">
        <f>SUM(CN$71:CN$86)+SUM(CP$71:CP$86)+SUM(CR$71:CR$86)+SUM(CT$71:CT$86)</f>
        <v>407.22074129190639</v>
      </c>
    </row>
    <row r="114" spans="2:15">
      <c r="C114" s="99" t="s">
        <v>131</v>
      </c>
      <c r="D114" s="100">
        <f>SUM(D$87:D$94)+SUM(F$87:F$94)+SUM(H$87:H$94)+SUM(J$87:J$94)</f>
        <v>128.9895279714508</v>
      </c>
      <c r="E114" s="100">
        <f>SUM(L$87:L$94)+SUM(N$87:N$94)+SUM(P$87:P$94)+SUM(R$87:R$94)</f>
        <v>141.96289699368054</v>
      </c>
      <c r="F114" s="100">
        <f>SUM(T$87:T$94)+SUM(V$87:V$94)+SUM(X$87:X$94)+SUM(Z$87:Z$94)</f>
        <v>130.40536045080967</v>
      </c>
      <c r="G114" s="100">
        <f>SUM(AB$87:AB$94)+SUM(AD$87:AD$94)+SUM(AF$87:AF$94)+SUM(AH$87:AH$94)</f>
        <v>135.38338500070901</v>
      </c>
      <c r="H114" s="100">
        <f>SUM(AJ$87:AJ$94)+SUM(AL$87:AL$94)+SUM(AN$87:AN$94)+SUM(AP$87:AP$94)</f>
        <v>167.36159947707202</v>
      </c>
      <c r="I114" s="100">
        <f>SUM(AR$87:AR$94)+SUM(AT$87:AT$94)+SUM(AV$87:AV$94)+SUM(AX$87:AX$94)</f>
        <v>139.20341357011495</v>
      </c>
      <c r="J114" s="100">
        <f>SUM(AZ$87:AZ$94)+SUM(BB$87:BB$94)+SUM(BD$87:BD$94)+SUM(BF$87:BF$94)</f>
        <v>146.4306059982805</v>
      </c>
      <c r="K114" s="100">
        <f>SUM(BH$87:BH$94)+SUM(BJ$87:BJ$94)+SUM(BL$87:BL$94)+SUM(BN$87:BN$94)</f>
        <v>166.6964785981416</v>
      </c>
      <c r="L114" s="100">
        <f>SUM(BP$87:BP$94)+SUM(BR$87:BR$94)+SUM(BT$87:BT$94)+SUM(BV$87:BV$94)</f>
        <v>148.38800684260741</v>
      </c>
      <c r="M114" s="100">
        <f>SUM(BX$87:BX$94)+SUM(BZ$87:BZ$94)+SUM(CB$87:CB$94)+SUM(CD$87:CD$94)</f>
        <v>149.23304977917854</v>
      </c>
      <c r="N114" s="100">
        <f>SUM(CF$87:CF$94)+SUM(CH$87:CH$94)+SUM(CJ$87:CJ$94)+SUM(CL$87:CL$94)</f>
        <v>129.1149179588823</v>
      </c>
      <c r="O114" s="100">
        <f>SUM(CN$87:CN$94)+SUM(CP$87:CP$94)+SUM(CR$87:CR$94)+SUM(CT$87:CT$94)</f>
        <v>126.42464400354126</v>
      </c>
    </row>
    <row r="115" spans="2:15">
      <c r="C115" s="99" t="s">
        <v>132</v>
      </c>
      <c r="D115" s="100">
        <f>SUM(D$95:D$105)+SUM(F$95:F$105)+SUM(H$95:H$105)+SUM(J$95:J$105)</f>
        <v>277.41492564543944</v>
      </c>
      <c r="E115" s="100">
        <f>SUM(L$95:L$105)+SUM(N$95:N$105)+SUM(P$95:P$105)+SUM(R$95:R$105)</f>
        <v>295.05102590911491</v>
      </c>
      <c r="F115" s="100">
        <f>SUM(T$95:T$105)+SUM(V$95:V$105)+SUM(X$95:X$105)+SUM(Z$95:Z$105)</f>
        <v>261.15755107835946</v>
      </c>
      <c r="G115" s="100">
        <f>SUM(AB$95:AB$105)+SUM(AD$95:AD$105)+SUM(AF$95:AF$105)+SUM(AH$95:AH$105)</f>
        <v>275.45310738702756</v>
      </c>
      <c r="H115" s="100">
        <f>SUM(AJ$95:AJ$105)+SUM(AL$95:AL$105)+SUM(AN$95:AN$105)+SUM(AP$95:AP$105)</f>
        <v>342.26332849946698</v>
      </c>
      <c r="I115" s="100">
        <f>SUM(AR$95:AR$105)+SUM(AT$95:AT$105)+SUM(AV$95:AV$105)+SUM(AX$95:AX$105)</f>
        <v>307.96738264673752</v>
      </c>
      <c r="J115" s="100">
        <f>SUM(AZ$95:AZ$105)+SUM(BB$95:BB$105)+SUM(BD$95:BD$105)+SUM(BF$95:BF$105)</f>
        <v>292.34307910473126</v>
      </c>
      <c r="K115" s="100">
        <f>SUM(BH$95:BH$105)+SUM(BJ$95:BJ$105)+SUM(BL$95:BL$105)+SUM(BN$95:BN$105)</f>
        <v>271.98790685288316</v>
      </c>
      <c r="L115" s="100">
        <f>SUM(BP$95:BP$105)+SUM(BR$95:BR$105)+SUM(BT$95:BT$105)+SUM(BV$95:BV$105)</f>
        <v>216.78041628734408</v>
      </c>
      <c r="M115" s="100">
        <f>SUM(BX$95:BX$105)+SUM(BZ$95:BZ$105)+SUM(CB$95:CB$105)+SUM(CD$95:CD$105)</f>
        <v>283.50394806533569</v>
      </c>
      <c r="N115" s="100">
        <f>SUM(CF$95:CF$105)+SUM(CH$95:CH$105)+SUM(CJ$95:CJ$105)+SUM(CL$95:CL$105)</f>
        <v>260.25631981709421</v>
      </c>
      <c r="O115" s="100">
        <f>SUM(CN$95:CN$105)+SUM(CP$95:CP$105)+SUM(CR$95:CR$105)+SUM(CT$95:CT$105)</f>
        <v>218.76065838966841</v>
      </c>
    </row>
    <row r="116" spans="2:15">
      <c r="C116" s="99" t="s">
        <v>278</v>
      </c>
      <c r="D116" s="100">
        <f t="shared" ref="D116:O116" si="0">SUM(D$109:D$115)</f>
        <v>2917.9100148711632</v>
      </c>
      <c r="E116" s="100">
        <f t="shared" si="0"/>
        <v>2395.0273665811483</v>
      </c>
      <c r="F116" s="100">
        <f t="shared" si="0"/>
        <v>2637.6415953778387</v>
      </c>
      <c r="G116" s="100">
        <f t="shared" si="0"/>
        <v>2872.3547406636517</v>
      </c>
      <c r="H116" s="100">
        <f t="shared" si="0"/>
        <v>2427.81273123554</v>
      </c>
      <c r="I116" s="100">
        <f t="shared" si="0"/>
        <v>2832.1927551723343</v>
      </c>
      <c r="J116" s="100">
        <f t="shared" si="0"/>
        <v>2726.3561573695615</v>
      </c>
      <c r="K116" s="100">
        <f t="shared" si="0"/>
        <v>2719.8313905372679</v>
      </c>
      <c r="L116" s="100">
        <f t="shared" si="0"/>
        <v>2498.4230777963503</v>
      </c>
      <c r="M116" s="100">
        <f t="shared" si="0"/>
        <v>2053.1275694149344</v>
      </c>
      <c r="N116" s="100">
        <f t="shared" si="0"/>
        <v>3223.6250025187919</v>
      </c>
      <c r="O116" s="100">
        <f t="shared" si="0"/>
        <v>2207.5313614291827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D109*pricing!D33*2000</f>
        <v>1956803.8944957454</v>
      </c>
      <c r="E120" s="100">
        <f>E109*pricing!E33*2000</f>
        <v>1504622.5737041973</v>
      </c>
      <c r="F120" s="100">
        <f>F109*pricing!F33*2000</f>
        <v>1308747.3151223049</v>
      </c>
      <c r="G120" s="100">
        <f>G109*pricing!G33*2000</f>
        <v>1793595.7682064648</v>
      </c>
      <c r="H120" s="100">
        <f>H109*pricing!H33*2000</f>
        <v>1347574.0322724953</v>
      </c>
      <c r="I120" s="100">
        <f>I109*pricing!I33*2000</f>
        <v>1722503.1012753353</v>
      </c>
      <c r="J120" s="100">
        <f>J109*pricing!J33*2000</f>
        <v>1547505.0825808237</v>
      </c>
      <c r="K120" s="100">
        <f>K109*pricing!K33*2000</f>
        <v>1922294.8231488199</v>
      </c>
      <c r="L120" s="100">
        <f>L109*pricing!L33*2000</f>
        <v>1878331.6164396261</v>
      </c>
      <c r="M120" s="100">
        <f>M109*pricing!M33*2000</f>
        <v>1138234.1703985981</v>
      </c>
      <c r="N120" s="100">
        <f>N109*pricing!N33*2000</f>
        <v>2679275.8616353776</v>
      </c>
      <c r="O120" s="100">
        <f>O109*pricing!O33*2000</f>
        <v>1209441.192085718</v>
      </c>
    </row>
    <row r="121" spans="2:15">
      <c r="C121" s="99" t="s">
        <v>127</v>
      </c>
      <c r="D121" s="100">
        <f>D110*pricing!D34*2000</f>
        <v>2632748.8746104627</v>
      </c>
      <c r="E121" s="100">
        <f>E110*pricing!E34*2000</f>
        <v>1514205.3444988159</v>
      </c>
      <c r="F121" s="100">
        <f>F110*pricing!F34*2000</f>
        <v>2217041.3692715871</v>
      </c>
      <c r="G121" s="100">
        <f>G110*pricing!G34*2000</f>
        <v>2270239.2707503885</v>
      </c>
      <c r="H121" s="100">
        <f>H110*pricing!H34*2000</f>
        <v>1823666.1752784264</v>
      </c>
      <c r="I121" s="100">
        <f>I110*pricing!I34*2000</f>
        <v>2399032.8810963719</v>
      </c>
      <c r="J121" s="100">
        <f>J110*pricing!J34*2000</f>
        <v>2108604.9180797529</v>
      </c>
      <c r="K121" s="100">
        <f>K110*pricing!K34*2000</f>
        <v>2294680.0197585253</v>
      </c>
      <c r="L121" s="100">
        <f>L110*pricing!L34*2000</f>
        <v>1757357.2372779921</v>
      </c>
      <c r="M121" s="100">
        <f>M110*pricing!M34*2000</f>
        <v>1399641.41482332</v>
      </c>
      <c r="N121" s="100">
        <f>N110*pricing!N34*2000</f>
        <v>2761402.7720129695</v>
      </c>
      <c r="O121" s="100">
        <f>O110*pricing!O34*2000</f>
        <v>1569242.6302083042</v>
      </c>
    </row>
    <row r="122" spans="2:15">
      <c r="C122" s="99" t="s">
        <v>128</v>
      </c>
      <c r="D122" s="100">
        <f>D111*pricing!D35*2000</f>
        <v>2974178.9427474258</v>
      </c>
      <c r="E122" s="100">
        <f>E111*pricing!E35*2000</f>
        <v>2276601.3922095527</v>
      </c>
      <c r="F122" s="100">
        <f>F111*pricing!F35*2000</f>
        <v>2613467.9474780443</v>
      </c>
      <c r="G122" s="100">
        <f>G111*pricing!G35*2000</f>
        <v>2656768.9302105117</v>
      </c>
      <c r="H122" s="100">
        <f>H111*pricing!H35*2000</f>
        <v>2080680.5509466189</v>
      </c>
      <c r="I122" s="100">
        <f>I111*pricing!I35*2000</f>
        <v>2487495.1791836545</v>
      </c>
      <c r="J122" s="100">
        <f>J111*pricing!J35*2000</f>
        <v>2407465.5090911468</v>
      </c>
      <c r="K122" s="100">
        <f>K111*pricing!K35*2000</f>
        <v>2786713.3602546481</v>
      </c>
      <c r="L122" s="100">
        <f>L111*pricing!L35*2000</f>
        <v>1803490.4792252018</v>
      </c>
      <c r="M122" s="100">
        <f>M111*pricing!M35*2000</f>
        <v>1547389.3081120369</v>
      </c>
      <c r="N122" s="100">
        <f>N111*pricing!N35*2000</f>
        <v>3101723.979222083</v>
      </c>
      <c r="O122" s="100">
        <f>O111*pricing!O35*2000</f>
        <v>1980510.7797274163</v>
      </c>
    </row>
    <row r="123" spans="2:15">
      <c r="C123" s="99" t="s">
        <v>129</v>
      </c>
      <c r="D123" s="100">
        <f>D112*pricing!D36*2000</f>
        <v>3383192.9382017143</v>
      </c>
      <c r="E123" s="100">
        <f>E112*pricing!E36*2000</f>
        <v>2230589.3668142208</v>
      </c>
      <c r="F123" s="100">
        <f>F112*pricing!F36*2000</f>
        <v>2823446.2268269816</v>
      </c>
      <c r="G123" s="100">
        <f>G112*pricing!G36*2000</f>
        <v>3023304.3015259453</v>
      </c>
      <c r="H123" s="100">
        <f>H112*pricing!H36*2000</f>
        <v>2472489.9850096158</v>
      </c>
      <c r="I123" s="100">
        <f>I112*pricing!I36*2000</f>
        <v>3064059.6209818851</v>
      </c>
      <c r="J123" s="100">
        <f>J112*pricing!J36*2000</f>
        <v>3190679.9466762478</v>
      </c>
      <c r="K123" s="100">
        <f>K112*pricing!K36*2000</f>
        <v>2374983.0546875256</v>
      </c>
      <c r="L123" s="100">
        <f>L112*pricing!L36*2000</f>
        <v>2771181.1383980215</v>
      </c>
      <c r="M123" s="100">
        <f>M112*pricing!M36*2000</f>
        <v>2147265.5528530339</v>
      </c>
      <c r="N123" s="100">
        <f>N112*pricing!N36*2000</f>
        <v>3292800.1267123949</v>
      </c>
      <c r="O123" s="100">
        <f>O112*pricing!O36*2000</f>
        <v>2368416.7848857259</v>
      </c>
    </row>
    <row r="124" spans="2:15">
      <c r="C124" s="99" t="s">
        <v>130</v>
      </c>
      <c r="D124" s="100">
        <f>D113*pricing!D37*2000</f>
        <v>1442718.6458659687</v>
      </c>
      <c r="E124" s="100">
        <f>E113*pricing!E37*2000</f>
        <v>2199022.6308293827</v>
      </c>
      <c r="F124" s="100">
        <f>F113*pricing!F37*2000</f>
        <v>2126800</v>
      </c>
      <c r="G124" s="100">
        <f>G113*pricing!G37*2000</f>
        <v>2465762.2374275341</v>
      </c>
      <c r="H124" s="100">
        <f>H113*pricing!H37*2000</f>
        <v>1777811.086768623</v>
      </c>
      <c r="I124" s="100">
        <f>I113*pricing!I37*2000</f>
        <v>2145882.1306552994</v>
      </c>
      <c r="J124" s="100">
        <f>J113*pricing!J37*2000</f>
        <v>2081126.8877267034</v>
      </c>
      <c r="K124" s="100">
        <f>K113*pricing!K37*2000</f>
        <v>1904782.2646550725</v>
      </c>
      <c r="L124" s="100">
        <f>L113*pricing!L37*2000</f>
        <v>2459600</v>
      </c>
      <c r="M124" s="100">
        <f>M113*pricing!M37*2000</f>
        <v>1831296.5524077255</v>
      </c>
      <c r="N124" s="100">
        <f>N113*pricing!N37*2000</f>
        <v>2235747.6807213905</v>
      </c>
      <c r="O124" s="100">
        <f>O113*pricing!O37*2000</f>
        <v>2117547.8547179131</v>
      </c>
    </row>
    <row r="125" spans="2:15">
      <c r="C125" s="99" t="s">
        <v>131</v>
      </c>
      <c r="D125" s="100">
        <f>D114*pricing!D38*2000</f>
        <v>722341.35664012446</v>
      </c>
      <c r="E125" s="100">
        <f>E114*pricing!E38*2000</f>
        <v>794992.22316461103</v>
      </c>
      <c r="F125" s="100">
        <f>F114*pricing!F38*2000</f>
        <v>730270.01852453407</v>
      </c>
      <c r="G125" s="100">
        <f>G114*pricing!G38*2000</f>
        <v>758146.95600397047</v>
      </c>
      <c r="H125" s="100">
        <f>H114*pricing!H38*2000</f>
        <v>937224.95707160328</v>
      </c>
      <c r="I125" s="100">
        <f>I114*pricing!I38*2000</f>
        <v>779539.11599264375</v>
      </c>
      <c r="J125" s="100">
        <f>J114*pricing!J38*2000</f>
        <v>820011.39359037078</v>
      </c>
      <c r="K125" s="100">
        <f>K114*pricing!K38*2000</f>
        <v>933500.2801495929</v>
      </c>
      <c r="L125" s="100">
        <f>L114*pricing!L38*2000</f>
        <v>830972.83831860148</v>
      </c>
      <c r="M125" s="100">
        <f>M114*pricing!M38*2000</f>
        <v>835705.07876339974</v>
      </c>
      <c r="N125" s="100">
        <f>N114*pricing!N38*2000</f>
        <v>723043.54056974081</v>
      </c>
      <c r="O125" s="100">
        <f>O114*pricing!O38*2000</f>
        <v>707978.00641983096</v>
      </c>
    </row>
    <row r="126" spans="2:15">
      <c r="C126" s="99" t="s">
        <v>132</v>
      </c>
      <c r="D126" s="100">
        <f>D115*pricing!D39*2000</f>
        <v>1442557.6133562853</v>
      </c>
      <c r="E126" s="100">
        <f>E115*pricing!E39*2000</f>
        <v>1534265.3347273977</v>
      </c>
      <c r="F126" s="100">
        <f>F115*pricing!F39*2000</f>
        <v>1358019.2656074692</v>
      </c>
      <c r="G126" s="100">
        <f>G115*pricing!G39*2000</f>
        <v>1432356.1584125434</v>
      </c>
      <c r="H126" s="100">
        <f>H115*pricing!H39*2000</f>
        <v>1779769.3081972285</v>
      </c>
      <c r="I126" s="100">
        <f>I115*pricing!I39*2000</f>
        <v>1601430.3897630353</v>
      </c>
      <c r="J126" s="100">
        <f>J115*pricing!J39*2000</f>
        <v>1520184.0113446026</v>
      </c>
      <c r="K126" s="100">
        <f>K115*pricing!K39*2000</f>
        <v>1414337.1156349925</v>
      </c>
      <c r="L126" s="100">
        <f>L115*pricing!L39*2000</f>
        <v>1127258.1646941891</v>
      </c>
      <c r="M126" s="100">
        <f>M115*pricing!M39*2000</f>
        <v>1474220.5299397456</v>
      </c>
      <c r="N126" s="100">
        <f>N115*pricing!N39*2000</f>
        <v>1353332.8630488899</v>
      </c>
      <c r="O126" s="100">
        <f>O115*pricing!O39*2000</f>
        <v>1137555.4236262757</v>
      </c>
    </row>
    <row r="127" spans="2:15">
      <c r="C127" s="99" t="s">
        <v>278</v>
      </c>
      <c r="D127" s="100">
        <f>SUM(D$120:D$126)</f>
        <v>14554542.265917728</v>
      </c>
      <c r="E127" s="100">
        <f t="shared" ref="E127:O127" si="1">SUM(E$120:E$126)</f>
        <v>12054298.865948176</v>
      </c>
      <c r="F127" s="100">
        <f t="shared" si="1"/>
        <v>13177792.142830923</v>
      </c>
      <c r="G127" s="100">
        <f t="shared" si="1"/>
        <v>14400173.622537358</v>
      </c>
      <c r="H127" s="100">
        <f t="shared" si="1"/>
        <v>12219216.095544612</v>
      </c>
      <c r="I127" s="100">
        <f t="shared" si="1"/>
        <v>14199942.418948226</v>
      </c>
      <c r="J127" s="100">
        <f t="shared" si="1"/>
        <v>13675577.749089649</v>
      </c>
      <c r="K127" s="100">
        <f t="shared" si="1"/>
        <v>13631290.918289175</v>
      </c>
      <c r="L127" s="100">
        <f t="shared" si="1"/>
        <v>12628191.474353634</v>
      </c>
      <c r="M127" s="100">
        <f t="shared" si="1"/>
        <v>10373752.60729786</v>
      </c>
      <c r="N127" s="100">
        <f t="shared" si="1"/>
        <v>16147326.823922848</v>
      </c>
      <c r="O127" s="100">
        <f t="shared" si="1"/>
        <v>11090692.671671184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181240.94781097263</v>
      </c>
      <c r="E131" s="106">
        <f>SUM(M$6:M$19)+SUM(O$6:O$19)+SUM(Q$6:Q$19)+SUM(S$6:S$19)</f>
        <v>140404.01647120091</v>
      </c>
      <c r="F131" s="106">
        <f>SUM(U$6:U$19)+SUM(W$6:W$19)+SUM(Y$6:Y$19)+SUM(AA$6:AA$19)</f>
        <v>122018.73637696776</v>
      </c>
      <c r="G131" s="106">
        <f>SUM(AC$6:AC$19)+SUM(AE$6:AE$19)+SUM(AG$6:AG$19)+SUM(AI$6:AI$19)</f>
        <v>167746.30505138898</v>
      </c>
      <c r="H131" s="106">
        <f>SUM(AK$6:AK$19)+SUM(AM$6:AM$19)+SUM(AO$6:AO$19)+SUM(AQ$6:AQ$19)</f>
        <v>126877.41458790089</v>
      </c>
      <c r="I131" s="106">
        <f>SUM(AS$6:AS$19)+SUM(AU$6:AU$19)+SUM(AW$6:AW$19)+SUM(AY$6:AY$19)</f>
        <v>160445.08527426064</v>
      </c>
      <c r="J131" s="106">
        <f>SUM(BA$6:BA$19)+SUM(BC$6:BC$19)+SUM(BE$6:BE$19)+SUM(BG$6:BG$19)</f>
        <v>145081.00034019552</v>
      </c>
      <c r="K131" s="106">
        <f>SUM(BI$6:BI$19)+SUM(BK$6:BK$19)+SUM(BM$6:BM$19)+SUM(BO$6:BO$19)</f>
        <v>178662.20484925795</v>
      </c>
      <c r="L131" s="106">
        <f>SUM(BQ$6:BQ$19)+SUM(BS$6:BS$19)+SUM(BU$6:BU$19)+SUM(BW$6:BW$19)</f>
        <v>175222.03961668961</v>
      </c>
      <c r="M131" s="106">
        <f>SUM(BY$6:BY$19)+SUM(CA$6:CA$19)+SUM(CC$6:CC$19)+SUM(CE$6:CE$19)</f>
        <v>105719.87360128021</v>
      </c>
      <c r="N131" s="106">
        <f>SUM(CG$6:CG$19)+SUM(CI$6:CI$19)+SUM(CK$6:CK$19)+SUM(CM$6:CM$19)</f>
        <v>249788.6636208329</v>
      </c>
      <c r="O131" s="106">
        <f>SUM(CO$6:CO$19)+SUM(CQ$6:CQ$19)+SUM(CS$6:CS$19)+SUM(CU$6:CU$19)</f>
        <v>113089.26189152271</v>
      </c>
    </row>
    <row r="132" spans="2:15">
      <c r="C132" s="105" t="s">
        <v>127</v>
      </c>
      <c r="D132" s="106">
        <f>SUM(E$20:E$36)+SUM(G$20:G$36)+SUM(I$20:I$36)+SUM(K$20:K$36)</f>
        <v>233638.19536141198</v>
      </c>
      <c r="E132" s="106">
        <f>SUM(M$20:M$36)+SUM(O$20:O$36)+SUM(Q$20:Q$36)+SUM(S$20:S$36)</f>
        <v>133277.41823375804</v>
      </c>
      <c r="F132" s="106">
        <f>SUM(U$20:U$36)+SUM(W$20:W$36)+SUM(Y$20:Y$36)+SUM(AA$20:AA$36)</f>
        <v>195086.20961963246</v>
      </c>
      <c r="G132" s="106">
        <f>SUM(AC$20:AC$36)+SUM(AE$20:AE$36)+SUM(AG$20:AG$36)+SUM(AI$20:AI$36)</f>
        <v>200759.71620937716</v>
      </c>
      <c r="H132" s="106">
        <f>SUM(AK$20:AK$36)+SUM(AM$20:AM$36)+SUM(AO$20:AO$36)+SUM(AQ$20:AQ$36)</f>
        <v>162983.71163288498</v>
      </c>
      <c r="I132" s="106">
        <f>SUM(AS$20:AS$36)+SUM(AU$20:AU$36)+SUM(AW$20:AW$36)+SUM(AY$20:AY$36)</f>
        <v>213966.7179044245</v>
      </c>
      <c r="J132" s="106">
        <f>SUM(BA$20:BA$36)+SUM(BC$20:BC$36)+SUM(BE$20:BE$36)+SUM(BG$20:BG$36)</f>
        <v>187192.89854913333</v>
      </c>
      <c r="K132" s="106">
        <f>SUM(BI$20:BI$36)+SUM(BK$20:BK$36)+SUM(BM$20:BM$36)+SUM(BO$20:BO$36)</f>
        <v>203066.55762775068</v>
      </c>
      <c r="L132" s="106">
        <f>SUM(BQ$20:BQ$36)+SUM(BS$20:BS$36)+SUM(BU$20:BU$36)+SUM(BW$20:BW$36)</f>
        <v>156412.47940611286</v>
      </c>
      <c r="M132" s="106">
        <f>SUM(BY$20:BY$36)+SUM(CA$20:CA$36)+SUM(CC$20:CC$36)+SUM(CE$20:CE$36)</f>
        <v>124828.51553403713</v>
      </c>
      <c r="N132" s="106">
        <f>SUM(CG$20:CG$36)+SUM(CI$20:CI$36)+SUM(CK$20:CK$36)+SUM(CM$20:CM$36)</f>
        <v>246076.41413405267</v>
      </c>
      <c r="O132" s="106">
        <f>SUM(CO$20:CO$36)+SUM(CQ$20:CQ$36)+SUM(CS$20:CS$36)+SUM(CU$20:CU$36)</f>
        <v>138938.08827420068</v>
      </c>
    </row>
    <row r="133" spans="2:15">
      <c r="C133" s="105" t="s">
        <v>128</v>
      </c>
      <c r="D133" s="106">
        <f>SUM(E$37:E$48)+SUM(G$37:G$48)+SUM(I$37:I$48)+SUM(K$37:K$48)</f>
        <v>679830.31439082196</v>
      </c>
      <c r="E133" s="106">
        <f>SUM(M$37:M$48)+SUM(O$37:O$48)+SUM(Q$37:Q$48)+SUM(S$37:S$48)</f>
        <v>519044.70521490567</v>
      </c>
      <c r="F133" s="106">
        <f>SUM(U$37:U$48)+SUM(W$37:W$48)+SUM(Y$37:Y$48)+SUM(AA$37:AA$48)</f>
        <v>593986.60298360721</v>
      </c>
      <c r="G133" s="106">
        <f>SUM(AC$37:AC$48)+SUM(AE$37:AE$48)+SUM(AG$37:AG$48)+SUM(AI$37:AI$48)</f>
        <v>605478.88366201578</v>
      </c>
      <c r="H133" s="106">
        <f>SUM(AK$37:AK$48)+SUM(AM$37:AM$48)+SUM(AO$37:AO$48)+SUM(AQ$37:AQ$48)</f>
        <v>474247.50794627622</v>
      </c>
      <c r="I133" s="106">
        <f>SUM(AS$37:AS$48)+SUM(AU$37:AU$48)+SUM(AW$37:AW$48)+SUM(AY$37:AY$48)</f>
        <v>566899.81200663117</v>
      </c>
      <c r="J133" s="106">
        <f>SUM(BA$37:BA$48)+SUM(BC$37:BC$48)+SUM(BE$37:BE$48)+SUM(BG$37:BG$48)</f>
        <v>549522.803879802</v>
      </c>
      <c r="K133" s="106">
        <f>SUM(BI$37:BI$48)+SUM(BK$37:BK$48)+SUM(BM$37:BM$48)+SUM(BO$37:BO$48)</f>
        <v>634450.74248644779</v>
      </c>
      <c r="L133" s="106">
        <f>SUM(BQ$37:BQ$48)+SUM(BS$37:BS$48)+SUM(BU$37:BU$48)+SUM(BW$37:BW$48)</f>
        <v>409731.38497732766</v>
      </c>
      <c r="M133" s="106">
        <f>SUM(BY$37:BY$48)+SUM(CA$37:CA$48)+SUM(CC$37:CC$48)+SUM(CE$37:CE$48)</f>
        <v>350401.12748450029</v>
      </c>
      <c r="N133" s="106">
        <f>SUM(CG$37:CG$48)+SUM(CI$37:CI$48)+SUM(CK$37:CK$48)+SUM(CM$37:CM$48)</f>
        <v>707370.23023374355</v>
      </c>
      <c r="O133" s="106">
        <f>SUM(CO$37:CO$48)+SUM(CQ$37:CQ$48)+SUM(CS$37:CS$48)+SUM(CU$37:CU$48)</f>
        <v>452460.91800502047</v>
      </c>
    </row>
    <row r="134" spans="2:15">
      <c r="C134" s="105" t="s">
        <v>129</v>
      </c>
      <c r="D134" s="106">
        <f>SUM(E$49:E$70)+SUM(G$49:G$70)+SUM(I$49:I$70)+SUM(K$49:K$70)</f>
        <v>554394.16187365225</v>
      </c>
      <c r="E134" s="106">
        <f>SUM(M$49:M$70)+SUM(O$49:O$70)+SUM(Q$49:Q$70)+SUM(S$49:S$70)</f>
        <v>379364.40973816969</v>
      </c>
      <c r="F134" s="106">
        <f>SUM(U$49:U$70)+SUM(W$49:W$70)+SUM(Y$49:Y$70)+SUM(AA$49:AA$70)</f>
        <v>469014.95369865524</v>
      </c>
      <c r="G134" s="106">
        <f>SUM(AC$49:AC$70)+SUM(AE$49:AE$70)+SUM(AG$49:AG$70)+SUM(AI$49:AI$70)</f>
        <v>506977.74890273926</v>
      </c>
      <c r="H134" s="106">
        <f>SUM(AK$49:AK$70)+SUM(AM$49:AM$70)+SUM(AO$49:AO$70)+SUM(AQ$49:AQ$70)</f>
        <v>424984.15741427569</v>
      </c>
      <c r="I134" s="106">
        <f>SUM(AS$49:AS$70)+SUM(AU$49:AU$70)+SUM(AW$49:AW$70)+SUM(AY$49:AY$70)</f>
        <v>509763.81709180184</v>
      </c>
      <c r="J134" s="106">
        <f>SUM(BA$49:BA$70)+SUM(BC$49:BC$70)+SUM(BE$49:BE$70)+SUM(BG$49:BG$70)</f>
        <v>537404.35601293482</v>
      </c>
      <c r="K134" s="106">
        <f>SUM(BI$49:BI$70)+SUM(BK$49:BK$70)+SUM(BM$49:BM$70)+SUM(BO$49:BO$70)</f>
        <v>401448.23388835631</v>
      </c>
      <c r="L134" s="106">
        <f>SUM(BQ$49:BQ$70)+SUM(BS$49:BS$70)+SUM(BU$49:BU$70)+SUM(BW$49:BW$70)</f>
        <v>472913.47312020446</v>
      </c>
      <c r="M134" s="106">
        <f>SUM(BY$49:BY$70)+SUM(CA$49:CA$70)+SUM(CC$49:CC$70)+SUM(CE$49:CE$70)</f>
        <v>368982.83213882096</v>
      </c>
      <c r="N134" s="106">
        <f>SUM(CG$49:CG$70)+SUM(CI$49:CI$70)+SUM(CK$49:CK$70)+SUM(CM$49:CM$70)</f>
        <v>543428.49157007865</v>
      </c>
      <c r="O134" s="106">
        <f>SUM(CO$49:CO$70)+SUM(CQ$49:CQ$70)+SUM(CS$49:CS$70)+SUM(CU$49:CU$70)</f>
        <v>399245.15012563177</v>
      </c>
    </row>
    <row r="135" spans="2:15">
      <c r="C135" s="105" t="s">
        <v>130</v>
      </c>
      <c r="D135" s="106">
        <f>SUM(E$71:E$86)+SUM(G$71:G$86)+SUM(I$71:I$86)+SUM(K$71:K$86)</f>
        <v>154191.40468470822</v>
      </c>
      <c r="E135" s="106">
        <f>SUM(M$71:M$86)+SUM(O$71:O$86)+SUM(Q$71:Q$86)+SUM(S$71:S$86)</f>
        <v>236241.99325693969</v>
      </c>
      <c r="F135" s="106">
        <f>SUM(U$71:U$86)+SUM(W$71:W$86)+SUM(Y$71:Y$86)+SUM(AA$71:AA$86)</f>
        <v>228514.8</v>
      </c>
      <c r="G135" s="106">
        <f>SUM(AC$71:AC$86)+SUM(AE$71:AE$86)+SUM(AG$71:AG$86)+SUM(AI$71:AI$86)</f>
        <v>264739.81009447889</v>
      </c>
      <c r="H135" s="106">
        <f>SUM(AK$71:AK$86)+SUM(AM$71:AM$86)+SUM(AO$71:AO$86)+SUM(AQ$71:AQ$86)</f>
        <v>190396.32871368591</v>
      </c>
      <c r="I135" s="106">
        <f>SUM(AS$71:AS$86)+SUM(AU$71:AU$86)+SUM(AW$71:AW$86)+SUM(AY$71:AY$86)</f>
        <v>230432.66536476969</v>
      </c>
      <c r="J135" s="106">
        <f>SUM(BA$71:BA$86)+SUM(BC$71:BC$86)+SUM(BE$71:BE$86)+SUM(BG$71:BG$86)</f>
        <v>224281.38797862735</v>
      </c>
      <c r="K135" s="106">
        <f>SUM(BI$71:BI$86)+SUM(BK$71:BK$86)+SUM(BM$71:BM$86)+SUM(BO$71:BO$86)</f>
        <v>204369.53101172738</v>
      </c>
      <c r="L135" s="106">
        <f>SUM(BQ$71:BQ$86)+SUM(BS$71:BS$86)+SUM(BU$71:BU$86)+SUM(BW$71:BW$86)</f>
        <v>262731.59999999998</v>
      </c>
      <c r="M135" s="106">
        <f>SUM(BY$71:BY$86)+SUM(CA$71:CA$86)+SUM(CC$71:CC$86)+SUM(CE$71:CE$86)</f>
        <v>196628.26565341232</v>
      </c>
      <c r="N135" s="106">
        <f>SUM(CG$71:CG$86)+SUM(CI$71:CI$86)+SUM(CK$71:CK$86)+SUM(CM$71:CM$86)</f>
        <v>240075.82298741431</v>
      </c>
      <c r="O135" s="106">
        <f>SUM(CO$71:CO$86)+SUM(CQ$71:CQ$86)+SUM(CS$71:CS$86)+SUM(CU$71:CU$86)</f>
        <v>227893.25302740079</v>
      </c>
    </row>
    <row r="136" spans="2:15">
      <c r="C136" s="105" t="s">
        <v>131</v>
      </c>
      <c r="D136" s="106">
        <f>SUM(E$87:E$94)+SUM(G$87:G$94)+SUM(I$87:I$94)+SUM(K$87:K$94)</f>
        <v>129105.30431825877</v>
      </c>
      <c r="E136" s="106">
        <f>SUM(M$87:M$94)+SUM(O$87:O$94)+SUM(Q$87:Q$94)+SUM(S$87:S$94)</f>
        <v>142293.35269187091</v>
      </c>
      <c r="F136" s="106">
        <f>SUM(U$87:U$94)+SUM(W$87:W$94)+SUM(Y$87:Y$94)+SUM(AA$87:AA$94)</f>
        <v>130981.36605397807</v>
      </c>
      <c r="G136" s="106">
        <f>SUM(AC$87:AC$94)+SUM(AE$87:AE$94)+SUM(AG$87:AG$94)+SUM(AI$87:AI$94)</f>
        <v>135991.89097956329</v>
      </c>
      <c r="H136" s="106">
        <f>SUM(AK$87:AK$94)+SUM(AM$87:AM$94)+SUM(AO$87:AO$94)+SUM(AQ$87:AQ$94)</f>
        <v>167654.03899090138</v>
      </c>
      <c r="I136" s="106">
        <f>SUM(AS$87:AS$94)+SUM(AU$87:AU$94)+SUM(AW$87:AW$94)+SUM(AY$87:AY$94)</f>
        <v>139329.02239349633</v>
      </c>
      <c r="J136" s="106">
        <f>SUM(BA$87:BA$94)+SUM(BC$87:BC$94)+SUM(BE$87:BE$94)+SUM(BG$87:BG$94)</f>
        <v>146969.61074213398</v>
      </c>
      <c r="K136" s="106">
        <f>SUM(BI$87:BI$94)+SUM(BK$87:BK$94)+SUM(BM$87:BM$94)+SUM(BO$87:BO$94)</f>
        <v>166798.69489423238</v>
      </c>
      <c r="L136" s="106">
        <f>SUM(BQ$87:BQ$94)+SUM(BS$87:BS$94)+SUM(BU$87:BU$94)+SUM(BW$87:BW$94)</f>
        <v>148639.45286166019</v>
      </c>
      <c r="M136" s="106">
        <f>SUM(BY$87:BY$94)+SUM(CA$87:CA$94)+SUM(CC$87:CC$94)+SUM(CE$87:CE$94)</f>
        <v>149370.65357783384</v>
      </c>
      <c r="N136" s="106">
        <f>SUM(CG$87:CG$94)+SUM(CI$87:CI$94)+SUM(CK$87:CK$94)+SUM(CM$87:CM$94)</f>
        <v>129594.200605864</v>
      </c>
      <c r="O136" s="106">
        <f>SUM(CO$87:CO$94)+SUM(CQ$87:CQ$94)+SUM(CS$87:CS$94)+SUM(CU$87:CU$94)</f>
        <v>126460.48595792163</v>
      </c>
    </row>
    <row r="137" spans="2:15">
      <c r="C137" s="105" t="s">
        <v>132</v>
      </c>
      <c r="D137" s="106">
        <f>SUM(E$95:E$105)+SUM(G$95:G$105)+SUM(I$95:I$105)+SUM(K$95:K$105)</f>
        <v>214100.30889217067</v>
      </c>
      <c r="E137" s="106">
        <f>SUM(M$95:M$105)+SUM(O$95:O$105)+SUM(Q$95:Q$105)+SUM(S$95:S$105)</f>
        <v>227770.64287800706</v>
      </c>
      <c r="F137" s="106">
        <f>SUM(U$95:U$105)+SUM(W$95:W$105)+SUM(Y$95:Y$105)+SUM(AA$95:AA$105)</f>
        <v>201552.19506051487</v>
      </c>
      <c r="G137" s="106">
        <f>SUM(AC$95:AC$105)+SUM(AE$95:AE$105)+SUM(AG$95:AG$105)+SUM(AI$95:AI$105)</f>
        <v>216160.67327378286</v>
      </c>
      <c r="H137" s="106">
        <f>SUM(AK$95:AK$105)+SUM(AM$95:AM$105)+SUM(AO$95:AO$105)+SUM(AQ$95:AQ$105)</f>
        <v>266265.75473451061</v>
      </c>
      <c r="I137" s="106">
        <f>SUM(AS$95:AS$105)+SUM(AU$95:AU$105)+SUM(AW$95:AW$105)+SUM(AY$95:AY$105)</f>
        <v>240034.2333915573</v>
      </c>
      <c r="J137" s="106">
        <f>SUM(BA$95:BA$105)+SUM(BC$95:BC$105)+SUM(BE$95:BE$105)+SUM(BG$95:BG$105)</f>
        <v>228692.32235375588</v>
      </c>
      <c r="K137" s="106">
        <f>SUM(BI$95:BI$105)+SUM(BK$95:BK$105)+SUM(BM$95:BM$105)+SUM(BO$95:BO$105)</f>
        <v>214488.09207717329</v>
      </c>
      <c r="L137" s="106">
        <f>SUM(BQ$95:BQ$105)+SUM(BS$95:BS$105)+SUM(BU$95:BU$105)+SUM(BW$95:BW$105)</f>
        <v>169130.19385310981</v>
      </c>
      <c r="M137" s="106">
        <f>SUM(BY$95:BY$105)+SUM(CA$95:CA$105)+SUM(CC$95:CC$105)+SUM(CE$95:CE$105)</f>
        <v>217977.8205860974</v>
      </c>
      <c r="N137" s="106">
        <f>SUM(CG$95:CG$105)+SUM(CI$95:CI$105)+SUM(CK$95:CK$105)+SUM(CM$95:CM$105)</f>
        <v>201231.92295183882</v>
      </c>
      <c r="O137" s="106">
        <f>SUM(CO$95:CO$105)+SUM(CQ$95:CQ$105)+SUM(CS$95:CS$105)+SUM(CU$95:CU$105)</f>
        <v>168273.66599145677</v>
      </c>
    </row>
    <row r="138" spans="2:15">
      <c r="C138" s="105" t="s">
        <v>278</v>
      </c>
      <c r="D138" s="100">
        <f t="shared" ref="D138:O138" si="2">SUM(D$131:D$137)</f>
        <v>2146500.6373319961</v>
      </c>
      <c r="E138" s="100">
        <f t="shared" si="2"/>
        <v>1778396.5384848521</v>
      </c>
      <c r="F138" s="100">
        <f t="shared" si="2"/>
        <v>1941154.8637933556</v>
      </c>
      <c r="G138" s="100">
        <f t="shared" si="2"/>
        <v>2097855.0281733461</v>
      </c>
      <c r="H138" s="100">
        <f t="shared" si="2"/>
        <v>1813408.9140204357</v>
      </c>
      <c r="I138" s="100">
        <f t="shared" si="2"/>
        <v>2060871.3534269414</v>
      </c>
      <c r="J138" s="100">
        <f t="shared" si="2"/>
        <v>2019144.379856583</v>
      </c>
      <c r="K138" s="100">
        <f t="shared" si="2"/>
        <v>2003284.0568349457</v>
      </c>
      <c r="L138" s="100">
        <f t="shared" si="2"/>
        <v>1794780.6238351048</v>
      </c>
      <c r="M138" s="100">
        <f t="shared" si="2"/>
        <v>1513909.0885759823</v>
      </c>
      <c r="N138" s="100">
        <f t="shared" si="2"/>
        <v>2317565.7461038255</v>
      </c>
      <c r="O138" s="100">
        <f t="shared" si="2"/>
        <v>1626360.8232731547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baseColWidth="10" defaultColWidth="8.83203125" defaultRowHeight="12" x14ac:dyDescent="0"/>
  <cols>
    <col min="1" max="2" width="8.83203125" style="100"/>
    <col min="3" max="3" width="14.5" style="100" bestFit="1" customWidth="1"/>
    <col min="4" max="4" width="16.83203125" style="100" bestFit="1" customWidth="1"/>
    <col min="5" max="5" width="22.83203125" style="100" bestFit="1" customWidth="1"/>
    <col min="6" max="16384" width="8.83203125" style="100"/>
  </cols>
  <sheetData>
    <row r="1" spans="1:5">
      <c r="A1" s="99" t="s">
        <v>167</v>
      </c>
      <c r="B1" s="99" t="s">
        <v>168</v>
      </c>
      <c r="C1" s="99" t="s">
        <v>169</v>
      </c>
      <c r="D1" s="99" t="s">
        <v>170</v>
      </c>
      <c r="E1" s="99" t="s">
        <v>171</v>
      </c>
    </row>
    <row r="2" spans="1:5">
      <c r="A2" s="99" t="s">
        <v>126</v>
      </c>
      <c r="B2" s="99" t="s">
        <v>172</v>
      </c>
      <c r="C2" s="100" t="s">
        <v>59</v>
      </c>
      <c r="D2" s="100">
        <v>482</v>
      </c>
      <c r="E2" s="100">
        <v>578.4</v>
      </c>
    </row>
    <row r="3" spans="1:5">
      <c r="B3" s="99" t="s">
        <v>173</v>
      </c>
      <c r="C3" s="100" t="s">
        <v>59</v>
      </c>
      <c r="D3" s="100">
        <v>657</v>
      </c>
      <c r="E3" s="100">
        <v>788.4</v>
      </c>
    </row>
    <row r="4" spans="1:5">
      <c r="B4" s="99" t="s">
        <v>174</v>
      </c>
      <c r="C4" s="100" t="s">
        <v>59</v>
      </c>
      <c r="D4" s="100">
        <v>258</v>
      </c>
      <c r="E4" s="100">
        <v>309.59999999999997</v>
      </c>
    </row>
    <row r="5" spans="1:5">
      <c r="B5" s="99" t="s">
        <v>175</v>
      </c>
      <c r="C5" s="100" t="s">
        <v>59</v>
      </c>
      <c r="D5" s="100">
        <v>585</v>
      </c>
      <c r="E5" s="100">
        <v>702</v>
      </c>
    </row>
    <row r="6" spans="1:5">
      <c r="B6" s="99" t="s">
        <v>176</v>
      </c>
      <c r="C6" s="100" t="s">
        <v>59</v>
      </c>
      <c r="D6" s="100">
        <v>454</v>
      </c>
      <c r="E6" s="100">
        <v>544.79999999999995</v>
      </c>
    </row>
    <row r="7" spans="1:5">
      <c r="B7" s="99" t="s">
        <v>177</v>
      </c>
      <c r="C7" s="100" t="s">
        <v>59</v>
      </c>
      <c r="D7" s="100">
        <v>444</v>
      </c>
      <c r="E7" s="100">
        <v>532.79999999999995</v>
      </c>
    </row>
    <row r="8" spans="1:5">
      <c r="B8" s="99" t="s">
        <v>178</v>
      </c>
      <c r="C8" s="100" t="s">
        <v>59</v>
      </c>
      <c r="D8" s="100">
        <v>469</v>
      </c>
      <c r="E8" s="100">
        <v>562.79999999999995</v>
      </c>
    </row>
    <row r="9" spans="1:5">
      <c r="B9" s="99" t="s">
        <v>179</v>
      </c>
      <c r="C9" s="100" t="s">
        <v>59</v>
      </c>
      <c r="D9" s="100">
        <v>71</v>
      </c>
      <c r="E9" s="100">
        <v>85.2</v>
      </c>
    </row>
    <row r="10" spans="1:5">
      <c r="B10" s="99" t="s">
        <v>180</v>
      </c>
      <c r="C10" s="100" t="s">
        <v>59</v>
      </c>
      <c r="D10" s="100">
        <v>407</v>
      </c>
      <c r="E10" s="100">
        <v>488.4</v>
      </c>
    </row>
    <row r="11" spans="1:5">
      <c r="B11" s="99" t="s">
        <v>181</v>
      </c>
      <c r="C11" s="100" t="s">
        <v>59</v>
      </c>
      <c r="D11" s="100">
        <v>636</v>
      </c>
      <c r="E11" s="100">
        <v>763.19999999999993</v>
      </c>
    </row>
    <row r="12" spans="1:5">
      <c r="B12" s="99" t="s">
        <v>182</v>
      </c>
      <c r="C12" s="100" t="s">
        <v>59</v>
      </c>
      <c r="D12" s="100">
        <v>284</v>
      </c>
      <c r="E12" s="100">
        <v>340.8</v>
      </c>
    </row>
    <row r="13" spans="1:5">
      <c r="B13" s="99" t="s">
        <v>183</v>
      </c>
      <c r="C13" s="100" t="s">
        <v>59</v>
      </c>
      <c r="D13" s="100">
        <v>352</v>
      </c>
      <c r="E13" s="100">
        <v>422.4</v>
      </c>
    </row>
    <row r="14" spans="1:5">
      <c r="B14" s="99" t="s">
        <v>184</v>
      </c>
      <c r="C14" s="100" t="s">
        <v>59</v>
      </c>
      <c r="D14" s="100">
        <v>544</v>
      </c>
      <c r="E14" s="100">
        <v>652.79999999999995</v>
      </c>
    </row>
    <row r="15" spans="1:5">
      <c r="B15" s="99" t="s">
        <v>185</v>
      </c>
      <c r="C15" s="100" t="s">
        <v>59</v>
      </c>
      <c r="D15" s="100">
        <v>275</v>
      </c>
      <c r="E15" s="100">
        <v>330</v>
      </c>
    </row>
    <row r="16" spans="1:5">
      <c r="A16" s="99" t="s">
        <v>127</v>
      </c>
      <c r="B16" s="99" t="s">
        <v>186</v>
      </c>
      <c r="C16" s="100" t="s">
        <v>59</v>
      </c>
      <c r="D16" s="100">
        <v>239</v>
      </c>
      <c r="E16" s="100">
        <v>286.8</v>
      </c>
    </row>
    <row r="17" spans="2:5">
      <c r="B17" s="99" t="s">
        <v>187</v>
      </c>
      <c r="C17" s="100" t="s">
        <v>59</v>
      </c>
      <c r="D17" s="100">
        <v>52</v>
      </c>
      <c r="E17" s="100">
        <v>62.4</v>
      </c>
    </row>
    <row r="18" spans="2:5">
      <c r="B18" s="99" t="s">
        <v>188</v>
      </c>
      <c r="C18" s="100" t="s">
        <v>59</v>
      </c>
      <c r="D18" s="100">
        <v>156</v>
      </c>
      <c r="E18" s="100">
        <v>187.2</v>
      </c>
    </row>
    <row r="19" spans="2:5">
      <c r="B19" s="99" t="s">
        <v>189</v>
      </c>
      <c r="C19" s="100" t="s">
        <v>59</v>
      </c>
      <c r="D19" s="100">
        <v>245</v>
      </c>
      <c r="E19" s="100">
        <v>294</v>
      </c>
    </row>
    <row r="20" spans="2:5">
      <c r="B20" s="99" t="s">
        <v>190</v>
      </c>
      <c r="C20" s="100" t="s">
        <v>59</v>
      </c>
      <c r="D20" s="100">
        <v>306</v>
      </c>
      <c r="E20" s="100">
        <v>367.2</v>
      </c>
    </row>
    <row r="21" spans="2:5">
      <c r="B21" s="99" t="s">
        <v>191</v>
      </c>
      <c r="C21" s="100" t="s">
        <v>59</v>
      </c>
      <c r="D21" s="100">
        <v>442</v>
      </c>
      <c r="E21" s="100">
        <v>530.4</v>
      </c>
    </row>
    <row r="22" spans="2:5">
      <c r="B22" s="99" t="s">
        <v>192</v>
      </c>
      <c r="C22" s="100" t="s">
        <v>59</v>
      </c>
      <c r="D22" s="100">
        <v>405</v>
      </c>
      <c r="E22" s="100">
        <v>486</v>
      </c>
    </row>
    <row r="23" spans="2:5">
      <c r="B23" s="99" t="s">
        <v>193</v>
      </c>
      <c r="C23" s="100" t="s">
        <v>59</v>
      </c>
      <c r="D23" s="100">
        <v>356</v>
      </c>
      <c r="E23" s="100">
        <v>427.2</v>
      </c>
    </row>
    <row r="24" spans="2:5">
      <c r="B24" s="99" t="s">
        <v>194</v>
      </c>
      <c r="C24" s="100" t="s">
        <v>59</v>
      </c>
      <c r="D24" s="100">
        <v>615</v>
      </c>
      <c r="E24" s="100">
        <v>738</v>
      </c>
    </row>
    <row r="25" spans="2:5">
      <c r="B25" s="99" t="s">
        <v>195</v>
      </c>
      <c r="C25" s="100" t="s">
        <v>59</v>
      </c>
      <c r="D25" s="100">
        <v>282</v>
      </c>
      <c r="E25" s="100">
        <v>338.4</v>
      </c>
    </row>
    <row r="26" spans="2:5">
      <c r="B26" s="99" t="s">
        <v>196</v>
      </c>
      <c r="C26" s="100" t="s">
        <v>59</v>
      </c>
      <c r="D26" s="100">
        <v>116</v>
      </c>
      <c r="E26" s="100">
        <v>139.19999999999999</v>
      </c>
    </row>
    <row r="27" spans="2:5">
      <c r="B27" s="99" t="s">
        <v>197</v>
      </c>
      <c r="C27" s="100" t="s">
        <v>59</v>
      </c>
      <c r="D27" s="100">
        <v>284</v>
      </c>
      <c r="E27" s="100">
        <v>340.8</v>
      </c>
    </row>
    <row r="28" spans="2:5">
      <c r="B28" s="99" t="s">
        <v>198</v>
      </c>
      <c r="C28" s="100" t="s">
        <v>59</v>
      </c>
      <c r="D28" s="100">
        <v>700</v>
      </c>
      <c r="E28" s="100">
        <v>840</v>
      </c>
    </row>
    <row r="29" spans="2:5">
      <c r="B29" s="99" t="s">
        <v>199</v>
      </c>
      <c r="C29" s="100" t="s">
        <v>59</v>
      </c>
      <c r="D29" s="100">
        <v>395</v>
      </c>
      <c r="E29" s="100">
        <v>474</v>
      </c>
    </row>
    <row r="30" spans="2:5">
      <c r="B30" s="99" t="s">
        <v>200</v>
      </c>
      <c r="C30" s="100" t="s">
        <v>59</v>
      </c>
      <c r="D30" s="100">
        <v>457</v>
      </c>
      <c r="E30" s="100">
        <v>548.4</v>
      </c>
    </row>
    <row r="31" spans="2:5">
      <c r="B31" s="99" t="s">
        <v>201</v>
      </c>
      <c r="C31" s="100" t="s">
        <v>59</v>
      </c>
      <c r="D31" s="100">
        <v>419</v>
      </c>
      <c r="E31" s="100">
        <v>502.7999999999999</v>
      </c>
    </row>
    <row r="32" spans="2:5">
      <c r="B32" s="99" t="s">
        <v>202</v>
      </c>
      <c r="C32" s="100" t="s">
        <v>59</v>
      </c>
      <c r="D32" s="100">
        <v>634</v>
      </c>
      <c r="E32" s="100">
        <v>760.8</v>
      </c>
    </row>
    <row r="33" spans="1:5">
      <c r="A33" s="99" t="s">
        <v>128</v>
      </c>
      <c r="B33" s="99" t="s">
        <v>203</v>
      </c>
      <c r="C33" s="100" t="s">
        <v>59</v>
      </c>
      <c r="D33" s="100">
        <v>717</v>
      </c>
      <c r="E33" s="100">
        <v>860.4</v>
      </c>
    </row>
    <row r="34" spans="1:5">
      <c r="B34" s="99" t="s">
        <v>204</v>
      </c>
      <c r="C34" s="100" t="s">
        <v>59</v>
      </c>
      <c r="D34" s="100">
        <v>1035</v>
      </c>
      <c r="E34" s="100">
        <v>1242</v>
      </c>
    </row>
    <row r="35" spans="1:5">
      <c r="B35" s="99" t="s">
        <v>205</v>
      </c>
      <c r="C35" s="100" t="s">
        <v>59</v>
      </c>
      <c r="D35" s="100">
        <v>1186</v>
      </c>
      <c r="E35" s="100">
        <v>1423.2</v>
      </c>
    </row>
    <row r="36" spans="1:5">
      <c r="B36" s="99" t="s">
        <v>206</v>
      </c>
      <c r="C36" s="100" t="s">
        <v>59</v>
      </c>
      <c r="D36" s="100">
        <v>604</v>
      </c>
      <c r="E36" s="100">
        <v>724.8</v>
      </c>
    </row>
    <row r="37" spans="1:5">
      <c r="B37" s="99" t="s">
        <v>207</v>
      </c>
      <c r="C37" s="100" t="s">
        <v>59</v>
      </c>
      <c r="D37" s="100">
        <v>550</v>
      </c>
      <c r="E37" s="100">
        <v>660</v>
      </c>
    </row>
    <row r="38" spans="1:5">
      <c r="B38" s="99" t="s">
        <v>208</v>
      </c>
      <c r="C38" s="100" t="s">
        <v>59</v>
      </c>
      <c r="D38" s="100">
        <v>705</v>
      </c>
      <c r="E38" s="100">
        <v>846</v>
      </c>
    </row>
    <row r="39" spans="1:5">
      <c r="B39" s="99" t="s">
        <v>209</v>
      </c>
      <c r="C39" s="100" t="s">
        <v>59</v>
      </c>
      <c r="D39" s="100">
        <v>852</v>
      </c>
      <c r="E39" s="100">
        <v>1022.4</v>
      </c>
    </row>
    <row r="40" spans="1:5">
      <c r="B40" s="99" t="s">
        <v>210</v>
      </c>
      <c r="C40" s="100" t="s">
        <v>59</v>
      </c>
      <c r="D40" s="100">
        <v>852</v>
      </c>
      <c r="E40" s="100">
        <v>1022.4</v>
      </c>
    </row>
    <row r="41" spans="1:5">
      <c r="B41" s="99" t="s">
        <v>211</v>
      </c>
      <c r="C41" s="100" t="s">
        <v>59</v>
      </c>
      <c r="D41" s="100">
        <v>1041</v>
      </c>
      <c r="E41" s="100">
        <v>1249.2</v>
      </c>
    </row>
    <row r="42" spans="1:5">
      <c r="B42" s="99" t="s">
        <v>212</v>
      </c>
      <c r="C42" s="100" t="s">
        <v>59</v>
      </c>
      <c r="D42" s="100">
        <v>1010</v>
      </c>
      <c r="E42" s="100">
        <v>1212</v>
      </c>
    </row>
    <row r="43" spans="1:5">
      <c r="B43" s="99" t="s">
        <v>213</v>
      </c>
      <c r="C43" s="100" t="s">
        <v>59</v>
      </c>
      <c r="D43" s="100">
        <v>1273</v>
      </c>
      <c r="E43" s="100">
        <v>1527.6</v>
      </c>
    </row>
    <row r="44" spans="1:5">
      <c r="B44" s="99" t="s">
        <v>214</v>
      </c>
      <c r="C44" s="100" t="s">
        <v>59</v>
      </c>
      <c r="D44" s="100">
        <v>723</v>
      </c>
      <c r="E44" s="100">
        <v>867.6</v>
      </c>
    </row>
    <row r="45" spans="1:5">
      <c r="A45" s="99" t="s">
        <v>129</v>
      </c>
      <c r="B45" s="99" t="s">
        <v>215</v>
      </c>
      <c r="C45" s="100" t="s">
        <v>22</v>
      </c>
      <c r="D45" s="100">
        <v>821</v>
      </c>
      <c r="E45" s="100">
        <v>985.19999999999993</v>
      </c>
    </row>
    <row r="46" spans="1:5">
      <c r="B46" s="99" t="s">
        <v>216</v>
      </c>
      <c r="C46" s="100" t="s">
        <v>59</v>
      </c>
      <c r="D46" s="100">
        <v>235</v>
      </c>
      <c r="E46" s="100">
        <v>282</v>
      </c>
    </row>
    <row r="47" spans="1:5">
      <c r="B47" s="99" t="s">
        <v>217</v>
      </c>
      <c r="C47" s="100" t="s">
        <v>59</v>
      </c>
      <c r="D47" s="100">
        <v>712</v>
      </c>
      <c r="E47" s="100">
        <v>854.4</v>
      </c>
    </row>
    <row r="48" spans="1:5">
      <c r="B48" s="99" t="s">
        <v>218</v>
      </c>
      <c r="C48" s="100" t="s">
        <v>59</v>
      </c>
      <c r="D48" s="100">
        <v>450</v>
      </c>
      <c r="E48" s="100">
        <v>540</v>
      </c>
    </row>
    <row r="49" spans="2:5">
      <c r="B49" s="99" t="s">
        <v>219</v>
      </c>
      <c r="C49" s="100" t="s">
        <v>59</v>
      </c>
      <c r="D49" s="100">
        <v>339</v>
      </c>
      <c r="E49" s="100">
        <v>406.8</v>
      </c>
    </row>
    <row r="50" spans="2:5">
      <c r="B50" s="99" t="s">
        <v>220</v>
      </c>
      <c r="C50" s="100" t="s">
        <v>59</v>
      </c>
      <c r="D50" s="100">
        <v>279</v>
      </c>
      <c r="E50" s="100">
        <v>334.8</v>
      </c>
    </row>
    <row r="51" spans="2:5">
      <c r="B51" s="99" t="s">
        <v>221</v>
      </c>
      <c r="C51" s="100" t="s">
        <v>59</v>
      </c>
      <c r="D51" s="100">
        <v>553</v>
      </c>
      <c r="E51" s="100">
        <v>663.6</v>
      </c>
    </row>
    <row r="52" spans="2:5">
      <c r="B52" s="99" t="s">
        <v>222</v>
      </c>
      <c r="C52" s="100" t="s">
        <v>46</v>
      </c>
      <c r="D52" s="100">
        <v>818</v>
      </c>
      <c r="E52" s="100">
        <v>981.59999999999991</v>
      </c>
    </row>
    <row r="53" spans="2:5">
      <c r="B53" s="99" t="s">
        <v>223</v>
      </c>
      <c r="C53" s="100" t="s">
        <v>59</v>
      </c>
      <c r="D53" s="100">
        <v>1176</v>
      </c>
      <c r="E53" s="100">
        <v>1411.2</v>
      </c>
    </row>
    <row r="54" spans="2:5">
      <c r="B54" s="99" t="s">
        <v>224</v>
      </c>
      <c r="C54" s="100" t="s">
        <v>22</v>
      </c>
      <c r="D54" s="100">
        <v>981</v>
      </c>
      <c r="E54" s="100">
        <v>1177.2</v>
      </c>
    </row>
    <row r="55" spans="2:5">
      <c r="B55" s="99" t="s">
        <v>225</v>
      </c>
      <c r="C55" s="100" t="s">
        <v>59</v>
      </c>
      <c r="D55" s="100">
        <v>253</v>
      </c>
      <c r="E55" s="100">
        <v>303.59999999999997</v>
      </c>
    </row>
    <row r="56" spans="2:5">
      <c r="B56" s="99" t="s">
        <v>226</v>
      </c>
      <c r="C56" s="100" t="s">
        <v>59</v>
      </c>
      <c r="D56" s="100">
        <v>543</v>
      </c>
      <c r="E56" s="100">
        <v>651.6</v>
      </c>
    </row>
    <row r="57" spans="2:5">
      <c r="B57" s="99" t="s">
        <v>227</v>
      </c>
      <c r="C57" s="100" t="s">
        <v>59</v>
      </c>
      <c r="D57" s="100">
        <v>793</v>
      </c>
      <c r="E57" s="100">
        <v>951.59999999999991</v>
      </c>
    </row>
    <row r="58" spans="2:5">
      <c r="B58" s="99" t="s">
        <v>228</v>
      </c>
      <c r="C58" s="100" t="s">
        <v>46</v>
      </c>
      <c r="D58" s="100">
        <v>1391</v>
      </c>
      <c r="E58" s="100">
        <v>1669.2</v>
      </c>
    </row>
    <row r="59" spans="2:5">
      <c r="B59" s="99" t="s">
        <v>229</v>
      </c>
      <c r="C59" s="100" t="s">
        <v>59</v>
      </c>
      <c r="D59" s="100">
        <v>663</v>
      </c>
      <c r="E59" s="100">
        <v>795.6</v>
      </c>
    </row>
    <row r="60" spans="2:5">
      <c r="B60" s="99" t="s">
        <v>230</v>
      </c>
      <c r="C60" s="100" t="s">
        <v>59</v>
      </c>
      <c r="D60" s="100">
        <v>841</v>
      </c>
      <c r="E60" s="100">
        <v>1009.1999999999998</v>
      </c>
    </row>
    <row r="61" spans="2:5">
      <c r="B61" s="99" t="s">
        <v>231</v>
      </c>
      <c r="C61" s="100" t="s">
        <v>59</v>
      </c>
      <c r="D61" s="100">
        <v>855</v>
      </c>
      <c r="E61" s="100">
        <v>1026</v>
      </c>
    </row>
    <row r="62" spans="2:5">
      <c r="B62" s="99" t="s">
        <v>232</v>
      </c>
      <c r="C62" s="100" t="s">
        <v>59</v>
      </c>
      <c r="D62" s="100">
        <v>992</v>
      </c>
      <c r="E62" s="100">
        <v>1190.3999999999999</v>
      </c>
    </row>
    <row r="63" spans="2:5">
      <c r="B63" s="99" t="s">
        <v>233</v>
      </c>
      <c r="C63" s="100" t="s">
        <v>59</v>
      </c>
      <c r="D63" s="100">
        <v>936</v>
      </c>
      <c r="E63" s="100">
        <v>1123.2</v>
      </c>
    </row>
    <row r="64" spans="2:5">
      <c r="B64" s="99" t="s">
        <v>234</v>
      </c>
      <c r="C64" s="100" t="s">
        <v>59</v>
      </c>
      <c r="D64" s="100">
        <v>861</v>
      </c>
      <c r="E64" s="100">
        <v>1033.2</v>
      </c>
    </row>
    <row r="65" spans="1:5">
      <c r="B65" s="99" t="s">
        <v>235</v>
      </c>
      <c r="C65" s="100" t="s">
        <v>59</v>
      </c>
      <c r="D65" s="100">
        <v>632</v>
      </c>
      <c r="E65" s="100">
        <v>758.4</v>
      </c>
    </row>
    <row r="66" spans="1:5">
      <c r="B66" s="99" t="s">
        <v>236</v>
      </c>
      <c r="C66" s="100" t="s">
        <v>59</v>
      </c>
      <c r="D66" s="100">
        <v>446</v>
      </c>
      <c r="E66" s="100">
        <v>535.19999999999993</v>
      </c>
    </row>
    <row r="67" spans="1:5">
      <c r="A67" s="99" t="s">
        <v>130</v>
      </c>
      <c r="B67" s="99" t="s">
        <v>237</v>
      </c>
      <c r="C67" s="100" t="s">
        <v>22</v>
      </c>
      <c r="D67" s="100">
        <v>470</v>
      </c>
      <c r="E67" s="100">
        <v>564</v>
      </c>
    </row>
    <row r="68" spans="1:5">
      <c r="B68" s="99" t="s">
        <v>238</v>
      </c>
      <c r="C68" s="100" t="s">
        <v>22</v>
      </c>
      <c r="D68" s="100">
        <v>62</v>
      </c>
      <c r="E68" s="100">
        <v>74.399999999999991</v>
      </c>
    </row>
    <row r="69" spans="1:5">
      <c r="B69" s="99" t="s">
        <v>239</v>
      </c>
      <c r="C69" s="100" t="s">
        <v>22</v>
      </c>
      <c r="D69" s="100">
        <v>466</v>
      </c>
      <c r="E69" s="100">
        <v>559.19999999999993</v>
      </c>
    </row>
    <row r="70" spans="1:5">
      <c r="B70" s="99" t="s">
        <v>240</v>
      </c>
      <c r="C70" s="100" t="s">
        <v>22</v>
      </c>
      <c r="D70" s="100">
        <v>336</v>
      </c>
      <c r="E70" s="100">
        <v>403.2</v>
      </c>
    </row>
    <row r="71" spans="1:5">
      <c r="B71" s="99" t="s">
        <v>241</v>
      </c>
      <c r="C71" s="100" t="s">
        <v>22</v>
      </c>
      <c r="D71" s="100">
        <v>536</v>
      </c>
      <c r="E71" s="100">
        <v>643.19999999999993</v>
      </c>
    </row>
    <row r="72" spans="1:5">
      <c r="B72" s="99" t="s">
        <v>242</v>
      </c>
      <c r="C72" s="100" t="s">
        <v>22</v>
      </c>
      <c r="D72" s="100">
        <v>649</v>
      </c>
      <c r="E72" s="100">
        <v>778.8</v>
      </c>
    </row>
    <row r="73" spans="1:5">
      <c r="B73" s="99" t="s">
        <v>243</v>
      </c>
      <c r="C73" s="100" t="s">
        <v>22</v>
      </c>
      <c r="D73" s="100">
        <v>232</v>
      </c>
      <c r="E73" s="100">
        <v>278.39999999999998</v>
      </c>
    </row>
    <row r="74" spans="1:5">
      <c r="B74" s="99" t="s">
        <v>244</v>
      </c>
      <c r="C74" s="100" t="s">
        <v>22</v>
      </c>
      <c r="D74" s="100">
        <v>460</v>
      </c>
      <c r="E74" s="100">
        <v>552</v>
      </c>
    </row>
    <row r="75" spans="1:5">
      <c r="B75" s="99" t="s">
        <v>245</v>
      </c>
      <c r="C75" s="100" t="s">
        <v>22</v>
      </c>
      <c r="D75" s="100">
        <v>631</v>
      </c>
      <c r="E75" s="100">
        <v>757.19999999999993</v>
      </c>
    </row>
    <row r="76" spans="1:5">
      <c r="B76" s="99" t="s">
        <v>246</v>
      </c>
      <c r="C76" s="100" t="s">
        <v>22</v>
      </c>
      <c r="D76" s="100">
        <v>671</v>
      </c>
      <c r="E76" s="100">
        <v>805.19999999999993</v>
      </c>
    </row>
    <row r="77" spans="1:5">
      <c r="B77" s="99" t="s">
        <v>247</v>
      </c>
      <c r="C77" s="100" t="s">
        <v>22</v>
      </c>
      <c r="D77" s="100">
        <v>628</v>
      </c>
      <c r="E77" s="100">
        <v>753.6</v>
      </c>
    </row>
    <row r="78" spans="1:5">
      <c r="B78" s="99" t="s">
        <v>248</v>
      </c>
      <c r="C78" s="100" t="s">
        <v>22</v>
      </c>
      <c r="D78" s="100">
        <v>424</v>
      </c>
      <c r="E78" s="100">
        <v>508.7999999999999</v>
      </c>
    </row>
    <row r="79" spans="1:5">
      <c r="B79" s="99" t="s">
        <v>249</v>
      </c>
      <c r="C79" s="100" t="s">
        <v>22</v>
      </c>
      <c r="D79" s="100">
        <v>717</v>
      </c>
      <c r="E79" s="100">
        <v>860.4</v>
      </c>
    </row>
    <row r="80" spans="1:5">
      <c r="B80" s="99" t="s">
        <v>250</v>
      </c>
      <c r="C80" s="100" t="s">
        <v>22</v>
      </c>
      <c r="D80" s="100">
        <v>651</v>
      </c>
      <c r="E80" s="100">
        <v>781.19999999999993</v>
      </c>
    </row>
    <row r="81" spans="1:5">
      <c r="B81" s="99" t="s">
        <v>251</v>
      </c>
      <c r="C81" s="100" t="s">
        <v>22</v>
      </c>
      <c r="D81" s="100">
        <v>125</v>
      </c>
      <c r="E81" s="100">
        <v>150</v>
      </c>
    </row>
    <row r="82" spans="1:5">
      <c r="B82" s="99" t="s">
        <v>252</v>
      </c>
      <c r="C82" s="100" t="s">
        <v>22</v>
      </c>
      <c r="D82" s="100">
        <v>450</v>
      </c>
      <c r="E82" s="100">
        <v>540</v>
      </c>
    </row>
    <row r="83" spans="1:5">
      <c r="A83" s="99" t="s">
        <v>131</v>
      </c>
      <c r="B83" s="99" t="s">
        <v>253</v>
      </c>
      <c r="C83" s="100" t="s">
        <v>46</v>
      </c>
      <c r="D83" s="100">
        <v>895</v>
      </c>
      <c r="E83" s="100">
        <v>1074</v>
      </c>
    </row>
    <row r="84" spans="1:5">
      <c r="B84" s="99" t="s">
        <v>254</v>
      </c>
      <c r="C84" s="100" t="s">
        <v>46</v>
      </c>
      <c r="D84" s="100">
        <v>827</v>
      </c>
      <c r="E84" s="100">
        <v>992.4</v>
      </c>
    </row>
    <row r="85" spans="1:5">
      <c r="B85" s="99" t="s">
        <v>255</v>
      </c>
      <c r="C85" s="100" t="s">
        <v>46</v>
      </c>
      <c r="D85" s="100">
        <v>885</v>
      </c>
      <c r="E85" s="100">
        <v>1062</v>
      </c>
    </row>
    <row r="86" spans="1:5">
      <c r="B86" s="99" t="s">
        <v>256</v>
      </c>
      <c r="C86" s="100" t="s">
        <v>46</v>
      </c>
      <c r="D86" s="100">
        <v>924</v>
      </c>
      <c r="E86" s="100">
        <v>1108.8</v>
      </c>
    </row>
    <row r="87" spans="1:5">
      <c r="B87" s="99" t="s">
        <v>257</v>
      </c>
      <c r="C87" s="100" t="s">
        <v>46</v>
      </c>
      <c r="D87" s="100">
        <v>947</v>
      </c>
      <c r="E87" s="100">
        <v>1136.3999999999999</v>
      </c>
    </row>
    <row r="88" spans="1:5">
      <c r="B88" s="99" t="s">
        <v>258</v>
      </c>
      <c r="C88" s="100" t="s">
        <v>46</v>
      </c>
      <c r="D88" s="100">
        <v>654</v>
      </c>
      <c r="E88" s="100">
        <v>784.8</v>
      </c>
    </row>
    <row r="89" spans="1:5">
      <c r="B89" s="99" t="s">
        <v>259</v>
      </c>
      <c r="C89" s="100" t="s">
        <v>46</v>
      </c>
      <c r="D89" s="100">
        <v>578</v>
      </c>
      <c r="E89" s="100">
        <v>693.6</v>
      </c>
    </row>
    <row r="90" spans="1:5">
      <c r="B90" s="99" t="s">
        <v>260</v>
      </c>
      <c r="C90" s="100" t="s">
        <v>46</v>
      </c>
      <c r="D90" s="100">
        <v>994</v>
      </c>
      <c r="E90" s="100">
        <v>1192.8</v>
      </c>
    </row>
    <row r="91" spans="1:5">
      <c r="A91" s="99" t="s">
        <v>132</v>
      </c>
      <c r="B91" s="99" t="s">
        <v>261</v>
      </c>
      <c r="C91" s="100" t="s">
        <v>46</v>
      </c>
      <c r="D91" s="100">
        <v>274</v>
      </c>
      <c r="E91" s="100">
        <v>328.8</v>
      </c>
    </row>
    <row r="92" spans="1:5">
      <c r="B92" s="99" t="s">
        <v>262</v>
      </c>
      <c r="C92" s="100" t="s">
        <v>46</v>
      </c>
      <c r="D92" s="100">
        <v>579</v>
      </c>
      <c r="E92" s="100">
        <v>694.8</v>
      </c>
    </row>
    <row r="93" spans="1:5">
      <c r="B93" s="99" t="s">
        <v>263</v>
      </c>
      <c r="C93" s="100" t="s">
        <v>46</v>
      </c>
      <c r="D93" s="100">
        <v>327</v>
      </c>
      <c r="E93" s="100">
        <v>392.4</v>
      </c>
    </row>
    <row r="94" spans="1:5">
      <c r="B94" s="99" t="s">
        <v>264</v>
      </c>
      <c r="C94" s="100" t="s">
        <v>46</v>
      </c>
      <c r="D94" s="100">
        <v>438</v>
      </c>
      <c r="E94" s="100">
        <v>525.6</v>
      </c>
    </row>
    <row r="95" spans="1:5">
      <c r="B95" s="99" t="s">
        <v>265</v>
      </c>
      <c r="C95" s="100" t="s">
        <v>46</v>
      </c>
      <c r="D95" s="100">
        <v>3507</v>
      </c>
      <c r="E95" s="100">
        <v>4208.3999999999996</v>
      </c>
    </row>
    <row r="96" spans="1:5">
      <c r="B96" s="99" t="s">
        <v>266</v>
      </c>
      <c r="C96" s="100" t="s">
        <v>46</v>
      </c>
      <c r="D96" s="100">
        <v>270</v>
      </c>
      <c r="E96" s="100">
        <v>324</v>
      </c>
    </row>
    <row r="97" spans="2:5">
      <c r="B97" s="99" t="s">
        <v>267</v>
      </c>
      <c r="C97" s="100" t="s">
        <v>46</v>
      </c>
      <c r="D97" s="100">
        <v>603</v>
      </c>
      <c r="E97" s="100">
        <v>723.6</v>
      </c>
    </row>
    <row r="98" spans="2:5">
      <c r="B98" s="99" t="s">
        <v>268</v>
      </c>
      <c r="C98" s="100" t="s">
        <v>46</v>
      </c>
      <c r="D98" s="100">
        <v>443</v>
      </c>
      <c r="E98" s="100">
        <v>531.6</v>
      </c>
    </row>
    <row r="99" spans="2:5">
      <c r="B99" s="99" t="s">
        <v>269</v>
      </c>
      <c r="C99" s="100" t="s">
        <v>46</v>
      </c>
      <c r="D99" s="100">
        <v>491</v>
      </c>
      <c r="E99" s="100">
        <v>589.19999999999993</v>
      </c>
    </row>
    <row r="100" spans="2:5">
      <c r="B100" s="99" t="s">
        <v>270</v>
      </c>
      <c r="C100" s="100" t="s">
        <v>46</v>
      </c>
      <c r="D100" s="100">
        <v>527</v>
      </c>
      <c r="E100" s="100">
        <v>632.4</v>
      </c>
    </row>
    <row r="101" spans="2:5">
      <c r="B101" s="99" t="s">
        <v>271</v>
      </c>
      <c r="C101" s="100" t="s">
        <v>46</v>
      </c>
      <c r="D101" s="100">
        <v>464</v>
      </c>
      <c r="E101" s="100">
        <v>556.79999999999995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P05</vt:lpstr>
      <vt:lpstr>P07</vt:lpstr>
      <vt:lpstr>S15</vt:lpstr>
      <vt:lpstr>S48</vt:lpstr>
      <vt:lpstr>S61</vt:lpstr>
      <vt:lpstr>ORA</vt:lpstr>
      <vt:lpstr>POJ</vt:lpstr>
      <vt:lpstr>ROJ</vt:lpstr>
      <vt:lpstr>FCOJ</vt:lpstr>
      <vt:lpstr>market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Alex</cp:lastModifiedBy>
  <dcterms:created xsi:type="dcterms:W3CDTF">2003-07-09T21:14:27Z</dcterms:created>
  <dcterms:modified xsi:type="dcterms:W3CDTF">2015-01-12T21:07:37Z</dcterms:modified>
</cp:coreProperties>
</file>